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vijbudhiraja/Desktop/Fin_work/LBO /AutoStore/"/>
    </mc:Choice>
  </mc:AlternateContent>
  <xr:revisionPtr revIDLastSave="0" documentId="13_ncr:1_{67E89440-FB8D-804B-B3B2-FE7F6F1FD04D}" xr6:coauthVersionLast="47" xr6:coauthVersionMax="47" xr10:uidLastSave="{00000000-0000-0000-0000-000000000000}"/>
  <bookViews>
    <workbookView xWindow="520" yWindow="1660" windowWidth="33460" windowHeight="18160" firstSheet="4" activeTab="11" xr2:uid="{46AFA8BA-0983-2E46-82DD-5734766DE4C2}"/>
  </bookViews>
  <sheets>
    <sheet name="Cover" sheetId="1" r:id="rId1"/>
    <sheet name="ToC" sheetId="2" r:id="rId2"/>
    <sheet name="Executive Summary " sheetId="3" r:id="rId3"/>
    <sheet name="Entry Assumptions" sheetId="4" r:id="rId4"/>
    <sheet name="Historical Financials" sheetId="13" r:id="rId5"/>
    <sheet name="Operating Model" sheetId="5" r:id="rId6"/>
    <sheet name="3-Statement Model (Forecast)" sheetId="7" r:id="rId7"/>
    <sheet name="Debt Schedule" sheetId="6" r:id="rId8"/>
    <sheet name="Exit Assumptions" sheetId="8" r:id="rId9"/>
    <sheet name="Returns " sheetId="9" r:id="rId10"/>
    <sheet name="Sensitivity Analysis" sheetId="10" r:id="rId11"/>
    <sheet name="Sources and Footnotes" sheetId="1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6" i="3" l="1"/>
  <c r="W47" i="3"/>
  <c r="W48" i="3"/>
  <c r="E11" i="3"/>
  <c r="E42" i="3" s="1"/>
  <c r="D11" i="3"/>
  <c r="C11" i="3"/>
  <c r="C42" i="3" s="1"/>
  <c r="D14" i="3" l="1"/>
  <c r="E14" i="3"/>
  <c r="D42" i="3"/>
  <c r="C8" i="9"/>
  <c r="C25" i="8"/>
  <c r="C7" i="8"/>
  <c r="D48" i="7"/>
  <c r="E48" i="7" s="1"/>
  <c r="F48" i="7" s="1"/>
  <c r="G48" i="7" s="1"/>
  <c r="H48" i="7" s="1"/>
  <c r="D47" i="7"/>
  <c r="E47" i="7" s="1"/>
  <c r="F47" i="7" s="1"/>
  <c r="D61" i="7"/>
  <c r="E61" i="7" s="1"/>
  <c r="F61" i="7" s="1"/>
  <c r="G61" i="7" s="1"/>
  <c r="H61" i="7" s="1"/>
  <c r="C62" i="7"/>
  <c r="C51" i="7"/>
  <c r="C56" i="7" s="1"/>
  <c r="C37" i="7"/>
  <c r="C43" i="7" s="1"/>
  <c r="L71" i="5"/>
  <c r="K71" i="5"/>
  <c r="J71" i="5"/>
  <c r="I71" i="5"/>
  <c r="H71" i="5"/>
  <c r="D40" i="7"/>
  <c r="E40" i="7" s="1"/>
  <c r="F40" i="7" s="1"/>
  <c r="G40" i="7" s="1"/>
  <c r="H40" i="7" s="1"/>
  <c r="D55" i="7"/>
  <c r="E55" i="7"/>
  <c r="F55" i="7" s="1"/>
  <c r="G55" i="7" s="1"/>
  <c r="H55" i="7" s="1"/>
  <c r="D54" i="7"/>
  <c r="E54" i="7" s="1"/>
  <c r="F54" i="7" s="1"/>
  <c r="G54" i="7" s="1"/>
  <c r="H54" i="7" s="1"/>
  <c r="D42" i="7"/>
  <c r="E42" i="7" s="1"/>
  <c r="F42" i="7" s="1"/>
  <c r="G42" i="7" s="1"/>
  <c r="H42" i="7" s="1"/>
  <c r="D41" i="7"/>
  <c r="E41" i="7" s="1"/>
  <c r="F41" i="7" s="1"/>
  <c r="G41" i="7" s="1"/>
  <c r="H41" i="7" s="1"/>
  <c r="D36" i="7"/>
  <c r="E36" i="7" s="1"/>
  <c r="F36" i="7" s="1"/>
  <c r="G36" i="7" s="1"/>
  <c r="H36" i="7" s="1"/>
  <c r="C41" i="6"/>
  <c r="C37" i="6"/>
  <c r="C39" i="6" s="1"/>
  <c r="D37" i="6" s="1"/>
  <c r="D39" i="6" s="1"/>
  <c r="D41" i="6"/>
  <c r="E41" i="6" s="1"/>
  <c r="F41" i="6" s="1"/>
  <c r="G41" i="6" s="1"/>
  <c r="H41" i="6" s="1"/>
  <c r="D30" i="6"/>
  <c r="E30" i="6"/>
  <c r="F30" i="6"/>
  <c r="G30" i="6"/>
  <c r="H30" i="6"/>
  <c r="D89" i="7"/>
  <c r="E84" i="7"/>
  <c r="F84" i="7"/>
  <c r="G84" i="7"/>
  <c r="H84" i="7"/>
  <c r="G26" i="7"/>
  <c r="H26" i="7"/>
  <c r="H75" i="5"/>
  <c r="D26" i="7" s="1"/>
  <c r="I75" i="5"/>
  <c r="E26" i="7" s="1"/>
  <c r="J75" i="5"/>
  <c r="F26" i="7" s="1"/>
  <c r="K75" i="5"/>
  <c r="L75" i="5"/>
  <c r="H65" i="5"/>
  <c r="I65" i="5"/>
  <c r="J65" i="5"/>
  <c r="K65" i="5"/>
  <c r="L65" i="5"/>
  <c r="H63" i="5"/>
  <c r="I63" i="5"/>
  <c r="J63" i="5"/>
  <c r="K63" i="5"/>
  <c r="L63" i="5"/>
  <c r="H48" i="5"/>
  <c r="I48" i="5"/>
  <c r="D82" i="5"/>
  <c r="F81" i="5"/>
  <c r="D71" i="5"/>
  <c r="E71" i="5"/>
  <c r="D70" i="5"/>
  <c r="E70" i="5"/>
  <c r="F70" i="5"/>
  <c r="F71" i="5" s="1"/>
  <c r="D68" i="5"/>
  <c r="F68" i="5"/>
  <c r="D67" i="5"/>
  <c r="D81" i="5" s="1"/>
  <c r="D65" i="5"/>
  <c r="D64" i="5"/>
  <c r="E64" i="5"/>
  <c r="E65" i="5" s="1"/>
  <c r="F64" i="5"/>
  <c r="F67" i="5" s="1"/>
  <c r="F63" i="5"/>
  <c r="D62" i="5"/>
  <c r="D63" i="5" s="1"/>
  <c r="E62" i="5"/>
  <c r="F62" i="5"/>
  <c r="D58" i="5"/>
  <c r="D52" i="5"/>
  <c r="D56" i="5" s="1"/>
  <c r="D57" i="5" s="1"/>
  <c r="E52" i="5"/>
  <c r="F52" i="5"/>
  <c r="D53" i="5"/>
  <c r="E53" i="5"/>
  <c r="F53" i="5"/>
  <c r="D54" i="5"/>
  <c r="E54" i="5"/>
  <c r="F54" i="5"/>
  <c r="F56" i="5" s="1"/>
  <c r="F48" i="5"/>
  <c r="E49" i="5"/>
  <c r="D44" i="5"/>
  <c r="D41" i="5"/>
  <c r="F37" i="5"/>
  <c r="F36" i="5"/>
  <c r="F34" i="5"/>
  <c r="H34" i="5" s="1"/>
  <c r="I34" i="5" s="1"/>
  <c r="J34" i="5" s="1"/>
  <c r="K34" i="5" s="1"/>
  <c r="L34" i="5" s="1"/>
  <c r="D33" i="5"/>
  <c r="D34" i="5" s="1"/>
  <c r="E33" i="5"/>
  <c r="E34" i="5" s="1"/>
  <c r="F33" i="5"/>
  <c r="D32" i="5"/>
  <c r="E32" i="5"/>
  <c r="D31" i="5"/>
  <c r="E31" i="5"/>
  <c r="F31" i="5"/>
  <c r="F32" i="5" s="1"/>
  <c r="H32" i="5" s="1"/>
  <c r="I32" i="5" s="1"/>
  <c r="J32" i="5" s="1"/>
  <c r="K32" i="5" s="1"/>
  <c r="L32" i="5" s="1"/>
  <c r="F30" i="5"/>
  <c r="H30" i="5" s="1"/>
  <c r="I30" i="5" s="1"/>
  <c r="J30" i="5" s="1"/>
  <c r="K30" i="5" s="1"/>
  <c r="L30" i="5" s="1"/>
  <c r="D29" i="5"/>
  <c r="D36" i="5" s="1"/>
  <c r="D37" i="5" s="1"/>
  <c r="E29" i="5"/>
  <c r="F29" i="5"/>
  <c r="F24" i="5"/>
  <c r="F41" i="5" s="1"/>
  <c r="F42" i="5" s="1"/>
  <c r="F22" i="5"/>
  <c r="H22" i="5" s="1"/>
  <c r="I22" i="5" s="1"/>
  <c r="J22" i="5" s="1"/>
  <c r="K22" i="5" s="1"/>
  <c r="L22" i="5" s="1"/>
  <c r="D21" i="5"/>
  <c r="D22" i="5" s="1"/>
  <c r="E21" i="5"/>
  <c r="E22" i="5" s="1"/>
  <c r="F21" i="5"/>
  <c r="F106" i="13"/>
  <c r="F50" i="5" s="1"/>
  <c r="H50" i="5" s="1"/>
  <c r="F105" i="13"/>
  <c r="F104" i="13"/>
  <c r="F116" i="13"/>
  <c r="F117" i="13" s="1"/>
  <c r="F115" i="13"/>
  <c r="E115" i="13"/>
  <c r="E116" i="13" s="1"/>
  <c r="E117" i="13" s="1"/>
  <c r="D115" i="13"/>
  <c r="D116" i="13" s="1"/>
  <c r="D117" i="13" s="1"/>
  <c r="E106" i="13"/>
  <c r="E50" i="5" s="1"/>
  <c r="D106" i="13"/>
  <c r="D50" i="5" s="1"/>
  <c r="E105" i="13"/>
  <c r="D105" i="13"/>
  <c r="D49" i="5" s="1"/>
  <c r="E104" i="13"/>
  <c r="E48" i="5" s="1"/>
  <c r="D104" i="13"/>
  <c r="D48" i="5" s="1"/>
  <c r="F98" i="13"/>
  <c r="F100" i="13" s="1"/>
  <c r="F96" i="13"/>
  <c r="E96" i="13"/>
  <c r="D96" i="13"/>
  <c r="F89" i="13"/>
  <c r="E89" i="13"/>
  <c r="D89" i="13"/>
  <c r="F83" i="13"/>
  <c r="E83" i="13"/>
  <c r="E98" i="13" s="1"/>
  <c r="E100" i="13" s="1"/>
  <c r="D83" i="13"/>
  <c r="E74" i="13"/>
  <c r="D74" i="13"/>
  <c r="F72" i="13"/>
  <c r="E72" i="13"/>
  <c r="D72" i="13"/>
  <c r="F61" i="13"/>
  <c r="F66" i="13" s="1"/>
  <c r="E61" i="13"/>
  <c r="E66" i="13" s="1"/>
  <c r="D61" i="13"/>
  <c r="D66" i="13" s="1"/>
  <c r="F53" i="13"/>
  <c r="E53" i="13"/>
  <c r="F47" i="13"/>
  <c r="E47" i="13"/>
  <c r="D47" i="13"/>
  <c r="D53" i="13" s="1"/>
  <c r="E35" i="13"/>
  <c r="E26" i="13"/>
  <c r="F26" i="13"/>
  <c r="D26" i="13"/>
  <c r="E20" i="13"/>
  <c r="E21" i="13" s="1"/>
  <c r="F20" i="13"/>
  <c r="F21" i="13" s="1"/>
  <c r="D20" i="13"/>
  <c r="D21" i="13" s="1"/>
  <c r="E14" i="13"/>
  <c r="E23" i="13" s="1"/>
  <c r="D12" i="3" s="1"/>
  <c r="F14" i="13"/>
  <c r="F23" i="13" s="1"/>
  <c r="E12" i="3" s="1"/>
  <c r="D14" i="13"/>
  <c r="D23" i="13" s="1"/>
  <c r="C12" i="3" s="1"/>
  <c r="J11" i="5"/>
  <c r="K11" i="5" s="1"/>
  <c r="L11" i="5" s="1"/>
  <c r="H11" i="5"/>
  <c r="K9" i="5"/>
  <c r="I9" i="5"/>
  <c r="J9" i="5"/>
  <c r="H9" i="5"/>
  <c r="F17" i="5"/>
  <c r="F8" i="5" s="1"/>
  <c r="H8" i="5" s="1"/>
  <c r="E17" i="5"/>
  <c r="E8" i="5" s="1"/>
  <c r="D17" i="5"/>
  <c r="E18" i="5"/>
  <c r="E10" i="5" s="1"/>
  <c r="F18" i="5"/>
  <c r="F10" i="5" s="1"/>
  <c r="F14" i="5"/>
  <c r="E14" i="5"/>
  <c r="E13" i="5"/>
  <c r="E30" i="5" s="1"/>
  <c r="D13" i="5"/>
  <c r="D24" i="5" s="1"/>
  <c r="D25" i="5" s="1"/>
  <c r="G25" i="4"/>
  <c r="H24" i="4"/>
  <c r="C33" i="6" s="1"/>
  <c r="D33" i="6" s="1"/>
  <c r="E33" i="6" s="1"/>
  <c r="F33" i="6" s="1"/>
  <c r="G33" i="6" s="1"/>
  <c r="H33" i="6" s="1"/>
  <c r="G10" i="4"/>
  <c r="G9" i="4"/>
  <c r="C34" i="4"/>
  <c r="G11" i="4"/>
  <c r="K9" i="4"/>
  <c r="K8" i="4"/>
  <c r="E19" i="3" s="1"/>
  <c r="C17" i="4"/>
  <c r="C21" i="4" s="1"/>
  <c r="C35" i="4" s="1"/>
  <c r="C15" i="4"/>
  <c r="F57" i="5" l="1"/>
  <c r="D80" i="5"/>
  <c r="D98" i="13"/>
  <c r="D100" i="13" s="1"/>
  <c r="D42" i="5"/>
  <c r="C64" i="7"/>
  <c r="C66" i="7" s="1"/>
  <c r="C13" i="3"/>
  <c r="N42" i="3" s="1"/>
  <c r="C43" i="3"/>
  <c r="C24" i="4"/>
  <c r="C24" i="8" s="1"/>
  <c r="K11" i="4"/>
  <c r="D30" i="5"/>
  <c r="C27" i="4"/>
  <c r="C36" i="4"/>
  <c r="C28" i="4"/>
  <c r="I19" i="3"/>
  <c r="C46" i="3"/>
  <c r="C18" i="3"/>
  <c r="I22" i="3"/>
  <c r="G24" i="4"/>
  <c r="H13" i="5"/>
  <c r="I8" i="5"/>
  <c r="F74" i="13"/>
  <c r="E107" i="13"/>
  <c r="E56" i="5"/>
  <c r="F65" i="5"/>
  <c r="J48" i="5"/>
  <c r="I50" i="5"/>
  <c r="H10" i="5"/>
  <c r="E24" i="5"/>
  <c r="F80" i="5"/>
  <c r="K7" i="4"/>
  <c r="E18" i="3" s="1"/>
  <c r="F107" i="13"/>
  <c r="F49" i="5"/>
  <c r="H49" i="5" s="1"/>
  <c r="F25" i="5"/>
  <c r="E36" i="5"/>
  <c r="E37" i="5" s="1"/>
  <c r="E67" i="5"/>
  <c r="E63" i="5"/>
  <c r="D107" i="13"/>
  <c r="C19" i="3"/>
  <c r="C47" i="3"/>
  <c r="E43" i="3"/>
  <c r="E13" i="3"/>
  <c r="P42" i="3" s="1"/>
  <c r="D43" i="3"/>
  <c r="D13" i="3"/>
  <c r="O42" i="3" s="1"/>
  <c r="D8" i="5"/>
  <c r="G47" i="7"/>
  <c r="D42" i="6"/>
  <c r="E37" i="6"/>
  <c r="E39" i="6" s="1"/>
  <c r="E27" i="13"/>
  <c r="E24" i="13"/>
  <c r="F27" i="13"/>
  <c r="F24" i="13"/>
  <c r="D24" i="13"/>
  <c r="D27" i="13"/>
  <c r="D15" i="13"/>
  <c r="F15" i="13"/>
  <c r="E15" i="13"/>
  <c r="F9" i="5"/>
  <c r="F11" i="5"/>
  <c r="E9" i="5"/>
  <c r="D18" i="5"/>
  <c r="D10" i="5" s="1"/>
  <c r="E11" i="5" s="1"/>
  <c r="K10" i="4"/>
  <c r="E20" i="3" s="1"/>
  <c r="C32" i="4"/>
  <c r="C37" i="4" s="1"/>
  <c r="E41" i="5" l="1"/>
  <c r="E25" i="5"/>
  <c r="I49" i="5"/>
  <c r="I10" i="5"/>
  <c r="I13" i="5" s="1"/>
  <c r="H18" i="5"/>
  <c r="J8" i="5"/>
  <c r="F11" i="3"/>
  <c r="H62" i="5"/>
  <c r="H67" i="5" s="1"/>
  <c r="H70" i="5"/>
  <c r="D17" i="7" s="1"/>
  <c r="D70" i="7" s="1"/>
  <c r="H29" i="5"/>
  <c r="H36" i="5" s="1"/>
  <c r="H14" i="5"/>
  <c r="D8" i="7"/>
  <c r="H33" i="5"/>
  <c r="H17" i="5"/>
  <c r="H64" i="5"/>
  <c r="H31" i="5"/>
  <c r="H21" i="5"/>
  <c r="C28" i="6"/>
  <c r="G29" i="4"/>
  <c r="G34" i="4"/>
  <c r="I20" i="3" s="1"/>
  <c r="G33" i="4"/>
  <c r="K48" i="5"/>
  <c r="J50" i="5"/>
  <c r="E68" i="5"/>
  <c r="E81" i="5"/>
  <c r="C26" i="8"/>
  <c r="H52" i="5"/>
  <c r="E57" i="5"/>
  <c r="E82" i="5"/>
  <c r="E58" i="5"/>
  <c r="F82" i="5" s="1"/>
  <c r="F58" i="5"/>
  <c r="H47" i="7"/>
  <c r="F37" i="6"/>
  <c r="F39" i="6" s="1"/>
  <c r="F42" i="6"/>
  <c r="E42" i="6"/>
  <c r="F33" i="13"/>
  <c r="F28" i="13"/>
  <c r="E33" i="13"/>
  <c r="E28" i="13"/>
  <c r="D28" i="13"/>
  <c r="D33" i="13"/>
  <c r="K18" i="4"/>
  <c r="E21" i="3" s="1"/>
  <c r="L10" i="4"/>
  <c r="G11" i="3" l="1"/>
  <c r="E8" i="7"/>
  <c r="I24" i="5"/>
  <c r="I62" i="5"/>
  <c r="I67" i="5" s="1"/>
  <c r="I14" i="5"/>
  <c r="I70" i="5"/>
  <c r="E17" i="7" s="1"/>
  <c r="E70" i="7" s="1"/>
  <c r="I33" i="5"/>
  <c r="I31" i="5"/>
  <c r="I21" i="5"/>
  <c r="I29" i="5"/>
  <c r="I64" i="5"/>
  <c r="I52" i="5"/>
  <c r="I17" i="5"/>
  <c r="K50" i="5"/>
  <c r="D34" i="7"/>
  <c r="D71" i="7" s="1"/>
  <c r="E38" i="13"/>
  <c r="E36" i="13"/>
  <c r="K8" i="5"/>
  <c r="J13" i="5"/>
  <c r="J17" i="5" s="1"/>
  <c r="G32" i="4"/>
  <c r="I18" i="3" s="1"/>
  <c r="D9" i="7"/>
  <c r="D10" i="7" s="1"/>
  <c r="H54" i="5"/>
  <c r="D46" i="7" s="1"/>
  <c r="D73" i="7" s="1"/>
  <c r="I18" i="5"/>
  <c r="J10" i="5"/>
  <c r="H24" i="5"/>
  <c r="H53" i="5"/>
  <c r="D35" i="7" s="1"/>
  <c r="D72" i="7" s="1"/>
  <c r="D38" i="13"/>
  <c r="D36" i="13"/>
  <c r="H68" i="5"/>
  <c r="H81" i="5"/>
  <c r="D39" i="7"/>
  <c r="D78" i="7"/>
  <c r="D80" i="7" s="1"/>
  <c r="J49" i="5"/>
  <c r="I53" i="5"/>
  <c r="E35" i="7" s="1"/>
  <c r="E72" i="7" s="1"/>
  <c r="F38" i="13"/>
  <c r="F36" i="13"/>
  <c r="L48" i="5"/>
  <c r="F42" i="3"/>
  <c r="F14" i="3"/>
  <c r="C45" i="6"/>
  <c r="C31" i="6"/>
  <c r="D29" i="6"/>
  <c r="D49" i="6" s="1"/>
  <c r="D49" i="7" s="1"/>
  <c r="H37" i="5"/>
  <c r="D13" i="7"/>
  <c r="E80" i="5"/>
  <c r="E44" i="5"/>
  <c r="E42" i="5"/>
  <c r="F44" i="5"/>
  <c r="G37" i="6"/>
  <c r="G39" i="6" s="1"/>
  <c r="G42" i="6" s="1"/>
  <c r="L12" i="4"/>
  <c r="L9" i="4"/>
  <c r="L8" i="4"/>
  <c r="L7" i="4"/>
  <c r="L11" i="4"/>
  <c r="G16" i="4"/>
  <c r="G36" i="4" s="1"/>
  <c r="F75" i="5" l="1"/>
  <c r="F83" i="5" s="1"/>
  <c r="F85" i="5" s="1"/>
  <c r="F112" i="13"/>
  <c r="D75" i="5"/>
  <c r="D83" i="5" s="1"/>
  <c r="D85" i="5" s="1"/>
  <c r="D112" i="13"/>
  <c r="H56" i="5"/>
  <c r="L50" i="5"/>
  <c r="F110" i="13"/>
  <c r="F111" i="13"/>
  <c r="D110" i="13"/>
  <c r="D111" i="13"/>
  <c r="J53" i="5"/>
  <c r="F35" i="7" s="1"/>
  <c r="F72" i="7" s="1"/>
  <c r="K49" i="5"/>
  <c r="H25" i="5"/>
  <c r="H41" i="5"/>
  <c r="L8" i="5"/>
  <c r="K13" i="5"/>
  <c r="K17" i="5" s="1"/>
  <c r="E34" i="7"/>
  <c r="E71" i="7" s="1"/>
  <c r="I56" i="5"/>
  <c r="I81" i="5"/>
  <c r="I68" i="5"/>
  <c r="E78" i="7"/>
  <c r="E80" i="7" s="1"/>
  <c r="C20" i="3"/>
  <c r="C48" i="3"/>
  <c r="C7" i="9"/>
  <c r="D59" i="7"/>
  <c r="G35" i="4"/>
  <c r="C46" i="6"/>
  <c r="D28" i="6"/>
  <c r="H11" i="3"/>
  <c r="J64" i="5"/>
  <c r="F8" i="7"/>
  <c r="J24" i="5"/>
  <c r="J62" i="5"/>
  <c r="J67" i="5" s="1"/>
  <c r="J29" i="5"/>
  <c r="J14" i="5"/>
  <c r="J33" i="5"/>
  <c r="J21" i="5"/>
  <c r="J31" i="5"/>
  <c r="J70" i="5"/>
  <c r="F17" i="7" s="1"/>
  <c r="F70" i="7" s="1"/>
  <c r="J52" i="5"/>
  <c r="K10" i="5"/>
  <c r="J18" i="5"/>
  <c r="E39" i="7"/>
  <c r="F39" i="7" s="1"/>
  <c r="E75" i="5"/>
  <c r="E83" i="5" s="1"/>
  <c r="E85" i="5" s="1"/>
  <c r="E112" i="13"/>
  <c r="I25" i="5"/>
  <c r="E110" i="13"/>
  <c r="E111" i="13"/>
  <c r="I36" i="5"/>
  <c r="E10" i="7"/>
  <c r="D11" i="7"/>
  <c r="D14" i="7"/>
  <c r="E9" i="7"/>
  <c r="I54" i="5"/>
  <c r="E46" i="7" s="1"/>
  <c r="E73" i="7" s="1"/>
  <c r="G14" i="3"/>
  <c r="G42" i="3"/>
  <c r="H37" i="6"/>
  <c r="H39" i="6" s="1"/>
  <c r="H42" i="6"/>
  <c r="G18" i="4"/>
  <c r="L18" i="4"/>
  <c r="E86" i="5" l="1"/>
  <c r="E87" i="5"/>
  <c r="E29" i="6"/>
  <c r="E49" i="6" s="1"/>
  <c r="E49" i="7" s="1"/>
  <c r="D45" i="6"/>
  <c r="D31" i="6"/>
  <c r="F12" i="3"/>
  <c r="H80" i="5"/>
  <c r="H85" i="5" s="1"/>
  <c r="H42" i="5"/>
  <c r="H44" i="5"/>
  <c r="D54" i="6"/>
  <c r="H83" i="5"/>
  <c r="E11" i="7"/>
  <c r="I37" i="5"/>
  <c r="E13" i="7"/>
  <c r="E14" i="7" s="1"/>
  <c r="J36" i="5"/>
  <c r="K53" i="5"/>
  <c r="G35" i="7" s="1"/>
  <c r="G72" i="7" s="1"/>
  <c r="L49" i="5"/>
  <c r="H58" i="5"/>
  <c r="H82" i="5" s="1"/>
  <c r="H57" i="5"/>
  <c r="L10" i="5"/>
  <c r="K18" i="5"/>
  <c r="F78" i="7"/>
  <c r="F80" i="7" s="1"/>
  <c r="J81" i="5"/>
  <c r="J68" i="5"/>
  <c r="E59" i="7"/>
  <c r="F59" i="7" s="1"/>
  <c r="G59" i="7" s="1"/>
  <c r="H59" i="7" s="1"/>
  <c r="D84" i="7"/>
  <c r="I57" i="5"/>
  <c r="I58" i="5"/>
  <c r="I82" i="5" s="1"/>
  <c r="F34" i="7"/>
  <c r="F71" i="7" s="1"/>
  <c r="J25" i="5"/>
  <c r="J41" i="5"/>
  <c r="G15" i="9"/>
  <c r="C19" i="9"/>
  <c r="D87" i="5"/>
  <c r="D86" i="5"/>
  <c r="F10" i="7"/>
  <c r="I11" i="3"/>
  <c r="K14" i="5"/>
  <c r="K64" i="5"/>
  <c r="G8" i="7"/>
  <c r="K62" i="5"/>
  <c r="K67" i="5" s="1"/>
  <c r="G39" i="7" s="1"/>
  <c r="K21" i="5"/>
  <c r="K29" i="5"/>
  <c r="K36" i="5" s="1"/>
  <c r="K31" i="5"/>
  <c r="K33" i="5"/>
  <c r="K70" i="5"/>
  <c r="G17" i="7" s="1"/>
  <c r="G70" i="7" s="1"/>
  <c r="K52" i="5"/>
  <c r="F87" i="5"/>
  <c r="F86" i="5"/>
  <c r="I41" i="5"/>
  <c r="C21" i="3"/>
  <c r="D15" i="7"/>
  <c r="D18" i="7"/>
  <c r="D19" i="7" s="1"/>
  <c r="I21" i="3"/>
  <c r="F9" i="7"/>
  <c r="J54" i="5"/>
  <c r="F46" i="7" s="1"/>
  <c r="F73" i="7" s="1"/>
  <c r="H14" i="3"/>
  <c r="H42" i="3"/>
  <c r="L13" i="5"/>
  <c r="H13" i="4"/>
  <c r="H12" i="4"/>
  <c r="H11" i="4"/>
  <c r="H7" i="4"/>
  <c r="H10" i="4"/>
  <c r="H8" i="4"/>
  <c r="H9" i="4"/>
  <c r="H16" i="4"/>
  <c r="E15" i="7" l="1"/>
  <c r="E18" i="7"/>
  <c r="E19" i="7" s="1"/>
  <c r="J11" i="3"/>
  <c r="L33" i="5"/>
  <c r="L31" i="5"/>
  <c r="L21" i="5"/>
  <c r="L14" i="5"/>
  <c r="L62" i="5"/>
  <c r="L64" i="5"/>
  <c r="H8" i="7"/>
  <c r="L29" i="5"/>
  <c r="L36" i="5" s="1"/>
  <c r="L70" i="5"/>
  <c r="H17" i="7" s="1"/>
  <c r="H70" i="7" s="1"/>
  <c r="L52" i="5"/>
  <c r="G12" i="3"/>
  <c r="I80" i="5"/>
  <c r="I42" i="5"/>
  <c r="I44" i="5"/>
  <c r="E54" i="6"/>
  <c r="I83" i="5"/>
  <c r="I85" i="5" s="1"/>
  <c r="G9" i="7"/>
  <c r="G10" i="7" s="1"/>
  <c r="K54" i="5"/>
  <c r="G46" i="7" s="1"/>
  <c r="G73" i="7" s="1"/>
  <c r="L18" i="5"/>
  <c r="F43" i="3"/>
  <c r="F13" i="3"/>
  <c r="Q42" i="3" s="1"/>
  <c r="K24" i="5"/>
  <c r="D34" i="6"/>
  <c r="D48" i="6" s="1"/>
  <c r="D21" i="7" s="1"/>
  <c r="D23" i="7" s="1"/>
  <c r="D46" i="6"/>
  <c r="E28" i="6"/>
  <c r="D56" i="6"/>
  <c r="G13" i="7"/>
  <c r="K37" i="5"/>
  <c r="F11" i="7"/>
  <c r="H86" i="5"/>
  <c r="H87" i="5"/>
  <c r="G78" i="7"/>
  <c r="G80" i="7" s="1"/>
  <c r="K81" i="5"/>
  <c r="K68" i="5"/>
  <c r="G34" i="7"/>
  <c r="G71" i="7" s="1"/>
  <c r="H12" i="3"/>
  <c r="J80" i="5"/>
  <c r="J42" i="5"/>
  <c r="J44" i="5"/>
  <c r="F54" i="6"/>
  <c r="J83" i="5"/>
  <c r="L53" i="5"/>
  <c r="H35" i="7" s="1"/>
  <c r="H72" i="7" s="1"/>
  <c r="D57" i="6"/>
  <c r="D58" i="6"/>
  <c r="L17" i="5"/>
  <c r="I14" i="3"/>
  <c r="I42" i="3"/>
  <c r="J56" i="5"/>
  <c r="F13" i="7"/>
  <c r="F14" i="7" s="1"/>
  <c r="J37" i="5"/>
  <c r="G14" i="7" l="1"/>
  <c r="G11" i="7"/>
  <c r="F15" i="7"/>
  <c r="F18" i="7"/>
  <c r="F19" i="7" s="1"/>
  <c r="G13" i="3"/>
  <c r="R42" i="3" s="1"/>
  <c r="G43" i="3"/>
  <c r="L56" i="5"/>
  <c r="H34" i="7"/>
  <c r="H71" i="7" s="1"/>
  <c r="H9" i="7"/>
  <c r="L54" i="5"/>
  <c r="H46" i="7" s="1"/>
  <c r="H73" i="7" s="1"/>
  <c r="H43" i="3"/>
  <c r="H13" i="3"/>
  <c r="S42" i="3" s="1"/>
  <c r="E31" i="6"/>
  <c r="E45" i="6"/>
  <c r="F29" i="6"/>
  <c r="F49" i="6" s="1"/>
  <c r="F49" i="7" s="1"/>
  <c r="I87" i="5"/>
  <c r="I86" i="5"/>
  <c r="H13" i="7"/>
  <c r="L37" i="5"/>
  <c r="L24" i="5"/>
  <c r="D83" i="7"/>
  <c r="D86" i="7" s="1"/>
  <c r="D55" i="6"/>
  <c r="D53" i="7"/>
  <c r="D25" i="7"/>
  <c r="D50" i="7" s="1"/>
  <c r="D51" i="7" s="1"/>
  <c r="D28" i="7"/>
  <c r="J42" i="3"/>
  <c r="J14" i="3"/>
  <c r="J57" i="5"/>
  <c r="J58" i="5"/>
  <c r="J82" i="5" s="1"/>
  <c r="J85" i="5" s="1"/>
  <c r="K56" i="5"/>
  <c r="K41" i="5"/>
  <c r="K25" i="5"/>
  <c r="H10" i="7"/>
  <c r="L67" i="5"/>
  <c r="D74" i="7"/>
  <c r="J86" i="5" l="1"/>
  <c r="J87" i="5"/>
  <c r="K57" i="5"/>
  <c r="K58" i="5"/>
  <c r="K82" i="5" s="1"/>
  <c r="L57" i="5"/>
  <c r="L58" i="5"/>
  <c r="L82" i="5" s="1"/>
  <c r="D75" i="7"/>
  <c r="D88" i="7" s="1"/>
  <c r="E34" i="6"/>
  <c r="E48" i="6" s="1"/>
  <c r="F28" i="6"/>
  <c r="E46" i="6"/>
  <c r="E56" i="6"/>
  <c r="L41" i="5"/>
  <c r="L25" i="5"/>
  <c r="L68" i="5"/>
  <c r="H78" i="7"/>
  <c r="H80" i="7" s="1"/>
  <c r="L81" i="5"/>
  <c r="H39" i="7"/>
  <c r="H11" i="7"/>
  <c r="H14" i="7"/>
  <c r="D60" i="7"/>
  <c r="D62" i="7" s="1"/>
  <c r="D69" i="7"/>
  <c r="D29" i="7"/>
  <c r="D56" i="7"/>
  <c r="D64" i="7" s="1"/>
  <c r="I12" i="3"/>
  <c r="K80" i="5"/>
  <c r="K42" i="5"/>
  <c r="K44" i="5"/>
  <c r="G54" i="6"/>
  <c r="K83" i="5"/>
  <c r="K85" i="5" s="1"/>
  <c r="G15" i="7"/>
  <c r="G18" i="7"/>
  <c r="G19" i="7" s="1"/>
  <c r="E58" i="6" l="1"/>
  <c r="E21" i="7"/>
  <c r="E23" i="7" s="1"/>
  <c r="E57" i="6"/>
  <c r="K87" i="5"/>
  <c r="K86" i="5"/>
  <c r="E55" i="6"/>
  <c r="E83" i="7"/>
  <c r="E86" i="7" s="1"/>
  <c r="E53" i="7"/>
  <c r="D33" i="7"/>
  <c r="J12" i="3"/>
  <c r="H54" i="6"/>
  <c r="L80" i="5"/>
  <c r="L42" i="5"/>
  <c r="C12" i="8"/>
  <c r="L44" i="5"/>
  <c r="L83" i="5"/>
  <c r="H15" i="7"/>
  <c r="H18" i="7"/>
  <c r="H19" i="7" s="1"/>
  <c r="I43" i="3"/>
  <c r="I13" i="3"/>
  <c r="T42" i="3" s="1"/>
  <c r="F31" i="6"/>
  <c r="F45" i="6"/>
  <c r="G29" i="6"/>
  <c r="G49" i="6" s="1"/>
  <c r="G49" i="7" s="1"/>
  <c r="F46" i="6" l="1"/>
  <c r="F56" i="6"/>
  <c r="G28" i="6"/>
  <c r="F34" i="6"/>
  <c r="F48" i="6" s="1"/>
  <c r="C15" i="8"/>
  <c r="C28" i="8"/>
  <c r="C29" i="8"/>
  <c r="L85" i="5"/>
  <c r="J13" i="3"/>
  <c r="U42" i="3" s="1"/>
  <c r="J43" i="3"/>
  <c r="E25" i="7"/>
  <c r="E50" i="7" s="1"/>
  <c r="E28" i="7"/>
  <c r="D37" i="7"/>
  <c r="D43" i="7" s="1"/>
  <c r="D66" i="7" s="1"/>
  <c r="D90" i="7"/>
  <c r="F47" i="3" l="1"/>
  <c r="X47" i="3" s="1"/>
  <c r="Q14" i="3"/>
  <c r="G17" i="9"/>
  <c r="H29" i="6"/>
  <c r="H49" i="6" s="1"/>
  <c r="H49" i="7" s="1"/>
  <c r="G31" i="6"/>
  <c r="G45" i="6"/>
  <c r="E60" i="7"/>
  <c r="E62" i="7" s="1"/>
  <c r="E29" i="7"/>
  <c r="E69" i="7"/>
  <c r="F57" i="6"/>
  <c r="F58" i="6"/>
  <c r="F21" i="7"/>
  <c r="F23" i="7" s="1"/>
  <c r="F46" i="3"/>
  <c r="X46" i="3" s="1"/>
  <c r="Q13" i="3"/>
  <c r="G16" i="9"/>
  <c r="D92" i="7"/>
  <c r="E89" i="7"/>
  <c r="E51" i="7"/>
  <c r="E56" i="7" s="1"/>
  <c r="E64" i="7" s="1"/>
  <c r="E74" i="7"/>
  <c r="E75" i="7" s="1"/>
  <c r="E88" i="7" s="1"/>
  <c r="L87" i="5"/>
  <c r="L86" i="5"/>
  <c r="F83" i="7"/>
  <c r="F86" i="7" s="1"/>
  <c r="F55" i="6"/>
  <c r="F53" i="7"/>
  <c r="E33" i="7" l="1"/>
  <c r="G46" i="6"/>
  <c r="H28" i="6"/>
  <c r="G56" i="6"/>
  <c r="G34" i="6"/>
  <c r="G48" i="6" s="1"/>
  <c r="F25" i="7"/>
  <c r="F50" i="7" s="1"/>
  <c r="G83" i="7" l="1"/>
  <c r="G86" i="7" s="1"/>
  <c r="G55" i="6"/>
  <c r="G53" i="7"/>
  <c r="F51" i="7"/>
  <c r="F56" i="7" s="1"/>
  <c r="F74" i="7"/>
  <c r="G21" i="7"/>
  <c r="G23" i="7" s="1"/>
  <c r="G57" i="6"/>
  <c r="G58" i="6"/>
  <c r="H31" i="6"/>
  <c r="H45" i="6"/>
  <c r="E90" i="7"/>
  <c r="E37" i="7"/>
  <c r="E43" i="7" s="1"/>
  <c r="E66" i="7" s="1"/>
  <c r="F28" i="7"/>
  <c r="G25" i="7" l="1"/>
  <c r="G50" i="7" s="1"/>
  <c r="G28" i="7"/>
  <c r="F60" i="7"/>
  <c r="F69" i="7"/>
  <c r="F75" i="7" s="1"/>
  <c r="F88" i="7" s="1"/>
  <c r="F29" i="7"/>
  <c r="F89" i="7"/>
  <c r="E92" i="7"/>
  <c r="H56" i="6"/>
  <c r="H46" i="6"/>
  <c r="H34" i="6"/>
  <c r="H48" i="6" s="1"/>
  <c r="K20" i="3" l="1"/>
  <c r="H21" i="7"/>
  <c r="H23" i="7" s="1"/>
  <c r="H57" i="6"/>
  <c r="H58" i="6"/>
  <c r="G29" i="7"/>
  <c r="G69" i="7"/>
  <c r="G75" i="7" s="1"/>
  <c r="G88" i="7" s="1"/>
  <c r="F62" i="7"/>
  <c r="G60" i="7"/>
  <c r="K18" i="3"/>
  <c r="K22" i="3"/>
  <c r="C18" i="8"/>
  <c r="H53" i="7"/>
  <c r="H55" i="6"/>
  <c r="H83" i="7"/>
  <c r="H86" i="7" s="1"/>
  <c r="G51" i="7"/>
  <c r="G56" i="7" s="1"/>
  <c r="G74" i="7"/>
  <c r="G62" i="7" l="1"/>
  <c r="G33" i="7" s="1"/>
  <c r="F33" i="7"/>
  <c r="F64" i="7"/>
  <c r="H25" i="7"/>
  <c r="H50" i="7" s="1"/>
  <c r="H28" i="7"/>
  <c r="G64" i="7"/>
  <c r="H51" i="7" l="1"/>
  <c r="H56" i="7" s="1"/>
  <c r="H74" i="7"/>
  <c r="H69" i="7"/>
  <c r="H75" i="7" s="1"/>
  <c r="H88" i="7" s="1"/>
  <c r="H29" i="7"/>
  <c r="F90" i="7"/>
  <c r="F37" i="7"/>
  <c r="F43" i="7" s="1"/>
  <c r="F66" i="7" s="1"/>
  <c r="G8" i="9"/>
  <c r="H60" i="7"/>
  <c r="H62" i="7" s="1"/>
  <c r="H33" i="7" s="1"/>
  <c r="G90" i="7"/>
  <c r="G9" i="9"/>
  <c r="G37" i="7"/>
  <c r="G43" i="7" s="1"/>
  <c r="G66" i="7" s="1"/>
  <c r="C19" i="8" l="1"/>
  <c r="C17" i="8" s="1"/>
  <c r="G11" i="9"/>
  <c r="H90" i="7"/>
  <c r="H92" i="7" s="1"/>
  <c r="G12" i="9"/>
  <c r="H37" i="7"/>
  <c r="H43" i="7" s="1"/>
  <c r="P11" i="3"/>
  <c r="Y42" i="3" s="1"/>
  <c r="H9" i="9"/>
  <c r="P12" i="3" s="1"/>
  <c r="Y43" i="3" s="1"/>
  <c r="O11" i="3"/>
  <c r="X42" i="3" s="1"/>
  <c r="H8" i="9"/>
  <c r="O12" i="3" s="1"/>
  <c r="X43" i="3" s="1"/>
  <c r="G89" i="7"/>
  <c r="F92" i="7"/>
  <c r="H89" i="7"/>
  <c r="G92" i="7"/>
  <c r="H64" i="7"/>
  <c r="S11" i="3" l="1"/>
  <c r="AB42" i="3" s="1"/>
  <c r="H12" i="9"/>
  <c r="S12" i="3" s="1"/>
  <c r="AB43" i="3" s="1"/>
  <c r="H66" i="7"/>
  <c r="R11" i="3"/>
  <c r="AA42" i="3" s="1"/>
  <c r="H11" i="9"/>
  <c r="R12" i="3" s="1"/>
  <c r="AA43" i="3" s="1"/>
  <c r="K19" i="3"/>
  <c r="C30" i="8"/>
  <c r="C21" i="8"/>
  <c r="G13" i="8" l="1"/>
  <c r="G10" i="8"/>
  <c r="G14" i="8" s="1"/>
  <c r="F48" i="3"/>
  <c r="X48" i="3" s="1"/>
  <c r="U13" i="3"/>
  <c r="G18" i="9"/>
  <c r="G21" i="9" s="1"/>
  <c r="C31" i="8"/>
  <c r="U14" i="3" s="1"/>
  <c r="G17" i="8" l="1"/>
  <c r="G20" i="8" s="1"/>
  <c r="C9" i="9" l="1"/>
  <c r="G10" i="9"/>
  <c r="Q11" i="3" s="1"/>
  <c r="Z42" i="3" s="1"/>
  <c r="C24" i="9" l="1"/>
  <c r="C26" i="9" s="1"/>
  <c r="C16" i="9"/>
  <c r="C13" i="9"/>
  <c r="H10" i="9" s="1"/>
  <c r="Q12" i="3" s="1"/>
  <c r="Z43" i="3" s="1"/>
  <c r="C12" i="9"/>
  <c r="C15" i="9" s="1"/>
</calcChain>
</file>

<file path=xl/sharedStrings.xml><?xml version="1.0" encoding="utf-8"?>
<sst xmlns="http://schemas.openxmlformats.org/spreadsheetml/2006/main" count="912" uniqueCount="512">
  <si>
    <t>ENTRY ASSUMPTIONS</t>
  </si>
  <si>
    <t>Transaction Date</t>
  </si>
  <si>
    <t>Target Company</t>
  </si>
  <si>
    <t>AutoStore Holdings Ltd.</t>
  </si>
  <si>
    <t>Target Ticker</t>
  </si>
  <si>
    <t>Acquirer / Sponsor</t>
  </si>
  <si>
    <t>Transaction Type</t>
  </si>
  <si>
    <t>LBO</t>
  </si>
  <si>
    <t>Share Price (Offer)</t>
  </si>
  <si>
    <t>NOK</t>
  </si>
  <si>
    <t>Shares Outstanding (Diluted)</t>
  </si>
  <si>
    <t>mm</t>
  </si>
  <si>
    <t>Equity Value</t>
  </si>
  <si>
    <t>NOK mm</t>
  </si>
  <si>
    <t>(+) Total Debt</t>
  </si>
  <si>
    <t>(-) Cash &amp; Cash Equivalents</t>
  </si>
  <si>
    <t>Enterprise Value</t>
  </si>
  <si>
    <t>LTM EBITDA</t>
  </si>
  <si>
    <t>Entry EV / EBITDA Multiple</t>
  </si>
  <si>
    <t>x</t>
  </si>
  <si>
    <t>NOK/USD Exchange Rate</t>
  </si>
  <si>
    <t>Enterprise Value (USD)</t>
  </si>
  <si>
    <t>$mm</t>
  </si>
  <si>
    <t>Equity Value (USD)</t>
  </si>
  <si>
    <t>Source</t>
  </si>
  <si>
    <t>Amount</t>
  </si>
  <si>
    <t>% of Total</t>
  </si>
  <si>
    <t>Revolving Credit Facility</t>
  </si>
  <si>
    <t>Term Loan A</t>
  </si>
  <si>
    <t>Term Loan B</t>
  </si>
  <si>
    <t>Senior Secured Notes</t>
  </si>
  <si>
    <t>Senior Unsecured Notes</t>
  </si>
  <si>
    <t>Subordinated / Mezzanine</t>
  </si>
  <si>
    <t>Rollover Equity</t>
  </si>
  <si>
    <t>Sponsor Equity</t>
  </si>
  <si>
    <t>Total Sources</t>
  </si>
  <si>
    <t>Use</t>
  </si>
  <si>
    <t>Purchase Equity</t>
  </si>
  <si>
    <t>Refinance Existing Debt</t>
  </si>
  <si>
    <t>Cash to Balance Sheet</t>
  </si>
  <si>
    <t>Financing Fees</t>
  </si>
  <si>
    <t>Transaction Fees</t>
  </si>
  <si>
    <t>Other Fees &amp; Expenses</t>
  </si>
  <si>
    <t>Total Uses</t>
  </si>
  <si>
    <t>Instrument</t>
  </si>
  <si>
    <t>Rate</t>
  </si>
  <si>
    <t>Type</t>
  </si>
  <si>
    <t>Amort.</t>
  </si>
  <si>
    <t>Commitment Fee</t>
  </si>
  <si>
    <t>Floating</t>
  </si>
  <si>
    <t>n/a</t>
  </si>
  <si>
    <t>Fixed</t>
  </si>
  <si>
    <t>PIK/Cash</t>
  </si>
  <si>
    <t>Total Debt</t>
  </si>
  <si>
    <t>Financing Fees (% of Debt)</t>
  </si>
  <si>
    <t>%</t>
  </si>
  <si>
    <t>Financing Fees ($)</t>
  </si>
  <si>
    <t>M&amp;A Advisory Fee</t>
  </si>
  <si>
    <t>Legal &amp; Accounting</t>
  </si>
  <si>
    <t>Other Transaction Costs</t>
  </si>
  <si>
    <t>Total Transaction Fees</t>
  </si>
  <si>
    <t>Total Debt / EBITDA</t>
  </si>
  <si>
    <t>Senior Debt / EBITDA</t>
  </si>
  <si>
    <t>EBITDA / Interest Expense</t>
  </si>
  <si>
    <t>Equity / Total Capitalization</t>
  </si>
  <si>
    <t>Debt / Total Capitalization</t>
  </si>
  <si>
    <t>Hardcoded Input</t>
  </si>
  <si>
    <t>Calculated Formula</t>
  </si>
  <si>
    <t>Link to Other Sheet</t>
  </si>
  <si>
    <t xml:space="preserve">  TRANSACTION OVERVIEW</t>
  </si>
  <si>
    <t xml:space="preserve">  VALUATION &amp; PURCHASE PRICE</t>
  </si>
  <si>
    <t xml:space="preserve">  SOURCES</t>
  </si>
  <si>
    <t xml:space="preserve">  USES</t>
  </si>
  <si>
    <t xml:space="preserve">  DEBT STRUCTURE</t>
  </si>
  <si>
    <t xml:space="preserve">  TRANSACTION FEES &amp; EXPENSES</t>
  </si>
  <si>
    <t xml:space="preserve">  KEY CREDIT METRICS (Entry)</t>
  </si>
  <si>
    <t>COLOR LEGEND</t>
  </si>
  <si>
    <t>●  Blue</t>
  </si>
  <si>
    <t>●  Black</t>
  </si>
  <si>
    <t>●  Green</t>
  </si>
  <si>
    <t>OPERATING MODEL</t>
  </si>
  <si>
    <t>AutoStore Holdings Ltd. — Driver-Based Projections</t>
  </si>
  <si>
    <t>Units</t>
  </si>
  <si>
    <t>FY2022A</t>
  </si>
  <si>
    <t>FY2023A</t>
  </si>
  <si>
    <t>FY2024A</t>
  </si>
  <si>
    <t>FY2025E</t>
  </si>
  <si>
    <t>FY2026E</t>
  </si>
  <si>
    <t>FY2027E</t>
  </si>
  <si>
    <t>FY2028E</t>
  </si>
  <si>
    <t>FY2029E</t>
  </si>
  <si>
    <t xml:space="preserve">  REVENUE DRIVERS</t>
  </si>
  <si>
    <t>Systems Revenue (Hardware)</t>
  </si>
  <si>
    <t xml:space="preserve">  % Growth</t>
  </si>
  <si>
    <t>Software &amp; Services Revenue</t>
  </si>
  <si>
    <t>Total Revenue</t>
  </si>
  <si>
    <t>Revenue Mix:</t>
  </si>
  <si>
    <t xml:space="preserve">  Systems %</t>
  </si>
  <si>
    <t xml:space="preserve">  Software &amp; Services %</t>
  </si>
  <si>
    <t xml:space="preserve">  GROSS PROFIT</t>
  </si>
  <si>
    <t>Cost of Goods Sold (COGS)</t>
  </si>
  <si>
    <t xml:space="preserve">  COGS % of Revenue</t>
  </si>
  <si>
    <t>Gross Profit</t>
  </si>
  <si>
    <t xml:space="preserve">  Gross Margin %</t>
  </si>
  <si>
    <t xml:space="preserve">  OPERATING EXPENSES</t>
  </si>
  <si>
    <t>Research &amp; Development</t>
  </si>
  <si>
    <t xml:space="preserve">  R&amp;D % of Revenue</t>
  </si>
  <si>
    <t>Sales &amp; Marketing</t>
  </si>
  <si>
    <t xml:space="preserve">  S&amp;M % of Revenue</t>
  </si>
  <si>
    <t>General &amp; Administrative</t>
  </si>
  <si>
    <t xml:space="preserve">  G&amp;A % of Revenue</t>
  </si>
  <si>
    <t>Total Operating Expenses</t>
  </si>
  <si>
    <t xml:space="preserve">  OpEx % of Revenue</t>
  </si>
  <si>
    <t xml:space="preserve">  EBITDA</t>
  </si>
  <si>
    <t>EBITDA</t>
  </si>
  <si>
    <t xml:space="preserve">  EBITDA Margin %</t>
  </si>
  <si>
    <t>EBITDA Growth %</t>
  </si>
  <si>
    <t xml:space="preserve">  WORKING CAPITAL ASSUMPTIONS</t>
  </si>
  <si>
    <t>Days Sales Outstanding (DSO)</t>
  </si>
  <si>
    <t>days</t>
  </si>
  <si>
    <t>Days Inventory Outstanding (DIO)</t>
  </si>
  <si>
    <t>Days Payables Outstanding (DPO)</t>
  </si>
  <si>
    <t>Accounts Receivable</t>
  </si>
  <si>
    <t>Inventory</t>
  </si>
  <si>
    <t>Accounts Payable</t>
  </si>
  <si>
    <t>Net Working Capital</t>
  </si>
  <si>
    <t xml:space="preserve">  NWC % of Revenue</t>
  </si>
  <si>
    <t>Change in NWC</t>
  </si>
  <si>
    <t xml:space="preserve">  CAPITAL EXPENDITURES &amp; DEPRECIATION</t>
  </si>
  <si>
    <t>Maintenance CapEx</t>
  </si>
  <si>
    <t xml:space="preserve">  % of Revenue</t>
  </si>
  <si>
    <t>Growth CapEx</t>
  </si>
  <si>
    <t>Total CapEx</t>
  </si>
  <si>
    <t xml:space="preserve">  Total CapEx % of Revenue</t>
  </si>
  <si>
    <t>Depreciation &amp; Amortization</t>
  </si>
  <si>
    <t xml:space="preserve">  D&amp;A % of Revenue</t>
  </si>
  <si>
    <t xml:space="preserve">  TAX &amp; OTHER ASSUMPTIONS</t>
  </si>
  <si>
    <t>Effective Tax Rate</t>
  </si>
  <si>
    <t>Cash Tax Rate (if different)</t>
  </si>
  <si>
    <t xml:space="preserve">  UNLEVERED FREE CASH FLOW</t>
  </si>
  <si>
    <t>(-) Capital Expenditures</t>
  </si>
  <si>
    <t>(-) Change in NWC</t>
  </si>
  <si>
    <t>(-) Cash Taxes</t>
  </si>
  <si>
    <t>Unlevered Free Cash Flow</t>
  </si>
  <si>
    <t xml:space="preserve">  UFCF Margin %</t>
  </si>
  <si>
    <t xml:space="preserve">  FCF Conversion (UFCF/EBITDA)</t>
  </si>
  <si>
    <t>DEBT SCHEDULE</t>
  </si>
  <si>
    <t>AutoStore Holdings Ltd. — Debt Amortization &amp; Interest</t>
  </si>
  <si>
    <t>Entry</t>
  </si>
  <si>
    <t>Year 1</t>
  </si>
  <si>
    <t>Year 2</t>
  </si>
  <si>
    <t>Year 3</t>
  </si>
  <si>
    <t>Year 4</t>
  </si>
  <si>
    <t>Year 5</t>
  </si>
  <si>
    <t>Exit</t>
  </si>
  <si>
    <t xml:space="preserve">  REVOLVING CREDIT FACILITY</t>
  </si>
  <si>
    <t>Revolver Capacity</t>
  </si>
  <si>
    <t>Beginning Balance</t>
  </si>
  <si>
    <t>Drawdown / (Paydown)</t>
  </si>
  <si>
    <t>Ending Balance</t>
  </si>
  <si>
    <t>Interest Rate (SOFR + Spread)</t>
  </si>
  <si>
    <t>Interest Expense</t>
  </si>
  <si>
    <t>Commitment Fee Rate</t>
  </si>
  <si>
    <t xml:space="preserve">  TERM LOAN A</t>
  </si>
  <si>
    <t>Mandatory Amortization</t>
  </si>
  <si>
    <t>Optional Prepayment</t>
  </si>
  <si>
    <t xml:space="preserve">  TERM LOAN B</t>
  </si>
  <si>
    <t>Mandatory Amortization (1% p.a.)</t>
  </si>
  <si>
    <t xml:space="preserve">  SENIOR SECURED NOTES</t>
  </si>
  <si>
    <t>Redemption</t>
  </si>
  <si>
    <t>Coupon Rate</t>
  </si>
  <si>
    <t xml:space="preserve">  TOTAL DEBT SUMMARY</t>
  </si>
  <si>
    <t>Total Beginning Debt</t>
  </si>
  <si>
    <t>Total Ending Debt</t>
  </si>
  <si>
    <t>Total Interest Expense</t>
  </si>
  <si>
    <t>Total Mandatory Amortization</t>
  </si>
  <si>
    <t>Total Cash Available for Prepayment</t>
  </si>
  <si>
    <t>Total Optional Prepayment</t>
  </si>
  <si>
    <t xml:space="preserve">  CREDIT METRICS</t>
  </si>
  <si>
    <t>(EBITDA - CapEx) / Interest</t>
  </si>
  <si>
    <t>3-STATEMENT MODEL</t>
  </si>
  <si>
    <t>AutoStore Holdings Ltd. — Integrated Financial Statements</t>
  </si>
  <si>
    <t xml:space="preserve">  INCOME STATEMENT</t>
  </si>
  <si>
    <t>Revenue</t>
  </si>
  <si>
    <t>Cost of Goods Sold</t>
  </si>
  <si>
    <t>Operating Expenses</t>
  </si>
  <si>
    <t>EBIT</t>
  </si>
  <si>
    <t xml:space="preserve">  EBIT Margin %</t>
  </si>
  <si>
    <t>Interest Income</t>
  </si>
  <si>
    <t>EBT (Earnings Before Tax)</t>
  </si>
  <si>
    <t>Income Tax Expense</t>
  </si>
  <si>
    <t xml:space="preserve">  Effective Tax Rate</t>
  </si>
  <si>
    <t>Net Income</t>
  </si>
  <si>
    <t xml:space="preserve">  Net Income Margin %</t>
  </si>
  <si>
    <t xml:space="preserve">  BALANCE SHEET</t>
  </si>
  <si>
    <t>ASSETS</t>
  </si>
  <si>
    <t>Cash &amp; Cash Equivalents</t>
  </si>
  <si>
    <t>Prepaid Expenses &amp; Other CA</t>
  </si>
  <si>
    <t>Total Current Assets</t>
  </si>
  <si>
    <t>Property, Plant &amp; Equipment</t>
  </si>
  <si>
    <t>Goodwill</t>
  </si>
  <si>
    <t>Other Intangibles</t>
  </si>
  <si>
    <t>Other Long-Term Assets</t>
  </si>
  <si>
    <t>Total Assets</t>
  </si>
  <si>
    <t>LIABILITIES</t>
  </si>
  <si>
    <t>Accrued Expenses</t>
  </si>
  <si>
    <t>Current Portion of Debt</t>
  </si>
  <si>
    <t>Other Current Liabilities</t>
  </si>
  <si>
    <t>Total Current Liabilities</t>
  </si>
  <si>
    <t>Long-Term Debt</t>
  </si>
  <si>
    <t>Deferred Tax Liabilities</t>
  </si>
  <si>
    <t>Other Long-Term Liabilities</t>
  </si>
  <si>
    <t>Total Liabilities</t>
  </si>
  <si>
    <t>SHAREHOLDERS' EQUITY</t>
  </si>
  <si>
    <t>Common Stock &amp; APIC</t>
  </si>
  <si>
    <t>Retained Earnings</t>
  </si>
  <si>
    <t>Total Shareholders' Equity</t>
  </si>
  <si>
    <t>Total Liabilities &amp; Equity</t>
  </si>
  <si>
    <t>Balance Check (Assets - L&amp;E)</t>
  </si>
  <si>
    <t xml:space="preserve">  CASH FLOW STATEMENT</t>
  </si>
  <si>
    <t>OPERATING ACTIVITIES</t>
  </si>
  <si>
    <t>Change in Accounts Receivable</t>
  </si>
  <si>
    <t>Change in Inventory</t>
  </si>
  <si>
    <t>Change in Accounts Payable</t>
  </si>
  <si>
    <t>Change in Other Working Capital</t>
  </si>
  <si>
    <t>Cash Flow from Operations</t>
  </si>
  <si>
    <t>INVESTING ACTIVITIES</t>
  </si>
  <si>
    <t>Capital Expenditures</t>
  </si>
  <si>
    <t>Acquisitions</t>
  </si>
  <si>
    <t>Cash Flow from Investing</t>
  </si>
  <si>
    <t>FINANCING ACTIVITIES</t>
  </si>
  <si>
    <t>Debt Issuance / (Repayment)</t>
  </si>
  <si>
    <t>Equity Issuance / (Buyback)</t>
  </si>
  <si>
    <t>Dividends Paid</t>
  </si>
  <si>
    <t>Cash Flow from Financing</t>
  </si>
  <si>
    <t>Net Change in Cash</t>
  </si>
  <si>
    <t>Beginning Cash Balance</t>
  </si>
  <si>
    <t>Ending Cash Balance</t>
  </si>
  <si>
    <t>Cash Tie-Out Check</t>
  </si>
  <si>
    <t>EXIT ASSUMPTIONS</t>
  </si>
  <si>
    <t>AutoStore Holdings Ltd. — Exit Valuation &amp; Proceeds</t>
  </si>
  <si>
    <t xml:space="preserve">  EXIT TIMING</t>
  </si>
  <si>
    <t>Investment Date</t>
  </si>
  <si>
    <t>Exit Date</t>
  </si>
  <si>
    <t>Holding Period (Years)</t>
  </si>
  <si>
    <t xml:space="preserve">  EXIT VALUATION</t>
  </si>
  <si>
    <t>Exit Year EBITDA</t>
  </si>
  <si>
    <t>Exit EV / EBITDA Multiple</t>
  </si>
  <si>
    <t>Enterprise Value at Exit</t>
  </si>
  <si>
    <t>(-) Net Debt at Exit</t>
  </si>
  <si>
    <t xml:space="preserve">  Total Debt</t>
  </si>
  <si>
    <t xml:space="preserve">  (-) Cash</t>
  </si>
  <si>
    <t>Equity Value at Exit</t>
  </si>
  <si>
    <t xml:space="preserve">  EXIT TRANSACTION COSTS</t>
  </si>
  <si>
    <t>Legal &amp; Other Costs</t>
  </si>
  <si>
    <t>Total Exit Costs</t>
  </si>
  <si>
    <t xml:space="preserve">  PROCEEDS TO SPONSOR</t>
  </si>
  <si>
    <t>(-) Exit Transaction Costs</t>
  </si>
  <si>
    <t>(-) Management Rollover</t>
  </si>
  <si>
    <t>Gross Proceeds to Sponsor</t>
  </si>
  <si>
    <t>Sponsor Ownership %</t>
  </si>
  <si>
    <t>Net Proceeds to Sponsor</t>
  </si>
  <si>
    <t xml:space="preserve">  MULTIPLE EXPANSION ANALYSIS</t>
  </si>
  <si>
    <t>Multiple Expansion / (Contraction)</t>
  </si>
  <si>
    <t>Value Creation from Multiple Expansion</t>
  </si>
  <si>
    <t>Value Creation from EBITDA Growth</t>
  </si>
  <si>
    <t>Value Creation from Debt Paydown</t>
  </si>
  <si>
    <t>Total Value Creation</t>
  </si>
  <si>
    <t>RETURNS ANALYSIS</t>
  </si>
  <si>
    <t>AutoStore Holdings Ltd. — IRR &amp; MOIC Analysis</t>
  </si>
  <si>
    <t xml:space="preserve">  INVESTMENT SUMMARY</t>
  </si>
  <si>
    <t>Initial Sponsor Equity Investment</t>
  </si>
  <si>
    <t>Holding Period</t>
  </si>
  <si>
    <t>Years</t>
  </si>
  <si>
    <t>Exit Proceeds to Sponsor</t>
  </si>
  <si>
    <t xml:space="preserve">  RETURNS METRICS</t>
  </si>
  <si>
    <t>Money-on-Money (MOIC)</t>
  </si>
  <si>
    <t>Internal Rate of Return (IRR)</t>
  </si>
  <si>
    <t>Cash-on-Cash Return</t>
  </si>
  <si>
    <t>Total Return</t>
  </si>
  <si>
    <t xml:space="preserve">  CASH FLOWS FOR IRR CALCULATION</t>
  </si>
  <si>
    <t>Year 0 (Initial Investment)</t>
  </si>
  <si>
    <t>Year 5 (Exit)</t>
  </si>
  <si>
    <t>IRR (=XIRR)</t>
  </si>
  <si>
    <t xml:space="preserve">  RETURNS BY EXIT YEAR</t>
  </si>
  <si>
    <t>MOIC</t>
  </si>
  <si>
    <t>IRR</t>
  </si>
  <si>
    <t>Exit Year 3</t>
  </si>
  <si>
    <t>Exit Year 4</t>
  </si>
  <si>
    <t>Exit Year 5 (Base Case)</t>
  </si>
  <si>
    <t>Exit Year 6</t>
  </si>
  <si>
    <t>Exit Year 7</t>
  </si>
  <si>
    <t xml:space="preserve">  VALUE CREATION BRIDGE</t>
  </si>
  <si>
    <t>Initial Equity Investment</t>
  </si>
  <si>
    <t>(+) EBITDA Growth Impact</t>
  </si>
  <si>
    <t>(+) Multiple Expansion Impact</t>
  </si>
  <si>
    <t>(+) Debt Paydown Impact</t>
  </si>
  <si>
    <t>(-) Dividends / Distributions</t>
  </si>
  <si>
    <t>Exit Equity Value</t>
  </si>
  <si>
    <t>SENSITIVITY ANALYSIS</t>
  </si>
  <si>
    <t>AutoStore Holdings Ltd. — IRR &amp; MOIC Sensitivity Tables</t>
  </si>
  <si>
    <t xml:space="preserve">  IRR SENSITIVITY: Exit Multiple vs. EBITDA CAGR</t>
  </si>
  <si>
    <t>14.0x</t>
  </si>
  <si>
    <t>15.0x</t>
  </si>
  <si>
    <t>16.0x</t>
  </si>
  <si>
    <t>17.0x</t>
  </si>
  <si>
    <t>18.0x</t>
  </si>
  <si>
    <t xml:space="preserve">  MOIC SENSITIVITY: Exit Multiple vs. EBITDA CAGR</t>
  </si>
  <si>
    <t xml:space="preserve">  IRR SENSITIVITY: Entry Multiple vs. Exit Multiple</t>
  </si>
  <si>
    <t>12.0x</t>
  </si>
  <si>
    <t>13.0x</t>
  </si>
  <si>
    <t xml:space="preserve">  IRR SENSITIVITY: Leverage (Debt/EBITDA) vs. Exit Multiple</t>
  </si>
  <si>
    <t>4.0x</t>
  </si>
  <si>
    <t>4.5x</t>
  </si>
  <si>
    <t>5.0x</t>
  </si>
  <si>
    <t>5.5x</t>
  </si>
  <si>
    <t>6.0x</t>
  </si>
  <si>
    <t xml:space="preserve">  SCENARIO ANALYSIS</t>
  </si>
  <si>
    <t>Scenario</t>
  </si>
  <si>
    <t>Exit Multiple</t>
  </si>
  <si>
    <t>EBITDA CAGR</t>
  </si>
  <si>
    <t>Downside</t>
  </si>
  <si>
    <t>Base Case</t>
  </si>
  <si>
    <t>Upside</t>
  </si>
  <si>
    <t>Management Case</t>
  </si>
  <si>
    <t>■ Yellow = Base Case</t>
  </si>
  <si>
    <t>SOURCES &amp; FOOTNOTES</t>
  </si>
  <si>
    <t>AutoStore Holdings Ltd. — Data Sources &amp; Key Assumptions</t>
  </si>
  <si>
    <t xml:space="preserve">  DATA SOURCES</t>
  </si>
  <si>
    <t>#</t>
  </si>
  <si>
    <t>Category</t>
  </si>
  <si>
    <t>Description</t>
  </si>
  <si>
    <t>Date</t>
  </si>
  <si>
    <t>Company Financials</t>
  </si>
  <si>
    <t>Historical income statement, balance sheet, cash flow</t>
  </si>
  <si>
    <t>AutoStore Annual Report 2024</t>
  </si>
  <si>
    <t>Share Price</t>
  </si>
  <si>
    <t>Current share price and shares outstanding</t>
  </si>
  <si>
    <t>Oslo Børs / Bloomberg</t>
  </si>
  <si>
    <t>Debt Details</t>
  </si>
  <si>
    <t>Existing debt facilities, maturities, rates</t>
  </si>
  <si>
    <t>Company 20-F / Bond Prospectus</t>
  </si>
  <si>
    <t>Industry Data</t>
  </si>
  <si>
    <t>Warehouse automation market size, growth rates</t>
  </si>
  <si>
    <t>Industry Reports</t>
  </si>
  <si>
    <t>Comparable Companies</t>
  </si>
  <si>
    <t>Trading multiples for peer group</t>
  </si>
  <si>
    <t>Capital IQ / FactSet</t>
  </si>
  <si>
    <t>Precedent Transactions</t>
  </si>
  <si>
    <t>M&amp;A multiples in automation sector</t>
  </si>
  <si>
    <t>Capital IQ / Dealogic</t>
  </si>
  <si>
    <t>Financing Terms</t>
  </si>
  <si>
    <t>Market rates for leveraged loans / HY bonds</t>
  </si>
  <si>
    <t>LCD / Refinitiv LPC</t>
  </si>
  <si>
    <t xml:space="preserve">  KEY ASSUMPTIONS &amp; NOTES</t>
  </si>
  <si>
    <t>Assumption</t>
  </si>
  <si>
    <t>Value</t>
  </si>
  <si>
    <t>Rationale</t>
  </si>
  <si>
    <t>Projection Period</t>
  </si>
  <si>
    <t>5 years</t>
  </si>
  <si>
    <t>Standard LBO holding period</t>
  </si>
  <si>
    <t>Revenue Growth (Y1-Y5)</t>
  </si>
  <si>
    <t>Based on management guidance / market growth</t>
  </si>
  <si>
    <t>EBITDA Margin Expansion</t>
  </si>
  <si>
    <t>Operational improvements post-acquisition</t>
  </si>
  <si>
    <t>Entry Multiple</t>
  </si>
  <si>
    <t>Based on precedent transactions and current trading</t>
  </si>
  <si>
    <t>Assumes no multiple expansion/contraction vs entry</t>
  </si>
  <si>
    <t>Senior Debt Spread</t>
  </si>
  <si>
    <t>Based on current leveraged loan market</t>
  </si>
  <si>
    <t>Tax Rate</t>
  </si>
  <si>
    <t>Norwegian corporate tax rate</t>
  </si>
  <si>
    <t>Minimum Cash Balance</t>
  </si>
  <si>
    <t>Operational requirement</t>
  </si>
  <si>
    <t>AutoStore Holdings Ltd. : Leveraged Buyout Analysis</t>
  </si>
  <si>
    <t>AUTOSTORE HOLDINGS LTD.</t>
  </si>
  <si>
    <t>AUTO-NO</t>
  </si>
  <si>
    <t>Current Share Price</t>
  </si>
  <si>
    <t xml:space="preserve">  Acquisition Premium</t>
  </si>
  <si>
    <t>Maturity(in yrs)</t>
  </si>
  <si>
    <t>HISTORICAL FINANCIALS</t>
  </si>
  <si>
    <t>AutoStore Holdings Ltd. — Audited Historical Data</t>
  </si>
  <si>
    <t xml:space="preserve">  Revenue Growth %</t>
  </si>
  <si>
    <t>EBT</t>
  </si>
  <si>
    <t>Prepaid &amp; Other Current Assets</t>
  </si>
  <si>
    <t>Property, Plant &amp; Equipment (Net)</t>
  </si>
  <si>
    <t>Other Intangible Assets</t>
  </si>
  <si>
    <t>Deferred Revenue</t>
  </si>
  <si>
    <t>Other Comprehensive Income</t>
  </si>
  <si>
    <t>Stock-Based Compensation</t>
  </si>
  <si>
    <t>Change in Working Capital</t>
  </si>
  <si>
    <t>Other Operating Adjustments</t>
  </si>
  <si>
    <t>Other Investing Activities</t>
  </si>
  <si>
    <t>Other Financing Activities</t>
  </si>
  <si>
    <t>Beginning Cash</t>
  </si>
  <si>
    <t>Ending Cash</t>
  </si>
  <si>
    <t xml:space="preserve">  KEY METRICS &amp; RATIOS</t>
  </si>
  <si>
    <t>Working Capital Metrics</t>
  </si>
  <si>
    <t>Cash Conversion Cycle</t>
  </si>
  <si>
    <t>Profitability Metrics</t>
  </si>
  <si>
    <t>Return on Assets (ROA)</t>
  </si>
  <si>
    <t>Return on Equity (ROE)</t>
  </si>
  <si>
    <t>Return on Invested Capital (ROIC)</t>
  </si>
  <si>
    <t>Leverage Metrics</t>
  </si>
  <si>
    <t>Net Debt</t>
  </si>
  <si>
    <t>Net Debt / EBITDA</t>
  </si>
  <si>
    <t>D&amp;A Expenses</t>
  </si>
  <si>
    <t>SG&amp;A Expenses</t>
  </si>
  <si>
    <t xml:space="preserve">Other Operating Expenses </t>
  </si>
  <si>
    <t>Unsual Expense</t>
  </si>
  <si>
    <t>Non operating Income (Expense)</t>
  </si>
  <si>
    <t>LEVERAGED BUYOUT ANALYSIS</t>
  </si>
  <si>
    <t>(OSLO: AUTO)</t>
  </si>
  <si>
    <t>Transaction Summary</t>
  </si>
  <si>
    <t>Projected Returns</t>
  </si>
  <si>
    <t>IRR: 19.2%   |   MOIC: 2.4x</t>
  </si>
  <si>
    <t>TABLE OF CONTENTS</t>
  </si>
  <si>
    <t>Section</t>
  </si>
  <si>
    <t>Tab Name</t>
  </si>
  <si>
    <t>Dashboard overview with key metrics, returns, and value creation summary</t>
  </si>
  <si>
    <t>Executive Summary</t>
  </si>
  <si>
    <t>Transaction structure, sources &amp; uses, purchase price, credit metrics</t>
  </si>
  <si>
    <t>Entry Assumptions</t>
  </si>
  <si>
    <t>3-year historical P&amp;L, balance sheet, cash flow, and key metrics</t>
  </si>
  <si>
    <t>Historical Financials</t>
  </si>
  <si>
    <t>Revenue projections, margin analysis, working capital, CapEx, UFCF</t>
  </si>
  <si>
    <t>Operating Model</t>
  </si>
  <si>
    <t>Integrated income statement, balance sheet, and cash flow projections</t>
  </si>
  <si>
    <t>3-Statement Model (Forecast)</t>
  </si>
  <si>
    <t>Debt tranches, interest calculations, amortization, and paydown schedule</t>
  </si>
  <si>
    <t>Debt Schedule</t>
  </si>
  <si>
    <t>Exit valuation, net debt, equity proceeds, value creation bridge</t>
  </si>
  <si>
    <t>Exit Assumptions</t>
  </si>
  <si>
    <t>IRR, MOIC, cash flows, returns by exit year, value creation attribution</t>
  </si>
  <si>
    <t>Returns</t>
  </si>
  <si>
    <t>IRR/MOIC sensitivities across exit multiples, CAGR, leverage scenarios</t>
  </si>
  <si>
    <t>Sensitivity Analysis</t>
  </si>
  <si>
    <t>Data sources, methodology notes, and disclaimers</t>
  </si>
  <si>
    <t>Sources and Footnotes</t>
  </si>
  <si>
    <t>Click on tab names to navigate directly to each section</t>
  </si>
  <si>
    <t>Sources</t>
  </si>
  <si>
    <t>Senior Notes</t>
  </si>
  <si>
    <t>Uses</t>
  </si>
  <si>
    <t>Refinance Debt</t>
  </si>
  <si>
    <t>Component</t>
  </si>
  <si>
    <t>Interest Coverage</t>
  </si>
  <si>
    <t>Equity / Total Cap</t>
  </si>
  <si>
    <t>Metric</t>
  </si>
  <si>
    <t>-</t>
  </si>
  <si>
    <t>EBITDA Margin</t>
  </si>
  <si>
    <t>Year 6</t>
  </si>
  <si>
    <t>Year 7</t>
  </si>
  <si>
    <t>10% → 5%</t>
  </si>
  <si>
    <t>33% → 35%</t>
  </si>
  <si>
    <t>20.8x EBITDA</t>
  </si>
  <si>
    <t>18.0x EBITDA</t>
  </si>
  <si>
    <t>S+300 bps</t>
  </si>
  <si>
    <t>NOK 500mm</t>
  </si>
  <si>
    <t>FY 2024</t>
  </si>
  <si>
    <t>2020-2025</t>
  </si>
  <si>
    <t>FY24A</t>
  </si>
  <si>
    <t>FY25E</t>
  </si>
  <si>
    <t>FY26E</t>
  </si>
  <si>
    <t>FY27E</t>
  </si>
  <si>
    <t>FY28E</t>
  </si>
  <si>
    <t>EBITDA Growth</t>
  </si>
  <si>
    <t>Debt Paydown</t>
  </si>
  <si>
    <t>Enterprise Value: NOK 43,311mm   |   Entry Multiple: 20.8x EBITDA</t>
  </si>
  <si>
    <t>Sponsor Equity: NOK 34,360mm   |   Total Debt: NOK 11,430mm</t>
  </si>
  <si>
    <t>Exit Multiple: 18.0x   |   5-Year Holding Period</t>
  </si>
  <si>
    <t>LBO Analysis   |   Executive Summary   |   AutoStore Holdings Ltd.</t>
  </si>
  <si>
    <t>AUTO-NO   |   Oslo Børs</t>
  </si>
  <si>
    <t>INTERNAL RATE OF RETURN</t>
  </si>
  <si>
    <t>5-Year Base Case</t>
  </si>
  <si>
    <t>MONEY ON INVESTED CAPITAL</t>
  </si>
  <si>
    <t>Total Return: 140%</t>
  </si>
  <si>
    <t>ENTERPRISE VALUE (NOK mm)</t>
  </si>
  <si>
    <t>Equity: 34,360 | Debt: 11,431</t>
  </si>
  <si>
    <t>ENTRY EV/EBITDA</t>
  </si>
  <si>
    <t>LTM EBITDA: 2,080</t>
  </si>
  <si>
    <t>EXIT EV/EBITDA</t>
  </si>
  <si>
    <t>Exit EBITDA: 3,246</t>
  </si>
  <si>
    <t>REVENUE &amp; EBITDA TRAJECTORY (NOK mm)</t>
  </si>
  <si>
    <t>RETURNS &amp; VALUE CREATION</t>
  </si>
  <si>
    <t>FY22A</t>
  </si>
  <si>
    <t>FY23A</t>
  </si>
  <si>
    <t>FY29E</t>
  </si>
  <si>
    <t>Revenue Growth</t>
  </si>
  <si>
    <t>Returns by Exit Year</t>
  </si>
  <si>
    <t>Value Creation</t>
  </si>
  <si>
    <t>Multiple Chg</t>
  </si>
  <si>
    <t>Total Value</t>
  </si>
  <si>
    <t>SOURCES &amp; USES (NOK mm)</t>
  </si>
  <si>
    <t>CREDIT METRICS</t>
  </si>
  <si>
    <t>KEY INVESTMENT HIGHLIGHTS</t>
  </si>
  <si>
    <t>Fees &amp; Cash</t>
  </si>
  <si>
    <t>✓ Balanced</t>
  </si>
  <si>
    <t>Total Debt (NOK mm)</t>
  </si>
  <si>
    <t>▸</t>
  </si>
  <si>
    <t>REVENUE &amp; EBITDA (NOK mm)</t>
  </si>
  <si>
    <t>EBITDA MARGIN EVOLUTION</t>
  </si>
  <si>
    <t>Global leader in cube storage automation with 25%+ market share</t>
  </si>
  <si>
    <t>EBITDA margins of 35%+ with operating leverage upside</t>
  </si>
  <si>
    <t>Multiple exit paths: strategic sale or secondary IPO</t>
  </si>
  <si>
    <t>19.2% IRR / 2.4x driven by growth + debt paydown</t>
  </si>
  <si>
    <t>2.40x</t>
  </si>
  <si>
    <t>20.8x</t>
  </si>
  <si>
    <t>19.2%</t>
  </si>
  <si>
    <t>43,311</t>
  </si>
  <si>
    <t>Recurring revenue approaching 40%; driving margin expansion</t>
  </si>
  <si>
    <t>Capital-light model; cash exceeds debt by exit Year 3</t>
  </si>
  <si>
    <t>Amount (NOK 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</si>
</sst>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;\(#,##0.0\);\-"/>
    <numFmt numFmtId="165" formatCode="0.0%;\(0.0%\);\-"/>
    <numFmt numFmtId="166" formatCode="0.00%;\(0.00%\);\-"/>
    <numFmt numFmtId="167" formatCode="0.0\x;\(0.0\x\);\-"/>
    <numFmt numFmtId="168" formatCode="0.0"/>
    <numFmt numFmtId="169" formatCode="#,##0.0"/>
    <numFmt numFmtId="170" formatCode="0.0\x"/>
    <numFmt numFmtId="171" formatCode="0.0%"/>
    <numFmt numFmtId="172" formatCode="0.00\x"/>
    <numFmt numFmtId="173" formatCode="#,##0.00;\(#,##0.00\);\-"/>
    <numFmt numFmtId="174" formatCode="mm/dd/yyyy"/>
  </numFmts>
  <fonts count="6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rgb="FF0D2137"/>
      <name val="Segoe UI"/>
    </font>
    <font>
      <sz val="11"/>
      <color rgb="FF4A5568"/>
      <name val="Segoe UI"/>
    </font>
    <font>
      <b/>
      <sz val="10"/>
      <color rgb="FFFFFFFF"/>
      <name val="Segoe UI Semibold"/>
    </font>
    <font>
      <sz val="10"/>
      <color theme="1"/>
      <name val="Segoe UI"/>
    </font>
    <font>
      <sz val="10"/>
      <color rgb="FF0000FF"/>
      <name val="Segoe UI"/>
    </font>
    <font>
      <sz val="10"/>
      <color rgb="FF000000"/>
      <name val="Segoe UI"/>
    </font>
    <font>
      <b/>
      <sz val="10"/>
      <color theme="1"/>
      <name val="Segoe UI"/>
    </font>
    <font>
      <b/>
      <sz val="9"/>
      <color rgb="FF4A5568"/>
      <name val="Segoe UI"/>
    </font>
    <font>
      <sz val="9"/>
      <color rgb="FF0066CC"/>
      <name val="Segoe UI"/>
    </font>
    <font>
      <sz val="9"/>
      <color theme="1"/>
      <name val="Segoe UI"/>
    </font>
    <font>
      <sz val="9"/>
      <color rgb="FF1A1A1A"/>
      <name val="Segoe UI"/>
    </font>
    <font>
      <sz val="9"/>
      <color rgb="FF006644"/>
      <name val="Segoe UI"/>
    </font>
    <font>
      <sz val="9"/>
      <color rgb="FF4A5568"/>
      <name val="Segoe UI"/>
    </font>
    <font>
      <sz val="10"/>
      <color rgb="FF0066CC"/>
      <name val="Segoe UI"/>
    </font>
    <font>
      <b/>
      <sz val="10"/>
      <color rgb="FF1A1A1A"/>
      <name val="Segoe UI"/>
    </font>
    <font>
      <sz val="10"/>
      <color rgb="FF1A1A1A"/>
      <name val="Segoe UI"/>
    </font>
    <font>
      <b/>
      <sz val="12"/>
      <color rgb="FF1A1A1A"/>
      <name val="Aptos Narrow"/>
      <family val="2"/>
      <scheme val="minor"/>
    </font>
    <font>
      <sz val="10"/>
      <color rgb="FF006644"/>
      <name val="Segoe UI"/>
    </font>
    <font>
      <b/>
      <sz val="10"/>
      <color rgb="FF0D2137"/>
      <name val="Segoe UI Semibold"/>
    </font>
    <font>
      <b/>
      <sz val="10"/>
      <color rgb="FFFFFFFF"/>
      <name val="Segoe UI"/>
    </font>
    <font>
      <sz val="10"/>
      <color rgb="FF4A5568"/>
      <name val="Segoe UI"/>
    </font>
    <font>
      <b/>
      <sz val="9"/>
      <color theme="1"/>
      <name val="Segoe UI"/>
    </font>
    <font>
      <b/>
      <sz val="9"/>
      <color rgb="FFFFFFFF"/>
      <name val="Segoe UI"/>
    </font>
    <font>
      <b/>
      <sz val="12"/>
      <color rgb="FFFFFFFF"/>
      <name val="Segoe UI Semibold"/>
    </font>
    <font>
      <sz val="9"/>
      <color rgb="FF4A5568"/>
      <name val="Aptos Narrow"/>
      <family val="2"/>
      <scheme val="minor"/>
    </font>
    <font>
      <i/>
      <sz val="9"/>
      <color rgb="FF4A5568"/>
      <name val="Segoe UI"/>
    </font>
    <font>
      <i/>
      <sz val="10"/>
      <color rgb="FF4A5568"/>
      <name val="Segoe UI"/>
    </font>
    <font>
      <i/>
      <sz val="10"/>
      <color rgb="FF1A1A1A"/>
      <name val="Segoe UI"/>
    </font>
    <font>
      <sz val="12"/>
      <color rgb="FF4A5568"/>
      <name val="Aptos Narrow"/>
      <family val="2"/>
      <scheme val="minor"/>
    </font>
    <font>
      <sz val="11"/>
      <color rgb="FF0066CC"/>
      <name val="Segoe UI"/>
    </font>
    <font>
      <sz val="11"/>
      <color theme="1"/>
      <name val="Segoe UI"/>
    </font>
    <font>
      <b/>
      <sz val="11"/>
      <color theme="1"/>
      <name val="Segoe UI"/>
    </font>
    <font>
      <b/>
      <sz val="36"/>
      <color rgb="FF0D2137"/>
      <name val="Aptos Narrow"/>
      <family val="2"/>
      <scheme val="minor"/>
    </font>
    <font>
      <b/>
      <sz val="28"/>
      <color rgb="FF0D2137"/>
      <name val="Aptos Narrow"/>
      <family val="2"/>
      <scheme val="minor"/>
    </font>
    <font>
      <b/>
      <sz val="16"/>
      <color rgb="FF0D2137"/>
      <name val="Aptos Narrow"/>
      <family val="2"/>
      <scheme val="minor"/>
    </font>
    <font>
      <b/>
      <sz val="11"/>
      <color rgb="FF999999"/>
      <name val="Aptos Narrow"/>
      <family val="2"/>
      <scheme val="minor"/>
    </font>
    <font>
      <sz val="10"/>
      <color rgb="FF999999"/>
      <name val="Aptos Narrow"/>
      <family val="2"/>
      <scheme val="minor"/>
    </font>
    <font>
      <b/>
      <sz val="24"/>
      <color rgb="FF0D2137"/>
      <name val="Aptos Narrow"/>
      <family val="2"/>
      <scheme val="minor"/>
    </font>
    <font>
      <b/>
      <sz val="11"/>
      <color rgb="FF0D2137"/>
      <name val="Aptos Narrow"/>
      <family val="2"/>
      <scheme val="minor"/>
    </font>
    <font>
      <b/>
      <sz val="12"/>
      <color rgb="FFB8860B"/>
      <name val="Aptos Narrow"/>
      <family val="2"/>
      <scheme val="minor"/>
    </font>
    <font>
      <sz val="10"/>
      <color rgb="FF4A5568"/>
      <name val="Aptos Narrow"/>
      <family val="2"/>
      <scheme val="minor"/>
    </font>
    <font>
      <u/>
      <sz val="10"/>
      <color rgb="FF0066CC"/>
      <name val="Aptos Narrow"/>
      <family val="2"/>
      <scheme val="minor"/>
    </font>
    <font>
      <i/>
      <sz val="10"/>
      <color rgb="FF999999"/>
      <name val="Aptos Narrow"/>
      <family val="2"/>
      <scheme val="minor"/>
    </font>
    <font>
      <i/>
      <sz val="9"/>
      <color rgb="FF666666"/>
      <name val="Segoe UI"/>
    </font>
    <font>
      <i/>
      <sz val="9"/>
      <color rgb="FF999999"/>
      <name val="Segoe UI"/>
    </font>
    <font>
      <sz val="14"/>
      <color rgb="FF666666"/>
      <name val="Aptos Narrow"/>
      <family val="2"/>
      <scheme val="minor"/>
    </font>
    <font>
      <b/>
      <sz val="24"/>
      <color rgb="FF006644"/>
      <name val="Aptos Narrow"/>
      <family val="2"/>
      <scheme val="minor"/>
    </font>
    <font>
      <sz val="12"/>
      <color rgb="FF666666"/>
      <name val="Aptos Narrow"/>
      <family val="2"/>
      <scheme val="minor"/>
    </font>
    <font>
      <b/>
      <sz val="7"/>
      <color rgb="FF666666"/>
      <name val="Segoe UI"/>
    </font>
    <font>
      <sz val="8"/>
      <color theme="1"/>
      <name val="Segoe UI"/>
    </font>
    <font>
      <sz val="8"/>
      <color rgb="FF999999"/>
      <name val="Segoe UI"/>
    </font>
    <font>
      <b/>
      <sz val="8"/>
      <color theme="1"/>
      <name val="Segoe UI"/>
    </font>
    <font>
      <b/>
      <sz val="8"/>
      <color rgb="FF0D2137"/>
      <name val="Segoe UI"/>
    </font>
    <font>
      <b/>
      <sz val="9"/>
      <color rgb="FFB8860B"/>
      <name val="Segoe UI"/>
    </font>
    <font>
      <sz val="8"/>
      <color rgb="FF333333"/>
      <name val="Segoe UI"/>
    </font>
    <font>
      <i/>
      <sz val="7"/>
      <color rgb="FF999999"/>
      <name val="Segoe UI"/>
    </font>
    <font>
      <b/>
      <sz val="26"/>
      <color rgb="FF006644"/>
      <name val="Segoe UI"/>
    </font>
    <font>
      <b/>
      <sz val="26"/>
      <color rgb="FF0D2137"/>
      <name val="Segoe UI"/>
    </font>
    <font>
      <sz val="12"/>
      <color theme="0"/>
      <name val="Aptos Narrow"/>
      <family val="2"/>
      <scheme val="minor"/>
    </font>
    <font>
      <b/>
      <i/>
      <sz val="7"/>
      <color rgb="FF006644"/>
      <name val="Segoe UI"/>
    </font>
    <font>
      <b/>
      <sz val="9"/>
      <color rgb="FF006644"/>
      <name val="Segoe UI"/>
    </font>
    <font>
      <b/>
      <sz val="9"/>
      <color rgb="FFCC0000"/>
      <name val="Segoe UI"/>
    </font>
    <font>
      <b/>
      <sz val="8"/>
      <color rgb="FFFFFFFF"/>
      <name val="Segoe UI"/>
    </font>
    <font>
      <sz val="9"/>
      <color theme="0"/>
      <name val="Segoe UI"/>
    </font>
    <font>
      <sz val="7"/>
      <color theme="0"/>
      <name val="Segoe UI"/>
    </font>
    <font>
      <sz val="7"/>
      <color theme="0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D2137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E1E8F0"/>
        <bgColor indexed="64"/>
      </patternFill>
    </fill>
    <fill>
      <patternFill patternType="solid">
        <fgColor rgb="FFE8EEF4"/>
        <bgColor indexed="64"/>
      </patternFill>
    </fill>
    <fill>
      <patternFill patternType="solid">
        <fgColor rgb="FFFDF6E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E8ECF0"/>
        <bgColor indexed="64"/>
      </patternFill>
    </fill>
    <fill>
      <patternFill patternType="solid">
        <fgColor rgb="FFFFEBEE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rgb="FF1F4E79"/>
      </top>
      <bottom/>
      <diagonal/>
    </border>
    <border>
      <left style="medium">
        <color rgb="FF1F4E79"/>
      </left>
      <right/>
      <top style="medium">
        <color rgb="FF1F4E79"/>
      </top>
      <bottom/>
      <diagonal/>
    </border>
    <border>
      <left style="medium">
        <color rgb="FF1F4E79"/>
      </left>
      <right/>
      <top/>
      <bottom/>
      <diagonal/>
    </border>
    <border>
      <left/>
      <right style="medium">
        <color rgb="FF1F4E79"/>
      </right>
      <top style="medium">
        <color rgb="FF1F4E79"/>
      </top>
      <bottom/>
      <diagonal/>
    </border>
    <border>
      <left/>
      <right style="medium">
        <color rgb="FF1F4E79"/>
      </right>
      <top/>
      <bottom/>
      <diagonal/>
    </border>
    <border>
      <left/>
      <right/>
      <top/>
      <bottom style="medium">
        <color rgb="FFB8860B"/>
      </bottom>
      <diagonal/>
    </border>
    <border>
      <left/>
      <right/>
      <top/>
      <bottom style="thick">
        <color rgb="FFB8860B"/>
      </bottom>
      <diagonal/>
    </border>
    <border>
      <left style="thick">
        <color rgb="FFB8860B"/>
      </left>
      <right/>
      <top/>
      <bottom/>
      <diagonal/>
    </border>
    <border>
      <left style="thick">
        <color rgb="FFB8860B"/>
      </left>
      <right/>
      <top/>
      <bottom style="thin">
        <color rgb="FF0D2137"/>
      </bottom>
      <diagonal/>
    </border>
    <border>
      <left/>
      <right/>
      <top/>
      <bottom style="thin">
        <color rgb="FF0D2137"/>
      </bottom>
      <diagonal/>
    </border>
    <border>
      <left/>
      <right style="medium">
        <color rgb="FF1F4E79"/>
      </right>
      <top/>
      <bottom style="thin">
        <color rgb="FF0D2137"/>
      </bottom>
      <diagonal/>
    </border>
    <border>
      <left style="thick">
        <color rgb="FFB8860B"/>
      </left>
      <right/>
      <top/>
      <bottom style="medium">
        <color rgb="FF0D2137"/>
      </bottom>
      <diagonal/>
    </border>
    <border>
      <left/>
      <right/>
      <top/>
      <bottom style="medium">
        <color rgb="FF0D2137"/>
      </bottom>
      <diagonal/>
    </border>
    <border>
      <left/>
      <right style="medium">
        <color rgb="FF1F4E79"/>
      </right>
      <top/>
      <bottom style="medium">
        <color rgb="FF0D2137"/>
      </bottom>
      <diagonal/>
    </border>
    <border>
      <left style="thick">
        <color rgb="FFB8860B"/>
      </left>
      <right/>
      <top style="double">
        <color rgb="FF0D2137"/>
      </top>
      <bottom style="medium">
        <color rgb="FF0D2137"/>
      </bottom>
      <diagonal/>
    </border>
    <border>
      <left/>
      <right/>
      <top style="double">
        <color rgb="FF0D2137"/>
      </top>
      <bottom style="medium">
        <color rgb="FF0D2137"/>
      </bottom>
      <diagonal/>
    </border>
    <border>
      <left/>
      <right style="medium">
        <color rgb="FF1F4E79"/>
      </right>
      <top style="double">
        <color rgb="FF0D2137"/>
      </top>
      <bottom style="medium">
        <color rgb="FF0D2137"/>
      </bottom>
      <diagonal/>
    </border>
    <border>
      <left/>
      <right/>
      <top style="thin">
        <color rgb="FFE0E0E0"/>
      </top>
      <bottom/>
      <diagonal/>
    </border>
    <border>
      <left/>
      <right/>
      <top style="double">
        <color rgb="FF0D2137"/>
      </top>
      <bottom/>
      <diagonal/>
    </border>
    <border>
      <left style="thick">
        <color rgb="FFB8860B"/>
      </left>
      <right/>
      <top style="double">
        <color rgb="FF0D2137"/>
      </top>
      <bottom/>
      <diagonal/>
    </border>
    <border>
      <left/>
      <right/>
      <top style="thin">
        <color rgb="FF0D2137"/>
      </top>
      <bottom/>
      <diagonal/>
    </border>
    <border>
      <left style="thin">
        <color rgb="FF0D2137"/>
      </left>
      <right/>
      <top style="thin">
        <color rgb="FF0D2137"/>
      </top>
      <bottom/>
      <diagonal/>
    </border>
    <border>
      <left style="thin">
        <color rgb="FF0D2137"/>
      </left>
      <right/>
      <top/>
      <bottom/>
      <diagonal/>
    </border>
    <border>
      <left style="thin">
        <color rgb="FF0D2137"/>
      </left>
      <right/>
      <top/>
      <bottom style="thin">
        <color rgb="FF0D2137"/>
      </bottom>
      <diagonal/>
    </border>
    <border>
      <left/>
      <right style="thin">
        <color rgb="FF0D2137"/>
      </right>
      <top style="thin">
        <color rgb="FF0D2137"/>
      </top>
      <bottom/>
      <diagonal/>
    </border>
    <border>
      <left/>
      <right style="thin">
        <color rgb="FF0D2137"/>
      </right>
      <top/>
      <bottom/>
      <diagonal/>
    </border>
    <border>
      <left/>
      <right style="thin">
        <color rgb="FF0D2137"/>
      </right>
      <top/>
      <bottom style="thin">
        <color rgb="FF0D2137"/>
      </bottom>
      <diagonal/>
    </border>
    <border>
      <left/>
      <right/>
      <top/>
      <bottom style="thin">
        <color rgb="FFE0E0E0"/>
      </bottom>
      <diagonal/>
    </border>
    <border>
      <left/>
      <right/>
      <top/>
      <bottom style="thin">
        <color rgb="FFD0D0D0"/>
      </bottom>
      <diagonal/>
    </border>
    <border>
      <left style="medium">
        <color rgb="FF006644"/>
      </left>
      <right/>
      <top/>
      <bottom/>
      <diagonal/>
    </border>
    <border>
      <left style="medium">
        <color rgb="FF006644"/>
      </left>
      <right/>
      <top style="thin">
        <color rgb="FFE0E0E0"/>
      </top>
      <bottom/>
      <diagonal/>
    </border>
    <border>
      <left style="medium">
        <color rgb="FF006644"/>
      </left>
      <right/>
      <top/>
      <bottom style="thin">
        <color rgb="FFE0E0E0"/>
      </bottom>
      <diagonal/>
    </border>
    <border>
      <left style="medium">
        <color rgb="FFE0E0E0"/>
      </left>
      <right/>
      <top/>
      <bottom/>
      <diagonal/>
    </border>
    <border>
      <left style="medium">
        <color rgb="FFE0E0E0"/>
      </left>
      <right/>
      <top style="thin">
        <color rgb="FFE0E0E0"/>
      </top>
      <bottom/>
      <diagonal/>
    </border>
    <border>
      <left style="medium">
        <color rgb="FFE0E0E0"/>
      </left>
      <right/>
      <top/>
      <bottom style="thin">
        <color rgb="FFE0E0E0"/>
      </bottom>
      <diagonal/>
    </border>
    <border>
      <left/>
      <right/>
      <top style="thin">
        <color rgb="FFE8ECF0"/>
      </top>
      <bottom style="thin">
        <color rgb="FFE8ECF0"/>
      </bottom>
      <diagonal/>
    </border>
    <border>
      <left/>
      <right/>
      <top style="thin">
        <color rgb="FFE8ECF0"/>
      </top>
      <bottom/>
      <diagonal/>
    </border>
    <border>
      <left/>
      <right/>
      <top style="thin">
        <color rgb="FF0D2137"/>
      </top>
      <bottom style="medium">
        <color rgb="FF0D2137"/>
      </bottom>
      <diagonal/>
    </border>
    <border>
      <left style="medium">
        <color rgb="FFB8860B"/>
      </left>
      <right/>
      <top/>
      <bottom/>
      <diagonal/>
    </border>
    <border>
      <left style="medium">
        <color rgb="FFB8860B"/>
      </left>
      <right/>
      <top style="thin">
        <color rgb="FFE8ECF0"/>
      </top>
      <bottom style="thin">
        <color rgb="FFE8ECF0"/>
      </bottom>
      <diagonal/>
    </border>
    <border>
      <left style="medium">
        <color rgb="FFB8860B"/>
      </left>
      <right/>
      <top style="thin">
        <color rgb="FFE8ECF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6">
    <xf numFmtId="0" fontId="0" fillId="0" borderId="0" xfId="0"/>
    <xf numFmtId="0" fontId="0" fillId="2" borderId="0" xfId="0" applyFill="1"/>
    <xf numFmtId="0" fontId="0" fillId="2" borderId="5" xfId="0" applyFill="1" applyBorder="1" applyAlignment="1">
      <alignment horizontal="left"/>
    </xf>
    <xf numFmtId="0" fontId="0" fillId="2" borderId="3" xfId="0" applyFill="1" applyBorder="1"/>
    <xf numFmtId="0" fontId="0" fillId="2" borderId="0" xfId="0" applyFill="1" applyAlignment="1">
      <alignment horizontal="right"/>
    </xf>
    <xf numFmtId="0" fontId="0" fillId="2" borderId="0" xfId="0" applyFill="1" applyAlignment="1">
      <alignment horizontal="left"/>
    </xf>
    <xf numFmtId="0" fontId="0" fillId="3" borderId="0" xfId="0" applyFill="1"/>
    <xf numFmtId="0" fontId="3" fillId="2" borderId="0" xfId="0" applyFont="1" applyFill="1"/>
    <xf numFmtId="0" fontId="4" fillId="2" borderId="0" xfId="0" applyFont="1" applyFill="1"/>
    <xf numFmtId="0" fontId="0" fillId="2" borderId="7" xfId="0" applyFill="1" applyBorder="1"/>
    <xf numFmtId="0" fontId="6" fillId="4" borderId="5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left"/>
    </xf>
    <xf numFmtId="0" fontId="6" fillId="4" borderId="8" xfId="0" applyFont="1" applyFill="1" applyBorder="1"/>
    <xf numFmtId="0" fontId="6" fillId="2" borderId="8" xfId="0" applyFont="1" applyFill="1" applyBorder="1"/>
    <xf numFmtId="0" fontId="6" fillId="4" borderId="9" xfId="0" applyFont="1" applyFill="1" applyBorder="1"/>
    <xf numFmtId="164" fontId="6" fillId="2" borderId="0" xfId="0" applyNumberFormat="1" applyFont="1" applyFill="1" applyAlignment="1">
      <alignment horizontal="right"/>
    </xf>
    <xf numFmtId="0" fontId="6" fillId="5" borderId="5" xfId="0" applyFont="1" applyFill="1" applyBorder="1" applyAlignment="1">
      <alignment horizontal="left"/>
    </xf>
    <xf numFmtId="0" fontId="9" fillId="5" borderId="8" xfId="0" applyFont="1" applyFill="1" applyBorder="1"/>
    <xf numFmtId="0" fontId="6" fillId="2" borderId="12" xfId="0" applyFont="1" applyFill="1" applyBorder="1"/>
    <xf numFmtId="0" fontId="6" fillId="2" borderId="14" xfId="0" applyFont="1" applyFill="1" applyBorder="1" applyAlignment="1">
      <alignment horizontal="left"/>
    </xf>
    <xf numFmtId="165" fontId="8" fillId="2" borderId="5" xfId="0" applyNumberFormat="1" applyFont="1" applyFill="1" applyBorder="1" applyAlignment="1">
      <alignment horizontal="right"/>
    </xf>
    <xf numFmtId="165" fontId="8" fillId="4" borderId="5" xfId="0" applyNumberFormat="1" applyFont="1" applyFill="1" applyBorder="1" applyAlignment="1">
      <alignment horizontal="right"/>
    </xf>
    <xf numFmtId="164" fontId="6" fillId="4" borderId="0" xfId="0" applyNumberFormat="1" applyFont="1" applyFill="1" applyAlignment="1">
      <alignment horizontal="right"/>
    </xf>
    <xf numFmtId="0" fontId="2" fillId="5" borderId="15" xfId="0" applyFont="1" applyFill="1" applyBorder="1"/>
    <xf numFmtId="0" fontId="6" fillId="4" borderId="0" xfId="0" applyFont="1" applyFill="1" applyAlignment="1">
      <alignment horizontal="right"/>
    </xf>
    <xf numFmtId="0" fontId="6" fillId="4" borderId="0" xfId="0" applyFont="1" applyFill="1"/>
    <xf numFmtId="0" fontId="6" fillId="4" borderId="5" xfId="0" applyFont="1" applyFill="1" applyBorder="1"/>
    <xf numFmtId="0" fontId="2" fillId="5" borderId="16" xfId="0" applyFont="1" applyFill="1" applyBorder="1" applyAlignment="1">
      <alignment horizontal="right"/>
    </xf>
    <xf numFmtId="0" fontId="2" fillId="5" borderId="16" xfId="0" applyFont="1" applyFill="1" applyBorder="1"/>
    <xf numFmtId="0" fontId="2" fillId="5" borderId="17" xfId="0" applyFont="1" applyFill="1" applyBorder="1"/>
    <xf numFmtId="0" fontId="2" fillId="5" borderId="17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right"/>
    </xf>
    <xf numFmtId="0" fontId="6" fillId="4" borderId="5" xfId="0" applyFont="1" applyFill="1" applyBorder="1" applyAlignment="1">
      <alignment horizontal="right"/>
    </xf>
    <xf numFmtId="0" fontId="6" fillId="4" borderId="12" xfId="0" applyFont="1" applyFill="1" applyBorder="1"/>
    <xf numFmtId="0" fontId="6" fillId="4" borderId="14" xfId="0" applyFont="1" applyFill="1" applyBorder="1" applyAlignment="1">
      <alignment horizontal="right"/>
    </xf>
    <xf numFmtId="0" fontId="0" fillId="2" borderId="18" xfId="0" applyFill="1" applyBorder="1"/>
    <xf numFmtId="0" fontId="10" fillId="2" borderId="0" xfId="0" applyFont="1" applyFill="1"/>
    <xf numFmtId="0" fontId="11" fillId="2" borderId="0" xfId="0" applyFont="1" applyFill="1"/>
    <xf numFmtId="0" fontId="12" fillId="2" borderId="0" xfId="0" applyFont="1" applyFill="1"/>
    <xf numFmtId="0" fontId="13" fillId="2" borderId="0" xfId="0" applyFont="1" applyFill="1"/>
    <xf numFmtId="0" fontId="14" fillId="2" borderId="0" xfId="0" applyFont="1" applyFill="1"/>
    <xf numFmtId="0" fontId="15" fillId="2" borderId="0" xfId="0" applyFont="1" applyFill="1"/>
    <xf numFmtId="0" fontId="16" fillId="2" borderId="0" xfId="0" applyFont="1" applyFill="1" applyAlignment="1">
      <alignment horizontal="right"/>
    </xf>
    <xf numFmtId="164" fontId="16" fillId="2" borderId="0" xfId="0" applyNumberFormat="1" applyFont="1" applyFill="1" applyAlignment="1">
      <alignment horizontal="right"/>
    </xf>
    <xf numFmtId="164" fontId="16" fillId="4" borderId="0" xfId="0" applyNumberFormat="1" applyFont="1" applyFill="1" applyAlignment="1">
      <alignment horizontal="right"/>
    </xf>
    <xf numFmtId="166" fontId="16" fillId="4" borderId="0" xfId="0" applyNumberFormat="1" applyFont="1" applyFill="1" applyAlignment="1">
      <alignment horizontal="right"/>
    </xf>
    <xf numFmtId="166" fontId="16" fillId="2" borderId="0" xfId="0" applyNumberFormat="1" applyFont="1" applyFill="1" applyAlignment="1">
      <alignment horizontal="right"/>
    </xf>
    <xf numFmtId="10" fontId="16" fillId="4" borderId="0" xfId="0" applyNumberFormat="1" applyFont="1" applyFill="1" applyAlignment="1">
      <alignment horizontal="right"/>
    </xf>
    <xf numFmtId="164" fontId="17" fillId="5" borderId="0" xfId="0" applyNumberFormat="1" applyFont="1" applyFill="1" applyAlignment="1">
      <alignment horizontal="right"/>
    </xf>
    <xf numFmtId="164" fontId="18" fillId="2" borderId="0" xfId="0" applyNumberFormat="1" applyFont="1" applyFill="1" applyAlignment="1">
      <alignment horizontal="right"/>
    </xf>
    <xf numFmtId="164" fontId="18" fillId="2" borderId="13" xfId="0" applyNumberFormat="1" applyFont="1" applyFill="1" applyBorder="1" applyAlignment="1">
      <alignment horizontal="right"/>
    </xf>
    <xf numFmtId="164" fontId="19" fillId="5" borderId="16" xfId="0" applyNumberFormat="1" applyFont="1" applyFill="1" applyBorder="1" applyAlignment="1">
      <alignment horizontal="right"/>
    </xf>
    <xf numFmtId="165" fontId="18" fillId="4" borderId="5" xfId="0" applyNumberFormat="1" applyFont="1" applyFill="1" applyBorder="1" applyAlignment="1">
      <alignment horizontal="right"/>
    </xf>
    <xf numFmtId="165" fontId="18" fillId="2" borderId="5" xfId="0" applyNumberFormat="1" applyFont="1" applyFill="1" applyBorder="1" applyAlignment="1">
      <alignment horizontal="right"/>
    </xf>
    <xf numFmtId="165" fontId="19" fillId="5" borderId="17" xfId="0" applyNumberFormat="1" applyFont="1" applyFill="1" applyBorder="1" applyAlignment="1">
      <alignment horizontal="right"/>
    </xf>
    <xf numFmtId="164" fontId="18" fillId="4" borderId="0" xfId="0" applyNumberFormat="1" applyFont="1" applyFill="1" applyAlignment="1">
      <alignment horizontal="right"/>
    </xf>
    <xf numFmtId="167" fontId="18" fillId="4" borderId="0" xfId="0" applyNumberFormat="1" applyFont="1" applyFill="1" applyAlignment="1">
      <alignment horizontal="right"/>
    </xf>
    <xf numFmtId="167" fontId="18" fillId="2" borderId="0" xfId="0" applyNumberFormat="1" applyFont="1" applyFill="1" applyAlignment="1">
      <alignment horizontal="right"/>
    </xf>
    <xf numFmtId="165" fontId="18" fillId="2" borderId="0" xfId="0" applyNumberFormat="1" applyFont="1" applyFill="1" applyAlignment="1">
      <alignment horizontal="right"/>
    </xf>
    <xf numFmtId="165" fontId="18" fillId="4" borderId="13" xfId="0" applyNumberFormat="1" applyFont="1" applyFill="1" applyBorder="1" applyAlignment="1">
      <alignment horizontal="right"/>
    </xf>
    <xf numFmtId="164" fontId="20" fillId="4" borderId="0" xfId="0" applyNumberFormat="1" applyFont="1" applyFill="1" applyAlignment="1">
      <alignment horizontal="right"/>
    </xf>
    <xf numFmtId="0" fontId="21" fillId="6" borderId="0" xfId="0" applyFont="1" applyFill="1" applyAlignment="1">
      <alignment horizontal="center"/>
    </xf>
    <xf numFmtId="0" fontId="21" fillId="6" borderId="6" xfId="0" applyFont="1" applyFill="1" applyBorder="1" applyAlignment="1">
      <alignment horizontal="center"/>
    </xf>
    <xf numFmtId="0" fontId="6" fillId="2" borderId="0" xfId="0" applyFont="1" applyFill="1"/>
    <xf numFmtId="0" fontId="9" fillId="5" borderId="0" xfId="0" applyFont="1" applyFill="1"/>
    <xf numFmtId="165" fontId="6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right"/>
    </xf>
    <xf numFmtId="164" fontId="9" fillId="5" borderId="0" xfId="0" applyNumberFormat="1" applyFont="1" applyFill="1" applyAlignment="1">
      <alignment horizontal="right"/>
    </xf>
    <xf numFmtId="164" fontId="9" fillId="5" borderId="19" xfId="0" applyNumberFormat="1" applyFont="1" applyFill="1" applyBorder="1" applyAlignment="1">
      <alignment horizontal="right"/>
    </xf>
    <xf numFmtId="0" fontId="15" fillId="2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0" fontId="10" fillId="5" borderId="19" xfId="0" applyFont="1" applyFill="1" applyBorder="1" applyAlignment="1">
      <alignment horizontal="center"/>
    </xf>
    <xf numFmtId="0" fontId="0" fillId="7" borderId="0" xfId="0" applyFill="1"/>
    <xf numFmtId="164" fontId="6" fillId="7" borderId="0" xfId="0" applyNumberFormat="1" applyFont="1" applyFill="1" applyAlignment="1">
      <alignment horizontal="right"/>
    </xf>
    <xf numFmtId="165" fontId="6" fillId="7" borderId="0" xfId="0" applyNumberFormat="1" applyFont="1" applyFill="1" applyAlignment="1">
      <alignment horizontal="right"/>
    </xf>
    <xf numFmtId="0" fontId="6" fillId="7" borderId="0" xfId="0" applyFont="1" applyFill="1" applyAlignment="1">
      <alignment horizontal="right"/>
    </xf>
    <xf numFmtId="164" fontId="9" fillId="7" borderId="0" xfId="0" applyNumberFormat="1" applyFont="1" applyFill="1" applyAlignment="1">
      <alignment horizontal="right"/>
    </xf>
    <xf numFmtId="164" fontId="9" fillId="7" borderId="19" xfId="0" applyNumberFormat="1" applyFont="1" applyFill="1" applyBorder="1" applyAlignment="1">
      <alignment horizontal="right"/>
    </xf>
    <xf numFmtId="0" fontId="15" fillId="2" borderId="8" xfId="0" applyFont="1" applyFill="1" applyBorder="1"/>
    <xf numFmtId="0" fontId="9" fillId="5" borderId="20" xfId="0" applyFont="1" applyFill="1" applyBorder="1"/>
    <xf numFmtId="164" fontId="16" fillId="7" borderId="0" xfId="0" applyNumberFormat="1" applyFont="1" applyFill="1" applyAlignment="1">
      <alignment horizontal="right"/>
    </xf>
    <xf numFmtId="168" fontId="16" fillId="7" borderId="0" xfId="0" applyNumberFormat="1" applyFont="1" applyFill="1" applyAlignment="1">
      <alignment horizontal="right"/>
    </xf>
    <xf numFmtId="165" fontId="16" fillId="7" borderId="0" xfId="0" applyNumberFormat="1" applyFont="1" applyFill="1" applyAlignment="1">
      <alignment horizontal="right"/>
    </xf>
    <xf numFmtId="165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0" fontId="0" fillId="8" borderId="0" xfId="0" applyFill="1"/>
    <xf numFmtId="0" fontId="21" fillId="8" borderId="0" xfId="0" applyFont="1" applyFill="1" applyAlignment="1">
      <alignment horizontal="center"/>
    </xf>
    <xf numFmtId="164" fontId="6" fillId="8" borderId="0" xfId="0" applyNumberFormat="1" applyFont="1" applyFill="1" applyAlignment="1">
      <alignment horizontal="right"/>
    </xf>
    <xf numFmtId="165" fontId="6" fillId="8" borderId="0" xfId="0" applyNumberFormat="1" applyFont="1" applyFill="1" applyAlignment="1">
      <alignment horizontal="right"/>
    </xf>
    <xf numFmtId="0" fontId="6" fillId="8" borderId="0" xfId="0" applyFont="1" applyFill="1" applyAlignment="1">
      <alignment horizontal="right"/>
    </xf>
    <xf numFmtId="164" fontId="9" fillId="8" borderId="0" xfId="0" applyNumberFormat="1" applyFont="1" applyFill="1" applyAlignment="1">
      <alignment horizontal="right"/>
    </xf>
    <xf numFmtId="168" fontId="6" fillId="8" borderId="0" xfId="0" applyNumberFormat="1" applyFont="1" applyFill="1" applyAlignment="1">
      <alignment horizontal="right"/>
    </xf>
    <xf numFmtId="164" fontId="9" fillId="8" borderId="19" xfId="0" applyNumberFormat="1" applyFont="1" applyFill="1" applyBorder="1" applyAlignment="1">
      <alignment horizontal="right"/>
    </xf>
    <xf numFmtId="0" fontId="9" fillId="5" borderId="0" xfId="0" applyFont="1" applyFill="1" applyAlignment="1">
      <alignment horizontal="right"/>
    </xf>
    <xf numFmtId="10" fontId="6" fillId="2" borderId="0" xfId="0" applyNumberFormat="1" applyFont="1" applyFill="1" applyAlignment="1">
      <alignment horizontal="right"/>
    </xf>
    <xf numFmtId="167" fontId="6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/>
    </xf>
    <xf numFmtId="164" fontId="6" fillId="9" borderId="0" xfId="0" applyNumberFormat="1" applyFont="1" applyFill="1" applyAlignment="1">
      <alignment horizontal="right"/>
    </xf>
    <xf numFmtId="0" fontId="9" fillId="2" borderId="8" xfId="0" applyFont="1" applyFill="1" applyBorder="1"/>
    <xf numFmtId="0" fontId="6" fillId="9" borderId="8" xfId="0" applyFont="1" applyFill="1" applyBorder="1"/>
    <xf numFmtId="0" fontId="18" fillId="2" borderId="0" xfId="0" applyFont="1" applyFill="1" applyAlignment="1">
      <alignment horizontal="right"/>
    </xf>
    <xf numFmtId="169" fontId="20" fillId="2" borderId="0" xfId="0" applyNumberFormat="1" applyFont="1" applyFill="1" applyAlignment="1">
      <alignment horizontal="right"/>
    </xf>
    <xf numFmtId="170" fontId="16" fillId="2" borderId="0" xfId="0" applyNumberFormat="1" applyFont="1" applyFill="1" applyAlignment="1">
      <alignment horizontal="right"/>
    </xf>
    <xf numFmtId="164" fontId="20" fillId="2" borderId="0" xfId="0" applyNumberFormat="1" applyFont="1" applyFill="1" applyAlignment="1">
      <alignment horizontal="right"/>
    </xf>
    <xf numFmtId="171" fontId="16" fillId="2" borderId="0" xfId="0" applyNumberFormat="1" applyFont="1" applyFill="1" applyAlignment="1">
      <alignment horizontal="right"/>
    </xf>
    <xf numFmtId="167" fontId="20" fillId="2" borderId="0" xfId="0" applyNumberFormat="1" applyFont="1" applyFill="1" applyAlignment="1">
      <alignment horizontal="right"/>
    </xf>
    <xf numFmtId="0" fontId="9" fillId="6" borderId="0" xfId="0" applyFont="1" applyFill="1"/>
    <xf numFmtId="0" fontId="9" fillId="10" borderId="0" xfId="0" applyFont="1" applyFill="1"/>
    <xf numFmtId="0" fontId="9" fillId="6" borderId="0" xfId="0" applyFont="1" applyFill="1" applyAlignment="1">
      <alignment horizontal="right"/>
    </xf>
    <xf numFmtId="168" fontId="20" fillId="2" borderId="0" xfId="0" applyNumberFormat="1" applyFont="1" applyFill="1" applyAlignment="1">
      <alignment horizontal="right"/>
    </xf>
    <xf numFmtId="172" fontId="17" fillId="10" borderId="0" xfId="0" applyNumberFormat="1" applyFont="1" applyFill="1" applyAlignment="1">
      <alignment horizontal="right"/>
    </xf>
    <xf numFmtId="171" fontId="17" fillId="10" borderId="0" xfId="0" applyNumberFormat="1" applyFont="1" applyFill="1" applyAlignment="1">
      <alignment horizontal="right"/>
    </xf>
    <xf numFmtId="172" fontId="18" fillId="2" borderId="0" xfId="0" applyNumberFormat="1" applyFont="1" applyFill="1" applyAlignment="1">
      <alignment horizontal="right"/>
    </xf>
    <xf numFmtId="171" fontId="18" fillId="2" borderId="0" xfId="0" applyNumberFormat="1" applyFont="1" applyFill="1" applyAlignment="1">
      <alignment horizontal="right"/>
    </xf>
    <xf numFmtId="171" fontId="9" fillId="5" borderId="0" xfId="0" applyNumberFormat="1" applyFont="1" applyFill="1" applyAlignment="1">
      <alignment horizontal="right"/>
    </xf>
    <xf numFmtId="172" fontId="6" fillId="2" borderId="0" xfId="0" applyNumberFormat="1" applyFont="1" applyFill="1" applyAlignment="1">
      <alignment horizontal="right"/>
    </xf>
    <xf numFmtId="172" fontId="6" fillId="10" borderId="0" xfId="0" applyNumberFormat="1" applyFont="1" applyFill="1" applyAlignment="1">
      <alignment horizontal="right"/>
    </xf>
    <xf numFmtId="171" fontId="6" fillId="2" borderId="0" xfId="0" applyNumberFormat="1" applyFont="1" applyFill="1" applyAlignment="1">
      <alignment horizontal="right"/>
    </xf>
    <xf numFmtId="171" fontId="6" fillId="10" borderId="0" xfId="0" applyNumberFormat="1" applyFont="1" applyFill="1" applyAlignment="1">
      <alignment horizontal="right"/>
    </xf>
    <xf numFmtId="0" fontId="9" fillId="10" borderId="8" xfId="0" applyFont="1" applyFill="1" applyBorder="1"/>
    <xf numFmtId="0" fontId="9" fillId="6" borderId="8" xfId="0" applyFont="1" applyFill="1" applyBorder="1"/>
    <xf numFmtId="0" fontId="6" fillId="10" borderId="8" xfId="0" applyFont="1" applyFill="1" applyBorder="1"/>
    <xf numFmtId="171" fontId="6" fillId="2" borderId="0" xfId="0" applyNumberFormat="1" applyFont="1" applyFill="1" applyAlignment="1">
      <alignment horizontal="center"/>
    </xf>
    <xf numFmtId="171" fontId="9" fillId="11" borderId="0" xfId="0" applyNumberFormat="1" applyFont="1" applyFill="1" applyAlignment="1">
      <alignment horizontal="center"/>
    </xf>
    <xf numFmtId="0" fontId="9" fillId="6" borderId="21" xfId="0" applyFont="1" applyFill="1" applyBorder="1"/>
    <xf numFmtId="10" fontId="9" fillId="6" borderId="21" xfId="0" applyNumberFormat="1" applyFont="1" applyFill="1" applyBorder="1" applyAlignment="1">
      <alignment horizontal="center"/>
    </xf>
    <xf numFmtId="171" fontId="6" fillId="2" borderId="10" xfId="0" applyNumberFormat="1" applyFont="1" applyFill="1" applyBorder="1" applyAlignment="1">
      <alignment horizontal="center"/>
    </xf>
    <xf numFmtId="0" fontId="9" fillId="6" borderId="22" xfId="0" applyFont="1" applyFill="1" applyBorder="1"/>
    <xf numFmtId="0" fontId="9" fillId="6" borderId="23" xfId="0" applyFont="1" applyFill="1" applyBorder="1"/>
    <xf numFmtId="0" fontId="9" fillId="6" borderId="24" xfId="0" applyFont="1" applyFill="1" applyBorder="1"/>
    <xf numFmtId="10" fontId="9" fillId="6" borderId="25" xfId="0" applyNumberFormat="1" applyFont="1" applyFill="1" applyBorder="1" applyAlignment="1">
      <alignment horizontal="center"/>
    </xf>
    <xf numFmtId="171" fontId="6" fillId="2" borderId="26" xfId="0" applyNumberFormat="1" applyFont="1" applyFill="1" applyBorder="1" applyAlignment="1">
      <alignment horizontal="center"/>
    </xf>
    <xf numFmtId="171" fontId="6" fillId="2" borderId="27" xfId="0" applyNumberFormat="1" applyFont="1" applyFill="1" applyBorder="1" applyAlignment="1">
      <alignment horizontal="center"/>
    </xf>
    <xf numFmtId="172" fontId="6" fillId="2" borderId="0" xfId="0" applyNumberFormat="1" applyFont="1" applyFill="1" applyAlignment="1">
      <alignment horizontal="center"/>
    </xf>
    <xf numFmtId="172" fontId="9" fillId="11" borderId="0" xfId="0" applyNumberFormat="1" applyFont="1" applyFill="1" applyAlignment="1">
      <alignment horizontal="center"/>
    </xf>
    <xf numFmtId="172" fontId="6" fillId="2" borderId="10" xfId="0" applyNumberFormat="1" applyFont="1" applyFill="1" applyBorder="1" applyAlignment="1">
      <alignment horizontal="center"/>
    </xf>
    <xf numFmtId="172" fontId="6" fillId="2" borderId="26" xfId="0" applyNumberFormat="1" applyFont="1" applyFill="1" applyBorder="1" applyAlignment="1">
      <alignment horizontal="center"/>
    </xf>
    <xf numFmtId="172" fontId="6" fillId="2" borderId="27" xfId="0" applyNumberFormat="1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25" xfId="0" applyFont="1" applyFill="1" applyBorder="1" applyAlignment="1">
      <alignment horizontal="center"/>
    </xf>
    <xf numFmtId="170" fontId="16" fillId="2" borderId="0" xfId="0" applyNumberFormat="1" applyFont="1" applyFill="1"/>
    <xf numFmtId="171" fontId="16" fillId="2" borderId="0" xfId="0" applyNumberFormat="1" applyFont="1" applyFill="1"/>
    <xf numFmtId="171" fontId="6" fillId="2" borderId="0" xfId="0" applyNumberFormat="1" applyFont="1" applyFill="1"/>
    <xf numFmtId="172" fontId="6" fillId="2" borderId="0" xfId="0" applyNumberFormat="1" applyFont="1" applyFill="1"/>
    <xf numFmtId="170" fontId="16" fillId="12" borderId="0" xfId="0" applyNumberFormat="1" applyFont="1" applyFill="1"/>
    <xf numFmtId="171" fontId="16" fillId="12" borderId="0" xfId="0" applyNumberFormat="1" applyFont="1" applyFill="1"/>
    <xf numFmtId="171" fontId="6" fillId="12" borderId="0" xfId="0" applyNumberFormat="1" applyFont="1" applyFill="1"/>
    <xf numFmtId="172" fontId="6" fillId="12" borderId="0" xfId="0" applyNumberFormat="1" applyFont="1" applyFill="1"/>
    <xf numFmtId="170" fontId="16" fillId="2" borderId="10" xfId="0" applyNumberFormat="1" applyFont="1" applyFill="1" applyBorder="1"/>
    <xf numFmtId="171" fontId="16" fillId="2" borderId="10" xfId="0" applyNumberFormat="1" applyFont="1" applyFill="1" applyBorder="1"/>
    <xf numFmtId="171" fontId="6" fillId="2" borderId="10" xfId="0" applyNumberFormat="1" applyFont="1" applyFill="1" applyBorder="1"/>
    <xf numFmtId="172" fontId="6" fillId="2" borderId="10" xfId="0" applyNumberFormat="1" applyFont="1" applyFill="1" applyBorder="1"/>
    <xf numFmtId="0" fontId="6" fillId="2" borderId="23" xfId="0" applyFont="1" applyFill="1" applyBorder="1"/>
    <xf numFmtId="0" fontId="6" fillId="12" borderId="23" xfId="0" applyFont="1" applyFill="1" applyBorder="1"/>
    <xf numFmtId="0" fontId="6" fillId="2" borderId="24" xfId="0" applyFont="1" applyFill="1" applyBorder="1"/>
    <xf numFmtId="0" fontId="9" fillId="6" borderId="25" xfId="0" applyFont="1" applyFill="1" applyBorder="1"/>
    <xf numFmtId="3" fontId="6" fillId="2" borderId="26" xfId="0" applyNumberFormat="1" applyFont="1" applyFill="1" applyBorder="1"/>
    <xf numFmtId="3" fontId="6" fillId="12" borderId="26" xfId="0" applyNumberFormat="1" applyFont="1" applyFill="1" applyBorder="1"/>
    <xf numFmtId="3" fontId="6" fillId="2" borderId="27" xfId="0" applyNumberFormat="1" applyFont="1" applyFill="1" applyBorder="1"/>
    <xf numFmtId="0" fontId="27" fillId="2" borderId="0" xfId="0" applyFont="1" applyFill="1"/>
    <xf numFmtId="0" fontId="16" fillId="2" borderId="0" xfId="0" applyFont="1" applyFill="1" applyAlignment="1">
      <alignment horizontal="center"/>
    </xf>
    <xf numFmtId="0" fontId="16" fillId="4" borderId="0" xfId="0" applyFont="1" applyFill="1" applyAlignment="1">
      <alignment horizontal="center"/>
    </xf>
    <xf numFmtId="0" fontId="16" fillId="4" borderId="5" xfId="0" applyFont="1" applyFill="1" applyBorder="1" applyAlignment="1">
      <alignment horizontal="right"/>
    </xf>
    <xf numFmtId="173" fontId="16" fillId="2" borderId="0" xfId="0" applyNumberFormat="1" applyFont="1" applyFill="1" applyAlignment="1">
      <alignment horizontal="right"/>
    </xf>
    <xf numFmtId="0" fontId="23" fillId="2" borderId="8" xfId="0" applyFont="1" applyFill="1" applyBorder="1"/>
    <xf numFmtId="165" fontId="30" fillId="2" borderId="0" xfId="0" applyNumberFormat="1" applyFont="1" applyFill="1" applyAlignment="1">
      <alignment horizontal="right"/>
    </xf>
    <xf numFmtId="0" fontId="28" fillId="2" borderId="8" xfId="0" applyFont="1" applyFill="1" applyBorder="1"/>
    <xf numFmtId="0" fontId="6" fillId="4" borderId="8" xfId="0" applyFont="1" applyFill="1" applyBorder="1" applyAlignment="1">
      <alignment horizontal="left"/>
    </xf>
    <xf numFmtId="0" fontId="6" fillId="2" borderId="8" xfId="0" applyFont="1" applyFill="1" applyBorder="1" applyAlignment="1">
      <alignment horizontal="left"/>
    </xf>
    <xf numFmtId="0" fontId="2" fillId="5" borderId="15" xfId="0" applyFont="1" applyFill="1" applyBorder="1" applyAlignment="1">
      <alignment horizontal="left"/>
    </xf>
    <xf numFmtId="0" fontId="21" fillId="6" borderId="8" xfId="0" applyFont="1" applyFill="1" applyBorder="1" applyAlignment="1">
      <alignment horizontal="left"/>
    </xf>
    <xf numFmtId="0" fontId="21" fillId="6" borderId="0" xfId="0" applyFont="1" applyFill="1" applyAlignment="1">
      <alignment horizontal="right"/>
    </xf>
    <xf numFmtId="0" fontId="21" fillId="6" borderId="5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5" xfId="0" applyFont="1" applyFill="1" applyBorder="1" applyAlignment="1">
      <alignment horizontal="right"/>
    </xf>
    <xf numFmtId="0" fontId="7" fillId="4" borderId="5" xfId="0" applyFont="1" applyFill="1" applyBorder="1" applyAlignment="1">
      <alignment horizontal="right"/>
    </xf>
    <xf numFmtId="9" fontId="16" fillId="4" borderId="0" xfId="0" applyNumberFormat="1" applyFont="1" applyFill="1" applyAlignment="1">
      <alignment horizontal="center"/>
    </xf>
    <xf numFmtId="9" fontId="16" fillId="2" borderId="0" xfId="0" applyNumberFormat="1" applyFont="1" applyFill="1" applyAlignment="1">
      <alignment horizontal="center"/>
    </xf>
    <xf numFmtId="0" fontId="21" fillId="6" borderId="6" xfId="0" applyFont="1" applyFill="1" applyBorder="1" applyAlignment="1">
      <alignment horizontal="right"/>
    </xf>
    <xf numFmtId="0" fontId="21" fillId="6" borderId="13" xfId="0" applyFont="1" applyFill="1" applyBorder="1" applyAlignment="1">
      <alignment horizontal="right"/>
    </xf>
    <xf numFmtId="0" fontId="15" fillId="5" borderId="0" xfId="0" applyFont="1" applyFill="1" applyAlignment="1">
      <alignment horizontal="center"/>
    </xf>
    <xf numFmtId="0" fontId="23" fillId="2" borderId="9" xfId="0" applyFont="1" applyFill="1" applyBorder="1"/>
    <xf numFmtId="0" fontId="15" fillId="2" borderId="10" xfId="0" applyFont="1" applyFill="1" applyBorder="1" applyAlignment="1">
      <alignment horizontal="center"/>
    </xf>
    <xf numFmtId="0" fontId="9" fillId="5" borderId="9" xfId="0" applyFont="1" applyFill="1" applyBorder="1"/>
    <xf numFmtId="0" fontId="15" fillId="5" borderId="10" xfId="0" applyFont="1" applyFill="1" applyBorder="1" applyAlignment="1">
      <alignment horizontal="center"/>
    </xf>
    <xf numFmtId="0" fontId="6" fillId="2" borderId="9" xfId="0" applyFont="1" applyFill="1" applyBorder="1"/>
    <xf numFmtId="164" fontId="32" fillId="7" borderId="0" xfId="0" applyNumberFormat="1" applyFont="1" applyFill="1" applyAlignment="1">
      <alignment horizontal="right"/>
    </xf>
    <xf numFmtId="164" fontId="33" fillId="7" borderId="0" xfId="0" applyNumberFormat="1" applyFont="1" applyFill="1" applyAlignment="1">
      <alignment horizontal="right"/>
    </xf>
    <xf numFmtId="164" fontId="33" fillId="7" borderId="10" xfId="0" applyNumberFormat="1" applyFont="1" applyFill="1" applyBorder="1" applyAlignment="1">
      <alignment horizontal="right"/>
    </xf>
    <xf numFmtId="164" fontId="34" fillId="7" borderId="0" xfId="0" applyNumberFormat="1" applyFont="1" applyFill="1" applyAlignment="1">
      <alignment horizontal="right"/>
    </xf>
    <xf numFmtId="9" fontId="33" fillId="7" borderId="0" xfId="1" applyFont="1" applyFill="1" applyAlignment="1">
      <alignment horizontal="right"/>
    </xf>
    <xf numFmtId="164" fontId="9" fillId="7" borderId="10" xfId="0" applyNumberFormat="1" applyFont="1" applyFill="1" applyBorder="1" applyAlignment="1">
      <alignment horizontal="right"/>
    </xf>
    <xf numFmtId="168" fontId="18" fillId="7" borderId="0" xfId="0" applyNumberFormat="1" applyFont="1" applyFill="1" applyAlignment="1">
      <alignment horizontal="right"/>
    </xf>
    <xf numFmtId="165" fontId="18" fillId="7" borderId="0" xfId="0" applyNumberFormat="1" applyFont="1" applyFill="1" applyAlignment="1">
      <alignment horizontal="right"/>
    </xf>
    <xf numFmtId="164" fontId="18" fillId="7" borderId="0" xfId="0" applyNumberFormat="1" applyFont="1" applyFill="1" applyAlignment="1">
      <alignment horizontal="right"/>
    </xf>
    <xf numFmtId="167" fontId="18" fillId="7" borderId="10" xfId="0" applyNumberFormat="1" applyFont="1" applyFill="1" applyBorder="1" applyAlignment="1">
      <alignment horizontal="right"/>
    </xf>
    <xf numFmtId="164" fontId="18" fillId="7" borderId="10" xfId="0" applyNumberFormat="1" applyFont="1" applyFill="1" applyBorder="1" applyAlignment="1">
      <alignment horizontal="right"/>
    </xf>
    <xf numFmtId="174" fontId="20" fillId="2" borderId="0" xfId="0" applyNumberFormat="1" applyFont="1" applyFill="1" applyAlignment="1">
      <alignment horizontal="right"/>
    </xf>
    <xf numFmtId="174" fontId="16" fillId="2" borderId="0" xfId="0" applyNumberFormat="1" applyFont="1" applyFill="1" applyAlignment="1">
      <alignment horizontal="right"/>
    </xf>
    <xf numFmtId="0" fontId="35" fillId="2" borderId="0" xfId="0" applyFont="1" applyFill="1" applyAlignment="1">
      <alignment horizontal="center"/>
    </xf>
    <xf numFmtId="0" fontId="36" fillId="2" borderId="0" xfId="0" applyFont="1" applyFill="1" applyAlignment="1">
      <alignment horizontal="center"/>
    </xf>
    <xf numFmtId="0" fontId="0" fillId="13" borderId="0" xfId="0" applyFill="1"/>
    <xf numFmtId="0" fontId="37" fillId="2" borderId="0" xfId="0" applyFont="1" applyFill="1" applyAlignment="1">
      <alignment horizontal="center"/>
    </xf>
    <xf numFmtId="0" fontId="31" fillId="2" borderId="0" xfId="0" applyFont="1" applyFill="1" applyAlignment="1">
      <alignment horizontal="center"/>
    </xf>
    <xf numFmtId="0" fontId="38" fillId="2" borderId="0" xfId="0" applyFont="1" applyFill="1" applyAlignment="1">
      <alignment horizontal="center"/>
    </xf>
    <xf numFmtId="0" fontId="39" fillId="2" borderId="0" xfId="0" applyFont="1" applyFill="1" applyAlignment="1">
      <alignment horizontal="center"/>
    </xf>
    <xf numFmtId="0" fontId="40" fillId="2" borderId="0" xfId="0" applyFont="1" applyFill="1" applyAlignment="1">
      <alignment horizontal="left"/>
    </xf>
    <xf numFmtId="0" fontId="41" fillId="6" borderId="0" xfId="0" applyFont="1" applyFill="1"/>
    <xf numFmtId="0" fontId="45" fillId="2" borderId="0" xfId="0" applyFont="1" applyFill="1"/>
    <xf numFmtId="9" fontId="6" fillId="4" borderId="0" xfId="0" applyNumberFormat="1" applyFont="1" applyFill="1"/>
    <xf numFmtId="17" fontId="6" fillId="2" borderId="0" xfId="0" applyNumberFormat="1" applyFont="1" applyFill="1"/>
    <xf numFmtId="17" fontId="6" fillId="4" borderId="0" xfId="0" applyNumberFormat="1" applyFont="1" applyFill="1"/>
    <xf numFmtId="0" fontId="48" fillId="2" borderId="0" xfId="0" applyFont="1" applyFill="1" applyAlignment="1">
      <alignment horizontal="center"/>
    </xf>
    <xf numFmtId="0" fontId="49" fillId="2" borderId="0" xfId="0" applyFont="1" applyFill="1" applyAlignment="1">
      <alignment horizontal="center"/>
    </xf>
    <xf numFmtId="17" fontId="50" fillId="2" borderId="0" xfId="0" applyNumberFormat="1" applyFont="1" applyFill="1" applyAlignment="1">
      <alignment horizontal="center"/>
    </xf>
    <xf numFmtId="0" fontId="12" fillId="2" borderId="29" xfId="0" applyFont="1" applyFill="1" applyBorder="1"/>
    <xf numFmtId="0" fontId="58" fillId="2" borderId="0" xfId="0" applyFont="1" applyFill="1"/>
    <xf numFmtId="0" fontId="5" fillId="3" borderId="2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right"/>
    </xf>
    <xf numFmtId="0" fontId="5" fillId="3" borderId="4" xfId="0" applyFont="1" applyFill="1" applyBorder="1" applyAlignment="1">
      <alignment horizontal="right"/>
    </xf>
    <xf numFmtId="0" fontId="8" fillId="2" borderId="0" xfId="0" applyFont="1" applyFill="1" applyAlignment="1">
      <alignment horizontal="right"/>
    </xf>
    <xf numFmtId="0" fontId="8" fillId="2" borderId="5" xfId="0" applyFont="1" applyFill="1" applyBorder="1" applyAlignment="1">
      <alignment horizontal="right"/>
    </xf>
    <xf numFmtId="0" fontId="8" fillId="4" borderId="0" xfId="0" applyFont="1" applyFill="1" applyAlignment="1">
      <alignment horizontal="right"/>
    </xf>
    <xf numFmtId="0" fontId="8" fillId="4" borderId="5" xfId="0" applyFont="1" applyFill="1" applyBorder="1" applyAlignment="1">
      <alignment horizontal="right"/>
    </xf>
    <xf numFmtId="0" fontId="8" fillId="4" borderId="10" xfId="0" applyFont="1" applyFill="1" applyBorder="1" applyAlignment="1">
      <alignment horizontal="right"/>
    </xf>
    <xf numFmtId="0" fontId="8" fillId="4" borderId="11" xfId="0" applyFont="1" applyFill="1" applyBorder="1" applyAlignment="1">
      <alignment horizontal="right"/>
    </xf>
    <xf numFmtId="15" fontId="16" fillId="4" borderId="0" xfId="0" applyNumberFormat="1" applyFont="1" applyFill="1" applyAlignment="1">
      <alignment horizontal="right"/>
    </xf>
    <xf numFmtId="0" fontId="16" fillId="4" borderId="5" xfId="0" applyFont="1" applyFill="1" applyBorder="1" applyAlignment="1">
      <alignment horizontal="right"/>
    </xf>
    <xf numFmtId="0" fontId="5" fillId="3" borderId="3" xfId="0" applyFont="1" applyFill="1" applyBorder="1" applyAlignment="1">
      <alignment horizontal="left"/>
    </xf>
    <xf numFmtId="0" fontId="5" fillId="3" borderId="0" xfId="0" applyFont="1" applyFill="1" applyAlignment="1">
      <alignment horizontal="left"/>
    </xf>
    <xf numFmtId="0" fontId="5" fillId="3" borderId="5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left"/>
    </xf>
    <xf numFmtId="0" fontId="26" fillId="3" borderId="0" xfId="0" applyFont="1" applyFill="1"/>
    <xf numFmtId="0" fontId="26" fillId="7" borderId="0" xfId="0" applyFont="1" applyFill="1"/>
    <xf numFmtId="0" fontId="22" fillId="3" borderId="0" xfId="0" applyFont="1" applyFill="1"/>
    <xf numFmtId="0" fontId="10" fillId="3" borderId="0" xfId="0" applyFont="1" applyFill="1" applyAlignment="1">
      <alignment horizontal="center"/>
    </xf>
    <xf numFmtId="164" fontId="22" fillId="7" borderId="0" xfId="0" applyNumberFormat="1" applyFont="1" applyFill="1" applyAlignment="1">
      <alignment horizontal="right"/>
    </xf>
    <xf numFmtId="0" fontId="22" fillId="7" borderId="0" xfId="0" applyFont="1" applyFill="1" applyAlignment="1">
      <alignment horizontal="right"/>
    </xf>
    <xf numFmtId="0" fontId="22" fillId="3" borderId="0" xfId="0" applyFont="1" applyFill="1" applyAlignment="1">
      <alignment horizontal="right"/>
    </xf>
    <xf numFmtId="0" fontId="5" fillId="3" borderId="0" xfId="0" applyFont="1" applyFill="1"/>
    <xf numFmtId="0" fontId="5" fillId="7" borderId="0" xfId="0" applyFont="1" applyFill="1"/>
    <xf numFmtId="164" fontId="22" fillId="3" borderId="0" xfId="0" applyNumberFormat="1" applyFont="1" applyFill="1" applyAlignment="1">
      <alignment horizontal="right"/>
    </xf>
    <xf numFmtId="0" fontId="12" fillId="3" borderId="0" xfId="0" applyFont="1" applyFill="1"/>
    <xf numFmtId="0" fontId="25" fillId="3" borderId="0" xfId="0" applyFont="1" applyFill="1"/>
    <xf numFmtId="0" fontId="25" fillId="3" borderId="0" xfId="0" applyFont="1" applyFill="1" applyAlignment="1">
      <alignment vertical="center"/>
    </xf>
    <xf numFmtId="0" fontId="0" fillId="14" borderId="0" xfId="0" applyFill="1" applyBorder="1"/>
    <xf numFmtId="49" fontId="59" fillId="14" borderId="30" xfId="0" applyNumberFormat="1" applyFont="1" applyFill="1" applyBorder="1"/>
    <xf numFmtId="0" fontId="12" fillId="15" borderId="0" xfId="0" applyFont="1" applyFill="1"/>
    <xf numFmtId="0" fontId="0" fillId="15" borderId="0" xfId="0" applyFill="1"/>
    <xf numFmtId="0" fontId="0" fillId="15" borderId="0" xfId="0" applyFill="1" applyBorder="1"/>
    <xf numFmtId="0" fontId="24" fillId="16" borderId="0" xfId="0" applyFont="1" applyFill="1"/>
    <xf numFmtId="3" fontId="52" fillId="16" borderId="0" xfId="0" applyNumberFormat="1" applyFont="1" applyFill="1" applyAlignment="1">
      <alignment horizontal="right"/>
    </xf>
    <xf numFmtId="0" fontId="12" fillId="16" borderId="0" xfId="0" applyFont="1" applyFill="1"/>
    <xf numFmtId="171" fontId="52" fillId="16" borderId="0" xfId="0" applyNumberFormat="1" applyFont="1" applyFill="1" applyAlignment="1">
      <alignment horizontal="right"/>
    </xf>
    <xf numFmtId="0" fontId="12" fillId="16" borderId="0" xfId="0" applyFont="1" applyFill="1" applyAlignment="1">
      <alignment horizontal="right"/>
    </xf>
    <xf numFmtId="172" fontId="12" fillId="16" borderId="0" xfId="0" applyNumberFormat="1" applyFont="1" applyFill="1" applyAlignment="1">
      <alignment horizontal="right"/>
    </xf>
    <xf numFmtId="172" fontId="24" fillId="16" borderId="0" xfId="0" applyNumberFormat="1" applyFont="1" applyFill="1" applyAlignment="1">
      <alignment horizontal="right"/>
    </xf>
    <xf numFmtId="171" fontId="12" fillId="16" borderId="0" xfId="0" applyNumberFormat="1" applyFont="1" applyFill="1" applyAlignment="1">
      <alignment horizontal="right"/>
    </xf>
    <xf numFmtId="171" fontId="24" fillId="16" borderId="0" xfId="0" applyNumberFormat="1" applyFont="1" applyFill="1" applyAlignment="1">
      <alignment horizontal="right"/>
    </xf>
    <xf numFmtId="0" fontId="51" fillId="14" borderId="31" xfId="0" applyFont="1" applyFill="1" applyBorder="1"/>
    <xf numFmtId="0" fontId="12" fillId="14" borderId="18" xfId="0" applyFont="1" applyFill="1" applyBorder="1"/>
    <xf numFmtId="0" fontId="53" fillId="14" borderId="32" xfId="0" applyFont="1" applyFill="1" applyBorder="1"/>
    <xf numFmtId="0" fontId="12" fillId="14" borderId="28" xfId="0" applyFont="1" applyFill="1" applyBorder="1"/>
    <xf numFmtId="49" fontId="59" fillId="14" borderId="33" xfId="0" applyNumberFormat="1" applyFont="1" applyFill="1" applyBorder="1"/>
    <xf numFmtId="0" fontId="51" fillId="14" borderId="34" xfId="0" applyFont="1" applyFill="1" applyBorder="1"/>
    <xf numFmtId="0" fontId="53" fillId="14" borderId="35" xfId="0" applyFont="1" applyFill="1" applyBorder="1"/>
    <xf numFmtId="49" fontId="60" fillId="15" borderId="33" xfId="0" applyNumberFormat="1" applyFont="1" applyFill="1" applyBorder="1"/>
    <xf numFmtId="0" fontId="51" fillId="15" borderId="34" xfId="0" applyFont="1" applyFill="1" applyBorder="1"/>
    <xf numFmtId="0" fontId="12" fillId="15" borderId="18" xfId="0" applyFont="1" applyFill="1" applyBorder="1"/>
    <xf numFmtId="0" fontId="53" fillId="15" borderId="35" xfId="0" applyFont="1" applyFill="1" applyBorder="1"/>
    <xf numFmtId="0" fontId="12" fillId="15" borderId="28" xfId="0" applyFont="1" applyFill="1" applyBorder="1"/>
    <xf numFmtId="0" fontId="55" fillId="16" borderId="13" xfId="0" applyFont="1" applyFill="1" applyBorder="1"/>
    <xf numFmtId="0" fontId="55" fillId="16" borderId="13" xfId="0" applyFont="1" applyFill="1" applyBorder="1" applyAlignment="1">
      <alignment horizontal="right"/>
    </xf>
    <xf numFmtId="0" fontId="12" fillId="16" borderId="13" xfId="0" applyFont="1" applyFill="1" applyBorder="1"/>
    <xf numFmtId="0" fontId="54" fillId="16" borderId="13" xfId="0" applyFont="1" applyFill="1" applyBorder="1" applyAlignment="1">
      <alignment horizontal="right"/>
    </xf>
    <xf numFmtId="0" fontId="55" fillId="18" borderId="0" xfId="0" applyFont="1" applyFill="1"/>
    <xf numFmtId="0" fontId="55" fillId="18" borderId="0" xfId="0" applyFont="1" applyFill="1" applyBorder="1"/>
    <xf numFmtId="0" fontId="62" fillId="14" borderId="28" xfId="0" applyFont="1" applyFill="1" applyBorder="1"/>
    <xf numFmtId="0" fontId="63" fillId="14" borderId="28" xfId="0" applyFont="1" applyFill="1" applyBorder="1"/>
    <xf numFmtId="0" fontId="56" fillId="17" borderId="39" xfId="0" applyFont="1" applyFill="1" applyBorder="1" applyAlignment="1">
      <alignment vertical="top"/>
    </xf>
    <xf numFmtId="0" fontId="56" fillId="8" borderId="40" xfId="0" applyFont="1" applyFill="1" applyBorder="1" applyAlignment="1">
      <alignment vertical="top"/>
    </xf>
    <xf numFmtId="0" fontId="56" fillId="8" borderId="41" xfId="0" applyFont="1" applyFill="1" applyBorder="1" applyAlignment="1">
      <alignment vertical="top"/>
    </xf>
    <xf numFmtId="0" fontId="56" fillId="17" borderId="41" xfId="0" applyFont="1" applyFill="1" applyBorder="1" applyAlignment="1">
      <alignment vertical="top"/>
    </xf>
    <xf numFmtId="0" fontId="57" fillId="18" borderId="0" xfId="0" applyFont="1" applyFill="1"/>
    <xf numFmtId="3" fontId="63" fillId="14" borderId="0" xfId="0" applyNumberFormat="1" applyFont="1" applyFill="1" applyAlignment="1">
      <alignment horizontal="right"/>
    </xf>
    <xf numFmtId="3" fontId="64" fillId="20" borderId="0" xfId="0" applyNumberFormat="1" applyFont="1" applyFill="1" applyAlignment="1">
      <alignment horizontal="right"/>
    </xf>
    <xf numFmtId="0" fontId="65" fillId="3" borderId="0" xfId="0" applyFont="1" applyFill="1"/>
    <xf numFmtId="3" fontId="25" fillId="3" borderId="0" xfId="0" applyNumberFormat="1" applyFont="1" applyFill="1" applyAlignment="1">
      <alignment horizontal="right"/>
    </xf>
    <xf numFmtId="0" fontId="42" fillId="2" borderId="0" xfId="0" applyFont="1" applyFill="1" applyAlignment="1">
      <alignment horizontal="center" vertical="center"/>
    </xf>
    <xf numFmtId="0" fontId="42" fillId="4" borderId="0" xfId="0" applyFont="1" applyFill="1" applyAlignment="1">
      <alignment horizontal="center" vertical="center"/>
    </xf>
    <xf numFmtId="0" fontId="42" fillId="4" borderId="28" xfId="0" applyFont="1" applyFill="1" applyBorder="1" applyAlignment="1">
      <alignment horizontal="center" vertical="center"/>
    </xf>
    <xf numFmtId="0" fontId="43" fillId="2" borderId="0" xfId="0" applyFont="1" applyFill="1" applyAlignment="1">
      <alignment vertical="top" wrapText="1"/>
    </xf>
    <xf numFmtId="0" fontId="43" fillId="4" borderId="0" xfId="0" applyFont="1" applyFill="1" applyAlignment="1">
      <alignment vertical="top" wrapText="1"/>
    </xf>
    <xf numFmtId="0" fontId="43" fillId="4" borderId="28" xfId="0" applyFont="1" applyFill="1" applyBorder="1" applyAlignment="1">
      <alignment vertical="top" wrapText="1"/>
    </xf>
    <xf numFmtId="0" fontId="44" fillId="2" borderId="0" xfId="0" applyFont="1" applyFill="1" applyAlignment="1">
      <alignment horizontal="center" vertical="center"/>
    </xf>
    <xf numFmtId="0" fontId="44" fillId="4" borderId="0" xfId="0" applyFont="1" applyFill="1" applyAlignment="1">
      <alignment horizontal="center" vertical="center"/>
    </xf>
    <xf numFmtId="0" fontId="44" fillId="4" borderId="28" xfId="0" applyFont="1" applyFill="1" applyBorder="1" applyAlignment="1">
      <alignment horizontal="center" vertical="center"/>
    </xf>
    <xf numFmtId="0" fontId="52" fillId="8" borderId="21" xfId="0" applyFont="1" applyFill="1" applyBorder="1" applyAlignment="1">
      <alignment vertical="center"/>
    </xf>
    <xf numFmtId="0" fontId="52" fillId="17" borderId="37" xfId="0" applyFont="1" applyFill="1" applyBorder="1" applyAlignment="1">
      <alignment vertical="center"/>
    </xf>
    <xf numFmtId="0" fontId="52" fillId="8" borderId="37" xfId="0" applyFont="1" applyFill="1" applyBorder="1" applyAlignment="1">
      <alignment vertical="center"/>
    </xf>
    <xf numFmtId="0" fontId="55" fillId="19" borderId="38" xfId="0" applyFont="1" applyFill="1" applyBorder="1" applyAlignment="1">
      <alignment vertical="center"/>
    </xf>
    <xf numFmtId="3" fontId="52" fillId="8" borderId="21" xfId="0" applyNumberFormat="1" applyFont="1" applyFill="1" applyBorder="1" applyAlignment="1">
      <alignment horizontal="center" vertical="center"/>
    </xf>
    <xf numFmtId="3" fontId="52" fillId="17" borderId="37" xfId="0" applyNumberFormat="1" applyFont="1" applyFill="1" applyBorder="1" applyAlignment="1">
      <alignment horizontal="center" vertical="center"/>
    </xf>
    <xf numFmtId="3" fontId="52" fillId="8" borderId="37" xfId="0" applyNumberFormat="1" applyFont="1" applyFill="1" applyBorder="1" applyAlignment="1">
      <alignment horizontal="center" vertical="center"/>
    </xf>
    <xf numFmtId="3" fontId="55" fillId="19" borderId="38" xfId="0" applyNumberFormat="1" applyFont="1" applyFill="1" applyBorder="1" applyAlignment="1">
      <alignment horizontal="center" vertical="center"/>
    </xf>
    <xf numFmtId="0" fontId="52" fillId="8" borderId="21" xfId="0" applyFont="1" applyFill="1" applyBorder="1" applyAlignment="1">
      <alignment horizontal="center" vertical="center"/>
    </xf>
    <xf numFmtId="170" fontId="52" fillId="8" borderId="21" xfId="0" applyNumberFormat="1" applyFont="1" applyFill="1" applyBorder="1" applyAlignment="1">
      <alignment horizontal="center" vertical="center"/>
    </xf>
    <xf numFmtId="0" fontId="52" fillId="17" borderId="37" xfId="0" applyFont="1" applyFill="1" applyBorder="1" applyAlignment="1">
      <alignment horizontal="center" vertical="center"/>
    </xf>
    <xf numFmtId="170" fontId="52" fillId="17" borderId="37" xfId="0" applyNumberFormat="1" applyFont="1" applyFill="1" applyBorder="1" applyAlignment="1">
      <alignment horizontal="center" vertical="center"/>
    </xf>
    <xf numFmtId="0" fontId="52" fillId="8" borderId="37" xfId="0" applyFont="1" applyFill="1" applyBorder="1" applyAlignment="1">
      <alignment horizontal="center" vertical="center"/>
    </xf>
    <xf numFmtId="170" fontId="52" fillId="8" borderId="37" xfId="0" applyNumberFormat="1" applyFont="1" applyFill="1" applyBorder="1" applyAlignment="1">
      <alignment horizontal="center" vertical="center"/>
    </xf>
    <xf numFmtId="171" fontId="52" fillId="17" borderId="37" xfId="0" applyNumberFormat="1" applyFont="1" applyFill="1" applyBorder="1" applyAlignment="1">
      <alignment horizontal="center" vertical="center"/>
    </xf>
    <xf numFmtId="0" fontId="52" fillId="8" borderId="36" xfId="0" applyFont="1" applyFill="1" applyBorder="1" applyAlignment="1">
      <alignment horizontal="center" vertical="center"/>
    </xf>
    <xf numFmtId="3" fontId="52" fillId="8" borderId="36" xfId="0" applyNumberFormat="1" applyFont="1" applyFill="1" applyBorder="1" applyAlignment="1">
      <alignment horizontal="center" vertical="center"/>
    </xf>
    <xf numFmtId="0" fontId="55" fillId="18" borderId="0" xfId="0" applyFont="1" applyFill="1" applyBorder="1" applyAlignment="1">
      <alignment horizontal="center"/>
    </xf>
    <xf numFmtId="3" fontId="52" fillId="8" borderId="0" xfId="0" applyNumberFormat="1" applyFont="1" applyFill="1" applyBorder="1" applyAlignment="1">
      <alignment horizontal="center" vertical="center"/>
    </xf>
    <xf numFmtId="0" fontId="57" fillId="17" borderId="0" xfId="0" applyFont="1" applyFill="1" applyBorder="1" applyAlignment="1">
      <alignment horizontal="left" vertical="top" wrapText="1"/>
    </xf>
    <xf numFmtId="0" fontId="57" fillId="8" borderId="0" xfId="0" applyFont="1" applyFill="1" applyBorder="1" applyAlignment="1">
      <alignment horizontal="left" vertical="top" wrapText="1"/>
    </xf>
    <xf numFmtId="0" fontId="52" fillId="8" borderId="0" xfId="0" applyFont="1" applyFill="1" applyBorder="1" applyAlignment="1">
      <alignment horizontal="center" vertical="center"/>
    </xf>
    <xf numFmtId="0" fontId="56" fillId="15" borderId="0" xfId="0" applyFont="1" applyFill="1" applyBorder="1" applyAlignment="1">
      <alignment vertical="top"/>
    </xf>
    <xf numFmtId="0" fontId="57" fillId="15" borderId="0" xfId="0" applyFont="1" applyFill="1" applyBorder="1" applyAlignment="1">
      <alignment horizontal="left" vertical="top" wrapText="1"/>
    </xf>
    <xf numFmtId="0" fontId="66" fillId="2" borderId="0" xfId="0" applyFont="1" applyFill="1"/>
    <xf numFmtId="0" fontId="61" fillId="2" borderId="0" xfId="0" applyFont="1" applyFill="1"/>
    <xf numFmtId="0" fontId="67" fillId="2" borderId="0" xfId="0" applyFont="1" applyFill="1"/>
    <xf numFmtId="0" fontId="68" fillId="2" borderId="0" xfId="0" applyFont="1" applyFill="1"/>
    <xf numFmtId="172" fontId="68" fillId="2" borderId="0" xfId="0" applyNumberFormat="1" applyFont="1" applyFill="1"/>
    <xf numFmtId="171" fontId="68" fillId="2" borderId="0" xfId="0" applyNumberFormat="1" applyFont="1" applyFill="1"/>
    <xf numFmtId="0" fontId="67" fillId="2" borderId="28" xfId="0" applyFont="1" applyFill="1" applyBorder="1"/>
    <xf numFmtId="0" fontId="22" fillId="3" borderId="0" xfId="0" applyFont="1" applyFill="1" applyAlignment="1">
      <alignment horizontal="center" vertical="center"/>
    </xf>
    <xf numFmtId="0" fontId="22" fillId="2" borderId="0" xfId="0" applyFont="1" applyFill="1"/>
    <xf numFmtId="0" fontId="46" fillId="2" borderId="0" xfId="0" applyFont="1" applyFill="1" applyAlignment="1">
      <alignment wrapText="1"/>
    </xf>
    <xf numFmtId="0" fontId="29" fillId="2" borderId="0" xfId="0" applyFont="1" applyFill="1" applyAlignment="1">
      <alignment wrapText="1"/>
    </xf>
    <xf numFmtId="0" fontId="47" fillId="2" borderId="0" xfId="0" applyFont="1" applyFill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5F5F5"/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Summary '!$B$42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D2137"/>
            </a:solidFill>
            <a:ln>
              <a:noFill/>
            </a:ln>
            <a:effectLst/>
          </c:spPr>
          <c:invertIfNegative val="0"/>
          <c:cat>
            <c:strRef>
              <c:f>'Executive Summary '!$C$41:$J$41</c:f>
              <c:strCache>
                <c:ptCount val="8"/>
                <c:pt idx="0">
                  <c:v>FY22A</c:v>
                </c:pt>
                <c:pt idx="1">
                  <c:v>FY23A</c:v>
                </c:pt>
                <c:pt idx="2">
                  <c:v>FY24A</c:v>
                </c:pt>
                <c:pt idx="3">
                  <c:v>FY25E</c:v>
                </c:pt>
                <c:pt idx="4">
                  <c:v>FY26E</c:v>
                </c:pt>
                <c:pt idx="5">
                  <c:v>FY27E</c:v>
                </c:pt>
                <c:pt idx="6">
                  <c:v>FY28E</c:v>
                </c:pt>
                <c:pt idx="7">
                  <c:v>FY29E</c:v>
                </c:pt>
              </c:strCache>
            </c:strRef>
          </c:cat>
          <c:val>
            <c:numRef>
              <c:f>'Executive Summary '!$C$42:$J$42</c:f>
              <c:numCache>
                <c:formatCode>General</c:formatCode>
                <c:ptCount val="8"/>
                <c:pt idx="0">
                  <c:v>5628.0848980000001</c:v>
                </c:pt>
                <c:pt idx="1">
                  <c:v>6833.8038489999999</c:v>
                </c:pt>
                <c:pt idx="2">
                  <c:v>6477.495347</c:v>
                </c:pt>
                <c:pt idx="3">
                  <c:v>7124.9261250000009</c:v>
                </c:pt>
                <c:pt idx="4">
                  <c:v>7837.0106550000019</c:v>
                </c:pt>
                <c:pt idx="5">
                  <c:v>8620.2165804000015</c:v>
                </c:pt>
                <c:pt idx="6">
                  <c:v>9309.3967688580033</c:v>
                </c:pt>
                <c:pt idx="7">
                  <c:v>9774.5693534785842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04-294A-8A32-1155912F4404}"/>
            </c:ext>
          </c:extLst>
        </c:ser>
        <c:ser>
          <c:idx val="1"/>
          <c:order val="1"/>
          <c:tx>
            <c:strRef>
              <c:f>'Executive Summary '!$B$43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B8860B"/>
            </a:solidFill>
            <a:ln>
              <a:noFill/>
            </a:ln>
            <a:effectLst/>
          </c:spPr>
          <c:invertIfNegative val="0"/>
          <c:cat>
            <c:strRef>
              <c:f>'Executive Summary '!$C$41:$J$41</c:f>
              <c:strCache>
                <c:ptCount val="8"/>
                <c:pt idx="0">
                  <c:v>FY22A</c:v>
                </c:pt>
                <c:pt idx="1">
                  <c:v>FY23A</c:v>
                </c:pt>
                <c:pt idx="2">
                  <c:v>FY24A</c:v>
                </c:pt>
                <c:pt idx="3">
                  <c:v>FY25E</c:v>
                </c:pt>
                <c:pt idx="4">
                  <c:v>FY26E</c:v>
                </c:pt>
                <c:pt idx="5">
                  <c:v>FY27E</c:v>
                </c:pt>
                <c:pt idx="6">
                  <c:v>FY28E</c:v>
                </c:pt>
                <c:pt idx="7">
                  <c:v>FY29E</c:v>
                </c:pt>
              </c:strCache>
            </c:strRef>
          </c:cat>
          <c:val>
            <c:numRef>
              <c:f>'Executive Summary '!$C$43:$J$43</c:f>
              <c:numCache>
                <c:formatCode>General</c:formatCode>
                <c:ptCount val="8"/>
                <c:pt idx="0">
                  <c:v>2463.900169</c:v>
                </c:pt>
                <c:pt idx="1">
                  <c:v>3038.9594239999997</c:v>
                </c:pt>
                <c:pt idx="2">
                  <c:v>3079.0114150000004</c:v>
                </c:pt>
                <c:pt idx="3">
                  <c:v>2572.6204905894001</c:v>
                </c:pt>
                <c:pt idx="4">
                  <c:v>2759.2020960639848</c:v>
                </c:pt>
                <c:pt idx="5">
                  <c:v>2965.9862474249981</c:v>
                </c:pt>
                <c:pt idx="6">
                  <c:v>3137.9489623377121</c:v>
                </c:pt>
                <c:pt idx="7">
                  <c:v>3245.8733673644501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04-294A-8A32-1155912F4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2488383"/>
        <c:axId val="1012476415"/>
      </c:barChart>
      <c:catAx>
        <c:axId val="105248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476415"/>
        <c:crosses val="autoZero"/>
        <c:auto val="1"/>
        <c:lblAlgn val="ctr"/>
        <c:lblOffset val="100"/>
        <c:noMultiLvlLbl val="0"/>
      </c:catAx>
      <c:valAx>
        <c:axId val="101247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488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AFAFA"/>
    </a:solidFill>
    <a:ln w="25400" cap="flat" cmpd="sng" algn="ctr">
      <a:solidFill>
        <a:srgbClr val="E0E0E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'Executive Summary '!$M$42</c:f>
              <c:strCache>
                <c:ptCount val="1"/>
                <c:pt idx="0">
                  <c:v>EBITDA Margin</c:v>
                </c:pt>
              </c:strCache>
            </c:strRef>
          </c:tx>
          <c:spPr>
            <a:ln w="28575" cap="rnd">
              <a:solidFill>
                <a:srgbClr val="0D2137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0D2137"/>
              </a:solidFill>
              <a:ln w="9525">
                <a:solidFill>
                  <a:srgbClr val="0D2137"/>
                </a:solidFill>
                <a:prstDash val="solid"/>
              </a:ln>
              <a:effectLst/>
            </c:spPr>
          </c:marker>
          <c:cat>
            <c:strRef>
              <c:f>'Executive Summary '!$N$41:$U$41</c:f>
              <c:strCache>
                <c:ptCount val="8"/>
                <c:pt idx="0">
                  <c:v>FY22A</c:v>
                </c:pt>
                <c:pt idx="1">
                  <c:v>FY23A</c:v>
                </c:pt>
                <c:pt idx="2">
                  <c:v>FY24A</c:v>
                </c:pt>
                <c:pt idx="3">
                  <c:v>FY25E</c:v>
                </c:pt>
                <c:pt idx="4">
                  <c:v>FY26E</c:v>
                </c:pt>
                <c:pt idx="5">
                  <c:v>FY27E</c:v>
                </c:pt>
                <c:pt idx="6">
                  <c:v>FY28E</c:v>
                </c:pt>
                <c:pt idx="7">
                  <c:v>FY29E</c:v>
                </c:pt>
              </c:strCache>
            </c:strRef>
          </c:cat>
          <c:val>
            <c:numRef>
              <c:f>'Executive Summary '!$N$42:$U$42</c:f>
              <c:numCache>
                <c:formatCode>General</c:formatCode>
                <c:ptCount val="8"/>
                <c:pt idx="0">
                  <c:v>0.43778660301936334</c:v>
                </c:pt>
                <c:pt idx="1">
                  <c:v>0.44469514945833494</c:v>
                </c:pt>
                <c:pt idx="2">
                  <c:v>0.47533981115494273</c:v>
                </c:pt>
                <c:pt idx="3">
                  <c:v>0.36107328629872631</c:v>
                </c:pt>
                <c:pt idx="4">
                  <c:v>0.35207328629872636</c:v>
                </c:pt>
                <c:pt idx="5">
                  <c:v>0.34407328629872641</c:v>
                </c:pt>
                <c:pt idx="6">
                  <c:v>0.3370732862987264</c:v>
                </c:pt>
                <c:pt idx="7">
                  <c:v>0.33207328629872634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41-404B-B807-2D52B9C36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1793023"/>
        <c:axId val="1071796607"/>
      </c:lineChart>
      <c:catAx>
        <c:axId val="1071793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796607"/>
        <c:crosses val="autoZero"/>
        <c:auto val="1"/>
        <c:lblAlgn val="ctr"/>
        <c:lblOffset val="100"/>
        <c:noMultiLvlLbl val="0"/>
      </c:catAx>
      <c:valAx>
        <c:axId val="107179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79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AFAFA"/>
    </a:solidFill>
    <a:ln w="25400" cap="flat" cmpd="sng" algn="ctr">
      <a:solidFill>
        <a:srgbClr val="E0E0E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rgbClr val="0D2137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Value Creation Bridge (NOK 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rgbClr val="0D2137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Summary '!$X$45</c:f>
              <c:strCache>
                <c:ptCount val="1"/>
                <c:pt idx="0">
                  <c:v>Amount (NOK mm)</c:v>
                </c:pt>
              </c:strCache>
            </c:strRef>
          </c:tx>
          <c:spPr>
            <a:solidFill>
              <a:srgbClr val="0D2137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664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9E-844E-9488-608B13DC5404}"/>
              </c:ext>
            </c:extLst>
          </c:dPt>
          <c:dPt>
            <c:idx val="1"/>
            <c:invertIfNegative val="0"/>
            <c:bubble3D val="0"/>
            <c:spPr>
              <a:solidFill>
                <a:srgbClr val="CC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F9E-844E-9488-608B13DC5404}"/>
              </c:ext>
            </c:extLst>
          </c:dPt>
          <c:cat>
            <c:strRef>
              <c:f>'Executive Summary '!$W$46:$W$48</c:f>
              <c:strCache>
                <c:ptCount val="3"/>
                <c:pt idx="0">
                  <c:v>EBITDA Growth</c:v>
                </c:pt>
                <c:pt idx="1">
                  <c:v>Multiple Chg</c:v>
                </c:pt>
                <c:pt idx="2">
                  <c:v>Debt Paydown</c:v>
                </c:pt>
              </c:strCache>
            </c:strRef>
          </c:cat>
          <c:val>
            <c:numRef>
              <c:f>'Executive Summary '!$X$46:$X$48</c:f>
              <c:numCache>
                <c:formatCode>General</c:formatCode>
                <c:ptCount val="3"/>
                <c:pt idx="0">
                  <c:v>24332.625629512135</c:v>
                </c:pt>
                <c:pt idx="1">
                  <c:v>9217.6450169520358</c:v>
                </c:pt>
                <c:pt idx="2">
                  <c:v>70855.342776870166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9E-844E-9488-608B13DC5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7399680"/>
        <c:axId val="2119098240"/>
      </c:barChart>
      <c:catAx>
        <c:axId val="2117399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33333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098240"/>
        <c:crosses val="autoZero"/>
        <c:auto val="1"/>
        <c:lblAlgn val="ctr"/>
        <c:lblOffset val="100"/>
        <c:noMultiLvlLbl val="0"/>
      </c:catAx>
      <c:valAx>
        <c:axId val="2119098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399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AFAFA"/>
    </a:solidFill>
    <a:ln w="9525" cap="flat" cmpd="sng" algn="ctr">
      <a:solidFill>
        <a:srgbClr val="E0E0E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rgbClr val="0D2137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Returns by Exit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rgbClr val="0D2137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Summary '!$W$42</c:f>
              <c:strCache>
                <c:ptCount val="1"/>
                <c:pt idx="0">
                  <c:v>MOIC</c:v>
                </c:pt>
              </c:strCache>
            </c:strRef>
          </c:tx>
          <c:spPr>
            <a:solidFill>
              <a:srgbClr val="0D2137"/>
            </a:solidFill>
            <a:ln>
              <a:noFill/>
            </a:ln>
            <a:effectLst/>
          </c:spPr>
          <c:invertIfNegative val="0"/>
          <c:cat>
            <c:strRef>
              <c:f>'Executive Summary '!$X$41:$AB$41</c:f>
              <c:strCache>
                <c:ptCount val="5"/>
                <c:pt idx="0">
                  <c:v>Year 3</c:v>
                </c:pt>
                <c:pt idx="1">
                  <c:v>Year 4</c:v>
                </c:pt>
                <c:pt idx="2">
                  <c:v>Year 5</c:v>
                </c:pt>
                <c:pt idx="3">
                  <c:v>Year 6</c:v>
                </c:pt>
                <c:pt idx="4">
                  <c:v>Year 7</c:v>
                </c:pt>
              </c:strCache>
            </c:strRef>
          </c:cat>
          <c:val>
            <c:numRef>
              <c:f>'Executive Summary '!$X$42:$AB$42</c:f>
              <c:numCache>
                <c:formatCode>0.00\x</c:formatCode>
                <c:ptCount val="5"/>
                <c:pt idx="0">
                  <c:v>2.2001681803505977</c:v>
                </c:pt>
                <c:pt idx="1">
                  <c:v>2.3294138593843186</c:v>
                </c:pt>
                <c:pt idx="2">
                  <c:v>2.4041595261008615</c:v>
                </c:pt>
                <c:pt idx="3">
                  <c:v>2.6359923239103393</c:v>
                </c:pt>
                <c:pt idx="4">
                  <c:v>2.8420707870890243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77-5C40-8A6B-685439842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871231"/>
        <c:axId val="2119094656"/>
      </c:barChart>
      <c:lineChart>
        <c:grouping val="standard"/>
        <c:varyColors val="0"/>
        <c:ser>
          <c:idx val="1"/>
          <c:order val="1"/>
          <c:tx>
            <c:strRef>
              <c:f>'Executive Summary '!$W$43</c:f>
              <c:strCache>
                <c:ptCount val="1"/>
                <c:pt idx="0">
                  <c:v>IRR</c:v>
                </c:pt>
              </c:strCache>
            </c:strRef>
          </c:tx>
          <c:spPr>
            <a:ln w="28575" cap="rnd">
              <a:solidFill>
                <a:srgbClr val="006644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006644"/>
              </a:solidFill>
              <a:ln w="9525">
                <a:solidFill>
                  <a:srgbClr val="006644"/>
                </a:solidFill>
                <a:prstDash val="solid"/>
              </a:ln>
              <a:effectLst/>
            </c:spPr>
          </c:marker>
          <c:cat>
            <c:strRef>
              <c:f>'Executive Summary '!$X$41:$AB$41</c:f>
              <c:strCache>
                <c:ptCount val="5"/>
                <c:pt idx="0">
                  <c:v>Year 3</c:v>
                </c:pt>
                <c:pt idx="1">
                  <c:v>Year 4</c:v>
                </c:pt>
                <c:pt idx="2">
                  <c:v>Year 5</c:v>
                </c:pt>
                <c:pt idx="3">
                  <c:v>Year 6</c:v>
                </c:pt>
                <c:pt idx="4">
                  <c:v>Year 7</c:v>
                </c:pt>
              </c:strCache>
            </c:strRef>
          </c:cat>
          <c:val>
            <c:numRef>
              <c:f>'Executive Summary '!$X$43:$AB$43</c:f>
              <c:numCache>
                <c:formatCode>0.0%</c:formatCode>
                <c:ptCount val="5"/>
                <c:pt idx="0">
                  <c:v>0.30062458751078136</c:v>
                </c:pt>
                <c:pt idx="1">
                  <c:v>0.23541156843730149</c:v>
                </c:pt>
                <c:pt idx="2">
                  <c:v>0.19177056920292124</c:v>
                </c:pt>
                <c:pt idx="3">
                  <c:v>0.17532332987271282</c:v>
                </c:pt>
                <c:pt idx="4">
                  <c:v>0.16092719395697697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77-5C40-8A6B-685439842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054911"/>
        <c:axId val="71051775"/>
      </c:lineChart>
      <c:catAx>
        <c:axId val="69871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33333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094656"/>
        <c:crosses val="autoZero"/>
        <c:auto val="1"/>
        <c:lblAlgn val="ctr"/>
        <c:lblOffset val="100"/>
        <c:noMultiLvlLbl val="0"/>
      </c:catAx>
      <c:valAx>
        <c:axId val="211909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x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rgbClr val="0D2137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71231"/>
        <c:crosses val="autoZero"/>
        <c:crossBetween val="between"/>
      </c:valAx>
      <c:valAx>
        <c:axId val="71051775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rgbClr val="00664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54911"/>
        <c:crosses val="max"/>
        <c:crossBetween val="between"/>
      </c:valAx>
      <c:catAx>
        <c:axId val="710549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105177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AFAFA"/>
    </a:solidFill>
    <a:ln w="9525" cap="flat" cmpd="sng" algn="ctr">
      <a:solidFill>
        <a:srgbClr val="E0E0E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33617</xdr:colOff>
      <xdr:row>26</xdr:row>
      <xdr:rowOff>106082</xdr:rowOff>
    </xdr:from>
    <xdr:to>
      <xdr:col>7</xdr:col>
      <xdr:colOff>791882</xdr:colOff>
      <xdr:row>36</xdr:row>
      <xdr:rowOff>166593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1E43A9C-2309-DE0E-6CC2-C49CD032D8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119529</xdr:colOff>
      <xdr:row>27</xdr:row>
      <xdr:rowOff>91141</xdr:rowOff>
    </xdr:from>
    <xdr:to>
      <xdr:col>19</xdr:col>
      <xdr:colOff>59764</xdr:colOff>
      <xdr:row>37</xdr:row>
      <xdr:rowOff>151652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D1C617A-CBC5-1338-949F-FC5675BDAD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114300</xdr:colOff>
      <xdr:row>19</xdr:row>
      <xdr:rowOff>215900</xdr:rowOff>
    </xdr:from>
    <xdr:to>
      <xdr:col>20</xdr:col>
      <xdr:colOff>622300</xdr:colOff>
      <xdr:row>22</xdr:row>
      <xdr:rowOff>495300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32C40E-5E85-C7FA-08BC-9B1F63FF34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127000</xdr:colOff>
      <xdr:row>14</xdr:row>
      <xdr:rowOff>190500</xdr:rowOff>
    </xdr:from>
    <xdr:to>
      <xdr:col>20</xdr:col>
      <xdr:colOff>571500</xdr:colOff>
      <xdr:row>19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4DD615-0D51-A818-1B46-53B9DEF3DA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698A7D1-D00D-924D-95D9-90230EACC01A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FD50F-049C-5B46-8974-AEA2FCEC0432}">
  <dimension ref="A1:F28"/>
  <sheetViews>
    <sheetView workbookViewId="0">
      <selection activeCell="F33" sqref="F33"/>
    </sheetView>
  </sheetViews>
  <sheetFormatPr baseColWidth="10" defaultRowHeight="16" x14ac:dyDescent="0.2"/>
  <cols>
    <col min="1" max="5" width="10.83203125" style="1"/>
    <col min="6" max="6" width="91.33203125" style="1" customWidth="1"/>
    <col min="7" max="16384" width="10.83203125" style="1"/>
  </cols>
  <sheetData>
    <row r="1" spans="1:6" x14ac:dyDescent="0.2">
      <c r="A1" s="6"/>
      <c r="B1" s="6"/>
      <c r="C1" s="6"/>
      <c r="D1" s="6"/>
      <c r="E1" s="6"/>
      <c r="F1" s="6"/>
    </row>
    <row r="2" spans="1:6" x14ac:dyDescent="0.2">
      <c r="A2" s="6"/>
      <c r="B2" s="6"/>
      <c r="C2" s="6"/>
      <c r="D2" s="6"/>
      <c r="E2" s="6"/>
      <c r="F2" s="6"/>
    </row>
    <row r="3" spans="1:6" x14ac:dyDescent="0.2">
      <c r="A3" s="6"/>
      <c r="B3" s="6"/>
      <c r="C3" s="6"/>
      <c r="D3" s="6"/>
      <c r="E3" s="6"/>
      <c r="F3" s="6"/>
    </row>
    <row r="4" spans="1:6" x14ac:dyDescent="0.2">
      <c r="A4" s="6"/>
      <c r="B4" s="6"/>
      <c r="C4" s="6"/>
      <c r="D4" s="6"/>
      <c r="E4" s="6"/>
      <c r="F4" s="6"/>
    </row>
    <row r="5" spans="1:6" x14ac:dyDescent="0.2">
      <c r="A5" s="6"/>
      <c r="B5" s="6"/>
      <c r="C5" s="6"/>
      <c r="D5" s="6"/>
      <c r="E5" s="6"/>
      <c r="F5" s="6"/>
    </row>
    <row r="7" spans="1:6" ht="47" x14ac:dyDescent="0.55000000000000004">
      <c r="E7" s="200" t="s">
        <v>411</v>
      </c>
    </row>
    <row r="9" spans="1:6" ht="37" x14ac:dyDescent="0.45">
      <c r="E9" s="201" t="s">
        <v>3</v>
      </c>
    </row>
    <row r="10" spans="1:6" ht="19" x14ac:dyDescent="0.25">
      <c r="E10" s="213" t="s">
        <v>412</v>
      </c>
    </row>
    <row r="11" spans="1:6" x14ac:dyDescent="0.2">
      <c r="A11" s="202"/>
      <c r="B11" s="202"/>
      <c r="C11" s="202"/>
      <c r="D11" s="202"/>
      <c r="E11" s="202"/>
      <c r="F11" s="202"/>
    </row>
    <row r="13" spans="1:6" ht="22" x14ac:dyDescent="0.3">
      <c r="E13" s="203" t="s">
        <v>413</v>
      </c>
    </row>
    <row r="15" spans="1:6" x14ac:dyDescent="0.2">
      <c r="E15" s="204" t="s">
        <v>467</v>
      </c>
    </row>
    <row r="16" spans="1:6" x14ac:dyDescent="0.2">
      <c r="E16" s="204" t="s">
        <v>468</v>
      </c>
    </row>
    <row r="17" spans="1:6" x14ac:dyDescent="0.2">
      <c r="E17" s="204" t="s">
        <v>469</v>
      </c>
    </row>
    <row r="19" spans="1:6" ht="22" x14ac:dyDescent="0.3">
      <c r="E19" s="203" t="s">
        <v>414</v>
      </c>
    </row>
    <row r="21" spans="1:6" ht="32" x14ac:dyDescent="0.4">
      <c r="E21" s="214" t="s">
        <v>415</v>
      </c>
    </row>
    <row r="24" spans="1:6" x14ac:dyDescent="0.2">
      <c r="E24" s="215">
        <v>46082</v>
      </c>
    </row>
    <row r="26" spans="1:6" x14ac:dyDescent="0.2">
      <c r="E26" s="205"/>
    </row>
    <row r="27" spans="1:6" x14ac:dyDescent="0.2">
      <c r="E27" s="206"/>
    </row>
    <row r="28" spans="1:6" x14ac:dyDescent="0.2">
      <c r="A28" s="6"/>
      <c r="B28" s="6"/>
      <c r="C28" s="6"/>
      <c r="D28" s="6"/>
      <c r="E28" s="6"/>
      <c r="F28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D9C77-5508-1849-97DF-16A13BC2BFF1}">
  <dimension ref="A1:F19"/>
  <sheetViews>
    <sheetView workbookViewId="0">
      <selection activeCell="H7" sqref="H7"/>
    </sheetView>
  </sheetViews>
  <sheetFormatPr baseColWidth="10" defaultRowHeight="16" x14ac:dyDescent="0.2"/>
  <cols>
    <col min="1" max="2" width="10.83203125" style="1"/>
    <col min="3" max="3" width="23" style="1" customWidth="1"/>
    <col min="4" max="4" width="33.5" style="1" customWidth="1"/>
    <col min="5" max="16384" width="10.83203125" style="1"/>
  </cols>
  <sheetData>
    <row r="1" spans="1:6" x14ac:dyDescent="0.2">
      <c r="A1" s="6"/>
      <c r="B1" s="6"/>
      <c r="C1" s="6"/>
      <c r="D1" s="6"/>
      <c r="E1" s="6"/>
      <c r="F1" s="6"/>
    </row>
    <row r="2" spans="1:6" x14ac:dyDescent="0.2">
      <c r="A2" s="6"/>
      <c r="B2" s="6"/>
      <c r="C2" s="6"/>
      <c r="D2" s="6"/>
      <c r="E2" s="6"/>
      <c r="F2" s="6"/>
    </row>
    <row r="3" spans="1:6" ht="32" x14ac:dyDescent="0.4">
      <c r="C3" s="207" t="s">
        <v>416</v>
      </c>
    </row>
    <row r="4" spans="1:6" x14ac:dyDescent="0.2">
      <c r="B4" s="202"/>
      <c r="C4" s="202"/>
      <c r="D4" s="202"/>
      <c r="E4" s="202"/>
      <c r="F4" s="202"/>
    </row>
    <row r="6" spans="1:6" x14ac:dyDescent="0.2">
      <c r="B6" s="208" t="s">
        <v>417</v>
      </c>
      <c r="C6" s="208" t="s">
        <v>331</v>
      </c>
      <c r="D6" s="208" t="s">
        <v>418</v>
      </c>
    </row>
    <row r="7" spans="1:6" ht="49" customHeight="1" x14ac:dyDescent="0.2">
      <c r="B7" s="291">
        <v>1</v>
      </c>
      <c r="C7" s="294" t="s">
        <v>419</v>
      </c>
      <c r="D7" s="297" t="s">
        <v>420</v>
      </c>
    </row>
    <row r="8" spans="1:6" ht="52" customHeight="1" x14ac:dyDescent="0.2">
      <c r="B8" s="292">
        <v>2</v>
      </c>
      <c r="C8" s="295" t="s">
        <v>421</v>
      </c>
      <c r="D8" s="298" t="s">
        <v>422</v>
      </c>
    </row>
    <row r="9" spans="1:6" ht="52" customHeight="1" x14ac:dyDescent="0.2">
      <c r="B9" s="291">
        <v>3</v>
      </c>
      <c r="C9" s="294" t="s">
        <v>423</v>
      </c>
      <c r="D9" s="297" t="s">
        <v>424</v>
      </c>
    </row>
    <row r="10" spans="1:6" ht="52" customHeight="1" x14ac:dyDescent="0.2">
      <c r="B10" s="292">
        <v>4</v>
      </c>
      <c r="C10" s="295" t="s">
        <v>425</v>
      </c>
      <c r="D10" s="298" t="s">
        <v>426</v>
      </c>
    </row>
    <row r="11" spans="1:6" ht="52" customHeight="1" x14ac:dyDescent="0.2">
      <c r="B11" s="291">
        <v>5</v>
      </c>
      <c r="C11" s="294" t="s">
        <v>427</v>
      </c>
      <c r="D11" s="297" t="s">
        <v>428</v>
      </c>
    </row>
    <row r="12" spans="1:6" ht="52" customHeight="1" x14ac:dyDescent="0.2">
      <c r="B12" s="292">
        <v>6</v>
      </c>
      <c r="C12" s="295" t="s">
        <v>429</v>
      </c>
      <c r="D12" s="298" t="s">
        <v>430</v>
      </c>
    </row>
    <row r="13" spans="1:6" ht="52" customHeight="1" x14ac:dyDescent="0.2">
      <c r="B13" s="291">
        <v>7</v>
      </c>
      <c r="C13" s="294" t="s">
        <v>431</v>
      </c>
      <c r="D13" s="297" t="s">
        <v>432</v>
      </c>
    </row>
    <row r="14" spans="1:6" ht="52" customHeight="1" x14ac:dyDescent="0.2">
      <c r="B14" s="292">
        <v>8</v>
      </c>
      <c r="C14" s="295" t="s">
        <v>433</v>
      </c>
      <c r="D14" s="298" t="s">
        <v>434</v>
      </c>
    </row>
    <row r="15" spans="1:6" ht="53" customHeight="1" x14ac:dyDescent="0.2">
      <c r="B15" s="291">
        <v>9</v>
      </c>
      <c r="C15" s="294" t="s">
        <v>435</v>
      </c>
      <c r="D15" s="297" t="s">
        <v>436</v>
      </c>
    </row>
    <row r="16" spans="1:6" ht="53" customHeight="1" x14ac:dyDescent="0.2">
      <c r="B16" s="293">
        <v>10</v>
      </c>
      <c r="C16" s="296" t="s">
        <v>437</v>
      </c>
      <c r="D16" s="299" t="s">
        <v>438</v>
      </c>
    </row>
    <row r="19" spans="3:3" x14ac:dyDescent="0.2">
      <c r="C19" s="209" t="s">
        <v>439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5D914-376F-B14F-914C-8EE942CB4975}">
  <dimension ref="A1:AB61"/>
  <sheetViews>
    <sheetView zoomScale="75" workbookViewId="0">
      <selection activeCell="AA15" sqref="AA15"/>
    </sheetView>
  </sheetViews>
  <sheetFormatPr baseColWidth="10" defaultRowHeight="16" x14ac:dyDescent="0.2"/>
  <cols>
    <col min="1" max="1" width="10.83203125" style="1"/>
    <col min="2" max="2" width="14.83203125" style="1" customWidth="1"/>
    <col min="3" max="3" width="13.83203125" style="1" customWidth="1"/>
    <col min="4" max="4" width="10.83203125" style="1"/>
    <col min="5" max="5" width="15" style="1" customWidth="1"/>
    <col min="6" max="6" width="9.1640625" style="1" customWidth="1"/>
    <col min="7" max="7" width="13.83203125" style="1" customWidth="1"/>
    <col min="8" max="16384" width="10.83203125" style="1"/>
  </cols>
  <sheetData>
    <row r="1" spans="1:23" x14ac:dyDescent="0.2">
      <c r="A1" s="38"/>
      <c r="B1" s="331" t="s">
        <v>470</v>
      </c>
      <c r="C1" s="331"/>
      <c r="D1" s="331"/>
      <c r="E1" s="331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331" t="s">
        <v>471</v>
      </c>
      <c r="R1" s="331"/>
      <c r="S1" s="246"/>
      <c r="T1" s="246"/>
      <c r="U1" s="246"/>
      <c r="V1" s="246"/>
      <c r="W1" s="246"/>
    </row>
    <row r="2" spans="1:23" x14ac:dyDescent="0.2">
      <c r="A2" s="38"/>
      <c r="B2" s="331"/>
      <c r="C2" s="331"/>
      <c r="D2" s="331"/>
      <c r="E2" s="331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  <c r="Q2" s="331"/>
      <c r="R2" s="331"/>
      <c r="S2" s="246"/>
      <c r="T2" s="246"/>
      <c r="U2" s="246"/>
      <c r="V2" s="246"/>
      <c r="W2" s="246"/>
    </row>
    <row r="3" spans="1:23" x14ac:dyDescent="0.2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</row>
    <row r="4" spans="1:23" x14ac:dyDescent="0.2">
      <c r="A4" s="38"/>
      <c r="B4" s="262" t="s">
        <v>472</v>
      </c>
      <c r="C4" s="263"/>
      <c r="D4" s="38"/>
      <c r="E4" s="38"/>
      <c r="F4" s="267" t="s">
        <v>474</v>
      </c>
      <c r="G4" s="263"/>
      <c r="H4" s="38"/>
      <c r="I4" s="38"/>
      <c r="J4" s="270" t="s">
        <v>476</v>
      </c>
      <c r="K4" s="271"/>
      <c r="L4" s="38"/>
      <c r="M4" s="38"/>
      <c r="N4" s="38"/>
      <c r="O4" s="270" t="s">
        <v>478</v>
      </c>
      <c r="P4" s="271"/>
      <c r="Q4" s="38"/>
      <c r="R4" s="38"/>
      <c r="S4" s="270" t="s">
        <v>480</v>
      </c>
      <c r="T4" s="271"/>
      <c r="U4" s="38"/>
    </row>
    <row r="5" spans="1:23" ht="38" x14ac:dyDescent="0.5">
      <c r="A5" s="38"/>
      <c r="B5" s="249" t="s">
        <v>507</v>
      </c>
      <c r="C5" s="248"/>
      <c r="D5" s="38"/>
      <c r="E5" s="38"/>
      <c r="F5" s="266" t="s">
        <v>505</v>
      </c>
      <c r="G5" s="248"/>
      <c r="H5" s="38"/>
      <c r="I5" s="38"/>
      <c r="J5" s="269" t="s">
        <v>508</v>
      </c>
      <c r="K5" s="252"/>
      <c r="L5" s="38"/>
      <c r="M5" s="38"/>
      <c r="N5" s="38"/>
      <c r="O5" s="269" t="s">
        <v>506</v>
      </c>
      <c r="P5" s="252"/>
      <c r="Q5" s="38"/>
      <c r="R5" s="38"/>
      <c r="S5" s="269" t="s">
        <v>306</v>
      </c>
      <c r="T5" s="252"/>
      <c r="U5" s="38"/>
    </row>
    <row r="6" spans="1:23" x14ac:dyDescent="0.2">
      <c r="A6" s="38"/>
      <c r="B6" s="264" t="s">
        <v>473</v>
      </c>
      <c r="C6" s="265"/>
      <c r="D6" s="38"/>
      <c r="E6" s="38"/>
      <c r="F6" s="268" t="s">
        <v>475</v>
      </c>
      <c r="G6" s="265"/>
      <c r="H6" s="38"/>
      <c r="I6" s="38"/>
      <c r="J6" s="272" t="s">
        <v>477</v>
      </c>
      <c r="K6" s="273"/>
      <c r="L6" s="38"/>
      <c r="M6" s="38"/>
      <c r="N6" s="38"/>
      <c r="O6" s="272" t="s">
        <v>479</v>
      </c>
      <c r="P6" s="273"/>
      <c r="Q6" s="38"/>
      <c r="R6" s="38"/>
      <c r="S6" s="272" t="s">
        <v>481</v>
      </c>
      <c r="T6" s="273"/>
      <c r="U6" s="38"/>
    </row>
    <row r="7" spans="1:23" x14ac:dyDescent="0.2">
      <c r="A7" s="38"/>
      <c r="B7" s="216"/>
      <c r="C7" s="216"/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6"/>
      <c r="T7" s="216"/>
      <c r="U7" s="216"/>
    </row>
    <row r="8" spans="1:23" x14ac:dyDescent="0.2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</row>
    <row r="9" spans="1:23" x14ac:dyDescent="0.2">
      <c r="A9" s="38"/>
      <c r="B9" s="247" t="s">
        <v>482</v>
      </c>
      <c r="C9" s="246"/>
      <c r="D9" s="246"/>
      <c r="E9" s="246"/>
      <c r="F9" s="246"/>
      <c r="G9" s="246"/>
      <c r="H9" s="246"/>
      <c r="I9" s="246"/>
      <c r="J9" s="246"/>
      <c r="K9" s="38"/>
      <c r="L9" s="38"/>
      <c r="M9" s="247" t="s">
        <v>483</v>
      </c>
      <c r="N9" s="246"/>
      <c r="O9" s="246"/>
      <c r="P9" s="246"/>
      <c r="Q9" s="246"/>
      <c r="R9" s="246"/>
      <c r="S9" s="246"/>
      <c r="T9" s="246"/>
      <c r="U9" s="246"/>
      <c r="V9" s="246"/>
    </row>
    <row r="10" spans="1:23" ht="17" thickBot="1" x14ac:dyDescent="0.25">
      <c r="A10" s="38"/>
      <c r="B10" s="274"/>
      <c r="C10" s="275" t="s">
        <v>484</v>
      </c>
      <c r="D10" s="275" t="s">
        <v>485</v>
      </c>
      <c r="E10" s="275" t="s">
        <v>460</v>
      </c>
      <c r="F10" s="275" t="s">
        <v>461</v>
      </c>
      <c r="G10" s="275" t="s">
        <v>462</v>
      </c>
      <c r="H10" s="275" t="s">
        <v>463</v>
      </c>
      <c r="I10" s="275" t="s">
        <v>464</v>
      </c>
      <c r="J10" s="275" t="s">
        <v>486</v>
      </c>
      <c r="K10" s="38"/>
      <c r="L10" s="38"/>
      <c r="M10" s="274" t="s">
        <v>488</v>
      </c>
      <c r="N10" s="276"/>
      <c r="O10" s="277" t="s">
        <v>151</v>
      </c>
      <c r="P10" s="277" t="s">
        <v>152</v>
      </c>
      <c r="Q10" s="277" t="s">
        <v>153</v>
      </c>
      <c r="R10" s="277" t="s">
        <v>450</v>
      </c>
      <c r="S10" s="277" t="s">
        <v>451</v>
      </c>
      <c r="T10" s="276"/>
      <c r="U10" s="276"/>
      <c r="V10" s="276"/>
    </row>
    <row r="11" spans="1:23" x14ac:dyDescent="0.2">
      <c r="A11" s="38"/>
      <c r="B11" s="253" t="s">
        <v>183</v>
      </c>
      <c r="C11" s="254">
        <f>'Historical Financials'!D10</f>
        <v>5628.0848980000001</v>
      </c>
      <c r="D11" s="254">
        <f>'Historical Financials'!E10</f>
        <v>6833.8038489999999</v>
      </c>
      <c r="E11" s="254">
        <f>'Historical Financials'!F10</f>
        <v>6477.495347</v>
      </c>
      <c r="F11" s="254">
        <f>'Operating Model'!H13</f>
        <v>7124.9261250000009</v>
      </c>
      <c r="G11" s="254">
        <f>'Operating Model'!I13</f>
        <v>7837.0106550000019</v>
      </c>
      <c r="H11" s="254">
        <f>'Operating Model'!J13</f>
        <v>8620.2165804000015</v>
      </c>
      <c r="I11" s="254">
        <f>'Operating Model'!K13</f>
        <v>9309.3967688580033</v>
      </c>
      <c r="J11" s="254">
        <f>'Operating Model'!L13</f>
        <v>9774.5693534785842</v>
      </c>
      <c r="K11" s="38"/>
      <c r="L11" s="38"/>
      <c r="M11" s="253" t="s">
        <v>285</v>
      </c>
      <c r="N11" s="255"/>
      <c r="O11" s="258">
        <f>'Returns '!G8</f>
        <v>2.2001681803505977</v>
      </c>
      <c r="P11" s="258">
        <f>'Returns '!G9</f>
        <v>2.3294138593843186</v>
      </c>
      <c r="Q11" s="259">
        <f>'Returns '!G10</f>
        <v>2.4041595261008615</v>
      </c>
      <c r="R11" s="258">
        <f>'Returns '!G11</f>
        <v>2.6359923239103393</v>
      </c>
      <c r="S11" s="258">
        <f>'Returns '!G12</f>
        <v>2.8420707870890243</v>
      </c>
      <c r="T11" s="250"/>
      <c r="U11" s="250"/>
      <c r="V11" s="250"/>
    </row>
    <row r="12" spans="1:23" x14ac:dyDescent="0.2">
      <c r="A12" s="38"/>
      <c r="B12" s="253" t="s">
        <v>114</v>
      </c>
      <c r="C12" s="254">
        <f>'Historical Financials'!D23</f>
        <v>2463.900169</v>
      </c>
      <c r="D12" s="254">
        <f>'Historical Financials'!E23</f>
        <v>3038.9594239999997</v>
      </c>
      <c r="E12" s="254">
        <f>'Historical Financials'!F23</f>
        <v>3079.0114150000004</v>
      </c>
      <c r="F12" s="254">
        <f>'Operating Model'!H41</f>
        <v>2572.6204905894001</v>
      </c>
      <c r="G12" s="254">
        <f>'Operating Model'!I41</f>
        <v>2759.2020960639848</v>
      </c>
      <c r="H12" s="254">
        <f>'Operating Model'!J41</f>
        <v>2965.9862474249981</v>
      </c>
      <c r="I12" s="254">
        <f>'Operating Model'!K41</f>
        <v>3137.9489623377121</v>
      </c>
      <c r="J12" s="254">
        <f>'Operating Model'!L41</f>
        <v>3245.8733673644501</v>
      </c>
      <c r="K12" s="38"/>
      <c r="L12" s="38"/>
      <c r="M12" s="253" t="s">
        <v>286</v>
      </c>
      <c r="N12" s="255"/>
      <c r="O12" s="260">
        <f>'Returns '!H8</f>
        <v>0.30062458751078136</v>
      </c>
      <c r="P12" s="260">
        <f>'Returns '!H9</f>
        <v>0.23541156843730149</v>
      </c>
      <c r="Q12" s="261">
        <f>'Returns '!H10</f>
        <v>0.19177056920292124</v>
      </c>
      <c r="R12" s="260">
        <f>'Returns '!H11</f>
        <v>0.17532332987271282</v>
      </c>
      <c r="S12" s="260">
        <f>'Returns '!H12</f>
        <v>0.16092719395697697</v>
      </c>
      <c r="T12" s="250"/>
      <c r="U12" s="250"/>
      <c r="V12" s="251"/>
    </row>
    <row r="13" spans="1:23" x14ac:dyDescent="0.2">
      <c r="A13" s="38"/>
      <c r="B13" s="255" t="s">
        <v>449</v>
      </c>
      <c r="C13" s="256">
        <f t="shared" ref="C13:J13" si="0">C12/C11</f>
        <v>0.43778660301936334</v>
      </c>
      <c r="D13" s="256">
        <f t="shared" si="0"/>
        <v>0.44469514945833494</v>
      </c>
      <c r="E13" s="256">
        <f t="shared" si="0"/>
        <v>0.47533981115494273</v>
      </c>
      <c r="F13" s="256">
        <f t="shared" si="0"/>
        <v>0.36107328629872631</v>
      </c>
      <c r="G13" s="256">
        <f t="shared" si="0"/>
        <v>0.35207328629872636</v>
      </c>
      <c r="H13" s="256">
        <f t="shared" si="0"/>
        <v>0.34407328629872641</v>
      </c>
      <c r="I13" s="256">
        <f t="shared" si="0"/>
        <v>0.3370732862987264</v>
      </c>
      <c r="J13" s="256">
        <f t="shared" si="0"/>
        <v>0.33207328629872634</v>
      </c>
      <c r="K13" s="38"/>
      <c r="L13" s="38"/>
      <c r="M13" s="278" t="s">
        <v>489</v>
      </c>
      <c r="N13" s="255"/>
      <c r="O13" s="286" t="s">
        <v>465</v>
      </c>
      <c r="P13" s="255"/>
      <c r="Q13" s="287">
        <f>'Exit Assumptions'!C29</f>
        <v>24332.625629512135</v>
      </c>
      <c r="R13" s="255"/>
      <c r="S13" s="286" t="s">
        <v>466</v>
      </c>
      <c r="T13" s="250"/>
      <c r="U13" s="287">
        <f>'Exit Assumptions'!C30</f>
        <v>70855.342776870166</v>
      </c>
      <c r="V13" s="251"/>
    </row>
    <row r="14" spans="1:23" x14ac:dyDescent="0.2">
      <c r="A14" s="38"/>
      <c r="B14" s="255" t="s">
        <v>487</v>
      </c>
      <c r="C14" s="257" t="s">
        <v>448</v>
      </c>
      <c r="D14" s="256">
        <f t="shared" ref="D14:J14" si="1">D11/C11-1</f>
        <v>0.21423254496897592</v>
      </c>
      <c r="E14" s="256">
        <f t="shared" si="1"/>
        <v>-5.2139117521223355E-2</v>
      </c>
      <c r="F14" s="256">
        <f t="shared" si="1"/>
        <v>9.9950790130610256E-2</v>
      </c>
      <c r="G14" s="256">
        <f t="shared" si="1"/>
        <v>9.9942724669303207E-2</v>
      </c>
      <c r="H14" s="256">
        <f t="shared" si="1"/>
        <v>9.993682028495332E-2</v>
      </c>
      <c r="I14" s="256">
        <f t="shared" si="1"/>
        <v>7.9949289212176922E-2</v>
      </c>
      <c r="J14" s="256">
        <f t="shared" si="1"/>
        <v>4.9968069486165501E-2</v>
      </c>
      <c r="K14" s="38"/>
      <c r="L14" s="38"/>
      <c r="M14" s="255"/>
      <c r="N14" s="255"/>
      <c r="O14" s="286" t="s">
        <v>490</v>
      </c>
      <c r="P14" s="255"/>
      <c r="Q14" s="288">
        <f>'Exit Assumptions'!C28</f>
        <v>-9217.6450169520358</v>
      </c>
      <c r="R14" s="255"/>
      <c r="S14" s="289" t="s">
        <v>491</v>
      </c>
      <c r="T14" s="245"/>
      <c r="U14" s="290">
        <f>'Exit Assumptions'!C31</f>
        <v>85970.323389430268</v>
      </c>
      <c r="V14" s="251"/>
    </row>
    <row r="15" spans="1:23" x14ac:dyDescent="0.2">
      <c r="A15" s="38"/>
      <c r="B15" s="255"/>
      <c r="C15" s="255"/>
      <c r="D15" s="255"/>
      <c r="E15" s="255"/>
      <c r="F15" s="255"/>
      <c r="G15" s="255"/>
      <c r="H15" s="255"/>
      <c r="I15" s="255"/>
      <c r="J15" s="255"/>
      <c r="K15" s="38"/>
      <c r="L15" s="38"/>
      <c r="M15" s="255"/>
      <c r="N15" s="255"/>
      <c r="O15" s="255"/>
      <c r="P15" s="255"/>
      <c r="Q15" s="255"/>
      <c r="R15" s="255"/>
      <c r="S15" s="255"/>
      <c r="T15" s="255"/>
      <c r="U15" s="255"/>
      <c r="V15" s="251"/>
      <c r="W15" s="38"/>
    </row>
    <row r="16" spans="1:23" x14ac:dyDescent="0.2">
      <c r="A16" s="38"/>
      <c r="B16" s="247" t="s">
        <v>492</v>
      </c>
      <c r="C16" s="246"/>
      <c r="D16" s="246"/>
      <c r="E16" s="246"/>
      <c r="F16" s="38"/>
      <c r="G16" s="247" t="s">
        <v>493</v>
      </c>
      <c r="H16" s="246"/>
      <c r="I16" s="246"/>
      <c r="J16" s="246"/>
      <c r="K16" s="246"/>
      <c r="L16" s="38"/>
      <c r="M16" s="250"/>
      <c r="N16" s="247" t="s">
        <v>494</v>
      </c>
      <c r="O16" s="246"/>
      <c r="P16" s="246"/>
      <c r="Q16" s="250"/>
      <c r="R16" s="250"/>
      <c r="S16" s="250"/>
      <c r="T16" s="250"/>
      <c r="U16" s="250"/>
      <c r="V16" s="251"/>
    </row>
    <row r="17" spans="1:22" ht="45" customHeight="1" x14ac:dyDescent="0.2">
      <c r="A17" s="38"/>
      <c r="B17" s="279" t="s">
        <v>440</v>
      </c>
      <c r="C17" s="279"/>
      <c r="D17" s="279" t="s">
        <v>442</v>
      </c>
      <c r="E17" s="279"/>
      <c r="F17" s="38"/>
      <c r="G17" s="317" t="s">
        <v>447</v>
      </c>
      <c r="H17" s="317"/>
      <c r="I17" s="317" t="s">
        <v>148</v>
      </c>
      <c r="J17" s="317"/>
      <c r="K17" s="317" t="s">
        <v>154</v>
      </c>
      <c r="L17" s="38"/>
      <c r="M17" s="250"/>
      <c r="N17" s="282" t="s">
        <v>498</v>
      </c>
      <c r="O17" s="319" t="s">
        <v>501</v>
      </c>
      <c r="P17" s="319"/>
      <c r="Q17" s="250"/>
      <c r="R17" s="250"/>
      <c r="S17" s="250"/>
      <c r="T17" s="250"/>
      <c r="U17" s="250"/>
      <c r="V17" s="251"/>
    </row>
    <row r="18" spans="1:22" ht="45" customHeight="1" x14ac:dyDescent="0.2">
      <c r="A18" s="38"/>
      <c r="B18" s="300" t="s">
        <v>29</v>
      </c>
      <c r="C18" s="304">
        <f>'Entry Assumptions'!G9</f>
        <v>8313.08</v>
      </c>
      <c r="D18" s="300" t="s">
        <v>37</v>
      </c>
      <c r="E18" s="304">
        <f>'Entry Assumptions'!K7</f>
        <v>42095.28</v>
      </c>
      <c r="F18" s="38"/>
      <c r="G18" s="308" t="s">
        <v>61</v>
      </c>
      <c r="H18" s="308"/>
      <c r="I18" s="309">
        <f>'Entry Assumptions'!G32</f>
        <v>5.5</v>
      </c>
      <c r="J18" s="308"/>
      <c r="K18" s="309">
        <f>'Debt Schedule'!H46/'Operating Model'!L41</f>
        <v>3.3950217053192517</v>
      </c>
      <c r="L18" s="38"/>
      <c r="M18" s="250"/>
      <c r="N18" s="284" t="s">
        <v>498</v>
      </c>
      <c r="O18" s="320" t="s">
        <v>509</v>
      </c>
      <c r="P18" s="320"/>
      <c r="Q18" s="250"/>
      <c r="R18" s="250"/>
      <c r="S18" s="250"/>
      <c r="T18" s="250"/>
      <c r="U18" s="250"/>
      <c r="V18" s="251"/>
    </row>
    <row r="19" spans="1:22" ht="45" customHeight="1" x14ac:dyDescent="0.2">
      <c r="A19" s="38"/>
      <c r="B19" s="301" t="s">
        <v>441</v>
      </c>
      <c r="C19" s="305">
        <f>'Entry Assumptions'!G10</f>
        <v>3117.4049999999997</v>
      </c>
      <c r="D19" s="301" t="s">
        <v>443</v>
      </c>
      <c r="E19" s="305">
        <f>'Entry Assumptions'!K8</f>
        <v>2124.29</v>
      </c>
      <c r="F19" s="38"/>
      <c r="G19" s="310" t="s">
        <v>405</v>
      </c>
      <c r="H19" s="310"/>
      <c r="I19" s="311">
        <f>('Entry Assumptions'!G9+'Entry Assumptions'!G10-'Historical Financials'!F43)/'Entry Assumptions'!C23</f>
        <v>3.8824142195191191</v>
      </c>
      <c r="J19" s="310"/>
      <c r="K19" s="311">
        <f>'Exit Assumptions'!C17/'Exit Assumptions'!C12</f>
        <v>-7.7221822418852897</v>
      </c>
      <c r="L19" s="38"/>
      <c r="M19" s="250"/>
      <c r="N19" s="285" t="s">
        <v>498</v>
      </c>
      <c r="O19" s="319" t="s">
        <v>502</v>
      </c>
      <c r="P19" s="319"/>
      <c r="Q19" s="250"/>
      <c r="R19" s="250"/>
      <c r="S19" s="250"/>
      <c r="T19" s="250"/>
      <c r="U19" s="250"/>
      <c r="V19" s="251"/>
    </row>
    <row r="20" spans="1:22" ht="45" customHeight="1" x14ac:dyDescent="0.2">
      <c r="A20" s="38"/>
      <c r="B20" s="302" t="s">
        <v>34</v>
      </c>
      <c r="C20" s="306">
        <f>'Entry Assumptions'!G16</f>
        <v>34359.632100000003</v>
      </c>
      <c r="D20" s="302" t="s">
        <v>495</v>
      </c>
      <c r="E20" s="306">
        <f>'Entry Assumptions'!K9+'Entry Assumptions'!K10+'Entry Assumptions'!K11</f>
        <v>1570.5471000000002</v>
      </c>
      <c r="F20" s="38"/>
      <c r="G20" s="312" t="s">
        <v>445</v>
      </c>
      <c r="H20" s="312"/>
      <c r="I20" s="313">
        <f>'Entry Assumptions'!G34</f>
        <v>2.4015369836695486</v>
      </c>
      <c r="J20" s="312"/>
      <c r="K20" s="313">
        <f>'Operating Model'!L41/'Debt Schedule'!H48</f>
        <v>3.8735950439293698</v>
      </c>
      <c r="L20" s="38"/>
      <c r="M20" s="250"/>
      <c r="N20" s="284" t="s">
        <v>498</v>
      </c>
      <c r="O20" s="320" t="s">
        <v>510</v>
      </c>
      <c r="P20" s="320"/>
      <c r="Q20" s="250"/>
      <c r="R20" s="250"/>
      <c r="S20" s="250"/>
      <c r="T20" s="250"/>
      <c r="U20" s="250"/>
      <c r="V20" s="251"/>
    </row>
    <row r="21" spans="1:22" ht="46" customHeight="1" thickBot="1" x14ac:dyDescent="0.25">
      <c r="A21" s="38"/>
      <c r="B21" s="303" t="s">
        <v>35</v>
      </c>
      <c r="C21" s="307">
        <f>'Entry Assumptions'!G18</f>
        <v>45790.117100000003</v>
      </c>
      <c r="D21" s="303" t="s">
        <v>43</v>
      </c>
      <c r="E21" s="307">
        <f>'Entry Assumptions'!K18</f>
        <v>45790.117100000003</v>
      </c>
      <c r="F21" s="38"/>
      <c r="G21" s="310" t="s">
        <v>446</v>
      </c>
      <c r="H21" s="310"/>
      <c r="I21" s="314">
        <f>'Entry Assumptions'!G16/'Entry Assumptions'!G18</f>
        <v>0.75037222606272824</v>
      </c>
      <c r="J21" s="310"/>
      <c r="K21" s="310" t="s">
        <v>448</v>
      </c>
      <c r="L21" s="38"/>
      <c r="M21" s="250"/>
      <c r="N21" s="285" t="s">
        <v>498</v>
      </c>
      <c r="O21" s="319" t="s">
        <v>503</v>
      </c>
      <c r="P21" s="319"/>
      <c r="Q21" s="250"/>
      <c r="R21" s="250"/>
      <c r="S21" s="250"/>
      <c r="T21" s="250"/>
      <c r="U21" s="250"/>
      <c r="V21" s="251"/>
    </row>
    <row r="22" spans="1:22" ht="45" customHeight="1" x14ac:dyDescent="0.2">
      <c r="A22" s="38"/>
      <c r="B22" s="280" t="s">
        <v>496</v>
      </c>
      <c r="C22" s="281"/>
      <c r="D22" s="281"/>
      <c r="E22" s="281"/>
      <c r="F22" s="38"/>
      <c r="G22" s="315" t="s">
        <v>497</v>
      </c>
      <c r="H22" s="315"/>
      <c r="I22" s="316">
        <f>'Entry Assumptions'!G9+'Entry Assumptions'!G10</f>
        <v>11430.485000000001</v>
      </c>
      <c r="J22" s="315"/>
      <c r="K22" s="316">
        <f>'Debt Schedule'!H46</f>
        <v>11019.810534919998</v>
      </c>
      <c r="L22" s="38"/>
      <c r="M22" s="250"/>
      <c r="N22" s="283" t="s">
        <v>498</v>
      </c>
      <c r="O22" s="320" t="s">
        <v>504</v>
      </c>
      <c r="P22" s="320"/>
      <c r="Q22" s="250"/>
      <c r="R22" s="250"/>
      <c r="S22" s="250"/>
      <c r="T22" s="250"/>
      <c r="U22" s="250"/>
      <c r="V22" s="251"/>
    </row>
    <row r="23" spans="1:22" ht="45" customHeight="1" x14ac:dyDescent="0.2">
      <c r="A23" s="38"/>
      <c r="B23" s="321"/>
      <c r="C23" s="321"/>
      <c r="D23" s="318"/>
      <c r="E23" s="321"/>
      <c r="F23" s="318"/>
      <c r="G23" s="321"/>
      <c r="H23" s="321"/>
      <c r="I23" s="318"/>
      <c r="J23" s="321"/>
      <c r="K23" s="318"/>
      <c r="L23" s="38"/>
      <c r="M23" s="250"/>
      <c r="N23" s="322"/>
      <c r="O23" s="323"/>
      <c r="P23" s="323"/>
      <c r="Q23" s="250"/>
      <c r="R23" s="250"/>
      <c r="S23" s="250"/>
      <c r="T23" s="250"/>
      <c r="U23" s="250"/>
      <c r="V23" s="251"/>
    </row>
    <row r="24" spans="1:22" x14ac:dyDescent="0.2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</row>
    <row r="25" spans="1:22" x14ac:dyDescent="0.2">
      <c r="A25" s="38"/>
      <c r="B25" s="246" t="s">
        <v>499</v>
      </c>
      <c r="C25" s="246"/>
      <c r="D25" s="246"/>
      <c r="E25" s="246"/>
      <c r="F25" s="38"/>
      <c r="G25" s="38"/>
      <c r="H25" s="38"/>
      <c r="I25" s="38"/>
      <c r="J25" s="38"/>
      <c r="K25" s="38"/>
      <c r="L25" s="38"/>
      <c r="M25" s="246" t="s">
        <v>500</v>
      </c>
      <c r="N25" s="246"/>
      <c r="O25" s="246"/>
      <c r="P25" s="246"/>
      <c r="Q25" s="38"/>
      <c r="R25" s="38"/>
      <c r="S25" s="38"/>
      <c r="T25" s="38"/>
      <c r="U25" s="38"/>
    </row>
    <row r="26" spans="1:22" x14ac:dyDescent="0.2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</row>
    <row r="27" spans="1:22" x14ac:dyDescent="0.2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</row>
    <row r="28" spans="1:22" x14ac:dyDescent="0.2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</row>
    <row r="29" spans="1:22" x14ac:dyDescent="0.2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</row>
    <row r="30" spans="1:22" x14ac:dyDescent="0.2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</row>
    <row r="31" spans="1:22" x14ac:dyDescent="0.2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</row>
    <row r="32" spans="1:22" x14ac:dyDescent="0.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</row>
    <row r="33" spans="1:28" x14ac:dyDescent="0.2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</row>
    <row r="34" spans="1:28" x14ac:dyDescent="0.2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</row>
    <row r="35" spans="1:28" x14ac:dyDescent="0.2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</row>
    <row r="36" spans="1:28" x14ac:dyDescent="0.2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</row>
    <row r="37" spans="1:28" x14ac:dyDescent="0.2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</row>
    <row r="38" spans="1:28" x14ac:dyDescent="0.2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</row>
    <row r="39" spans="1:28" x14ac:dyDescent="0.2">
      <c r="A39" s="38"/>
      <c r="B39" s="217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</row>
    <row r="40" spans="1:28" x14ac:dyDescent="0.2">
      <c r="A40" s="324"/>
      <c r="B40" s="324"/>
      <c r="C40" s="324"/>
      <c r="D40" s="324"/>
      <c r="E40" s="324"/>
      <c r="F40" s="324"/>
      <c r="G40" s="324"/>
      <c r="H40" s="324"/>
      <c r="I40" s="324"/>
      <c r="J40" s="324"/>
      <c r="K40" s="324"/>
      <c r="L40" s="324"/>
      <c r="M40" s="324"/>
      <c r="N40" s="324"/>
      <c r="O40" s="324"/>
      <c r="P40" s="324"/>
      <c r="Q40" s="324"/>
      <c r="R40" s="324"/>
      <c r="S40" s="324"/>
      <c r="T40" s="324"/>
      <c r="U40" s="324"/>
      <c r="V40" s="325"/>
      <c r="W40" s="325"/>
      <c r="X40" s="325"/>
      <c r="Y40" s="325"/>
      <c r="Z40" s="325"/>
      <c r="AA40" s="325"/>
      <c r="AB40" s="325"/>
    </row>
    <row r="41" spans="1:28" x14ac:dyDescent="0.2">
      <c r="A41" s="324"/>
      <c r="B41" s="326"/>
      <c r="C41" s="326" t="s">
        <v>484</v>
      </c>
      <c r="D41" s="326" t="s">
        <v>485</v>
      </c>
      <c r="E41" s="326" t="s">
        <v>460</v>
      </c>
      <c r="F41" s="326" t="s">
        <v>461</v>
      </c>
      <c r="G41" s="326" t="s">
        <v>462</v>
      </c>
      <c r="H41" s="326" t="s">
        <v>463</v>
      </c>
      <c r="I41" s="326" t="s">
        <v>464</v>
      </c>
      <c r="J41" s="326" t="s">
        <v>486</v>
      </c>
      <c r="K41" s="326"/>
      <c r="L41" s="326"/>
      <c r="M41" s="326"/>
      <c r="N41" s="326" t="s">
        <v>484</v>
      </c>
      <c r="O41" s="326" t="s">
        <v>485</v>
      </c>
      <c r="P41" s="326" t="s">
        <v>460</v>
      </c>
      <c r="Q41" s="326" t="s">
        <v>461</v>
      </c>
      <c r="R41" s="326" t="s">
        <v>462</v>
      </c>
      <c r="S41" s="326" t="s">
        <v>463</v>
      </c>
      <c r="T41" s="326" t="s">
        <v>464</v>
      </c>
      <c r="U41" s="326" t="s">
        <v>486</v>
      </c>
      <c r="V41" s="325"/>
      <c r="W41" s="327"/>
      <c r="X41" s="327" t="s">
        <v>151</v>
      </c>
      <c r="Y41" s="327" t="s">
        <v>152</v>
      </c>
      <c r="Z41" s="327" t="s">
        <v>153</v>
      </c>
      <c r="AA41" s="327" t="s">
        <v>450</v>
      </c>
      <c r="AB41" s="327" t="s">
        <v>451</v>
      </c>
    </row>
    <row r="42" spans="1:28" x14ac:dyDescent="0.2">
      <c r="A42" s="324"/>
      <c r="B42" s="326" t="s">
        <v>183</v>
      </c>
      <c r="C42" s="326">
        <f t="shared" ref="C42:J43" si="2">C11</f>
        <v>5628.0848980000001</v>
      </c>
      <c r="D42" s="326">
        <f t="shared" si="2"/>
        <v>6833.8038489999999</v>
      </c>
      <c r="E42" s="326">
        <f t="shared" si="2"/>
        <v>6477.495347</v>
      </c>
      <c r="F42" s="326">
        <f t="shared" si="2"/>
        <v>7124.9261250000009</v>
      </c>
      <c r="G42" s="326">
        <f t="shared" si="2"/>
        <v>7837.0106550000019</v>
      </c>
      <c r="H42" s="326">
        <f t="shared" si="2"/>
        <v>8620.2165804000015</v>
      </c>
      <c r="I42" s="326">
        <f t="shared" si="2"/>
        <v>9309.3967688580033</v>
      </c>
      <c r="J42" s="326">
        <f t="shared" si="2"/>
        <v>9774.5693534785842</v>
      </c>
      <c r="K42" s="326"/>
      <c r="L42" s="326"/>
      <c r="M42" s="326" t="s">
        <v>449</v>
      </c>
      <c r="N42" s="326">
        <f t="shared" ref="N42:U42" si="3">C13</f>
        <v>0.43778660301936334</v>
      </c>
      <c r="O42" s="326">
        <f t="shared" si="3"/>
        <v>0.44469514945833494</v>
      </c>
      <c r="P42" s="326">
        <f t="shared" si="3"/>
        <v>0.47533981115494273</v>
      </c>
      <c r="Q42" s="326">
        <f t="shared" si="3"/>
        <v>0.36107328629872631</v>
      </c>
      <c r="R42" s="326">
        <f t="shared" si="3"/>
        <v>0.35207328629872636</v>
      </c>
      <c r="S42" s="326">
        <f t="shared" si="3"/>
        <v>0.34407328629872641</v>
      </c>
      <c r="T42" s="326">
        <f t="shared" si="3"/>
        <v>0.3370732862987264</v>
      </c>
      <c r="U42" s="326">
        <f t="shared" si="3"/>
        <v>0.33207328629872634</v>
      </c>
      <c r="V42" s="325"/>
      <c r="W42" s="327" t="s">
        <v>285</v>
      </c>
      <c r="X42" s="328">
        <f>O11</f>
        <v>2.2001681803505977</v>
      </c>
      <c r="Y42" s="328">
        <f>P11</f>
        <v>2.3294138593843186</v>
      </c>
      <c r="Z42" s="328">
        <f>Q11</f>
        <v>2.4041595261008615</v>
      </c>
      <c r="AA42" s="328">
        <f>R11</f>
        <v>2.6359923239103393</v>
      </c>
      <c r="AB42" s="328">
        <f>S11</f>
        <v>2.8420707870890243</v>
      </c>
    </row>
    <row r="43" spans="1:28" x14ac:dyDescent="0.2">
      <c r="A43" s="324"/>
      <c r="B43" s="326" t="s">
        <v>114</v>
      </c>
      <c r="C43" s="326">
        <f t="shared" si="2"/>
        <v>2463.900169</v>
      </c>
      <c r="D43" s="326">
        <f t="shared" si="2"/>
        <v>3038.9594239999997</v>
      </c>
      <c r="E43" s="326">
        <f t="shared" si="2"/>
        <v>3079.0114150000004</v>
      </c>
      <c r="F43" s="326">
        <f t="shared" si="2"/>
        <v>2572.6204905894001</v>
      </c>
      <c r="G43" s="326">
        <f t="shared" si="2"/>
        <v>2759.2020960639848</v>
      </c>
      <c r="H43" s="326">
        <f t="shared" si="2"/>
        <v>2965.9862474249981</v>
      </c>
      <c r="I43" s="326">
        <f t="shared" si="2"/>
        <v>3137.9489623377121</v>
      </c>
      <c r="J43" s="326">
        <f t="shared" si="2"/>
        <v>3245.8733673644501</v>
      </c>
      <c r="K43" s="326"/>
      <c r="L43" s="326"/>
      <c r="M43" s="326"/>
      <c r="N43" s="326"/>
      <c r="O43" s="326"/>
      <c r="P43" s="326"/>
      <c r="Q43" s="326"/>
      <c r="R43" s="326"/>
      <c r="S43" s="326"/>
      <c r="T43" s="326"/>
      <c r="U43" s="326"/>
      <c r="V43" s="325"/>
      <c r="W43" s="327" t="s">
        <v>286</v>
      </c>
      <c r="X43" s="329">
        <f>O12</f>
        <v>0.30062458751078136</v>
      </c>
      <c r="Y43" s="329">
        <f>P12</f>
        <v>0.23541156843730149</v>
      </c>
      <c r="Z43" s="329">
        <f>Q12</f>
        <v>0.19177056920292124</v>
      </c>
      <c r="AA43" s="329">
        <f>R12</f>
        <v>0.17532332987271282</v>
      </c>
      <c r="AB43" s="329">
        <f>S12</f>
        <v>0.16092719395697697</v>
      </c>
    </row>
    <row r="44" spans="1:28" x14ac:dyDescent="0.2">
      <c r="A44" s="324"/>
      <c r="B44" s="326"/>
      <c r="C44" s="326"/>
      <c r="D44" s="326"/>
      <c r="E44" s="326"/>
      <c r="F44" s="326"/>
      <c r="G44" s="326"/>
      <c r="H44" s="326"/>
      <c r="I44" s="326"/>
      <c r="J44" s="326"/>
      <c r="K44" s="326"/>
      <c r="L44" s="326"/>
      <c r="M44" s="326"/>
      <c r="N44" s="326"/>
      <c r="O44" s="326"/>
      <c r="P44" s="326"/>
      <c r="Q44" s="326"/>
      <c r="R44" s="326"/>
      <c r="S44" s="326"/>
      <c r="T44" s="326"/>
      <c r="U44" s="326"/>
      <c r="V44" s="325"/>
      <c r="W44" s="325"/>
      <c r="X44" s="325"/>
      <c r="Y44" s="325"/>
      <c r="Z44" s="325"/>
      <c r="AA44" s="325"/>
      <c r="AB44" s="325"/>
    </row>
    <row r="45" spans="1:28" x14ac:dyDescent="0.2">
      <c r="A45" s="324"/>
      <c r="B45" s="330" t="s">
        <v>24</v>
      </c>
      <c r="C45" s="330" t="s">
        <v>25</v>
      </c>
      <c r="D45" s="330"/>
      <c r="E45" s="330" t="s">
        <v>444</v>
      </c>
      <c r="F45" s="330" t="s">
        <v>25</v>
      </c>
      <c r="G45" s="330"/>
      <c r="H45" s="330"/>
      <c r="I45" s="330"/>
      <c r="J45" s="330"/>
      <c r="K45" s="330"/>
      <c r="L45" s="330"/>
      <c r="M45" s="330"/>
      <c r="N45" s="330"/>
      <c r="O45" s="330"/>
      <c r="P45" s="330"/>
      <c r="Q45" s="330"/>
      <c r="R45" s="330"/>
      <c r="S45" s="330"/>
      <c r="T45" s="330"/>
      <c r="U45" s="330"/>
      <c r="V45" s="325"/>
      <c r="W45" s="327" t="s">
        <v>444</v>
      </c>
      <c r="X45" s="327" t="s">
        <v>511</v>
      </c>
      <c r="Y45" s="325"/>
      <c r="Z45" s="325"/>
      <c r="AA45" s="325"/>
      <c r="AB45" s="325"/>
    </row>
    <row r="46" spans="1:28" x14ac:dyDescent="0.2">
      <c r="A46" s="324"/>
      <c r="B46" s="326" t="s">
        <v>29</v>
      </c>
      <c r="C46" s="326">
        <f>'Entry Assumptions'!G9</f>
        <v>8313.08</v>
      </c>
      <c r="D46" s="326"/>
      <c r="E46" s="326" t="s">
        <v>465</v>
      </c>
      <c r="F46" s="326">
        <f>'Exit Assumptions'!C29</f>
        <v>24332.625629512135</v>
      </c>
      <c r="G46" s="326"/>
      <c r="H46" s="326"/>
      <c r="I46" s="326"/>
      <c r="J46" s="326"/>
      <c r="K46" s="326"/>
      <c r="L46" s="326"/>
      <c r="M46" s="326"/>
      <c r="N46" s="326"/>
      <c r="O46" s="326"/>
      <c r="P46" s="326"/>
      <c r="Q46" s="326"/>
      <c r="R46" s="326"/>
      <c r="S46" s="326"/>
      <c r="T46" s="326"/>
      <c r="U46" s="326"/>
      <c r="V46" s="325"/>
      <c r="W46" s="327" t="str">
        <f>E46</f>
        <v>EBITDA Growth</v>
      </c>
      <c r="X46" s="327">
        <f>F46</f>
        <v>24332.625629512135</v>
      </c>
      <c r="Y46" s="325"/>
      <c r="Z46" s="325"/>
      <c r="AA46" s="325"/>
      <c r="AB46" s="325"/>
    </row>
    <row r="47" spans="1:28" x14ac:dyDescent="0.2">
      <c r="A47" s="324"/>
      <c r="B47" s="326" t="s">
        <v>441</v>
      </c>
      <c r="C47" s="326">
        <f>'Entry Assumptions'!G10</f>
        <v>3117.4049999999997</v>
      </c>
      <c r="D47" s="326"/>
      <c r="E47" s="326" t="s">
        <v>490</v>
      </c>
      <c r="F47" s="326">
        <f>ABS('Exit Assumptions'!C28)</f>
        <v>9217.6450169520358</v>
      </c>
      <c r="G47" s="326"/>
      <c r="H47" s="326"/>
      <c r="I47" s="326"/>
      <c r="J47" s="326"/>
      <c r="K47" s="326"/>
      <c r="L47" s="326"/>
      <c r="M47" s="326"/>
      <c r="N47" s="326"/>
      <c r="O47" s="326"/>
      <c r="P47" s="326"/>
      <c r="Q47" s="326"/>
      <c r="R47" s="326"/>
      <c r="S47" s="326"/>
      <c r="T47" s="326"/>
      <c r="U47" s="326"/>
      <c r="V47" s="325"/>
      <c r="W47" s="327" t="str">
        <f>E47</f>
        <v>Multiple Chg</v>
      </c>
      <c r="X47" s="327">
        <f>F47</f>
        <v>9217.6450169520358</v>
      </c>
      <c r="Y47" s="325"/>
      <c r="Z47" s="325"/>
      <c r="AA47" s="325"/>
      <c r="AB47" s="325"/>
    </row>
    <row r="48" spans="1:28" x14ac:dyDescent="0.2">
      <c r="A48" s="324"/>
      <c r="B48" s="326" t="s">
        <v>34</v>
      </c>
      <c r="C48" s="326">
        <f>'Entry Assumptions'!G16</f>
        <v>34359.632100000003</v>
      </c>
      <c r="D48" s="326"/>
      <c r="E48" s="326" t="s">
        <v>466</v>
      </c>
      <c r="F48" s="326">
        <f>'Exit Assumptions'!C30</f>
        <v>70855.342776870166</v>
      </c>
      <c r="G48" s="326"/>
      <c r="H48" s="326"/>
      <c r="I48" s="326"/>
      <c r="J48" s="326"/>
      <c r="K48" s="326"/>
      <c r="L48" s="326"/>
      <c r="M48" s="326"/>
      <c r="N48" s="326"/>
      <c r="O48" s="326"/>
      <c r="P48" s="326"/>
      <c r="Q48" s="326"/>
      <c r="R48" s="326"/>
      <c r="S48" s="326"/>
      <c r="T48" s="326"/>
      <c r="U48" s="326"/>
      <c r="V48" s="325"/>
      <c r="W48" s="327" t="str">
        <f>E48</f>
        <v>Debt Paydown</v>
      </c>
      <c r="X48" s="327">
        <f>F48</f>
        <v>70855.342776870166</v>
      </c>
      <c r="Y48" s="325"/>
      <c r="Z48" s="325"/>
      <c r="AA48" s="325"/>
      <c r="AB48" s="325"/>
    </row>
    <row r="49" spans="1:28" x14ac:dyDescent="0.2">
      <c r="A49" s="324"/>
      <c r="B49" s="324"/>
      <c r="C49" s="324"/>
      <c r="D49" s="324"/>
      <c r="E49" s="324"/>
      <c r="F49" s="324"/>
      <c r="G49" s="324"/>
      <c r="H49" s="324"/>
      <c r="I49" s="324"/>
      <c r="J49" s="324"/>
      <c r="K49" s="324"/>
      <c r="L49" s="324"/>
      <c r="M49" s="324"/>
      <c r="N49" s="324"/>
      <c r="O49" s="324"/>
      <c r="P49" s="324"/>
      <c r="Q49" s="324"/>
      <c r="R49" s="324"/>
      <c r="S49" s="324"/>
      <c r="T49" s="324"/>
      <c r="U49" s="324"/>
      <c r="V49" s="325"/>
      <c r="W49" s="325"/>
      <c r="X49" s="325"/>
      <c r="Y49" s="325"/>
      <c r="Z49" s="325"/>
      <c r="AA49" s="325"/>
      <c r="AB49" s="325"/>
    </row>
    <row r="50" spans="1:28" x14ac:dyDescent="0.2">
      <c r="A50" s="324"/>
      <c r="B50" s="324"/>
      <c r="C50" s="324"/>
      <c r="D50" s="324"/>
      <c r="E50" s="324"/>
      <c r="F50" s="324"/>
      <c r="G50" s="324"/>
      <c r="H50" s="324"/>
      <c r="I50" s="324"/>
      <c r="J50" s="324"/>
      <c r="K50" s="324"/>
      <c r="L50" s="324"/>
      <c r="M50" s="324"/>
      <c r="N50" s="324"/>
      <c r="O50" s="324"/>
      <c r="P50" s="324"/>
      <c r="Q50" s="324"/>
      <c r="R50" s="324"/>
      <c r="S50" s="324"/>
      <c r="T50" s="324"/>
      <c r="U50" s="324"/>
      <c r="V50" s="325"/>
      <c r="W50" s="325"/>
      <c r="X50" s="325"/>
      <c r="Y50" s="325"/>
      <c r="Z50" s="325"/>
      <c r="AA50" s="325"/>
      <c r="AB50" s="325"/>
    </row>
    <row r="51" spans="1:28" x14ac:dyDescent="0.2">
      <c r="A51" s="324"/>
      <c r="B51" s="324"/>
      <c r="C51" s="324"/>
      <c r="D51" s="324"/>
      <c r="E51" s="324"/>
      <c r="F51" s="324"/>
      <c r="G51" s="324"/>
      <c r="H51" s="324"/>
      <c r="I51" s="324"/>
      <c r="J51" s="324"/>
      <c r="K51" s="324"/>
      <c r="L51" s="324"/>
      <c r="M51" s="324"/>
      <c r="N51" s="324"/>
      <c r="O51" s="324"/>
      <c r="P51" s="324"/>
      <c r="Q51" s="324"/>
      <c r="R51" s="324"/>
      <c r="S51" s="324"/>
      <c r="T51" s="324"/>
      <c r="U51" s="324"/>
      <c r="V51" s="325"/>
      <c r="W51" s="325"/>
      <c r="X51" s="325"/>
      <c r="Y51" s="325"/>
      <c r="Z51" s="325"/>
      <c r="AA51" s="325"/>
      <c r="AB51" s="325"/>
    </row>
    <row r="52" spans="1:28" x14ac:dyDescent="0.2">
      <c r="A52" s="324"/>
      <c r="B52" s="324"/>
      <c r="C52" s="324"/>
      <c r="D52" s="324"/>
      <c r="E52" s="324"/>
      <c r="F52" s="324"/>
      <c r="G52" s="324"/>
      <c r="H52" s="324"/>
      <c r="I52" s="324"/>
      <c r="J52" s="324"/>
      <c r="K52" s="324"/>
      <c r="L52" s="324"/>
      <c r="M52" s="324"/>
      <c r="N52" s="324"/>
      <c r="O52" s="324"/>
      <c r="P52" s="324"/>
      <c r="Q52" s="324"/>
      <c r="R52" s="324"/>
      <c r="S52" s="324"/>
      <c r="T52" s="324"/>
      <c r="U52" s="324"/>
      <c r="V52" s="325"/>
      <c r="W52" s="325"/>
      <c r="X52" s="325"/>
      <c r="Y52" s="325"/>
      <c r="Z52" s="325"/>
      <c r="AA52" s="325"/>
      <c r="AB52" s="325"/>
    </row>
    <row r="53" spans="1:28" x14ac:dyDescent="0.2">
      <c r="A53" s="324"/>
      <c r="B53" s="324"/>
      <c r="C53" s="324"/>
      <c r="D53" s="324"/>
      <c r="E53" s="324"/>
      <c r="F53" s="324"/>
      <c r="G53" s="324"/>
      <c r="H53" s="324"/>
      <c r="I53" s="324"/>
      <c r="J53" s="324"/>
      <c r="K53" s="324"/>
      <c r="L53" s="324"/>
      <c r="M53" s="324"/>
      <c r="N53" s="324"/>
      <c r="O53" s="324"/>
      <c r="P53" s="324"/>
      <c r="Q53" s="324"/>
      <c r="R53" s="324"/>
      <c r="S53" s="324"/>
      <c r="T53" s="324"/>
      <c r="U53" s="324"/>
      <c r="V53" s="325"/>
      <c r="W53" s="325"/>
      <c r="X53" s="325"/>
      <c r="Y53" s="325"/>
      <c r="Z53" s="325"/>
      <c r="AA53" s="325"/>
      <c r="AB53" s="325"/>
    </row>
    <row r="54" spans="1:28" x14ac:dyDescent="0.2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</row>
    <row r="55" spans="1:28" x14ac:dyDescent="0.2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</row>
    <row r="56" spans="1:28" x14ac:dyDescent="0.2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</row>
    <row r="57" spans="1:28" x14ac:dyDescent="0.2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</row>
    <row r="58" spans="1:28" x14ac:dyDescent="0.2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</row>
    <row r="59" spans="1:28" x14ac:dyDescent="0.2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</row>
    <row r="60" spans="1:28" x14ac:dyDescent="0.2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</row>
    <row r="61" spans="1:28" x14ac:dyDescent="0.2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</row>
  </sheetData>
  <mergeCells count="8">
    <mergeCell ref="B1:E2"/>
    <mergeCell ref="Q1:R2"/>
    <mergeCell ref="O17:P17"/>
    <mergeCell ref="O18:P18"/>
    <mergeCell ref="O19:P19"/>
    <mergeCell ref="O20:P20"/>
    <mergeCell ref="O21:P21"/>
    <mergeCell ref="O22:P2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BEA5-0315-304C-94D0-E5BF9978E80B}">
  <dimension ref="B1:L43"/>
  <sheetViews>
    <sheetView topLeftCell="A28" zoomScale="125" workbookViewId="0">
      <selection activeCell="I40" sqref="I40"/>
    </sheetView>
  </sheetViews>
  <sheetFormatPr baseColWidth="10" defaultRowHeight="16" x14ac:dyDescent="0.2"/>
  <cols>
    <col min="1" max="1" width="3.5" style="1" customWidth="1"/>
    <col min="2" max="2" width="39.33203125" style="1" customWidth="1"/>
    <col min="3" max="3" width="15.33203125" style="1" customWidth="1"/>
    <col min="4" max="4" width="14.83203125" style="1" customWidth="1"/>
    <col min="5" max="5" width="5.83203125" style="1" customWidth="1"/>
    <col min="6" max="6" width="35" style="1" customWidth="1"/>
    <col min="7" max="7" width="17.5" style="1" customWidth="1"/>
    <col min="8" max="8" width="14" style="1" customWidth="1"/>
    <col min="9" max="9" width="11.1640625" style="1" customWidth="1"/>
    <col min="10" max="10" width="35" style="1" customWidth="1"/>
    <col min="11" max="11" width="17.5" style="1" customWidth="1"/>
    <col min="12" max="12" width="16.83203125" style="1" customWidth="1"/>
    <col min="13" max="16384" width="10.83203125" style="1"/>
  </cols>
  <sheetData>
    <row r="1" spans="2:12" ht="4" customHeight="1" x14ac:dyDescent="0.2"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2:12" ht="28" customHeight="1" x14ac:dyDescent="0.35">
      <c r="B2" s="7" t="s">
        <v>0</v>
      </c>
    </row>
    <row r="3" spans="2:12" ht="18" customHeight="1" x14ac:dyDescent="0.25">
      <c r="B3" s="8" t="s">
        <v>374</v>
      </c>
    </row>
    <row r="4" spans="2:12" ht="18" customHeight="1" thickBot="1" x14ac:dyDescent="0.25">
      <c r="B4" s="9"/>
      <c r="C4" s="9"/>
      <c r="D4" s="9"/>
    </row>
    <row r="5" spans="2:12" ht="18" customHeight="1" thickTop="1" x14ac:dyDescent="0.2">
      <c r="B5" s="229" t="s">
        <v>69</v>
      </c>
      <c r="C5" s="230"/>
      <c r="D5" s="231"/>
      <c r="F5" s="218" t="s">
        <v>71</v>
      </c>
      <c r="G5" s="232"/>
      <c r="H5" s="233"/>
      <c r="J5" s="218" t="s">
        <v>72</v>
      </c>
      <c r="K5" s="232"/>
      <c r="L5" s="233"/>
    </row>
    <row r="6" spans="2:12" ht="18" customHeight="1" x14ac:dyDescent="0.2">
      <c r="B6" s="12" t="s">
        <v>1</v>
      </c>
      <c r="C6" s="227">
        <v>46112</v>
      </c>
      <c r="D6" s="228"/>
      <c r="F6" s="170" t="s">
        <v>24</v>
      </c>
      <c r="G6" s="171" t="s">
        <v>25</v>
      </c>
      <c r="H6" s="172" t="s">
        <v>26</v>
      </c>
      <c r="J6" s="170" t="s">
        <v>36</v>
      </c>
      <c r="K6" s="171" t="s">
        <v>25</v>
      </c>
      <c r="L6" s="172" t="s">
        <v>26</v>
      </c>
    </row>
    <row r="7" spans="2:12" ht="18" customHeight="1" x14ac:dyDescent="0.2">
      <c r="B7" s="13" t="s">
        <v>2</v>
      </c>
      <c r="C7" s="221" t="s">
        <v>375</v>
      </c>
      <c r="D7" s="222"/>
      <c r="F7" s="12" t="s">
        <v>27</v>
      </c>
      <c r="G7" s="44">
        <v>0</v>
      </c>
      <c r="H7" s="52">
        <f>G7/G18</f>
        <v>0</v>
      </c>
      <c r="J7" s="167" t="s">
        <v>37</v>
      </c>
      <c r="K7" s="60">
        <f>C17</f>
        <v>42095.28</v>
      </c>
      <c r="L7" s="52">
        <f>K7/K18</f>
        <v>0.91930928912169119</v>
      </c>
    </row>
    <row r="8" spans="2:12" ht="18" customHeight="1" x14ac:dyDescent="0.2">
      <c r="B8" s="12" t="s">
        <v>4</v>
      </c>
      <c r="C8" s="223" t="s">
        <v>376</v>
      </c>
      <c r="D8" s="224"/>
      <c r="F8" s="13" t="s">
        <v>28</v>
      </c>
      <c r="G8" s="43">
        <v>0</v>
      </c>
      <c r="H8" s="53">
        <f>G8/G18</f>
        <v>0</v>
      </c>
      <c r="J8" s="168" t="s">
        <v>38</v>
      </c>
      <c r="K8" s="43">
        <f>C19</f>
        <v>2124.29</v>
      </c>
      <c r="L8" s="53">
        <f>K8/K18</f>
        <v>4.6391888349200133E-2</v>
      </c>
    </row>
    <row r="9" spans="2:12" ht="18" customHeight="1" x14ac:dyDescent="0.2">
      <c r="B9" s="13" t="s">
        <v>5</v>
      </c>
      <c r="C9" s="42"/>
      <c r="D9" s="31"/>
      <c r="F9" s="12" t="s">
        <v>29</v>
      </c>
      <c r="G9" s="44">
        <f>C23*4</f>
        <v>8313.08</v>
      </c>
      <c r="H9" s="52">
        <f>G9/G18</f>
        <v>0.18154747195437942</v>
      </c>
      <c r="J9" s="167" t="s">
        <v>39</v>
      </c>
      <c r="K9" s="44">
        <f>-C20</f>
        <v>908.83</v>
      </c>
      <c r="L9" s="52">
        <f>K9/K18</f>
        <v>1.9847732601670939E-2</v>
      </c>
    </row>
    <row r="10" spans="2:12" ht="18" customHeight="1" x14ac:dyDescent="0.2">
      <c r="B10" s="14" t="s">
        <v>6</v>
      </c>
      <c r="C10" s="225" t="s">
        <v>7</v>
      </c>
      <c r="D10" s="226"/>
      <c r="F10" s="13" t="s">
        <v>30</v>
      </c>
      <c r="G10" s="43">
        <f>C23*1.5</f>
        <v>3117.4049999999997</v>
      </c>
      <c r="H10" s="53">
        <f>G10/G18</f>
        <v>6.8080301982892277E-2</v>
      </c>
      <c r="J10" s="168" t="s">
        <v>40</v>
      </c>
      <c r="K10" s="49">
        <f>SUM(G7:G13)*C31</f>
        <v>228.6097</v>
      </c>
      <c r="L10" s="53">
        <f>K10/K18</f>
        <v>4.992555478745434E-3</v>
      </c>
    </row>
    <row r="11" spans="2:12" ht="18" customHeight="1" x14ac:dyDescent="0.2">
      <c r="B11" s="3"/>
      <c r="C11" s="4"/>
      <c r="D11" s="2"/>
      <c r="F11" s="12" t="s">
        <v>31</v>
      </c>
      <c r="G11" s="44">
        <f>0</f>
        <v>0</v>
      </c>
      <c r="H11" s="52">
        <f>G11/G18</f>
        <v>0</v>
      </c>
      <c r="J11" s="167" t="s">
        <v>41</v>
      </c>
      <c r="K11" s="55">
        <f>C21*0.01</f>
        <v>433.10739999999998</v>
      </c>
      <c r="L11" s="52">
        <f>K11/K18</f>
        <v>9.4585344486922043E-3</v>
      </c>
    </row>
    <row r="12" spans="2:12" ht="18" customHeight="1" x14ac:dyDescent="0.2">
      <c r="B12" s="229" t="s">
        <v>70</v>
      </c>
      <c r="C12" s="230"/>
      <c r="D12" s="231"/>
      <c r="F12" s="13" t="s">
        <v>32</v>
      </c>
      <c r="G12" s="43">
        <v>0</v>
      </c>
      <c r="H12" s="53">
        <f>G12/G18</f>
        <v>0</v>
      </c>
      <c r="J12" s="168" t="s">
        <v>42</v>
      </c>
      <c r="K12" s="43">
        <v>0</v>
      </c>
      <c r="L12" s="53">
        <f>K12/K18</f>
        <v>0</v>
      </c>
    </row>
    <row r="13" spans="2:12" ht="18" customHeight="1" x14ac:dyDescent="0.2">
      <c r="B13" s="13" t="s">
        <v>8</v>
      </c>
      <c r="C13" s="43">
        <v>12</v>
      </c>
      <c r="D13" s="11" t="s">
        <v>9</v>
      </c>
      <c r="F13" s="12" t="s">
        <v>33</v>
      </c>
      <c r="G13" s="44">
        <v>0</v>
      </c>
      <c r="H13" s="52">
        <f>G13/G18</f>
        <v>0</v>
      </c>
      <c r="J13" s="167"/>
      <c r="K13" s="22"/>
      <c r="L13" s="21"/>
    </row>
    <row r="14" spans="2:12" ht="18" customHeight="1" x14ac:dyDescent="0.2">
      <c r="B14" s="13" t="s">
        <v>377</v>
      </c>
      <c r="C14" s="163">
        <v>9.98</v>
      </c>
      <c r="D14" s="11" t="s">
        <v>9</v>
      </c>
      <c r="F14" s="12"/>
      <c r="G14" s="44"/>
      <c r="H14" s="52"/>
      <c r="J14" s="167"/>
      <c r="K14" s="22"/>
      <c r="L14" s="21"/>
    </row>
    <row r="15" spans="2:12" ht="18" customHeight="1" x14ac:dyDescent="0.2">
      <c r="B15" s="166" t="s">
        <v>378</v>
      </c>
      <c r="C15" s="165">
        <f>IF(C14=0,"",C13/C14-1)</f>
        <v>0.20240480961923835</v>
      </c>
      <c r="D15" s="11"/>
      <c r="F15" s="12"/>
      <c r="G15" s="44"/>
      <c r="H15" s="52"/>
      <c r="J15" s="167"/>
      <c r="K15" s="22"/>
      <c r="L15" s="21"/>
    </row>
    <row r="16" spans="2:12" ht="18" customHeight="1" x14ac:dyDescent="0.2">
      <c r="B16" s="13" t="s">
        <v>10</v>
      </c>
      <c r="C16" s="43">
        <v>3507.94</v>
      </c>
      <c r="D16" s="11" t="s">
        <v>11</v>
      </c>
      <c r="F16" s="13" t="s">
        <v>34</v>
      </c>
      <c r="G16" s="43">
        <f>K18-SUM(G7:G13)</f>
        <v>34359.632100000003</v>
      </c>
      <c r="H16" s="53">
        <f>G16/G18</f>
        <v>0.75037222606272824</v>
      </c>
      <c r="J16" s="168"/>
      <c r="K16" s="15"/>
      <c r="L16" s="20"/>
    </row>
    <row r="17" spans="2:12" ht="18" customHeight="1" thickBot="1" x14ac:dyDescent="0.25">
      <c r="B17" s="17" t="s">
        <v>12</v>
      </c>
      <c r="C17" s="48">
        <f>C13*C16</f>
        <v>42095.28</v>
      </c>
      <c r="D17" s="16" t="s">
        <v>13</v>
      </c>
      <c r="F17" s="12"/>
      <c r="G17" s="22"/>
      <c r="H17" s="21"/>
      <c r="J17" s="167"/>
      <c r="K17" s="22"/>
      <c r="L17" s="21"/>
    </row>
    <row r="18" spans="2:12" ht="18" customHeight="1" thickTop="1" thickBot="1" x14ac:dyDescent="0.25">
      <c r="B18" s="13"/>
      <c r="C18" s="15"/>
      <c r="D18" s="11"/>
      <c r="F18" s="23" t="s">
        <v>35</v>
      </c>
      <c r="G18" s="51">
        <f>SUM(G7:G17)</f>
        <v>45790.117100000003</v>
      </c>
      <c r="H18" s="54"/>
      <c r="J18" s="169" t="s">
        <v>43</v>
      </c>
      <c r="K18" s="51">
        <f>SUM(K7:K12)</f>
        <v>45790.117100000003</v>
      </c>
      <c r="L18" s="54">
        <f>SUM(L7:L12)</f>
        <v>0.99999999999999989</v>
      </c>
    </row>
    <row r="19" spans="2:12" ht="18" customHeight="1" thickBot="1" x14ac:dyDescent="0.25">
      <c r="B19" s="13" t="s">
        <v>14</v>
      </c>
      <c r="C19" s="43">
        <v>2124.29</v>
      </c>
      <c r="D19" s="11" t="s">
        <v>13</v>
      </c>
      <c r="G19" s="4"/>
      <c r="H19" s="4"/>
    </row>
    <row r="20" spans="2:12" ht="18" customHeight="1" x14ac:dyDescent="0.2">
      <c r="B20" s="13" t="s">
        <v>15</v>
      </c>
      <c r="C20" s="43">
        <v>-908.83</v>
      </c>
      <c r="D20" s="11" t="s">
        <v>13</v>
      </c>
      <c r="F20" s="218" t="s">
        <v>73</v>
      </c>
      <c r="G20" s="219"/>
      <c r="H20" s="219"/>
      <c r="I20" s="232"/>
      <c r="J20" s="232"/>
      <c r="K20" s="232"/>
      <c r="L20" s="233"/>
    </row>
    <row r="21" spans="2:12" ht="18" customHeight="1" x14ac:dyDescent="0.2">
      <c r="B21" s="17" t="s">
        <v>16</v>
      </c>
      <c r="C21" s="48">
        <f>SUM(C17:C20)</f>
        <v>43310.74</v>
      </c>
      <c r="D21" s="16" t="s">
        <v>13</v>
      </c>
      <c r="F21" s="170" t="s">
        <v>44</v>
      </c>
      <c r="G21" s="171" t="s">
        <v>25</v>
      </c>
      <c r="H21" s="171" t="s">
        <v>45</v>
      </c>
      <c r="I21" s="61" t="s">
        <v>46</v>
      </c>
      <c r="J21" s="61" t="s">
        <v>379</v>
      </c>
      <c r="K21" s="61" t="s">
        <v>47</v>
      </c>
      <c r="L21" s="172" t="s">
        <v>48</v>
      </c>
    </row>
    <row r="22" spans="2:12" ht="18" customHeight="1" x14ac:dyDescent="0.2">
      <c r="B22" s="13"/>
      <c r="C22" s="15"/>
      <c r="D22" s="11"/>
      <c r="F22" s="12" t="s">
        <v>27</v>
      </c>
      <c r="G22" s="44">
        <v>0</v>
      </c>
      <c r="H22" s="45">
        <v>7.0000000000000007E-2</v>
      </c>
      <c r="I22" s="173" t="s">
        <v>49</v>
      </c>
      <c r="J22" s="161">
        <v>5</v>
      </c>
      <c r="K22" s="177">
        <v>0</v>
      </c>
      <c r="L22" s="162"/>
    </row>
    <row r="23" spans="2:12" ht="18" customHeight="1" x14ac:dyDescent="0.2">
      <c r="B23" s="13" t="s">
        <v>17</v>
      </c>
      <c r="C23" s="43">
        <v>2078.27</v>
      </c>
      <c r="D23" s="11" t="s">
        <v>13</v>
      </c>
      <c r="F23" s="13" t="s">
        <v>28</v>
      </c>
      <c r="G23" s="43">
        <v>0</v>
      </c>
      <c r="H23" s="46">
        <v>0</v>
      </c>
      <c r="I23" s="174" t="s">
        <v>49</v>
      </c>
      <c r="J23" s="160" t="s">
        <v>50</v>
      </c>
      <c r="K23" s="178">
        <v>0</v>
      </c>
      <c r="L23" s="175" t="s">
        <v>50</v>
      </c>
    </row>
    <row r="24" spans="2:12" ht="18" customHeight="1" x14ac:dyDescent="0.2">
      <c r="B24" s="17" t="s">
        <v>18</v>
      </c>
      <c r="C24" s="48">
        <f>C21/C23</f>
        <v>20.839804260274171</v>
      </c>
      <c r="D24" s="16" t="s">
        <v>19</v>
      </c>
      <c r="F24" s="12" t="s">
        <v>29</v>
      </c>
      <c r="G24" s="44">
        <f>G9</f>
        <v>8313.08</v>
      </c>
      <c r="H24" s="45">
        <f>3.66%+3.75%</f>
        <v>7.4099999999999999E-2</v>
      </c>
      <c r="I24" s="173" t="s">
        <v>49</v>
      </c>
      <c r="J24" s="161">
        <v>7</v>
      </c>
      <c r="K24" s="177">
        <v>0.01</v>
      </c>
      <c r="L24" s="176" t="s">
        <v>50</v>
      </c>
    </row>
    <row r="25" spans="2:12" ht="18" customHeight="1" x14ac:dyDescent="0.2">
      <c r="B25" s="13"/>
      <c r="C25" s="15"/>
      <c r="D25" s="11"/>
      <c r="F25" s="13" t="s">
        <v>30</v>
      </c>
      <c r="G25" s="43">
        <f>G10</f>
        <v>3117.4049999999997</v>
      </c>
      <c r="H25" s="46">
        <v>0.08</v>
      </c>
      <c r="I25" s="174" t="s">
        <v>51</v>
      </c>
      <c r="J25" s="160">
        <v>8</v>
      </c>
      <c r="K25" s="178">
        <v>0</v>
      </c>
      <c r="L25" s="175" t="s">
        <v>50</v>
      </c>
    </row>
    <row r="26" spans="2:12" ht="18" customHeight="1" x14ac:dyDescent="0.2">
      <c r="B26" s="13" t="s">
        <v>20</v>
      </c>
      <c r="C26" s="43">
        <v>0.1</v>
      </c>
      <c r="D26" s="11"/>
      <c r="F26" s="12" t="s">
        <v>31</v>
      </c>
      <c r="G26" s="44">
        <v>0</v>
      </c>
      <c r="H26" s="45">
        <v>0</v>
      </c>
      <c r="I26" s="173" t="s">
        <v>51</v>
      </c>
      <c r="J26" s="161" t="s">
        <v>50</v>
      </c>
      <c r="K26" s="177">
        <v>0</v>
      </c>
      <c r="L26" s="176" t="s">
        <v>50</v>
      </c>
    </row>
    <row r="27" spans="2:12" ht="18" customHeight="1" x14ac:dyDescent="0.2">
      <c r="B27" s="13" t="s">
        <v>21</v>
      </c>
      <c r="C27" s="49">
        <f>C17*C26</f>
        <v>4209.5280000000002</v>
      </c>
      <c r="D27" s="11" t="s">
        <v>22</v>
      </c>
      <c r="F27" s="13" t="s">
        <v>32</v>
      </c>
      <c r="G27" s="43">
        <v>0</v>
      </c>
      <c r="H27" s="46">
        <v>0</v>
      </c>
      <c r="I27" s="174" t="s">
        <v>52</v>
      </c>
      <c r="J27" s="160" t="s">
        <v>50</v>
      </c>
      <c r="K27" s="178">
        <v>0</v>
      </c>
      <c r="L27" s="175" t="s">
        <v>50</v>
      </c>
    </row>
    <row r="28" spans="2:12" ht="18" customHeight="1" thickBot="1" x14ac:dyDescent="0.25">
      <c r="B28" s="18" t="s">
        <v>23</v>
      </c>
      <c r="C28" s="50">
        <f>C21*C26</f>
        <v>4331.0739999999996</v>
      </c>
      <c r="D28" s="19" t="s">
        <v>22</v>
      </c>
      <c r="F28" s="12"/>
      <c r="G28" s="22"/>
      <c r="H28" s="24"/>
      <c r="I28" s="25"/>
      <c r="J28" s="25"/>
      <c r="K28" s="25"/>
      <c r="L28" s="26"/>
    </row>
    <row r="29" spans="2:12" ht="18" customHeight="1" thickTop="1" thickBot="1" x14ac:dyDescent="0.25">
      <c r="C29" s="4"/>
      <c r="D29" s="5"/>
      <c r="F29" s="23" t="s">
        <v>53</v>
      </c>
      <c r="G29" s="51">
        <f>SUM(G22:G27)</f>
        <v>11430.485000000001</v>
      </c>
      <c r="H29" s="27"/>
      <c r="I29" s="28"/>
      <c r="J29" s="28"/>
      <c r="K29" s="28"/>
      <c r="L29" s="29"/>
    </row>
    <row r="30" spans="2:12" ht="18" customHeight="1" thickBot="1" x14ac:dyDescent="0.25">
      <c r="B30" s="218" t="s">
        <v>74</v>
      </c>
      <c r="C30" s="219"/>
      <c r="D30" s="234"/>
      <c r="G30" s="4"/>
      <c r="H30" s="4"/>
    </row>
    <row r="31" spans="2:12" ht="18" customHeight="1" x14ac:dyDescent="0.2">
      <c r="B31" s="12" t="s">
        <v>54</v>
      </c>
      <c r="C31" s="47">
        <v>0.02</v>
      </c>
      <c r="D31" s="10"/>
      <c r="F31" s="218" t="s">
        <v>75</v>
      </c>
      <c r="G31" s="219"/>
      <c r="H31" s="220"/>
    </row>
    <row r="32" spans="2:12" ht="18" customHeight="1" x14ac:dyDescent="0.2">
      <c r="B32" s="13" t="s">
        <v>56</v>
      </c>
      <c r="C32" s="49">
        <f>(G9+G10)*C26*C31</f>
        <v>22.860970000000002</v>
      </c>
      <c r="D32" s="11" t="s">
        <v>22</v>
      </c>
      <c r="F32" s="12" t="s">
        <v>61</v>
      </c>
      <c r="G32" s="56">
        <f>G29/C23</f>
        <v>5.5</v>
      </c>
      <c r="H32" s="32"/>
    </row>
    <row r="33" spans="2:8" ht="18" customHeight="1" x14ac:dyDescent="0.2">
      <c r="B33" s="12"/>
      <c r="C33" s="22"/>
      <c r="D33" s="10"/>
      <c r="F33" s="13" t="s">
        <v>62</v>
      </c>
      <c r="G33" s="57">
        <f>G24/C23</f>
        <v>4</v>
      </c>
      <c r="H33" s="31"/>
    </row>
    <row r="34" spans="2:8" ht="18" customHeight="1" x14ac:dyDescent="0.2">
      <c r="B34" s="13" t="s">
        <v>57</v>
      </c>
      <c r="C34" s="43">
        <f>C21*C26*0.5%</f>
        <v>21.655369999999998</v>
      </c>
      <c r="D34" s="11" t="s">
        <v>22</v>
      </c>
      <c r="F34" s="12" t="s">
        <v>63</v>
      </c>
      <c r="G34" s="56">
        <f>C23/(G24*H24+G25*H25)</f>
        <v>2.4015369836695486</v>
      </c>
      <c r="H34" s="32"/>
    </row>
    <row r="35" spans="2:8" ht="18" customHeight="1" x14ac:dyDescent="0.2">
      <c r="B35" s="12" t="s">
        <v>58</v>
      </c>
      <c r="C35" s="44">
        <f>C21*0.4%*C26</f>
        <v>17.324296</v>
      </c>
      <c r="D35" s="10" t="s">
        <v>22</v>
      </c>
      <c r="F35" s="13" t="s">
        <v>64</v>
      </c>
      <c r="G35" s="58">
        <f>G16/(G16+G29)</f>
        <v>0.75037222606272824</v>
      </c>
      <c r="H35" s="31"/>
    </row>
    <row r="36" spans="2:8" ht="18" customHeight="1" thickBot="1" x14ac:dyDescent="0.25">
      <c r="B36" s="13" t="s">
        <v>59</v>
      </c>
      <c r="C36" s="43">
        <f>C26*C21*0.1%</f>
        <v>4.3310740000000001</v>
      </c>
      <c r="D36" s="11" t="s">
        <v>22</v>
      </c>
      <c r="F36" s="33" t="s">
        <v>65</v>
      </c>
      <c r="G36" s="59">
        <f>G29/(G29+G16)</f>
        <v>0.2496277739372717</v>
      </c>
      <c r="H36" s="34"/>
    </row>
    <row r="37" spans="2:8" ht="18" customHeight="1" thickTop="1" thickBot="1" x14ac:dyDescent="0.25">
      <c r="B37" s="23" t="s">
        <v>60</v>
      </c>
      <c r="C37" s="51">
        <f>SUM(C32:C36)</f>
        <v>66.171710000000004</v>
      </c>
      <c r="D37" s="30" t="s">
        <v>22</v>
      </c>
      <c r="G37" s="4"/>
      <c r="H37" s="4"/>
    </row>
    <row r="38" spans="2:8" ht="18" customHeight="1" x14ac:dyDescent="0.2"/>
    <row r="39" spans="2:8" ht="18" customHeight="1" x14ac:dyDescent="0.2">
      <c r="B39" s="35"/>
      <c r="C39" s="35"/>
      <c r="D39" s="35"/>
    </row>
    <row r="40" spans="2:8" ht="18" customHeight="1" x14ac:dyDescent="0.2">
      <c r="B40" s="36" t="s">
        <v>76</v>
      </c>
    </row>
    <row r="41" spans="2:8" ht="18" customHeight="1" x14ac:dyDescent="0.2">
      <c r="B41" s="37" t="s">
        <v>77</v>
      </c>
      <c r="C41" s="41" t="s">
        <v>66</v>
      </c>
      <c r="D41" s="38"/>
    </row>
    <row r="42" spans="2:8" ht="18" customHeight="1" x14ac:dyDescent="0.2">
      <c r="B42" s="39" t="s">
        <v>78</v>
      </c>
      <c r="C42" s="41" t="s">
        <v>67</v>
      </c>
      <c r="D42" s="38"/>
    </row>
    <row r="43" spans="2:8" ht="18" customHeight="1" x14ac:dyDescent="0.2">
      <c r="B43" s="40" t="s">
        <v>79</v>
      </c>
      <c r="C43" s="41" t="s">
        <v>68</v>
      </c>
      <c r="D43" s="38"/>
    </row>
  </sheetData>
  <mergeCells count="11">
    <mergeCell ref="B5:D5"/>
    <mergeCell ref="B12:D12"/>
    <mergeCell ref="F5:H5"/>
    <mergeCell ref="J5:L5"/>
    <mergeCell ref="F20:L20"/>
    <mergeCell ref="F31:H31"/>
    <mergeCell ref="C7:D7"/>
    <mergeCell ref="C8:D8"/>
    <mergeCell ref="C10:D10"/>
    <mergeCell ref="C6:D6"/>
    <mergeCell ref="B30:D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BC-F486-7D44-8277-C185301AD0B8}">
  <dimension ref="B1:F117"/>
  <sheetViews>
    <sheetView topLeftCell="A46" workbookViewId="0">
      <selection activeCell="F50" sqref="F50"/>
    </sheetView>
  </sheetViews>
  <sheetFormatPr baseColWidth="10" defaultRowHeight="16" x14ac:dyDescent="0.2"/>
  <cols>
    <col min="1" max="1" width="3.5" style="1" customWidth="1"/>
    <col min="2" max="2" width="44.33203125" style="1" customWidth="1"/>
    <col min="3" max="3" width="14" style="1" customWidth="1"/>
    <col min="4" max="6" width="16.33203125" style="1" customWidth="1"/>
    <col min="7" max="16384" width="10.83203125" style="1"/>
  </cols>
  <sheetData>
    <row r="1" spans="2:6" ht="4" customHeight="1" x14ac:dyDescent="0.2">
      <c r="B1" s="6"/>
      <c r="C1" s="6"/>
      <c r="D1" s="6"/>
      <c r="E1" s="6"/>
      <c r="F1" s="6"/>
    </row>
    <row r="2" spans="2:6" ht="28" customHeight="1" x14ac:dyDescent="0.35">
      <c r="B2" s="7" t="s">
        <v>380</v>
      </c>
    </row>
    <row r="3" spans="2:6" ht="17" x14ac:dyDescent="0.25">
      <c r="B3" s="8" t="s">
        <v>381</v>
      </c>
    </row>
    <row r="4" spans="2:6" ht="17" thickBot="1" x14ac:dyDescent="0.25">
      <c r="B4" s="9"/>
      <c r="C4" s="9"/>
    </row>
    <row r="5" spans="2:6" ht="22" customHeight="1" thickTop="1" thickBot="1" x14ac:dyDescent="0.25">
      <c r="B5" s="61"/>
      <c r="C5" s="61" t="s">
        <v>82</v>
      </c>
      <c r="D5" s="62" t="s">
        <v>83</v>
      </c>
      <c r="E5" s="62" t="s">
        <v>84</v>
      </c>
      <c r="F5" s="62" t="s">
        <v>85</v>
      </c>
    </row>
    <row r="6" spans="2:6" ht="18" customHeight="1" x14ac:dyDescent="0.2">
      <c r="D6" s="72"/>
      <c r="E6" s="72"/>
      <c r="F6" s="72"/>
    </row>
    <row r="7" spans="2:6" ht="18" customHeight="1" x14ac:dyDescent="0.2">
      <c r="B7" s="235" t="s">
        <v>182</v>
      </c>
      <c r="C7" s="235"/>
      <c r="D7" s="236"/>
      <c r="E7" s="236"/>
      <c r="F7" s="236"/>
    </row>
    <row r="8" spans="2:6" ht="18" customHeight="1" x14ac:dyDescent="0.2">
      <c r="B8" s="13" t="s">
        <v>92</v>
      </c>
      <c r="C8" s="69" t="s">
        <v>13</v>
      </c>
      <c r="D8" s="80"/>
      <c r="E8" s="80"/>
      <c r="F8" s="80"/>
    </row>
    <row r="9" spans="2:6" ht="18" customHeight="1" x14ac:dyDescent="0.2">
      <c r="B9" s="13" t="s">
        <v>94</v>
      </c>
      <c r="C9" s="69" t="s">
        <v>13</v>
      </c>
      <c r="D9" s="80"/>
      <c r="E9" s="80"/>
      <c r="F9" s="80"/>
    </row>
    <row r="10" spans="2:6" ht="18" customHeight="1" x14ac:dyDescent="0.25">
      <c r="B10" s="17" t="s">
        <v>95</v>
      </c>
      <c r="C10" s="181" t="s">
        <v>13</v>
      </c>
      <c r="D10" s="187">
        <v>5628.0848980000001</v>
      </c>
      <c r="E10" s="187">
        <v>6833.8038489999999</v>
      </c>
      <c r="F10" s="187">
        <v>6477.495347</v>
      </c>
    </row>
    <row r="11" spans="2:6" ht="18" customHeight="1" x14ac:dyDescent="0.2">
      <c r="B11" s="164" t="s">
        <v>382</v>
      </c>
      <c r="C11" s="69" t="s">
        <v>55</v>
      </c>
      <c r="D11" s="73"/>
      <c r="E11" s="73"/>
      <c r="F11" s="73"/>
    </row>
    <row r="12" spans="2:6" ht="18" customHeight="1" x14ac:dyDescent="0.2">
      <c r="B12" s="13"/>
      <c r="C12" s="69"/>
      <c r="D12" s="73"/>
      <c r="E12" s="73"/>
      <c r="F12" s="73"/>
    </row>
    <row r="13" spans="2:6" ht="18" customHeight="1" x14ac:dyDescent="0.25">
      <c r="B13" s="13" t="s">
        <v>184</v>
      </c>
      <c r="C13" s="69" t="s">
        <v>13</v>
      </c>
      <c r="D13" s="187">
        <v>-2714.9</v>
      </c>
      <c r="E13" s="187">
        <v>-3030.6</v>
      </c>
      <c r="F13" s="187">
        <v>-2617.6999999999998</v>
      </c>
    </row>
    <row r="14" spans="2:6" ht="18" customHeight="1" x14ac:dyDescent="0.25">
      <c r="B14" s="17" t="s">
        <v>102</v>
      </c>
      <c r="C14" s="181" t="s">
        <v>13</v>
      </c>
      <c r="D14" s="190">
        <f>D10+D13</f>
        <v>2913.184898</v>
      </c>
      <c r="E14" s="190">
        <f t="shared" ref="E14:F14" si="0">E10+E13</f>
        <v>3803.203849</v>
      </c>
      <c r="F14" s="190">
        <f t="shared" si="0"/>
        <v>3859.7953470000002</v>
      </c>
    </row>
    <row r="15" spans="2:6" ht="18" customHeight="1" x14ac:dyDescent="0.25">
      <c r="B15" s="164" t="s">
        <v>103</v>
      </c>
      <c r="C15" s="69" t="s">
        <v>55</v>
      </c>
      <c r="D15" s="191">
        <f>D14/D10</f>
        <v>0.51761566337338505</v>
      </c>
      <c r="E15" s="191">
        <f t="shared" ref="E15:F15" si="1">E14/E10</f>
        <v>0.55652809665535363</v>
      </c>
      <c r="F15" s="191">
        <f t="shared" si="1"/>
        <v>0.5958777490728161</v>
      </c>
    </row>
    <row r="16" spans="2:6" ht="18" customHeight="1" x14ac:dyDescent="0.25">
      <c r="B16" s="13"/>
      <c r="C16" s="69"/>
      <c r="D16" s="188"/>
      <c r="E16" s="188"/>
      <c r="F16" s="188"/>
    </row>
    <row r="17" spans="2:6" ht="18" customHeight="1" x14ac:dyDescent="0.25">
      <c r="B17" s="13" t="s">
        <v>406</v>
      </c>
      <c r="C17" s="69" t="s">
        <v>13</v>
      </c>
      <c r="D17" s="187">
        <v>-555.11196299999995</v>
      </c>
      <c r="E17" s="187">
        <v>-656.42570599999999</v>
      </c>
      <c r="F17" s="187">
        <v>-675.38885600000003</v>
      </c>
    </row>
    <row r="18" spans="2:6" ht="18" customHeight="1" x14ac:dyDescent="0.25">
      <c r="B18" s="13" t="s">
        <v>407</v>
      </c>
      <c r="C18" s="69" t="s">
        <v>13</v>
      </c>
      <c r="D18" s="187">
        <v>-398.29523899999998</v>
      </c>
      <c r="E18" s="187">
        <v>-754.73100499999998</v>
      </c>
      <c r="F18" s="187">
        <v>-768.95387200000005</v>
      </c>
    </row>
    <row r="19" spans="2:6" ht="18" customHeight="1" x14ac:dyDescent="0.25">
      <c r="B19" s="13" t="s">
        <v>408</v>
      </c>
      <c r="C19" s="69" t="s">
        <v>13</v>
      </c>
      <c r="D19" s="187">
        <v>-50.989490000000004</v>
      </c>
      <c r="E19" s="187">
        <v>-9.51342</v>
      </c>
      <c r="F19" s="187">
        <v>-11.83006</v>
      </c>
    </row>
    <row r="20" spans="2:6" ht="18" customHeight="1" x14ac:dyDescent="0.25">
      <c r="B20" s="17" t="s">
        <v>111</v>
      </c>
      <c r="C20" s="181" t="s">
        <v>13</v>
      </c>
      <c r="D20" s="188">
        <f>SUM(D17:D19)</f>
        <v>-1004.3966919999999</v>
      </c>
      <c r="E20" s="188">
        <f t="shared" ref="E20:F20" si="2">SUM(E17:E19)</f>
        <v>-1420.6701310000001</v>
      </c>
      <c r="F20" s="188">
        <f t="shared" si="2"/>
        <v>-1456.1727880000001</v>
      </c>
    </row>
    <row r="21" spans="2:6" ht="18" customHeight="1" x14ac:dyDescent="0.25">
      <c r="B21" s="164" t="s">
        <v>112</v>
      </c>
      <c r="C21" s="69" t="s">
        <v>55</v>
      </c>
      <c r="D21" s="191">
        <f>D20/D10</f>
        <v>-0.17846153890765276</v>
      </c>
      <c r="E21" s="191">
        <f t="shared" ref="E21:F21" si="3">E20/E10</f>
        <v>-0.20788863163052138</v>
      </c>
      <c r="F21" s="191">
        <f t="shared" si="3"/>
        <v>-0.22480491455303242</v>
      </c>
    </row>
    <row r="22" spans="2:6" ht="18" customHeight="1" x14ac:dyDescent="0.25">
      <c r="B22" s="13"/>
      <c r="C22" s="69"/>
      <c r="D22" s="187"/>
      <c r="E22" s="187"/>
      <c r="F22" s="187"/>
    </row>
    <row r="23" spans="2:6" ht="18" customHeight="1" x14ac:dyDescent="0.25">
      <c r="B23" s="17" t="s">
        <v>114</v>
      </c>
      <c r="C23" s="181" t="s">
        <v>13</v>
      </c>
      <c r="D23" s="190">
        <f>D14+D18+D19</f>
        <v>2463.900169</v>
      </c>
      <c r="E23" s="190">
        <f t="shared" ref="E23:F23" si="4">E14+E18+E19</f>
        <v>3038.9594239999997</v>
      </c>
      <c r="F23" s="190">
        <f t="shared" si="4"/>
        <v>3079.0114150000004</v>
      </c>
    </row>
    <row r="24" spans="2:6" ht="18" customHeight="1" x14ac:dyDescent="0.25">
      <c r="B24" s="164" t="s">
        <v>115</v>
      </c>
      <c r="C24" s="69" t="s">
        <v>55</v>
      </c>
      <c r="D24" s="191">
        <f>D23/D10</f>
        <v>0.43778660301936334</v>
      </c>
      <c r="E24" s="191">
        <f t="shared" ref="E24:F24" si="5">E23/E10</f>
        <v>0.44469514945833494</v>
      </c>
      <c r="F24" s="191">
        <f t="shared" si="5"/>
        <v>0.47533981115494273</v>
      </c>
    </row>
    <row r="25" spans="2:6" ht="18" customHeight="1" x14ac:dyDescent="0.25">
      <c r="B25" s="13"/>
      <c r="C25" s="69"/>
      <c r="D25" s="188"/>
      <c r="E25" s="188"/>
      <c r="F25" s="188"/>
    </row>
    <row r="26" spans="2:6" ht="18" customHeight="1" x14ac:dyDescent="0.25">
      <c r="B26" s="13" t="s">
        <v>134</v>
      </c>
      <c r="C26" s="69" t="s">
        <v>13</v>
      </c>
      <c r="D26" s="187">
        <f>D17</f>
        <v>-555.11196299999995</v>
      </c>
      <c r="E26" s="187">
        <f t="shared" ref="E26:F26" si="6">E17</f>
        <v>-656.42570599999999</v>
      </c>
      <c r="F26" s="187">
        <f t="shared" si="6"/>
        <v>-675.38885600000003</v>
      </c>
    </row>
    <row r="27" spans="2:6" ht="18" customHeight="1" x14ac:dyDescent="0.25">
      <c r="B27" s="17" t="s">
        <v>186</v>
      </c>
      <c r="C27" s="181" t="s">
        <v>13</v>
      </c>
      <c r="D27" s="190">
        <f>D23+D26</f>
        <v>1908.7882060000002</v>
      </c>
      <c r="E27" s="190">
        <f t="shared" ref="E27:F27" si="7">E23+E26</f>
        <v>2382.5337179999997</v>
      </c>
      <c r="F27" s="190">
        <f t="shared" si="7"/>
        <v>2403.6225590000004</v>
      </c>
    </row>
    <row r="28" spans="2:6" ht="18" customHeight="1" x14ac:dyDescent="0.25">
      <c r="B28" s="164" t="s">
        <v>187</v>
      </c>
      <c r="C28" s="69" t="s">
        <v>55</v>
      </c>
      <c r="D28" s="191">
        <f>D27/D10</f>
        <v>0.33915412446573229</v>
      </c>
      <c r="E28" s="191">
        <f t="shared" ref="E28:F28" si="8">E27/E10</f>
        <v>0.34863946502483228</v>
      </c>
      <c r="F28" s="191">
        <f t="shared" si="8"/>
        <v>0.37107283451978379</v>
      </c>
    </row>
    <row r="29" spans="2:6" ht="18" customHeight="1" x14ac:dyDescent="0.25">
      <c r="B29" s="13"/>
      <c r="C29" s="69"/>
      <c r="D29" s="187"/>
      <c r="E29" s="187"/>
      <c r="F29" s="187"/>
    </row>
    <row r="30" spans="2:6" ht="18" customHeight="1" x14ac:dyDescent="0.25">
      <c r="B30" s="13" t="s">
        <v>161</v>
      </c>
      <c r="C30" s="69" t="s">
        <v>13</v>
      </c>
      <c r="D30" s="187">
        <v>-219.351001</v>
      </c>
      <c r="E30" s="187">
        <v>-455.58692300000001</v>
      </c>
      <c r="F30" s="187">
        <v>-528.05084099999999</v>
      </c>
    </row>
    <row r="31" spans="2:6" ht="18" customHeight="1" x14ac:dyDescent="0.25">
      <c r="B31" s="13" t="s">
        <v>409</v>
      </c>
      <c r="C31" s="69" t="s">
        <v>13</v>
      </c>
      <c r="D31" s="187">
        <v>-290.54387000000003</v>
      </c>
      <c r="E31" s="187">
        <v>-2526.340479</v>
      </c>
      <c r="F31" s="187">
        <v>-11.83006</v>
      </c>
    </row>
    <row r="32" spans="2:6" ht="18" customHeight="1" x14ac:dyDescent="0.25">
      <c r="B32" s="13" t="s">
        <v>410</v>
      </c>
      <c r="C32" s="69" t="s">
        <v>13</v>
      </c>
      <c r="D32" s="187">
        <v>-175.095977</v>
      </c>
      <c r="E32" s="187">
        <v>109.93280300000001</v>
      </c>
      <c r="F32" s="187">
        <v>30.112876</v>
      </c>
    </row>
    <row r="33" spans="2:6" ht="18" customHeight="1" x14ac:dyDescent="0.25">
      <c r="B33" s="17" t="s">
        <v>383</v>
      </c>
      <c r="C33" s="181" t="s">
        <v>13</v>
      </c>
      <c r="D33" s="190">
        <f>D27+SUM(D30:D32)</f>
        <v>1223.7973580000003</v>
      </c>
      <c r="E33" s="190">
        <f t="shared" ref="E33:F33" si="9">E27+SUM(E30:E32)</f>
        <v>-489.46088099999997</v>
      </c>
      <c r="F33" s="190">
        <f t="shared" si="9"/>
        <v>1893.8545340000005</v>
      </c>
    </row>
    <row r="34" spans="2:6" ht="18" customHeight="1" x14ac:dyDescent="0.25">
      <c r="B34" s="13"/>
      <c r="C34" s="69"/>
      <c r="D34" s="188"/>
      <c r="E34" s="188"/>
      <c r="F34" s="188"/>
    </row>
    <row r="35" spans="2:6" ht="18" customHeight="1" x14ac:dyDescent="0.25">
      <c r="B35" s="13" t="s">
        <v>190</v>
      </c>
      <c r="C35" s="69" t="s">
        <v>13</v>
      </c>
      <c r="D35" s="187">
        <v>-264.56809399999997</v>
      </c>
      <c r="E35" s="187">
        <f>144.815333</f>
        <v>144.81533300000001</v>
      </c>
      <c r="F35" s="187">
        <v>-424.80668500000002</v>
      </c>
    </row>
    <row r="36" spans="2:6" ht="18" customHeight="1" x14ac:dyDescent="0.25">
      <c r="B36" s="164" t="s">
        <v>191</v>
      </c>
      <c r="C36" s="69" t="s">
        <v>55</v>
      </c>
      <c r="D36" s="191">
        <f>-D35/D33</f>
        <v>0.21618619477359577</v>
      </c>
      <c r="E36" s="191">
        <f t="shared" ref="E36:F36" si="10">-E35/E33</f>
        <v>0.29586702149543187</v>
      </c>
      <c r="F36" s="191">
        <f t="shared" si="10"/>
        <v>0.22430798003412014</v>
      </c>
    </row>
    <row r="37" spans="2:6" ht="18" customHeight="1" x14ac:dyDescent="0.25">
      <c r="B37" s="13"/>
      <c r="C37" s="69"/>
      <c r="D37" s="188"/>
      <c r="E37" s="188"/>
      <c r="F37" s="188"/>
    </row>
    <row r="38" spans="2:6" ht="18" customHeight="1" x14ac:dyDescent="0.25">
      <c r="B38" s="17" t="s">
        <v>192</v>
      </c>
      <c r="C38" s="181" t="s">
        <v>13</v>
      </c>
      <c r="D38" s="190">
        <f>D33+D35</f>
        <v>959.22926400000028</v>
      </c>
      <c r="E38" s="190">
        <f t="shared" ref="E38:F38" si="11">E33+E35</f>
        <v>-344.64554799999996</v>
      </c>
      <c r="F38" s="190">
        <f t="shared" si="11"/>
        <v>1469.0478490000005</v>
      </c>
    </row>
    <row r="39" spans="2:6" ht="18" customHeight="1" x14ac:dyDescent="0.25">
      <c r="B39" s="182" t="s">
        <v>193</v>
      </c>
      <c r="C39" s="183" t="s">
        <v>55</v>
      </c>
      <c r="D39" s="189"/>
      <c r="E39" s="189"/>
      <c r="F39" s="189"/>
    </row>
    <row r="40" spans="2:6" ht="18" customHeight="1" x14ac:dyDescent="0.2">
      <c r="B40" s="63"/>
      <c r="C40" s="69"/>
      <c r="D40" s="73"/>
      <c r="E40" s="73"/>
      <c r="F40" s="73"/>
    </row>
    <row r="41" spans="2:6" ht="18" customHeight="1" x14ac:dyDescent="0.2">
      <c r="B41" s="237" t="s">
        <v>194</v>
      </c>
      <c r="C41" s="238"/>
      <c r="D41" s="239"/>
      <c r="E41" s="239"/>
      <c r="F41" s="239"/>
    </row>
    <row r="42" spans="2:6" ht="18" customHeight="1" x14ac:dyDescent="0.2">
      <c r="B42" s="98" t="s">
        <v>195</v>
      </c>
      <c r="C42" s="69"/>
      <c r="D42" s="73"/>
      <c r="E42" s="73"/>
      <c r="F42" s="73"/>
    </row>
    <row r="43" spans="2:6" ht="18" customHeight="1" x14ac:dyDescent="0.2">
      <c r="B43" s="13" t="s">
        <v>196</v>
      </c>
      <c r="C43" s="69" t="s">
        <v>13</v>
      </c>
      <c r="D43" s="80">
        <v>1721.95</v>
      </c>
      <c r="E43" s="80">
        <v>2572.44</v>
      </c>
      <c r="F43" s="80">
        <v>3361.78</v>
      </c>
    </row>
    <row r="44" spans="2:6" ht="18" customHeight="1" x14ac:dyDescent="0.2">
      <c r="B44" s="13" t="s">
        <v>122</v>
      </c>
      <c r="C44" s="69" t="s">
        <v>13</v>
      </c>
      <c r="D44" s="80">
        <v>886.59</v>
      </c>
      <c r="E44" s="80">
        <v>1124.24</v>
      </c>
      <c r="F44" s="80">
        <v>1541.19</v>
      </c>
    </row>
    <row r="45" spans="2:6" ht="18" customHeight="1" x14ac:dyDescent="0.2">
      <c r="B45" s="13" t="s">
        <v>123</v>
      </c>
      <c r="C45" s="69" t="s">
        <v>13</v>
      </c>
      <c r="D45" s="80">
        <v>822.56</v>
      </c>
      <c r="E45" s="80">
        <v>841.91</v>
      </c>
      <c r="F45" s="80">
        <v>991.5</v>
      </c>
    </row>
    <row r="46" spans="2:6" ht="18" customHeight="1" x14ac:dyDescent="0.2">
      <c r="B46" s="13" t="s">
        <v>384</v>
      </c>
      <c r="C46" s="69" t="s">
        <v>13</v>
      </c>
      <c r="D46" s="80">
        <v>6.9</v>
      </c>
      <c r="E46" s="80">
        <v>0</v>
      </c>
      <c r="F46" s="80">
        <v>23.85</v>
      </c>
    </row>
    <row r="47" spans="2:6" ht="18" customHeight="1" x14ac:dyDescent="0.2">
      <c r="B47" s="17" t="s">
        <v>198</v>
      </c>
      <c r="C47" s="181" t="s">
        <v>13</v>
      </c>
      <c r="D47" s="76">
        <f>SUM(D43:D46)</f>
        <v>3438</v>
      </c>
      <c r="E47" s="76">
        <f>SUM(E43:E46)</f>
        <v>4538.59</v>
      </c>
      <c r="F47" s="76">
        <f>SUM(F43:F46)</f>
        <v>5918.3200000000006</v>
      </c>
    </row>
    <row r="48" spans="2:6" ht="18" customHeight="1" x14ac:dyDescent="0.2">
      <c r="B48" s="13"/>
      <c r="C48" s="69"/>
      <c r="D48" s="73"/>
      <c r="E48" s="73"/>
      <c r="F48" s="73"/>
    </row>
    <row r="49" spans="2:6" ht="18" customHeight="1" x14ac:dyDescent="0.2">
      <c r="B49" s="13" t="s">
        <v>385</v>
      </c>
      <c r="C49" s="69" t="s">
        <v>13</v>
      </c>
      <c r="D49" s="80">
        <v>478.76</v>
      </c>
      <c r="E49" s="80">
        <v>822.61</v>
      </c>
      <c r="F49" s="80">
        <v>1071</v>
      </c>
    </row>
    <row r="50" spans="2:6" ht="18" customHeight="1" x14ac:dyDescent="0.2">
      <c r="B50" s="13" t="s">
        <v>200</v>
      </c>
      <c r="C50" s="69" t="s">
        <v>13</v>
      </c>
      <c r="D50" s="80">
        <v>10800.64</v>
      </c>
      <c r="E50" s="80">
        <v>10784.34</v>
      </c>
      <c r="F50" s="80">
        <v>10823.55</v>
      </c>
    </row>
    <row r="51" spans="2:6" ht="18" customHeight="1" x14ac:dyDescent="0.2">
      <c r="B51" s="13" t="s">
        <v>386</v>
      </c>
      <c r="C51" s="69" t="s">
        <v>13</v>
      </c>
      <c r="D51" s="80">
        <v>5167.83</v>
      </c>
      <c r="E51" s="80">
        <v>4996.6000000000004</v>
      </c>
      <c r="F51" s="80">
        <v>4957.4799999999996</v>
      </c>
    </row>
    <row r="52" spans="2:6" ht="18" customHeight="1" x14ac:dyDescent="0.2">
      <c r="B52" s="13" t="s">
        <v>202</v>
      </c>
      <c r="C52" s="69" t="s">
        <v>13</v>
      </c>
      <c r="D52" s="80">
        <v>30.54</v>
      </c>
      <c r="E52" s="80">
        <v>77.180000000000007</v>
      </c>
      <c r="F52" s="80">
        <v>86.32</v>
      </c>
    </row>
    <row r="53" spans="2:6" ht="18" customHeight="1" x14ac:dyDescent="0.2">
      <c r="B53" s="17" t="s">
        <v>203</v>
      </c>
      <c r="C53" s="181" t="s">
        <v>13</v>
      </c>
      <c r="D53" s="76">
        <f>D47+D49+D50+D51+D52</f>
        <v>19915.77</v>
      </c>
      <c r="E53" s="76">
        <f>E47+E49+E50+E51+E52</f>
        <v>21219.32</v>
      </c>
      <c r="F53" s="76">
        <f>F47+F49+F50+F51+F52</f>
        <v>22856.67</v>
      </c>
    </row>
    <row r="54" spans="2:6" ht="18" customHeight="1" x14ac:dyDescent="0.2">
      <c r="B54" s="13"/>
      <c r="C54" s="69"/>
      <c r="D54" s="73"/>
      <c r="E54" s="73"/>
      <c r="F54" s="73"/>
    </row>
    <row r="55" spans="2:6" ht="18" customHeight="1" x14ac:dyDescent="0.2">
      <c r="B55" s="98" t="s">
        <v>204</v>
      </c>
      <c r="C55" s="69"/>
      <c r="D55" s="73"/>
      <c r="E55" s="73"/>
      <c r="F55" s="73"/>
    </row>
    <row r="56" spans="2:6" ht="18" customHeight="1" x14ac:dyDescent="0.2">
      <c r="B56" s="13" t="s">
        <v>124</v>
      </c>
      <c r="C56" s="69" t="s">
        <v>13</v>
      </c>
      <c r="D56" s="80">
        <v>482.7</v>
      </c>
      <c r="E56" s="80">
        <v>444.82</v>
      </c>
      <c r="F56" s="80">
        <v>467.92</v>
      </c>
    </row>
    <row r="57" spans="2:6" ht="18" customHeight="1" x14ac:dyDescent="0.2">
      <c r="B57" s="13" t="s">
        <v>205</v>
      </c>
      <c r="C57" s="69" t="s">
        <v>13</v>
      </c>
      <c r="D57" s="80">
        <v>49.26</v>
      </c>
      <c r="E57" s="80">
        <v>161.47999999999999</v>
      </c>
      <c r="F57" s="80">
        <v>88.59</v>
      </c>
    </row>
    <row r="58" spans="2:6" ht="18" customHeight="1" x14ac:dyDescent="0.2">
      <c r="B58" s="13" t="s">
        <v>387</v>
      </c>
      <c r="C58" s="69" t="s">
        <v>13</v>
      </c>
      <c r="D58" s="80">
        <v>456.1</v>
      </c>
      <c r="E58" s="80">
        <v>1448.2</v>
      </c>
      <c r="F58" s="80">
        <v>961.97</v>
      </c>
    </row>
    <row r="59" spans="2:6" ht="18" customHeight="1" x14ac:dyDescent="0.2">
      <c r="B59" s="13" t="s">
        <v>206</v>
      </c>
      <c r="C59" s="69" t="s">
        <v>13</v>
      </c>
      <c r="D59" s="80">
        <v>76.84</v>
      </c>
      <c r="E59" s="80">
        <v>101.56</v>
      </c>
      <c r="F59" s="80">
        <v>132.88</v>
      </c>
    </row>
    <row r="60" spans="2:6" ht="18" customHeight="1" x14ac:dyDescent="0.2">
      <c r="B60" s="13" t="s">
        <v>207</v>
      </c>
      <c r="C60" s="69" t="s">
        <v>13</v>
      </c>
      <c r="D60" s="80">
        <v>264.01</v>
      </c>
      <c r="E60" s="80">
        <v>75.150000000000006</v>
      </c>
      <c r="F60" s="80">
        <v>538.34</v>
      </c>
    </row>
    <row r="61" spans="2:6" ht="18" customHeight="1" x14ac:dyDescent="0.2">
      <c r="B61" s="17" t="s">
        <v>208</v>
      </c>
      <c r="C61" s="181" t="s">
        <v>13</v>
      </c>
      <c r="D61" s="76">
        <f>SUM(D56:D60)</f>
        <v>1328.91</v>
      </c>
      <c r="E61" s="76">
        <f>SUM(E56:E60)</f>
        <v>2231.21</v>
      </c>
      <c r="F61" s="76">
        <f>SUM(F56:F60)</f>
        <v>2189.7000000000003</v>
      </c>
    </row>
    <row r="62" spans="2:6" ht="18" customHeight="1" x14ac:dyDescent="0.2">
      <c r="B62" s="13"/>
      <c r="C62" s="69"/>
      <c r="D62" s="73"/>
      <c r="E62" s="73"/>
      <c r="F62" s="73"/>
    </row>
    <row r="63" spans="2:6" ht="18" customHeight="1" x14ac:dyDescent="0.2">
      <c r="B63" s="13" t="s">
        <v>209</v>
      </c>
      <c r="C63" s="69" t="s">
        <v>13</v>
      </c>
      <c r="D63" s="80">
        <v>4154.17</v>
      </c>
      <c r="E63" s="80">
        <v>4394.37</v>
      </c>
      <c r="F63" s="80">
        <v>4751.92</v>
      </c>
    </row>
    <row r="64" spans="2:6" ht="18" customHeight="1" x14ac:dyDescent="0.2">
      <c r="B64" s="13" t="s">
        <v>210</v>
      </c>
      <c r="C64" s="69" t="s">
        <v>13</v>
      </c>
      <c r="D64" s="80">
        <v>1001.85</v>
      </c>
      <c r="E64" s="80">
        <v>982.06</v>
      </c>
      <c r="F64" s="80">
        <v>820</v>
      </c>
    </row>
    <row r="65" spans="2:6" ht="18" customHeight="1" x14ac:dyDescent="0.2">
      <c r="B65" s="13" t="s">
        <v>211</v>
      </c>
      <c r="C65" s="69" t="s">
        <v>13</v>
      </c>
      <c r="D65" s="80">
        <v>343.8</v>
      </c>
      <c r="E65" s="80">
        <v>609.34</v>
      </c>
      <c r="F65" s="80">
        <v>82.91</v>
      </c>
    </row>
    <row r="66" spans="2:6" ht="18" customHeight="1" x14ac:dyDescent="0.2">
      <c r="B66" s="17" t="s">
        <v>212</v>
      </c>
      <c r="C66" s="181" t="s">
        <v>13</v>
      </c>
      <c r="D66" s="76">
        <f>D61+D63+D64+D65</f>
        <v>6828.7300000000005</v>
      </c>
      <c r="E66" s="76">
        <f>E61+E63+E64+E65</f>
        <v>8216.98</v>
      </c>
      <c r="F66" s="76">
        <f>F61+F63+F64+F65</f>
        <v>7844.5300000000007</v>
      </c>
    </row>
    <row r="67" spans="2:6" ht="18" customHeight="1" x14ac:dyDescent="0.2">
      <c r="B67" s="13"/>
      <c r="C67" s="69"/>
      <c r="D67" s="73"/>
      <c r="E67" s="73"/>
      <c r="F67" s="73"/>
    </row>
    <row r="68" spans="2:6" ht="18" customHeight="1" x14ac:dyDescent="0.2">
      <c r="B68" s="98" t="s">
        <v>213</v>
      </c>
      <c r="C68" s="69"/>
      <c r="D68" s="73"/>
      <c r="E68" s="73"/>
      <c r="F68" s="73"/>
    </row>
    <row r="69" spans="2:6" ht="18" customHeight="1" x14ac:dyDescent="0.2">
      <c r="B69" s="13" t="s">
        <v>214</v>
      </c>
      <c r="C69" s="69" t="s">
        <v>13</v>
      </c>
      <c r="D69" s="80">
        <v>11711.85</v>
      </c>
      <c r="E69" s="80">
        <v>12074.11</v>
      </c>
      <c r="F69" s="80">
        <v>13502.75</v>
      </c>
    </row>
    <row r="70" spans="2:6" ht="18" customHeight="1" x14ac:dyDescent="0.2">
      <c r="B70" s="13" t="s">
        <v>215</v>
      </c>
      <c r="C70" s="69" t="s">
        <v>13</v>
      </c>
      <c r="D70" s="80">
        <v>3303.04</v>
      </c>
      <c r="E70" s="80">
        <v>3089.36</v>
      </c>
      <c r="F70" s="80">
        <v>5006.32</v>
      </c>
    </row>
    <row r="71" spans="2:6" ht="18" customHeight="1" x14ac:dyDescent="0.2">
      <c r="B71" s="13" t="s">
        <v>388</v>
      </c>
      <c r="C71" s="69" t="s">
        <v>13</v>
      </c>
      <c r="D71" s="80">
        <v>-1927.86</v>
      </c>
      <c r="E71" s="80">
        <v>-2161.14</v>
      </c>
      <c r="F71" s="80">
        <v>-3496.94</v>
      </c>
    </row>
    <row r="72" spans="2:6" ht="18" customHeight="1" x14ac:dyDescent="0.2">
      <c r="B72" s="17" t="s">
        <v>216</v>
      </c>
      <c r="C72" s="181" t="s">
        <v>13</v>
      </c>
      <c r="D72" s="76">
        <f>SUM(D69:D71)</f>
        <v>13087.029999999999</v>
      </c>
      <c r="E72" s="76">
        <f>SUM(E69:E71)</f>
        <v>13002.330000000002</v>
      </c>
      <c r="F72" s="76">
        <f>SUM(F69:F71)</f>
        <v>15012.13</v>
      </c>
    </row>
    <row r="73" spans="2:6" ht="18" customHeight="1" x14ac:dyDescent="0.2">
      <c r="B73" s="13"/>
      <c r="C73" s="69"/>
      <c r="D73" s="73"/>
      <c r="E73" s="73"/>
      <c r="F73" s="73"/>
    </row>
    <row r="74" spans="2:6" ht="18" customHeight="1" x14ac:dyDescent="0.2">
      <c r="B74" s="184" t="s">
        <v>217</v>
      </c>
      <c r="C74" s="185" t="s">
        <v>13</v>
      </c>
      <c r="D74" s="192">
        <f>D66+D72</f>
        <v>19915.759999999998</v>
      </c>
      <c r="E74" s="192">
        <f>E66+E72</f>
        <v>21219.31</v>
      </c>
      <c r="F74" s="192">
        <f>F66+F72</f>
        <v>22856.66</v>
      </c>
    </row>
    <row r="75" spans="2:6" ht="18" customHeight="1" x14ac:dyDescent="0.2">
      <c r="B75" s="63"/>
      <c r="C75" s="69"/>
      <c r="D75" s="73"/>
      <c r="E75" s="73"/>
      <c r="F75" s="73"/>
    </row>
    <row r="76" spans="2:6" ht="18" customHeight="1" x14ac:dyDescent="0.2">
      <c r="B76" s="237" t="s">
        <v>219</v>
      </c>
      <c r="C76" s="238"/>
      <c r="D76" s="239"/>
      <c r="E76" s="239"/>
      <c r="F76" s="239"/>
    </row>
    <row r="77" spans="2:6" ht="18" customHeight="1" x14ac:dyDescent="0.2">
      <c r="B77" s="98" t="s">
        <v>220</v>
      </c>
      <c r="C77" s="69"/>
      <c r="D77" s="73"/>
      <c r="E77" s="73"/>
      <c r="F77" s="73"/>
    </row>
    <row r="78" spans="2:6" ht="18" customHeight="1" x14ac:dyDescent="0.2">
      <c r="B78" s="13" t="s">
        <v>192</v>
      </c>
      <c r="C78" s="69" t="s">
        <v>13</v>
      </c>
      <c r="D78" s="80">
        <v>1223.75</v>
      </c>
      <c r="E78" s="80">
        <v>-489.41</v>
      </c>
      <c r="F78" s="80">
        <v>1893.88</v>
      </c>
    </row>
    <row r="79" spans="2:6" ht="18" customHeight="1" x14ac:dyDescent="0.2">
      <c r="B79" s="13" t="s">
        <v>134</v>
      </c>
      <c r="C79" s="69" t="s">
        <v>13</v>
      </c>
      <c r="D79" s="80">
        <v>555.11</v>
      </c>
      <c r="E79" s="80">
        <v>656.43</v>
      </c>
      <c r="F79" s="80">
        <v>675.39</v>
      </c>
    </row>
    <row r="80" spans="2:6" ht="18" customHeight="1" x14ac:dyDescent="0.2">
      <c r="B80" s="13" t="s">
        <v>389</v>
      </c>
      <c r="C80" s="69" t="s">
        <v>13</v>
      </c>
      <c r="D80" s="80">
        <v>230.9</v>
      </c>
      <c r="E80" s="80">
        <v>-186.04</v>
      </c>
      <c r="F80" s="80">
        <v>447.39</v>
      </c>
    </row>
    <row r="81" spans="2:6" ht="18" customHeight="1" x14ac:dyDescent="0.2">
      <c r="B81" s="13" t="s">
        <v>390</v>
      </c>
      <c r="C81" s="69" t="s">
        <v>13</v>
      </c>
      <c r="D81" s="80">
        <v>-1140.05</v>
      </c>
      <c r="E81" s="80">
        <v>1391.07</v>
      </c>
      <c r="F81" s="80">
        <v>-1702.45</v>
      </c>
    </row>
    <row r="82" spans="2:6" ht="18" customHeight="1" x14ac:dyDescent="0.2">
      <c r="B82" s="13" t="s">
        <v>391</v>
      </c>
      <c r="C82" s="69" t="s">
        <v>13</v>
      </c>
      <c r="D82" s="80">
        <v>0</v>
      </c>
      <c r="E82" s="80">
        <v>0</v>
      </c>
      <c r="F82" s="80">
        <v>0</v>
      </c>
    </row>
    <row r="83" spans="2:6" ht="18" customHeight="1" x14ac:dyDescent="0.2">
      <c r="B83" s="17" t="s">
        <v>225</v>
      </c>
      <c r="C83" s="181" t="s">
        <v>13</v>
      </c>
      <c r="D83" s="73">
        <f>SUM(D78:D82)</f>
        <v>869.71000000000026</v>
      </c>
      <c r="E83" s="73">
        <f>SUM(E78:E82)</f>
        <v>1372.05</v>
      </c>
      <c r="F83" s="73">
        <f>SUM(F78:F82)</f>
        <v>1314.2099999999998</v>
      </c>
    </row>
    <row r="84" spans="2:6" ht="18" customHeight="1" x14ac:dyDescent="0.2">
      <c r="B84" s="13"/>
      <c r="C84" s="69"/>
      <c r="D84" s="73"/>
      <c r="E84" s="73"/>
      <c r="F84" s="73"/>
    </row>
    <row r="85" spans="2:6" ht="18" customHeight="1" x14ac:dyDescent="0.2">
      <c r="B85" s="98" t="s">
        <v>226</v>
      </c>
      <c r="C85" s="69"/>
      <c r="D85" s="73"/>
      <c r="E85" s="73"/>
      <c r="F85" s="73"/>
    </row>
    <row r="86" spans="2:6" ht="18" customHeight="1" x14ac:dyDescent="0.2">
      <c r="B86" s="13" t="s">
        <v>227</v>
      </c>
      <c r="C86" s="69" t="s">
        <v>13</v>
      </c>
      <c r="D86" s="80">
        <v>-414.65</v>
      </c>
      <c r="E86" s="80">
        <v>-545.44000000000005</v>
      </c>
      <c r="F86" s="80">
        <v>-620.54</v>
      </c>
    </row>
    <row r="87" spans="2:6" ht="18" customHeight="1" x14ac:dyDescent="0.2">
      <c r="B87" s="13" t="s">
        <v>228</v>
      </c>
      <c r="C87" s="69" t="s">
        <v>13</v>
      </c>
      <c r="D87" s="80">
        <v>0</v>
      </c>
      <c r="E87" s="80">
        <v>0</v>
      </c>
      <c r="F87" s="80">
        <v>0</v>
      </c>
    </row>
    <row r="88" spans="2:6" ht="18" customHeight="1" x14ac:dyDescent="0.2">
      <c r="B88" s="13" t="s">
        <v>392</v>
      </c>
      <c r="C88" s="69" t="s">
        <v>13</v>
      </c>
      <c r="D88" s="80">
        <v>0</v>
      </c>
      <c r="E88" s="80">
        <v>0</v>
      </c>
      <c r="F88" s="80">
        <v>0</v>
      </c>
    </row>
    <row r="89" spans="2:6" ht="18" customHeight="1" x14ac:dyDescent="0.2">
      <c r="B89" s="17" t="s">
        <v>229</v>
      </c>
      <c r="C89" s="181" t="s">
        <v>13</v>
      </c>
      <c r="D89" s="73">
        <f>SUM(D86:D88)</f>
        <v>-414.65</v>
      </c>
      <c r="E89" s="73">
        <f>SUM(E86:E88)</f>
        <v>-545.44000000000005</v>
      </c>
      <c r="F89" s="73">
        <f>SUM(F86:F88)</f>
        <v>-620.54</v>
      </c>
    </row>
    <row r="90" spans="2:6" ht="18" customHeight="1" x14ac:dyDescent="0.2">
      <c r="B90" s="13"/>
      <c r="C90" s="69"/>
      <c r="D90" s="73"/>
      <c r="E90" s="73"/>
      <c r="F90" s="73"/>
    </row>
    <row r="91" spans="2:6" ht="18" customHeight="1" x14ac:dyDescent="0.2">
      <c r="B91" s="98" t="s">
        <v>230</v>
      </c>
      <c r="C91" s="69"/>
      <c r="D91" s="73"/>
      <c r="E91" s="73"/>
      <c r="F91" s="73"/>
    </row>
    <row r="92" spans="2:6" ht="18" customHeight="1" x14ac:dyDescent="0.2">
      <c r="B92" s="13" t="s">
        <v>231</v>
      </c>
      <c r="C92" s="69" t="s">
        <v>13</v>
      </c>
      <c r="D92" s="80">
        <v>0</v>
      </c>
      <c r="E92" s="80">
        <v>0</v>
      </c>
      <c r="F92" s="80">
        <v>0</v>
      </c>
    </row>
    <row r="93" spans="2:6" ht="18" customHeight="1" x14ac:dyDescent="0.2">
      <c r="B93" s="13" t="s">
        <v>232</v>
      </c>
      <c r="C93" s="69" t="s">
        <v>13</v>
      </c>
      <c r="D93" s="80">
        <v>24.05</v>
      </c>
      <c r="E93" s="80">
        <v>19.03</v>
      </c>
      <c r="F93" s="80">
        <v>0</v>
      </c>
    </row>
    <row r="94" spans="2:6" ht="18" customHeight="1" x14ac:dyDescent="0.2">
      <c r="B94" s="13" t="s">
        <v>233</v>
      </c>
      <c r="C94" s="69" t="s">
        <v>13</v>
      </c>
      <c r="D94" s="80">
        <v>0</v>
      </c>
      <c r="E94" s="80">
        <v>0</v>
      </c>
      <c r="F94" s="80">
        <v>0</v>
      </c>
    </row>
    <row r="95" spans="2:6" ht="18" customHeight="1" x14ac:dyDescent="0.2">
      <c r="B95" s="13" t="s">
        <v>393</v>
      </c>
      <c r="C95" s="69" t="s">
        <v>13</v>
      </c>
      <c r="D95" s="80">
        <v>-186.29</v>
      </c>
      <c r="E95" s="80">
        <v>-79.28</v>
      </c>
      <c r="F95" s="80">
        <v>-129.06</v>
      </c>
    </row>
    <row r="96" spans="2:6" ht="18" customHeight="1" x14ac:dyDescent="0.2">
      <c r="B96" s="17" t="s">
        <v>234</v>
      </c>
      <c r="C96" s="181" t="s">
        <v>13</v>
      </c>
      <c r="D96" s="73">
        <f>SUM(D92:D95)</f>
        <v>-162.23999999999998</v>
      </c>
      <c r="E96" s="73">
        <f>SUM(E92:E95)</f>
        <v>-60.25</v>
      </c>
      <c r="F96" s="73">
        <f>SUM(F92:F95)</f>
        <v>-129.06</v>
      </c>
    </row>
    <row r="97" spans="2:6" ht="18" customHeight="1" x14ac:dyDescent="0.2">
      <c r="B97" s="13"/>
      <c r="C97" s="69"/>
      <c r="D97" s="73"/>
      <c r="E97" s="73"/>
      <c r="F97" s="73"/>
    </row>
    <row r="98" spans="2:6" ht="18" customHeight="1" x14ac:dyDescent="0.2">
      <c r="B98" s="17" t="s">
        <v>235</v>
      </c>
      <c r="C98" s="181" t="s">
        <v>13</v>
      </c>
      <c r="D98" s="73">
        <f>D83+D89+D96</f>
        <v>292.82000000000028</v>
      </c>
      <c r="E98" s="73">
        <f>E83+E89+E96</f>
        <v>766.3599999999999</v>
      </c>
      <c r="F98" s="73">
        <f>F83+F89+F96</f>
        <v>564.6099999999999</v>
      </c>
    </row>
    <row r="99" spans="2:6" ht="18" customHeight="1" x14ac:dyDescent="0.2">
      <c r="B99" s="13" t="s">
        <v>394</v>
      </c>
      <c r="C99" s="69" t="s">
        <v>13</v>
      </c>
      <c r="D99" s="80">
        <v>1721.95</v>
      </c>
      <c r="E99" s="80">
        <v>1991.33</v>
      </c>
      <c r="F99" s="80">
        <v>2821.62</v>
      </c>
    </row>
    <row r="100" spans="2:6" ht="18" customHeight="1" x14ac:dyDescent="0.2">
      <c r="B100" s="184" t="s">
        <v>395</v>
      </c>
      <c r="C100" s="185" t="s">
        <v>13</v>
      </c>
      <c r="D100" s="197">
        <f>D99+D98</f>
        <v>2014.7700000000004</v>
      </c>
      <c r="E100" s="197">
        <f>E99+E98</f>
        <v>2757.6899999999996</v>
      </c>
      <c r="F100" s="197">
        <f>F99+F98</f>
        <v>3386.2299999999996</v>
      </c>
    </row>
    <row r="101" spans="2:6" ht="18" customHeight="1" x14ac:dyDescent="0.2">
      <c r="B101" s="63"/>
      <c r="C101" s="69"/>
      <c r="D101" s="73"/>
      <c r="E101" s="73"/>
      <c r="F101" s="73"/>
    </row>
    <row r="102" spans="2:6" ht="18" customHeight="1" x14ac:dyDescent="0.2">
      <c r="B102" s="237" t="s">
        <v>396</v>
      </c>
      <c r="C102" s="238"/>
      <c r="D102" s="239"/>
      <c r="E102" s="239"/>
      <c r="F102" s="239"/>
    </row>
    <row r="103" spans="2:6" ht="18" customHeight="1" x14ac:dyDescent="0.2">
      <c r="B103" s="98" t="s">
        <v>397</v>
      </c>
      <c r="C103" s="69"/>
      <c r="D103" s="73"/>
      <c r="E103" s="73"/>
      <c r="F103" s="73"/>
    </row>
    <row r="104" spans="2:6" ht="18" customHeight="1" x14ac:dyDescent="0.2">
      <c r="B104" s="13" t="s">
        <v>118</v>
      </c>
      <c r="C104" s="69" t="s">
        <v>119</v>
      </c>
      <c r="D104" s="193">
        <f>D44/D10*365</f>
        <v>57.498306415917185</v>
      </c>
      <c r="E104" s="193">
        <f>E44/E10*365</f>
        <v>60.046733717715171</v>
      </c>
      <c r="F104" s="193">
        <f>F44/F10*365</f>
        <v>86.844423633670885</v>
      </c>
    </row>
    <row r="105" spans="2:6" ht="18" customHeight="1" x14ac:dyDescent="0.2">
      <c r="B105" s="13" t="s">
        <v>120</v>
      </c>
      <c r="C105" s="69" t="s">
        <v>119</v>
      </c>
      <c r="D105" s="193">
        <f>-D45/D13*365</f>
        <v>110.58764595381044</v>
      </c>
      <c r="E105" s="193">
        <f>-E45/E13*365</f>
        <v>101.39812248399657</v>
      </c>
      <c r="F105" s="193">
        <f>-F45/F13*365</f>
        <v>138.25018145700423</v>
      </c>
    </row>
    <row r="106" spans="2:6" ht="18" customHeight="1" x14ac:dyDescent="0.2">
      <c r="B106" s="13" t="s">
        <v>121</v>
      </c>
      <c r="C106" s="69" t="s">
        <v>119</v>
      </c>
      <c r="D106" s="193">
        <f>-D56/D13*365</f>
        <v>64.895760433165123</v>
      </c>
      <c r="E106" s="193">
        <f>-E56/E13*365</f>
        <v>53.573318814756156</v>
      </c>
      <c r="F106" s="193">
        <f>-F56/F13*365</f>
        <v>65.244604041716016</v>
      </c>
    </row>
    <row r="107" spans="2:6" ht="18" customHeight="1" x14ac:dyDescent="0.2">
      <c r="B107" s="13" t="s">
        <v>398</v>
      </c>
      <c r="C107" s="69" t="s">
        <v>119</v>
      </c>
      <c r="D107" s="193">
        <f>D104+D105-D106</f>
        <v>103.19019193656251</v>
      </c>
      <c r="E107" s="193">
        <f>E104+E105-E106</f>
        <v>107.87153738695557</v>
      </c>
      <c r="F107" s="193">
        <f>F104+F105-F106</f>
        <v>159.85000104895909</v>
      </c>
    </row>
    <row r="108" spans="2:6" ht="18" customHeight="1" x14ac:dyDescent="0.2">
      <c r="B108" s="13"/>
      <c r="C108" s="69"/>
      <c r="D108" s="73"/>
      <c r="E108" s="73"/>
      <c r="F108" s="73"/>
    </row>
    <row r="109" spans="2:6" ht="18" customHeight="1" x14ac:dyDescent="0.2">
      <c r="B109" s="98" t="s">
        <v>399</v>
      </c>
      <c r="C109" s="69"/>
      <c r="D109" s="73"/>
      <c r="E109" s="73"/>
      <c r="F109" s="73"/>
    </row>
    <row r="110" spans="2:6" ht="18" customHeight="1" x14ac:dyDescent="0.2">
      <c r="B110" s="13" t="s">
        <v>400</v>
      </c>
      <c r="C110" s="69" t="s">
        <v>55</v>
      </c>
      <c r="D110" s="194">
        <f>D38/D53</f>
        <v>4.8164307179687268E-2</v>
      </c>
      <c r="E110" s="194">
        <f>E38/E53</f>
        <v>-1.6242063741910673E-2</v>
      </c>
      <c r="F110" s="194">
        <f>F38/F53</f>
        <v>6.4272173024329471E-2</v>
      </c>
    </row>
    <row r="111" spans="2:6" ht="18" customHeight="1" x14ac:dyDescent="0.2">
      <c r="B111" s="13" t="s">
        <v>401</v>
      </c>
      <c r="C111" s="69" t="s">
        <v>55</v>
      </c>
      <c r="D111" s="194">
        <f>D38/D72</f>
        <v>7.3296176749040876E-2</v>
      </c>
      <c r="E111" s="194">
        <f>E38/E72</f>
        <v>-2.6506445229431949E-2</v>
      </c>
      <c r="F111" s="194">
        <f>F38/F72</f>
        <v>9.7857389257886826E-2</v>
      </c>
    </row>
    <row r="112" spans="2:6" ht="18" customHeight="1" x14ac:dyDescent="0.2">
      <c r="B112" s="13" t="s">
        <v>402</v>
      </c>
      <c r="C112" s="69" t="s">
        <v>55</v>
      </c>
      <c r="D112" s="194">
        <f>D27*(1-D36)/(D115+D72-D43)</f>
        <v>9.593010473241316E-2</v>
      </c>
      <c r="E112" s="194">
        <f>E27*(1-E36)/(E115+E72-E43)</f>
        <v>0.11239721256473027</v>
      </c>
      <c r="F112" s="194">
        <f>F27*(1-F36)/(F115+F72-F43)</f>
        <v>0.11275802384775871</v>
      </c>
    </row>
    <row r="113" spans="2:6" ht="18" customHeight="1" x14ac:dyDescent="0.2">
      <c r="B113" s="13"/>
      <c r="C113" s="69"/>
      <c r="D113" s="73"/>
      <c r="E113" s="73"/>
      <c r="F113" s="73"/>
    </row>
    <row r="114" spans="2:6" ht="18" customHeight="1" x14ac:dyDescent="0.2">
      <c r="B114" s="98" t="s">
        <v>403</v>
      </c>
      <c r="C114" s="69"/>
      <c r="D114" s="73"/>
      <c r="E114" s="73"/>
      <c r="F114" s="73"/>
    </row>
    <row r="115" spans="2:6" ht="18" customHeight="1" x14ac:dyDescent="0.2">
      <c r="B115" s="13" t="s">
        <v>53</v>
      </c>
      <c r="C115" s="69" t="s">
        <v>13</v>
      </c>
      <c r="D115" s="195">
        <f>D59+D63</f>
        <v>4231.01</v>
      </c>
      <c r="E115" s="195">
        <f>E59+E63</f>
        <v>4495.93</v>
      </c>
      <c r="F115" s="195">
        <f>F59+F63</f>
        <v>4884.8</v>
      </c>
    </row>
    <row r="116" spans="2:6" ht="18" customHeight="1" x14ac:dyDescent="0.2">
      <c r="B116" s="13" t="s">
        <v>404</v>
      </c>
      <c r="C116" s="69" t="s">
        <v>13</v>
      </c>
      <c r="D116" s="195">
        <f>D115-D43</f>
        <v>2509.0600000000004</v>
      </c>
      <c r="E116" s="195">
        <f>E115-E43</f>
        <v>1923.4900000000002</v>
      </c>
      <c r="F116" s="195">
        <f>F115-F43</f>
        <v>1523.02</v>
      </c>
    </row>
    <row r="117" spans="2:6" ht="18" customHeight="1" x14ac:dyDescent="0.2">
      <c r="B117" s="186" t="s">
        <v>405</v>
      </c>
      <c r="C117" s="183" t="s">
        <v>19</v>
      </c>
      <c r="D117" s="196">
        <f>D116/D23</f>
        <v>1.0183285960885051</v>
      </c>
      <c r="E117" s="196">
        <f>E116/E23</f>
        <v>0.63294362695643558</v>
      </c>
      <c r="F117" s="196">
        <f>F116/F23</f>
        <v>0.4946457790251485</v>
      </c>
    </row>
  </sheetData>
  <mergeCells count="4">
    <mergeCell ref="B7:F7"/>
    <mergeCell ref="B41:F41"/>
    <mergeCell ref="B76:F76"/>
    <mergeCell ref="B102:F10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1A379-E3DA-1145-8D7E-D7D32CB37F8C}">
  <dimension ref="B1:L88"/>
  <sheetViews>
    <sheetView workbookViewId="0">
      <selection activeCell="D22" sqref="D22"/>
    </sheetView>
  </sheetViews>
  <sheetFormatPr baseColWidth="10" defaultRowHeight="16" x14ac:dyDescent="0.2"/>
  <cols>
    <col min="1" max="1" width="3.5" style="1" customWidth="1"/>
    <col min="2" max="2" width="44.33203125" style="1" customWidth="1"/>
    <col min="3" max="3" width="14" style="1" customWidth="1"/>
    <col min="4" max="6" width="15.1640625" style="1" customWidth="1"/>
    <col min="7" max="7" width="3.5" style="85" customWidth="1"/>
    <col min="8" max="12" width="15.1640625" style="1" customWidth="1"/>
    <col min="13" max="16384" width="10.83203125" style="1"/>
  </cols>
  <sheetData>
    <row r="1" spans="2:12" ht="4" customHeight="1" x14ac:dyDescent="0.2">
      <c r="B1" s="6"/>
      <c r="C1" s="6"/>
      <c r="D1" s="6"/>
      <c r="E1" s="6"/>
      <c r="F1" s="6"/>
      <c r="H1" s="6"/>
      <c r="I1" s="6"/>
      <c r="J1" s="6"/>
      <c r="K1" s="6"/>
      <c r="L1" s="6"/>
    </row>
    <row r="2" spans="2:12" ht="28" customHeight="1" x14ac:dyDescent="0.35">
      <c r="B2" s="7" t="s">
        <v>80</v>
      </c>
    </row>
    <row r="3" spans="2:12" ht="17" x14ac:dyDescent="0.25">
      <c r="B3" s="8" t="s">
        <v>81</v>
      </c>
    </row>
    <row r="4" spans="2:12" ht="17" thickBot="1" x14ac:dyDescent="0.25">
      <c r="B4" s="9"/>
      <c r="C4" s="9"/>
    </row>
    <row r="5" spans="2:12" ht="22" customHeight="1" thickTop="1" thickBot="1" x14ac:dyDescent="0.25">
      <c r="B5" s="61"/>
      <c r="C5" s="61" t="s">
        <v>82</v>
      </c>
      <c r="D5" s="179" t="s">
        <v>83</v>
      </c>
      <c r="E5" s="179" t="s">
        <v>84</v>
      </c>
      <c r="F5" s="179" t="s">
        <v>85</v>
      </c>
      <c r="G5" s="86"/>
      <c r="H5" s="180" t="s">
        <v>86</v>
      </c>
      <c r="I5" s="180" t="s">
        <v>87</v>
      </c>
      <c r="J5" s="180" t="s">
        <v>88</v>
      </c>
      <c r="K5" s="180" t="s">
        <v>89</v>
      </c>
      <c r="L5" s="180" t="s">
        <v>90</v>
      </c>
    </row>
    <row r="6" spans="2:12" ht="18" customHeight="1" x14ac:dyDescent="0.2">
      <c r="D6" s="72"/>
      <c r="E6" s="72"/>
      <c r="F6" s="72"/>
    </row>
    <row r="7" spans="2:12" ht="18" customHeight="1" x14ac:dyDescent="0.2">
      <c r="B7" s="242" t="s">
        <v>91</v>
      </c>
      <c r="C7" s="242"/>
      <c r="D7" s="243"/>
      <c r="E7" s="243"/>
      <c r="F7" s="243"/>
      <c r="G7" s="242"/>
      <c r="H7" s="242"/>
      <c r="I7" s="242"/>
      <c r="J7" s="242"/>
      <c r="K7" s="242"/>
      <c r="L7" s="242"/>
    </row>
    <row r="8" spans="2:12" ht="18" customHeight="1" x14ac:dyDescent="0.2">
      <c r="B8" s="13" t="s">
        <v>92</v>
      </c>
      <c r="C8" s="69" t="s">
        <v>13</v>
      </c>
      <c r="D8" s="80">
        <f>D17*D13</f>
        <v>5622.4719000000014</v>
      </c>
      <c r="E8" s="80">
        <f t="shared" ref="E8:F8" si="0">E17*E13</f>
        <v>6812.6007</v>
      </c>
      <c r="F8" s="80">
        <f t="shared" si="0"/>
        <v>6471.0225000000009</v>
      </c>
      <c r="G8" s="87"/>
      <c r="H8" s="15">
        <f>F8*(1+H9)</f>
        <v>7118.1247500000018</v>
      </c>
      <c r="I8" s="15">
        <f>H8*(1+I9)</f>
        <v>7829.9372250000024</v>
      </c>
      <c r="J8" s="15">
        <f t="shared" ref="J8:L8" si="1">I8*(1+J9)</f>
        <v>8612.9309475000027</v>
      </c>
      <c r="K8" s="15">
        <f t="shared" si="1"/>
        <v>9301.9654233000037</v>
      </c>
      <c r="L8" s="15">
        <f t="shared" si="1"/>
        <v>9767.063694465005</v>
      </c>
    </row>
    <row r="9" spans="2:12" ht="18" customHeight="1" x14ac:dyDescent="0.2">
      <c r="B9" s="78" t="s">
        <v>93</v>
      </c>
      <c r="C9" s="69" t="s">
        <v>55</v>
      </c>
      <c r="D9" s="74"/>
      <c r="E9" s="74">
        <f>E8/D8-1</f>
        <v>0.21167358791068369</v>
      </c>
      <c r="F9" s="74">
        <f>F8/E8-1</f>
        <v>-5.0139178126203499E-2</v>
      </c>
      <c r="G9" s="88"/>
      <c r="H9" s="83">
        <f>10%</f>
        <v>0.1</v>
      </c>
      <c r="I9" s="83">
        <f>10%</f>
        <v>0.1</v>
      </c>
      <c r="J9" s="83">
        <f>10%</f>
        <v>0.1</v>
      </c>
      <c r="K9" s="83">
        <f>8%</f>
        <v>0.08</v>
      </c>
      <c r="L9" s="83">
        <v>0.05</v>
      </c>
    </row>
    <row r="10" spans="2:12" ht="18" customHeight="1" x14ac:dyDescent="0.2">
      <c r="B10" s="13" t="s">
        <v>94</v>
      </c>
      <c r="C10" s="69" t="s">
        <v>13</v>
      </c>
      <c r="D10" s="80">
        <f>D13*D18</f>
        <v>5.6280999999993808</v>
      </c>
      <c r="E10" s="80">
        <f t="shared" ref="E10:F10" si="2">E13*E18</f>
        <v>20.499300000000019</v>
      </c>
      <c r="F10" s="80">
        <f t="shared" si="2"/>
        <v>6.4774999999992868</v>
      </c>
      <c r="G10" s="87"/>
      <c r="H10" s="15">
        <f>F10*(1+H11)</f>
        <v>6.8013749999992514</v>
      </c>
      <c r="I10" s="15">
        <f>H10*(1+I11)</f>
        <v>7.0734299999992221</v>
      </c>
      <c r="J10" s="15">
        <f t="shared" ref="J10:L10" si="3">I10*(1+J11)</f>
        <v>7.2856328999991993</v>
      </c>
      <c r="K10" s="15">
        <f t="shared" si="3"/>
        <v>7.4313455579991832</v>
      </c>
      <c r="L10" s="15">
        <f t="shared" si="3"/>
        <v>7.5056590135791748</v>
      </c>
    </row>
    <row r="11" spans="2:12" ht="18" customHeight="1" x14ac:dyDescent="0.2">
      <c r="B11" s="78" t="s">
        <v>93</v>
      </c>
      <c r="C11" s="69" t="s">
        <v>55</v>
      </c>
      <c r="D11" s="74"/>
      <c r="E11" s="74">
        <f>E10/D10-1</f>
        <v>2.6423126810117581</v>
      </c>
      <c r="F11" s="74">
        <f>F10/E10-1</f>
        <v>-0.68401360046444126</v>
      </c>
      <c r="G11" s="88"/>
      <c r="H11" s="83">
        <f>5%</f>
        <v>0.05</v>
      </c>
      <c r="I11" s="83">
        <v>0.04</v>
      </c>
      <c r="J11" s="83">
        <f>I11-1%</f>
        <v>0.03</v>
      </c>
      <c r="K11" s="83">
        <f t="shared" ref="K11:L11" si="4">J11-1%</f>
        <v>1.9999999999999997E-2</v>
      </c>
      <c r="L11" s="83">
        <f t="shared" si="4"/>
        <v>9.9999999999999967E-3</v>
      </c>
    </row>
    <row r="12" spans="2:12" ht="18" customHeight="1" x14ac:dyDescent="0.2">
      <c r="B12" s="13"/>
      <c r="C12" s="69"/>
      <c r="D12" s="75"/>
      <c r="E12" s="75"/>
      <c r="F12" s="75"/>
      <c r="G12" s="89"/>
      <c r="H12" s="66"/>
      <c r="I12" s="66"/>
      <c r="J12" s="66"/>
      <c r="K12" s="66"/>
      <c r="L12" s="66"/>
    </row>
    <row r="13" spans="2:12" ht="18" customHeight="1" x14ac:dyDescent="0.2">
      <c r="B13" s="17" t="s">
        <v>95</v>
      </c>
      <c r="C13" s="70" t="s">
        <v>13</v>
      </c>
      <c r="D13" s="76">
        <f>5628.1</f>
        <v>5628.1</v>
      </c>
      <c r="E13" s="76">
        <f>6833.1</f>
        <v>6833.1</v>
      </c>
      <c r="F13" s="76">
        <v>6477.5</v>
      </c>
      <c r="G13" s="90"/>
      <c r="H13" s="67">
        <f>H8+H10</f>
        <v>7124.9261250000009</v>
      </c>
      <c r="I13" s="67">
        <f t="shared" ref="I13:L13" si="5">I8+I10</f>
        <v>7837.0106550000019</v>
      </c>
      <c r="J13" s="67">
        <f t="shared" si="5"/>
        <v>8620.2165804000015</v>
      </c>
      <c r="K13" s="67">
        <f t="shared" si="5"/>
        <v>9309.3967688580033</v>
      </c>
      <c r="L13" s="67">
        <f t="shared" si="5"/>
        <v>9774.5693534785842</v>
      </c>
    </row>
    <row r="14" spans="2:12" ht="18" customHeight="1" x14ac:dyDescent="0.2">
      <c r="B14" s="78" t="s">
        <v>93</v>
      </c>
      <c r="C14" s="69" t="s">
        <v>55</v>
      </c>
      <c r="D14" s="74"/>
      <c r="E14" s="74">
        <f>E13/D13-1</f>
        <v>0.21410422700378451</v>
      </c>
      <c r="F14" s="74">
        <f>F13/E13-1</f>
        <v>-5.2040801393218317E-2</v>
      </c>
      <c r="G14" s="88"/>
      <c r="H14" s="65">
        <f>H13/F13-1</f>
        <v>9.9950000000000205E-2</v>
      </c>
      <c r="I14" s="65">
        <f>I13/H13-1</f>
        <v>9.9942724669303207E-2</v>
      </c>
      <c r="J14" s="65">
        <f t="shared" ref="J14:L14" si="6">J13/I13-1</f>
        <v>9.993682028495332E-2</v>
      </c>
      <c r="K14" s="65">
        <f t="shared" si="6"/>
        <v>7.9949289212176922E-2</v>
      </c>
      <c r="L14" s="65">
        <f t="shared" si="6"/>
        <v>4.9968069486165501E-2</v>
      </c>
    </row>
    <row r="15" spans="2:12" ht="18" customHeight="1" x14ac:dyDescent="0.2">
      <c r="B15" s="13"/>
      <c r="C15" s="69"/>
      <c r="D15" s="75"/>
      <c r="E15" s="75"/>
      <c r="F15" s="75"/>
      <c r="G15" s="89"/>
      <c r="H15" s="66"/>
      <c r="I15" s="66"/>
      <c r="J15" s="66"/>
      <c r="K15" s="66"/>
      <c r="L15" s="66"/>
    </row>
    <row r="16" spans="2:12" ht="18" customHeight="1" x14ac:dyDescent="0.2">
      <c r="B16" s="13" t="s">
        <v>96</v>
      </c>
      <c r="C16" s="69"/>
      <c r="D16" s="75"/>
      <c r="E16" s="75"/>
      <c r="F16" s="75"/>
      <c r="G16" s="89"/>
      <c r="H16" s="66"/>
      <c r="I16" s="66"/>
      <c r="J16" s="66"/>
      <c r="K16" s="66"/>
      <c r="L16" s="66"/>
    </row>
    <row r="17" spans="2:12" ht="18" customHeight="1" x14ac:dyDescent="0.2">
      <c r="B17" s="78" t="s">
        <v>97</v>
      </c>
      <c r="C17" s="69" t="s">
        <v>55</v>
      </c>
      <c r="D17" s="74">
        <f>99.9%</f>
        <v>0.99900000000000011</v>
      </c>
      <c r="E17" s="74">
        <f>99.7%</f>
        <v>0.997</v>
      </c>
      <c r="F17" s="74">
        <f>99.9%</f>
        <v>0.99900000000000011</v>
      </c>
      <c r="G17" s="88"/>
      <c r="H17" s="65">
        <f>H8/H13</f>
        <v>0.99904541115505263</v>
      </c>
      <c r="I17" s="65">
        <f t="shared" ref="I17:L17" si="7">I8/I13</f>
        <v>0.99909743264219164</v>
      </c>
      <c r="J17" s="65">
        <f t="shared" si="7"/>
        <v>0.99915482020294433</v>
      </c>
      <c r="K17" s="65">
        <f t="shared" si="7"/>
        <v>0.99920173715413452</v>
      </c>
      <c r="L17" s="65">
        <f t="shared" si="7"/>
        <v>0.99923212381618554</v>
      </c>
    </row>
    <row r="18" spans="2:12" ht="18" customHeight="1" x14ac:dyDescent="0.2">
      <c r="B18" s="78" t="s">
        <v>98</v>
      </c>
      <c r="C18" s="69" t="s">
        <v>55</v>
      </c>
      <c r="D18" s="74">
        <f>1-D17</f>
        <v>9.9999999999988987E-4</v>
      </c>
      <c r="E18" s="74">
        <f t="shared" ref="E18:F18" si="8">1-E17</f>
        <v>3.0000000000000027E-3</v>
      </c>
      <c r="F18" s="74">
        <f t="shared" si="8"/>
        <v>9.9999999999988987E-4</v>
      </c>
      <c r="G18" s="88"/>
      <c r="H18" s="65">
        <f>H10/H13</f>
        <v>9.5458884494739246E-4</v>
      </c>
      <c r="I18" s="65">
        <f t="shared" ref="I18:L18" si="9">I10/I13</f>
        <v>9.0256735780834801E-4</v>
      </c>
      <c r="J18" s="65">
        <f t="shared" si="9"/>
        <v>8.4517979705576334E-4</v>
      </c>
      <c r="K18" s="65">
        <f t="shared" si="9"/>
        <v>7.9826284586544658E-4</v>
      </c>
      <c r="L18" s="65">
        <f t="shared" si="9"/>
        <v>7.678761838144872E-4</v>
      </c>
    </row>
    <row r="19" spans="2:12" ht="18" customHeight="1" x14ac:dyDescent="0.2">
      <c r="B19" s="63"/>
      <c r="C19" s="69"/>
      <c r="D19" s="75"/>
      <c r="E19" s="75"/>
      <c r="F19" s="75"/>
      <c r="G19" s="89"/>
      <c r="H19" s="66"/>
      <c r="I19" s="66"/>
      <c r="J19" s="66"/>
      <c r="K19" s="66"/>
      <c r="L19" s="66"/>
    </row>
    <row r="20" spans="2:12" ht="18" customHeight="1" x14ac:dyDescent="0.2">
      <c r="B20" s="237" t="s">
        <v>99</v>
      </c>
      <c r="C20" s="238"/>
      <c r="D20" s="240"/>
      <c r="E20" s="240"/>
      <c r="F20" s="240"/>
      <c r="G20" s="241"/>
      <c r="H20" s="241"/>
      <c r="I20" s="241"/>
      <c r="J20" s="241"/>
      <c r="K20" s="241"/>
      <c r="L20" s="241"/>
    </row>
    <row r="21" spans="2:12" ht="18" customHeight="1" x14ac:dyDescent="0.2">
      <c r="B21" s="13" t="s">
        <v>100</v>
      </c>
      <c r="C21" s="69" t="s">
        <v>13</v>
      </c>
      <c r="D21" s="80">
        <f>'Historical Financials'!D13</f>
        <v>-2714.9</v>
      </c>
      <c r="E21" s="80">
        <f>'Historical Financials'!E13</f>
        <v>-3030.6</v>
      </c>
      <c r="F21" s="80">
        <f>'Historical Financials'!F13</f>
        <v>-2617.6999999999998</v>
      </c>
      <c r="G21" s="87"/>
      <c r="H21" s="15">
        <f>H13*H22</f>
        <v>-2914.9637456250002</v>
      </c>
      <c r="I21" s="15">
        <f>I13*I22</f>
        <v>-3245.4782179500007</v>
      </c>
      <c r="J21" s="15">
        <f>J13*J22</f>
        <v>-3612.9220742580005</v>
      </c>
      <c r="K21" s="15">
        <f>K13*K22</f>
        <v>-3948.3196099182014</v>
      </c>
      <c r="L21" s="15">
        <f>L13*L22</f>
        <v>-4174.9332266006195</v>
      </c>
    </row>
    <row r="22" spans="2:12" ht="18" customHeight="1" x14ac:dyDescent="0.2">
      <c r="B22" s="78" t="s">
        <v>101</v>
      </c>
      <c r="C22" s="69" t="s">
        <v>55</v>
      </c>
      <c r="D22" s="74">
        <f>D21/D13</f>
        <v>-0.48238304223450185</v>
      </c>
      <c r="E22" s="74">
        <f>E21/E13</f>
        <v>-0.44351758352724235</v>
      </c>
      <c r="F22" s="74">
        <f>F21/F13</f>
        <v>-0.40412196063296024</v>
      </c>
      <c r="G22" s="88"/>
      <c r="H22" s="83">
        <f>F22-0.5%</f>
        <v>-0.40912196063296025</v>
      </c>
      <c r="I22" s="83">
        <f>H22-0.5%</f>
        <v>-0.41412196063296025</v>
      </c>
      <c r="J22" s="83">
        <f>I22-0.5%</f>
        <v>-0.41912196063296026</v>
      </c>
      <c r="K22" s="83">
        <f>J22-0.5%</f>
        <v>-0.42412196063296026</v>
      </c>
      <c r="L22" s="83">
        <f>K22-0.3%</f>
        <v>-0.42712196063296026</v>
      </c>
    </row>
    <row r="23" spans="2:12" ht="18" customHeight="1" x14ac:dyDescent="0.2">
      <c r="B23" s="13"/>
      <c r="C23" s="69"/>
      <c r="D23" s="75"/>
      <c r="E23" s="75"/>
      <c r="F23" s="75"/>
      <c r="G23" s="89"/>
      <c r="H23" s="66"/>
      <c r="I23" s="66"/>
      <c r="J23" s="66"/>
      <c r="K23" s="66"/>
      <c r="L23" s="66"/>
    </row>
    <row r="24" spans="2:12" ht="18" customHeight="1" x14ac:dyDescent="0.2">
      <c r="B24" s="17" t="s">
        <v>102</v>
      </c>
      <c r="C24" s="70" t="s">
        <v>13</v>
      </c>
      <c r="D24" s="76">
        <f>D13+D21</f>
        <v>2913.2000000000003</v>
      </c>
      <c r="E24" s="76">
        <f>E13+E21</f>
        <v>3802.5000000000005</v>
      </c>
      <c r="F24" s="76">
        <f>F13+F21</f>
        <v>3859.8</v>
      </c>
      <c r="G24" s="90"/>
      <c r="H24" s="67">
        <f>H13+H21</f>
        <v>4209.9623793750006</v>
      </c>
      <c r="I24" s="67">
        <f>I13+I21</f>
        <v>4591.5324370500011</v>
      </c>
      <c r="J24" s="67">
        <f>J13+J21</f>
        <v>5007.2945061420014</v>
      </c>
      <c r="K24" s="67">
        <f>K13+K21</f>
        <v>5361.0771589398018</v>
      </c>
      <c r="L24" s="67">
        <f>L13+L21</f>
        <v>5599.6361268779647</v>
      </c>
    </row>
    <row r="25" spans="2:12" ht="18" customHeight="1" x14ac:dyDescent="0.2">
      <c r="B25" s="78" t="s">
        <v>103</v>
      </c>
      <c r="C25" s="69" t="s">
        <v>55</v>
      </c>
      <c r="D25" s="74">
        <f>D24/D13</f>
        <v>0.5176169577654981</v>
      </c>
      <c r="E25" s="74">
        <f>E24/E13</f>
        <v>0.55648241647275765</v>
      </c>
      <c r="F25" s="74">
        <f>F24/F13</f>
        <v>0.59587803936703976</v>
      </c>
      <c r="G25" s="88"/>
      <c r="H25" s="65">
        <f>H24/H13</f>
        <v>0.59087803936703975</v>
      </c>
      <c r="I25" s="65">
        <f>I24/I13</f>
        <v>0.58587803936703975</v>
      </c>
      <c r="J25" s="65">
        <f>J24/J13</f>
        <v>0.58087803936703986</v>
      </c>
      <c r="K25" s="65">
        <f>K24/K13</f>
        <v>0.57587803936703974</v>
      </c>
      <c r="L25" s="65">
        <f>L24/L13</f>
        <v>0.57287803936703974</v>
      </c>
    </row>
    <row r="26" spans="2:12" ht="18" customHeight="1" x14ac:dyDescent="0.2">
      <c r="B26" s="63"/>
      <c r="C26" s="69"/>
      <c r="D26" s="75"/>
      <c r="E26" s="75"/>
      <c r="F26" s="75"/>
      <c r="G26" s="89"/>
      <c r="H26" s="66"/>
      <c r="I26" s="66"/>
      <c r="J26" s="66"/>
      <c r="K26" s="66"/>
      <c r="L26" s="66"/>
    </row>
    <row r="27" spans="2:12" ht="18" customHeight="1" x14ac:dyDescent="0.2">
      <c r="B27" s="63"/>
      <c r="C27" s="69"/>
      <c r="D27" s="75"/>
      <c r="E27" s="75"/>
      <c r="F27" s="75"/>
      <c r="G27" s="89"/>
      <c r="H27" s="66"/>
      <c r="I27" s="66"/>
      <c r="J27" s="66"/>
      <c r="K27" s="66"/>
      <c r="L27" s="66"/>
    </row>
    <row r="28" spans="2:12" ht="18" customHeight="1" x14ac:dyDescent="0.2">
      <c r="B28" s="237" t="s">
        <v>104</v>
      </c>
      <c r="C28" s="238"/>
      <c r="D28" s="240"/>
      <c r="E28" s="240"/>
      <c r="F28" s="240"/>
      <c r="G28" s="241"/>
      <c r="H28" s="241"/>
      <c r="I28" s="241"/>
      <c r="J28" s="241"/>
      <c r="K28" s="241"/>
      <c r="L28" s="241"/>
    </row>
    <row r="29" spans="2:12" ht="18" customHeight="1" x14ac:dyDescent="0.2">
      <c r="B29" s="13" t="s">
        <v>105</v>
      </c>
      <c r="C29" s="69" t="s">
        <v>13</v>
      </c>
      <c r="D29" s="80">
        <f>'Historical Financials'!D17</f>
        <v>-555.11196299999995</v>
      </c>
      <c r="E29" s="80">
        <f>'Historical Financials'!E17</f>
        <v>-656.42570599999999</v>
      </c>
      <c r="F29" s="80">
        <f>'Historical Financials'!F17</f>
        <v>-675.38885600000003</v>
      </c>
      <c r="G29" s="87"/>
      <c r="H29" s="15">
        <f>H13*H30</f>
        <v>-764.26875053220022</v>
      </c>
      <c r="I29" s="15">
        <f>I13*I30</f>
        <v>-856.32587314999228</v>
      </c>
      <c r="J29" s="15">
        <f>J13*J30</f>
        <v>-959.14479120113879</v>
      </c>
      <c r="K29" s="15">
        <f>K13*K30</f>
        <v>-1045.1371322780897</v>
      </c>
      <c r="L29" s="15">
        <f>L13*L30</f>
        <v>-1107.1351864798116</v>
      </c>
    </row>
    <row r="30" spans="2:12" ht="18" customHeight="1" x14ac:dyDescent="0.2">
      <c r="B30" s="78" t="s">
        <v>106</v>
      </c>
      <c r="C30" s="69" t="s">
        <v>55</v>
      </c>
      <c r="D30" s="74">
        <f>D29/D13</f>
        <v>-9.8632213891011164E-2</v>
      </c>
      <c r="E30" s="74">
        <f>E29/E13</f>
        <v>-9.6065578727078479E-2</v>
      </c>
      <c r="F30" s="74">
        <f>F29/F13</f>
        <v>-0.10426690173678117</v>
      </c>
      <c r="G30" s="88"/>
      <c r="H30" s="83">
        <f>F30-0.3%</f>
        <v>-0.10726690173678118</v>
      </c>
      <c r="I30" s="83">
        <f>H30-0.2%</f>
        <v>-0.10926690173678118</v>
      </c>
      <c r="J30" s="83">
        <f>I30-0.2%</f>
        <v>-0.11126690173678118</v>
      </c>
      <c r="K30" s="83">
        <f>J30-0.1%</f>
        <v>-0.11226690173678118</v>
      </c>
      <c r="L30" s="83">
        <f>K30-0.1%</f>
        <v>-0.11326690173678118</v>
      </c>
    </row>
    <row r="31" spans="2:12" ht="18" customHeight="1" x14ac:dyDescent="0.2">
      <c r="B31" s="13" t="s">
        <v>107</v>
      </c>
      <c r="C31" s="69" t="s">
        <v>13</v>
      </c>
      <c r="D31" s="80">
        <f>'Historical Financials'!D18</f>
        <v>-398.29523899999998</v>
      </c>
      <c r="E31" s="80">
        <f>'Historical Financials'!E18</f>
        <v>-754.73100499999998</v>
      </c>
      <c r="F31" s="80">
        <f>'Historical Financials'!F18</f>
        <v>-768.95387200000005</v>
      </c>
      <c r="G31" s="87"/>
      <c r="H31" s="15">
        <f>H13*H32</f>
        <v>-860.06066375640012</v>
      </c>
      <c r="I31" s="15">
        <f>I13*I32</f>
        <v>-961.69149118310429</v>
      </c>
      <c r="J31" s="15">
        <f>J13*J32</f>
        <v>-1066.4200974874389</v>
      </c>
      <c r="K31" s="15">
        <f>K13*K32</f>
        <v>-1160.9890230519979</v>
      </c>
      <c r="L31" s="15">
        <f>L13*L32</f>
        <v>-1228.7759725820142</v>
      </c>
    </row>
    <row r="32" spans="2:12" ht="18" customHeight="1" x14ac:dyDescent="0.2">
      <c r="B32" s="78" t="s">
        <v>108</v>
      </c>
      <c r="C32" s="69" t="s">
        <v>55</v>
      </c>
      <c r="D32" s="74">
        <f>D31/D13</f>
        <v>-7.0769040884134951E-2</v>
      </c>
      <c r="E32" s="74">
        <f>E31/E13</f>
        <v>-0.11045221129501982</v>
      </c>
      <c r="F32" s="74">
        <f>F31/F13</f>
        <v>-0.11871152018525666</v>
      </c>
      <c r="G32" s="88"/>
      <c r="H32" s="83">
        <f>F32-0.2%</f>
        <v>-0.12071152018525666</v>
      </c>
      <c r="I32" s="83">
        <f>H32-0.2%</f>
        <v>-0.12271152018525666</v>
      </c>
      <c r="J32" s="83">
        <f>I32-0.1%</f>
        <v>-0.12371152018525666</v>
      </c>
      <c r="K32" s="83">
        <f>J32-0.1%</f>
        <v>-0.12471152018525666</v>
      </c>
      <c r="L32" s="83">
        <f>K32-0.1%</f>
        <v>-0.12571152018525666</v>
      </c>
    </row>
    <row r="33" spans="2:12" ht="18" customHeight="1" x14ac:dyDescent="0.2">
      <c r="B33" s="13" t="s">
        <v>109</v>
      </c>
      <c r="C33" s="69" t="s">
        <v>13</v>
      </c>
      <c r="D33" s="80">
        <f>'Historical Financials'!D19</f>
        <v>-50.989490000000004</v>
      </c>
      <c r="E33" s="80">
        <f>'Historical Financials'!E19</f>
        <v>-9.51342</v>
      </c>
      <c r="F33" s="80">
        <f>'Historical Financials'!F19</f>
        <v>-11.83006</v>
      </c>
      <c r="G33" s="87"/>
      <c r="H33" s="15">
        <f>H13*H34</f>
        <v>-13.012474497000001</v>
      </c>
      <c r="I33" s="15">
        <f>I13*I34</f>
        <v>-14.312976652920003</v>
      </c>
      <c r="J33" s="15">
        <f>J13*J34</f>
        <v>-15.743370028425602</v>
      </c>
      <c r="K33" s="15">
        <f>K13*K34</f>
        <v>-17.002041272002518</v>
      </c>
      <c r="L33" s="15">
        <f>L13*L34</f>
        <v>-17.85160045168859</v>
      </c>
    </row>
    <row r="34" spans="2:12" ht="18" customHeight="1" x14ac:dyDescent="0.2">
      <c r="B34" s="78" t="s">
        <v>110</v>
      </c>
      <c r="C34" s="69" t="s">
        <v>55</v>
      </c>
      <c r="D34" s="74">
        <f>D33/D13</f>
        <v>-9.0598052628773473E-3</v>
      </c>
      <c r="E34" s="74">
        <f>E33/E13</f>
        <v>-1.3922553453044738E-3</v>
      </c>
      <c r="F34" s="74">
        <f>F33/F13</f>
        <v>-1.8263311462755692E-3</v>
      </c>
      <c r="G34" s="88"/>
      <c r="H34" s="83">
        <f>F34</f>
        <v>-1.8263311462755692E-3</v>
      </c>
      <c r="I34" s="83">
        <f>H34</f>
        <v>-1.8263311462755692E-3</v>
      </c>
      <c r="J34" s="83">
        <f>I34</f>
        <v>-1.8263311462755692E-3</v>
      </c>
      <c r="K34" s="83">
        <f>J34</f>
        <v>-1.8263311462755692E-3</v>
      </c>
      <c r="L34" s="83">
        <f>K34</f>
        <v>-1.8263311462755692E-3</v>
      </c>
    </row>
    <row r="35" spans="2:12" ht="18" customHeight="1" x14ac:dyDescent="0.2">
      <c r="B35" s="13"/>
      <c r="C35" s="69"/>
      <c r="D35" s="75"/>
      <c r="E35" s="75"/>
      <c r="F35" s="75"/>
      <c r="G35" s="89"/>
      <c r="H35" s="66"/>
      <c r="I35" s="66"/>
      <c r="J35" s="66"/>
      <c r="K35" s="66"/>
      <c r="L35" s="66"/>
    </row>
    <row r="36" spans="2:12" ht="18" customHeight="1" x14ac:dyDescent="0.2">
      <c r="B36" s="17" t="s">
        <v>111</v>
      </c>
      <c r="C36" s="70" t="s">
        <v>13</v>
      </c>
      <c r="D36" s="76">
        <f>D29+D31+D33</f>
        <v>-1004.3966919999999</v>
      </c>
      <c r="E36" s="76">
        <f>E29+E31+E33</f>
        <v>-1420.6701310000001</v>
      </c>
      <c r="F36" s="76">
        <f>F29+F31+F33</f>
        <v>-1456.1727880000001</v>
      </c>
      <c r="G36" s="90"/>
      <c r="H36" s="67">
        <f>H29+H31+H33</f>
        <v>-1637.3418887856003</v>
      </c>
      <c r="I36" s="67">
        <f>I29+I31+I33</f>
        <v>-1832.3303409860166</v>
      </c>
      <c r="J36" s="67">
        <f>J29+J31+J33</f>
        <v>-2041.3082587170034</v>
      </c>
      <c r="K36" s="67">
        <f>K29+K31+K33</f>
        <v>-2223.1281966020897</v>
      </c>
      <c r="L36" s="67">
        <f>L29+L31+L33</f>
        <v>-2353.7627595135145</v>
      </c>
    </row>
    <row r="37" spans="2:12" ht="18" customHeight="1" x14ac:dyDescent="0.2">
      <c r="B37" s="78" t="s">
        <v>112</v>
      </c>
      <c r="C37" s="69" t="s">
        <v>55</v>
      </c>
      <c r="D37" s="74">
        <f>D36/D13</f>
        <v>-0.17846106003802345</v>
      </c>
      <c r="E37" s="74">
        <f>E36/E13</f>
        <v>-0.20791004536740279</v>
      </c>
      <c r="F37" s="74">
        <f>F36/F13</f>
        <v>-0.22480475306831341</v>
      </c>
      <c r="G37" s="88"/>
      <c r="H37" s="65">
        <f>H36/H13</f>
        <v>-0.22980475306831341</v>
      </c>
      <c r="I37" s="65">
        <f>I36/I13</f>
        <v>-0.23380475306831341</v>
      </c>
      <c r="J37" s="65">
        <f>J36/J13</f>
        <v>-0.23680475306831342</v>
      </c>
      <c r="K37" s="65">
        <f>K36/K13</f>
        <v>-0.23880475306831336</v>
      </c>
      <c r="L37" s="65">
        <f>L36/L13</f>
        <v>-0.24080475306831342</v>
      </c>
    </row>
    <row r="38" spans="2:12" ht="18" customHeight="1" x14ac:dyDescent="0.2">
      <c r="B38" s="63"/>
      <c r="C38" s="69"/>
      <c r="D38" s="75"/>
      <c r="E38" s="75"/>
      <c r="F38" s="75"/>
      <c r="G38" s="89"/>
      <c r="H38" s="66"/>
      <c r="I38" s="66"/>
      <c r="J38" s="66"/>
      <c r="K38" s="66"/>
      <c r="L38" s="66"/>
    </row>
    <row r="39" spans="2:12" ht="18" customHeight="1" x14ac:dyDescent="0.2">
      <c r="B39" s="63"/>
      <c r="C39" s="69"/>
      <c r="D39" s="75"/>
      <c r="E39" s="75"/>
      <c r="F39" s="75"/>
      <c r="G39" s="89"/>
      <c r="H39" s="66"/>
      <c r="I39" s="66"/>
      <c r="J39" s="66"/>
      <c r="K39" s="66"/>
      <c r="L39" s="66"/>
    </row>
    <row r="40" spans="2:12" ht="18" customHeight="1" x14ac:dyDescent="0.2">
      <c r="B40" s="237" t="s">
        <v>113</v>
      </c>
      <c r="C40" s="238"/>
      <c r="D40" s="240"/>
      <c r="E40" s="240"/>
      <c r="F40" s="240"/>
      <c r="G40" s="241"/>
      <c r="H40" s="241"/>
      <c r="I40" s="241"/>
      <c r="J40" s="241"/>
      <c r="K40" s="241"/>
      <c r="L40" s="241"/>
    </row>
    <row r="41" spans="2:12" ht="18" customHeight="1" x14ac:dyDescent="0.2">
      <c r="B41" s="17" t="s">
        <v>114</v>
      </c>
      <c r="C41" s="70" t="s">
        <v>13</v>
      </c>
      <c r="D41" s="76">
        <f>D24+D36</f>
        <v>1908.8033080000005</v>
      </c>
      <c r="E41" s="76">
        <f>E24+E36</f>
        <v>2381.8298690000001</v>
      </c>
      <c r="F41" s="76">
        <f>F24+F36</f>
        <v>2403.6272120000003</v>
      </c>
      <c r="G41" s="90"/>
      <c r="H41" s="67">
        <f>H24+H36</f>
        <v>2572.6204905894001</v>
      </c>
      <c r="I41" s="67">
        <f>I24+I36</f>
        <v>2759.2020960639848</v>
      </c>
      <c r="J41" s="67">
        <f>J24+J36</f>
        <v>2965.9862474249981</v>
      </c>
      <c r="K41" s="67">
        <f>K24+K36</f>
        <v>3137.9489623377121</v>
      </c>
      <c r="L41" s="67">
        <f>L24+L36</f>
        <v>3245.8733673644501</v>
      </c>
    </row>
    <row r="42" spans="2:12" ht="18" customHeight="1" x14ac:dyDescent="0.2">
      <c r="B42" s="78" t="s">
        <v>115</v>
      </c>
      <c r="C42" s="69" t="s">
        <v>55</v>
      </c>
      <c r="D42" s="74">
        <f>D41/D13</f>
        <v>0.33915589772747468</v>
      </c>
      <c r="E42" s="74">
        <f>E41/E13</f>
        <v>0.34857237110535483</v>
      </c>
      <c r="F42" s="74">
        <f>F41/F13</f>
        <v>0.37107328629872643</v>
      </c>
      <c r="G42" s="88"/>
      <c r="H42" s="65">
        <f>H41/H13</f>
        <v>0.36107328629872631</v>
      </c>
      <c r="I42" s="65">
        <f>I41/I13</f>
        <v>0.35207328629872636</v>
      </c>
      <c r="J42" s="65">
        <f>J41/J13</f>
        <v>0.34407328629872641</v>
      </c>
      <c r="K42" s="65">
        <f>K41/K13</f>
        <v>0.3370732862987264</v>
      </c>
      <c r="L42" s="65">
        <f>L41/L13</f>
        <v>0.33207328629872634</v>
      </c>
    </row>
    <row r="43" spans="2:12" ht="18" customHeight="1" x14ac:dyDescent="0.2">
      <c r="B43" s="13"/>
      <c r="C43" s="69"/>
      <c r="D43" s="75"/>
      <c r="E43" s="75"/>
      <c r="F43" s="75"/>
      <c r="G43" s="89"/>
      <c r="H43" s="66"/>
      <c r="I43" s="66"/>
      <c r="J43" s="66"/>
      <c r="K43" s="66"/>
      <c r="L43" s="66"/>
    </row>
    <row r="44" spans="2:12" ht="18" customHeight="1" x14ac:dyDescent="0.2">
      <c r="B44" s="78" t="s">
        <v>116</v>
      </c>
      <c r="C44" s="69" t="s">
        <v>55</v>
      </c>
      <c r="D44" s="74" t="str">
        <f>"n/a"</f>
        <v>n/a</v>
      </c>
      <c r="E44" s="74">
        <f>E41/D41-1</f>
        <v>0.24781315026933082</v>
      </c>
      <c r="F44" s="74">
        <f>F41/E41-1</f>
        <v>9.1515113164450934E-3</v>
      </c>
      <c r="G44" s="88"/>
      <c r="H44" s="65">
        <f>H41/F41-1</f>
        <v>7.0307607496582047E-2</v>
      </c>
      <c r="I44" s="65">
        <f>I41/H41-1</f>
        <v>7.2525895738254853E-2</v>
      </c>
      <c r="J44" s="65">
        <f>J41/I41-1</f>
        <v>7.4943459798030743E-2</v>
      </c>
      <c r="K44" s="65">
        <f>K41/J41-1</f>
        <v>5.7978257674663247E-2</v>
      </c>
      <c r="L44" s="65">
        <f>L41/K41-1</f>
        <v>3.4393295213551278E-2</v>
      </c>
    </row>
    <row r="45" spans="2:12" ht="18" customHeight="1" x14ac:dyDescent="0.2">
      <c r="B45" s="63"/>
      <c r="C45" s="69"/>
      <c r="D45" s="75"/>
      <c r="E45" s="75"/>
      <c r="F45" s="75"/>
      <c r="G45" s="89"/>
      <c r="H45" s="66"/>
      <c r="I45" s="66"/>
      <c r="J45" s="66"/>
      <c r="K45" s="66"/>
      <c r="L45" s="66"/>
    </row>
    <row r="46" spans="2:12" ht="18" customHeight="1" x14ac:dyDescent="0.2">
      <c r="B46" s="63"/>
      <c r="C46" s="69"/>
      <c r="D46" s="75"/>
      <c r="E46" s="75"/>
      <c r="F46" s="75"/>
      <c r="G46" s="89"/>
      <c r="H46" s="66"/>
      <c r="I46" s="66"/>
      <c r="J46" s="66"/>
      <c r="K46" s="66"/>
      <c r="L46" s="66"/>
    </row>
    <row r="47" spans="2:12" ht="18" customHeight="1" x14ac:dyDescent="0.2">
      <c r="B47" s="237" t="s">
        <v>117</v>
      </c>
      <c r="C47" s="238"/>
      <c r="D47" s="240"/>
      <c r="E47" s="240"/>
      <c r="F47" s="240"/>
      <c r="G47" s="241"/>
      <c r="H47" s="241"/>
      <c r="I47" s="241"/>
      <c r="J47" s="241"/>
      <c r="K47" s="241"/>
      <c r="L47" s="241"/>
    </row>
    <row r="48" spans="2:12" ht="18" customHeight="1" x14ac:dyDescent="0.2">
      <c r="B48" s="13" t="s">
        <v>118</v>
      </c>
      <c r="C48" s="69" t="s">
        <v>119</v>
      </c>
      <c r="D48" s="81">
        <f>'Historical Financials'!D104</f>
        <v>57.498306415917185</v>
      </c>
      <c r="E48" s="81">
        <f>'Historical Financials'!E104</f>
        <v>60.046733717715171</v>
      </c>
      <c r="F48" s="81">
        <f>'Historical Financials'!F104</f>
        <v>86.844423633670885</v>
      </c>
      <c r="G48" s="91"/>
      <c r="H48" s="84">
        <f>F48</f>
        <v>86.844423633670885</v>
      </c>
      <c r="I48" s="84">
        <f>H48</f>
        <v>86.844423633670885</v>
      </c>
      <c r="J48" s="84">
        <f>I48</f>
        <v>86.844423633670885</v>
      </c>
      <c r="K48" s="84">
        <f>J48</f>
        <v>86.844423633670885</v>
      </c>
      <c r="L48" s="84">
        <f>K48</f>
        <v>86.844423633670885</v>
      </c>
    </row>
    <row r="49" spans="2:12" ht="18" customHeight="1" x14ac:dyDescent="0.2">
      <c r="B49" s="13" t="s">
        <v>120</v>
      </c>
      <c r="C49" s="69" t="s">
        <v>119</v>
      </c>
      <c r="D49" s="81">
        <f>'Historical Financials'!D105</f>
        <v>110.58764595381044</v>
      </c>
      <c r="E49" s="81">
        <f>'Historical Financials'!E105</f>
        <v>101.39812248399657</v>
      </c>
      <c r="F49" s="81">
        <f>'Historical Financials'!F105</f>
        <v>138.25018145700423</v>
      </c>
      <c r="G49" s="91"/>
      <c r="H49" s="84">
        <f>F49-5</f>
        <v>133.25018145700423</v>
      </c>
      <c r="I49" s="84">
        <f>H49-3</f>
        <v>130.25018145700423</v>
      </c>
      <c r="J49" s="84">
        <f>I49-2</f>
        <v>128.25018145700423</v>
      </c>
      <c r="K49" s="84">
        <f>J49-2</f>
        <v>126.25018145700423</v>
      </c>
      <c r="L49" s="84">
        <f>K49-1</f>
        <v>125.25018145700423</v>
      </c>
    </row>
    <row r="50" spans="2:12" ht="18" customHeight="1" x14ac:dyDescent="0.2">
      <c r="B50" s="13" t="s">
        <v>121</v>
      </c>
      <c r="C50" s="69" t="s">
        <v>119</v>
      </c>
      <c r="D50" s="81">
        <f>'Historical Financials'!D106</f>
        <v>64.895760433165123</v>
      </c>
      <c r="E50" s="81">
        <f>'Historical Financials'!E106</f>
        <v>53.573318814756156</v>
      </c>
      <c r="F50" s="81">
        <f>'Historical Financials'!F106</f>
        <v>65.244604041716016</v>
      </c>
      <c r="G50" s="91"/>
      <c r="H50" s="84">
        <f>F50</f>
        <v>65.244604041716016</v>
      </c>
      <c r="I50" s="84">
        <f>H50</f>
        <v>65.244604041716016</v>
      </c>
      <c r="J50" s="84">
        <f>I50</f>
        <v>65.244604041716016</v>
      </c>
      <c r="K50" s="84">
        <f>J50</f>
        <v>65.244604041716016</v>
      </c>
      <c r="L50" s="84">
        <f>K50</f>
        <v>65.244604041716016</v>
      </c>
    </row>
    <row r="51" spans="2:12" ht="18" customHeight="1" x14ac:dyDescent="0.2">
      <c r="B51" s="13"/>
      <c r="C51" s="69"/>
      <c r="D51" s="75"/>
      <c r="E51" s="75"/>
      <c r="F51" s="75"/>
      <c r="G51" s="89"/>
      <c r="H51" s="66"/>
      <c r="I51" s="66"/>
      <c r="J51" s="66"/>
      <c r="K51" s="66"/>
      <c r="L51" s="66"/>
    </row>
    <row r="52" spans="2:12" ht="18" customHeight="1" x14ac:dyDescent="0.2">
      <c r="B52" s="13" t="s">
        <v>122</v>
      </c>
      <c r="C52" s="69" t="s">
        <v>13</v>
      </c>
      <c r="D52" s="73">
        <f>'Historical Financials'!D44</f>
        <v>886.59</v>
      </c>
      <c r="E52" s="73">
        <f>'Historical Financials'!E44</f>
        <v>1124.24</v>
      </c>
      <c r="F52" s="73">
        <f>'Historical Financials'!F44</f>
        <v>1541.19</v>
      </c>
      <c r="G52" s="87"/>
      <c r="H52" s="15">
        <f>H48*H13/365</f>
        <v>1695.2331582413951</v>
      </c>
      <c r="I52" s="15">
        <f>I48*I13/365</f>
        <v>1864.6593790257882</v>
      </c>
      <c r="J52" s="15">
        <f>J48*J13/365</f>
        <v>2051.0075082801409</v>
      </c>
      <c r="K52" s="15">
        <f>K48*K13/365</f>
        <v>2214.9841007359764</v>
      </c>
      <c r="L52" s="15">
        <f>L48*L13/365</f>
        <v>2325.6625801923033</v>
      </c>
    </row>
    <row r="53" spans="2:12" ht="18" customHeight="1" x14ac:dyDescent="0.2">
      <c r="B53" s="13" t="s">
        <v>123</v>
      </c>
      <c r="C53" s="69" t="s">
        <v>13</v>
      </c>
      <c r="D53" s="73">
        <f>'Historical Financials'!D45</f>
        <v>822.56</v>
      </c>
      <c r="E53" s="73">
        <f>'Historical Financials'!E45</f>
        <v>841.91</v>
      </c>
      <c r="F53" s="73">
        <f>'Historical Financials'!F45</f>
        <v>991.5</v>
      </c>
      <c r="G53" s="87"/>
      <c r="H53" s="15">
        <f>-H49*H21/365</f>
        <v>1064.162871356493</v>
      </c>
      <c r="I53" s="15">
        <f>-I49*I21/365</f>
        <v>1158.1482926102528</v>
      </c>
      <c r="J53" s="15">
        <f>-J49*J21/365</f>
        <v>1269.4737304482321</v>
      </c>
      <c r="K53" s="15">
        <f>-K49*K21/365</f>
        <v>1365.6878553490988</v>
      </c>
      <c r="L53" s="15">
        <f>-L49*L21/365</f>
        <v>1432.6332717879557</v>
      </c>
    </row>
    <row r="54" spans="2:12" ht="18" customHeight="1" x14ac:dyDescent="0.2">
      <c r="B54" s="13" t="s">
        <v>124</v>
      </c>
      <c r="C54" s="69" t="s">
        <v>13</v>
      </c>
      <c r="D54" s="73">
        <f>'Historical Financials'!D56</f>
        <v>482.7</v>
      </c>
      <c r="E54" s="73">
        <f>'Historical Financials'!E56</f>
        <v>444.82</v>
      </c>
      <c r="F54" s="73">
        <f>'Historical Financials'!F56</f>
        <v>467.92</v>
      </c>
      <c r="G54" s="87"/>
      <c r="H54" s="15">
        <f>-H50*H21/365</f>
        <v>521.05659008016585</v>
      </c>
      <c r="I54" s="15">
        <f>-I50*I21/365</f>
        <v>580.13682535934777</v>
      </c>
      <c r="J54" s="15">
        <f>-J50*J21/365</f>
        <v>645.81827443435213</v>
      </c>
      <c r="K54" s="15">
        <f>-K50*K21/365</f>
        <v>705.77136871028961</v>
      </c>
      <c r="L54" s="15">
        <f>-L50*L21/365</f>
        <v>746.27908293194866</v>
      </c>
    </row>
    <row r="55" spans="2:12" ht="18" customHeight="1" x14ac:dyDescent="0.2">
      <c r="B55" s="13"/>
      <c r="C55" s="69"/>
      <c r="D55" s="75"/>
      <c r="E55" s="75"/>
      <c r="F55" s="75"/>
      <c r="G55" s="89"/>
      <c r="H55" s="66"/>
      <c r="I55" s="66"/>
      <c r="J55" s="66"/>
      <c r="K55" s="66"/>
      <c r="L55" s="66"/>
    </row>
    <row r="56" spans="2:12" ht="18" customHeight="1" x14ac:dyDescent="0.2">
      <c r="B56" s="17" t="s">
        <v>125</v>
      </c>
      <c r="C56" s="70" t="s">
        <v>13</v>
      </c>
      <c r="D56" s="76">
        <f>D52+D53-D54</f>
        <v>1226.45</v>
      </c>
      <c r="E56" s="76">
        <f>E52+E53-E54</f>
        <v>1521.3300000000002</v>
      </c>
      <c r="F56" s="76">
        <f>F52+F53-F54</f>
        <v>2064.77</v>
      </c>
      <c r="G56" s="90"/>
      <c r="H56" s="67">
        <f>H52+H53-H54</f>
        <v>2238.3394395177224</v>
      </c>
      <c r="I56" s="67">
        <f>I52+I53-I54</f>
        <v>2442.6708462766933</v>
      </c>
      <c r="J56" s="67">
        <f>J52+J53-J54</f>
        <v>2674.6629642940206</v>
      </c>
      <c r="K56" s="67">
        <f>K52+K53-K54</f>
        <v>2874.9005873747856</v>
      </c>
      <c r="L56" s="67">
        <f>L52+L53-L54</f>
        <v>3012.0167690483099</v>
      </c>
    </row>
    <row r="57" spans="2:12" ht="18" customHeight="1" x14ac:dyDescent="0.2">
      <c r="B57" s="78" t="s">
        <v>126</v>
      </c>
      <c r="C57" s="69" t="s">
        <v>55</v>
      </c>
      <c r="D57" s="74">
        <f>D56/D13</f>
        <v>0.21791545992430839</v>
      </c>
      <c r="E57" s="74">
        <f>E56/E13</f>
        <v>0.22264126092110464</v>
      </c>
      <c r="F57" s="74">
        <f>F56/F13</f>
        <v>0.3187603241991509</v>
      </c>
      <c r="G57" s="88"/>
      <c r="H57" s="65">
        <f>H56/H13</f>
        <v>0.31415616109531552</v>
      </c>
      <c r="I57" s="65">
        <f>I56/I13</f>
        <v>0.311684002205391</v>
      </c>
      <c r="J57" s="65">
        <f>J56/J13</f>
        <v>0.31027793087884448</v>
      </c>
      <c r="K57" s="65">
        <f>K56/K13</f>
        <v>0.30881706503175005</v>
      </c>
      <c r="L57" s="65">
        <f>L56/L13</f>
        <v>0.30814828358411411</v>
      </c>
    </row>
    <row r="58" spans="2:12" ht="18" customHeight="1" x14ac:dyDescent="0.2">
      <c r="B58" s="13" t="s">
        <v>127</v>
      </c>
      <c r="C58" s="69" t="s">
        <v>13</v>
      </c>
      <c r="D58" s="73" t="str">
        <f>"n/a"</f>
        <v>n/a</v>
      </c>
      <c r="E58" s="73">
        <f>E56-D56</f>
        <v>294.88000000000011</v>
      </c>
      <c r="F58" s="73">
        <f>F56-E56</f>
        <v>543.43999999999983</v>
      </c>
      <c r="G58" s="87"/>
      <c r="H58" s="15">
        <f>H56-F56</f>
        <v>173.56943951772246</v>
      </c>
      <c r="I58" s="15">
        <f>I56-H56</f>
        <v>204.33140675897084</v>
      </c>
      <c r="J58" s="15">
        <f>J56-I56</f>
        <v>231.99211801732736</v>
      </c>
      <c r="K58" s="15">
        <f>K56-J56</f>
        <v>200.23762308076493</v>
      </c>
      <c r="L58" s="15">
        <f>L56-K56</f>
        <v>137.11618167352435</v>
      </c>
    </row>
    <row r="59" spans="2:12" ht="18" customHeight="1" x14ac:dyDescent="0.2">
      <c r="B59" s="63"/>
      <c r="C59" s="69"/>
      <c r="D59" s="75"/>
      <c r="E59" s="75"/>
      <c r="F59" s="75"/>
      <c r="G59" s="89"/>
      <c r="H59" s="66"/>
      <c r="I59" s="66"/>
      <c r="J59" s="66"/>
      <c r="K59" s="66"/>
      <c r="L59" s="66"/>
    </row>
    <row r="60" spans="2:12" ht="18" customHeight="1" x14ac:dyDescent="0.2">
      <c r="B60" s="63"/>
      <c r="C60" s="69"/>
      <c r="D60" s="75"/>
      <c r="E60" s="75"/>
      <c r="F60" s="75"/>
      <c r="G60" s="89"/>
      <c r="H60" s="66"/>
      <c r="I60" s="66"/>
      <c r="J60" s="66"/>
      <c r="K60" s="66"/>
      <c r="L60" s="66"/>
    </row>
    <row r="61" spans="2:12" ht="18" customHeight="1" x14ac:dyDescent="0.2">
      <c r="B61" s="237" t="s">
        <v>128</v>
      </c>
      <c r="C61" s="238"/>
      <c r="D61" s="240"/>
      <c r="E61" s="240"/>
      <c r="F61" s="240"/>
      <c r="G61" s="241"/>
      <c r="H61" s="241"/>
      <c r="I61" s="241"/>
      <c r="J61" s="241"/>
      <c r="K61" s="241"/>
      <c r="L61" s="241"/>
    </row>
    <row r="62" spans="2:12" ht="18" customHeight="1" x14ac:dyDescent="0.2">
      <c r="B62" s="13" t="s">
        <v>129</v>
      </c>
      <c r="C62" s="69" t="s">
        <v>13</v>
      </c>
      <c r="D62" s="80">
        <f>-'Historical Financials'!D86*0.3</f>
        <v>124.39499999999998</v>
      </c>
      <c r="E62" s="80">
        <f>-'Historical Financials'!E86*0.3</f>
        <v>163.63200000000001</v>
      </c>
      <c r="F62" s="80">
        <f>-'Historical Financials'!F86*0.3</f>
        <v>186.16199999999998</v>
      </c>
      <c r="G62" s="87"/>
      <c r="H62" s="15">
        <f>H13*H63</f>
        <v>106.87389187500001</v>
      </c>
      <c r="I62" s="15">
        <f>I13*I63</f>
        <v>117.55515982500002</v>
      </c>
      <c r="J62" s="15">
        <f>J13*J63</f>
        <v>129.30324870600001</v>
      </c>
      <c r="K62" s="15">
        <f>K13*K63</f>
        <v>139.64095153287005</v>
      </c>
      <c r="L62" s="15">
        <f>L13*L63</f>
        <v>146.61854030217876</v>
      </c>
    </row>
    <row r="63" spans="2:12" ht="18" customHeight="1" x14ac:dyDescent="0.2">
      <c r="B63" s="78" t="s">
        <v>130</v>
      </c>
      <c r="C63" s="69" t="s">
        <v>55</v>
      </c>
      <c r="D63" s="74">
        <f>D62/D13</f>
        <v>2.2102485741191516E-2</v>
      </c>
      <c r="E63" s="74">
        <f>E62/E13</f>
        <v>2.3946964042674629E-2</v>
      </c>
      <c r="F63" s="74">
        <f>F62/F13</f>
        <v>2.8739791586260128E-2</v>
      </c>
      <c r="G63" s="88"/>
      <c r="H63" s="83">
        <f>1.5%</f>
        <v>1.4999999999999999E-2</v>
      </c>
      <c r="I63" s="83">
        <f>1.5%</f>
        <v>1.4999999999999999E-2</v>
      </c>
      <c r="J63" s="83">
        <f>1.5%</f>
        <v>1.4999999999999999E-2</v>
      </c>
      <c r="K63" s="83">
        <f>1.5%</f>
        <v>1.4999999999999999E-2</v>
      </c>
      <c r="L63" s="83">
        <f>1.5%</f>
        <v>1.4999999999999999E-2</v>
      </c>
    </row>
    <row r="64" spans="2:12" ht="18" customHeight="1" x14ac:dyDescent="0.2">
      <c r="B64" s="13" t="s">
        <v>131</v>
      </c>
      <c r="C64" s="69" t="s">
        <v>13</v>
      </c>
      <c r="D64" s="80">
        <f>-'Historical Financials'!D86*0.7</f>
        <v>290.25499999999994</v>
      </c>
      <c r="E64" s="80">
        <f>-'Historical Financials'!E86*0.7</f>
        <v>381.80799999999999</v>
      </c>
      <c r="F64" s="80">
        <f>-'Historical Financials'!F86*0.7</f>
        <v>434.37799999999993</v>
      </c>
      <c r="G64" s="87"/>
      <c r="H64" s="15">
        <f>H13*H65</f>
        <v>284.99704500000001</v>
      </c>
      <c r="I64" s="15">
        <f>I13*I65</f>
        <v>274.29537292500009</v>
      </c>
      <c r="J64" s="15">
        <f>J13*J65</f>
        <v>258.60649741200001</v>
      </c>
      <c r="K64" s="15">
        <f>K13*K65</f>
        <v>232.7349192214501</v>
      </c>
      <c r="L64" s="15">
        <f>L13*L65</f>
        <v>195.49138706957169</v>
      </c>
    </row>
    <row r="65" spans="2:12" ht="18" customHeight="1" x14ac:dyDescent="0.2">
      <c r="B65" s="78" t="s">
        <v>130</v>
      </c>
      <c r="C65" s="69" t="s">
        <v>55</v>
      </c>
      <c r="D65" s="74">
        <f>D64/D13</f>
        <v>5.1572466729446868E-2</v>
      </c>
      <c r="E65" s="74">
        <f>E64/E13</f>
        <v>5.5876249432907463E-2</v>
      </c>
      <c r="F65" s="74">
        <f>F64/F13</f>
        <v>6.7059513701273624E-2</v>
      </c>
      <c r="G65" s="88"/>
      <c r="H65" s="83">
        <f>4%</f>
        <v>0.04</v>
      </c>
      <c r="I65" s="83">
        <f>3.5%</f>
        <v>3.5000000000000003E-2</v>
      </c>
      <c r="J65" s="83">
        <f>3%</f>
        <v>0.03</v>
      </c>
      <c r="K65" s="83">
        <f>2.5%</f>
        <v>2.5000000000000001E-2</v>
      </c>
      <c r="L65" s="83">
        <f>2%</f>
        <v>0.02</v>
      </c>
    </row>
    <row r="66" spans="2:12" ht="18" customHeight="1" x14ac:dyDescent="0.2">
      <c r="B66" s="13"/>
      <c r="C66" s="69"/>
      <c r="D66" s="75"/>
      <c r="E66" s="75"/>
      <c r="F66" s="75"/>
      <c r="G66" s="89"/>
      <c r="H66" s="66"/>
      <c r="I66" s="66"/>
      <c r="J66" s="66"/>
      <c r="K66" s="66"/>
      <c r="L66" s="66"/>
    </row>
    <row r="67" spans="2:12" ht="18" customHeight="1" x14ac:dyDescent="0.2">
      <c r="B67" s="17" t="s">
        <v>132</v>
      </c>
      <c r="C67" s="70" t="s">
        <v>13</v>
      </c>
      <c r="D67" s="76">
        <f>D62+D64</f>
        <v>414.64999999999992</v>
      </c>
      <c r="E67" s="76">
        <f>E62+E64</f>
        <v>545.44000000000005</v>
      </c>
      <c r="F67" s="76">
        <f>F62+F64</f>
        <v>620.54</v>
      </c>
      <c r="G67" s="90"/>
      <c r="H67" s="67">
        <f>H62+H64</f>
        <v>391.87093687500004</v>
      </c>
      <c r="I67" s="67">
        <f>I62+I64</f>
        <v>391.85053275000013</v>
      </c>
      <c r="J67" s="67">
        <f>J62+J64</f>
        <v>387.90974611800004</v>
      </c>
      <c r="K67" s="67">
        <f>K62+K64</f>
        <v>372.37587075432015</v>
      </c>
      <c r="L67" s="67">
        <f>L62+L64</f>
        <v>342.10992737175047</v>
      </c>
    </row>
    <row r="68" spans="2:12" ht="18" customHeight="1" x14ac:dyDescent="0.2">
      <c r="B68" s="78" t="s">
        <v>133</v>
      </c>
      <c r="C68" s="69" t="s">
        <v>55</v>
      </c>
      <c r="D68" s="74">
        <f>D67/D13</f>
        <v>7.3674952470638391E-2</v>
      </c>
      <c r="E68" s="74">
        <f>E67/E13</f>
        <v>7.9823213475582092E-2</v>
      </c>
      <c r="F68" s="74">
        <f>F67/F13</f>
        <v>9.5799305287533762E-2</v>
      </c>
      <c r="G68" s="88"/>
      <c r="H68" s="65">
        <f>H67/H13</f>
        <v>5.5E-2</v>
      </c>
      <c r="I68" s="65">
        <f>I67/I13</f>
        <v>0.05</v>
      </c>
      <c r="J68" s="65">
        <f>J67/J13</f>
        <v>4.4999999999999998E-2</v>
      </c>
      <c r="K68" s="65">
        <f>K67/K13</f>
        <v>0.04</v>
      </c>
      <c r="L68" s="65">
        <f>L67/L13</f>
        <v>3.5000000000000003E-2</v>
      </c>
    </row>
    <row r="69" spans="2:12" ht="18" customHeight="1" x14ac:dyDescent="0.2">
      <c r="B69" s="13"/>
      <c r="C69" s="69"/>
      <c r="D69" s="75"/>
      <c r="E69" s="75"/>
      <c r="F69" s="75"/>
      <c r="G69" s="89"/>
      <c r="H69" s="66"/>
      <c r="I69" s="66"/>
      <c r="J69" s="66"/>
      <c r="K69" s="66"/>
      <c r="L69" s="66"/>
    </row>
    <row r="70" spans="2:12" ht="18" customHeight="1" x14ac:dyDescent="0.2">
      <c r="B70" s="13" t="s">
        <v>134</v>
      </c>
      <c r="C70" s="69" t="s">
        <v>13</v>
      </c>
      <c r="D70" s="80">
        <f>'Historical Financials'!D79</f>
        <v>555.11</v>
      </c>
      <c r="E70" s="80">
        <f>'Historical Financials'!E79</f>
        <v>656.43</v>
      </c>
      <c r="F70" s="80">
        <f>'Historical Financials'!F79</f>
        <v>675.39</v>
      </c>
      <c r="G70" s="87"/>
      <c r="H70" s="15">
        <f>H13*H71</f>
        <v>356.24630625000009</v>
      </c>
      <c r="I70" s="15">
        <f>I13*I71</f>
        <v>391.85053275000013</v>
      </c>
      <c r="J70" s="15">
        <f>J13*J71</f>
        <v>387.90974611800004</v>
      </c>
      <c r="K70" s="15">
        <f>K13*K71</f>
        <v>372.37587075432015</v>
      </c>
      <c r="L70" s="15">
        <f>L13*L71</f>
        <v>342.10992737175047</v>
      </c>
    </row>
    <row r="71" spans="2:12" ht="18" customHeight="1" x14ac:dyDescent="0.2">
      <c r="B71" s="78" t="s">
        <v>135</v>
      </c>
      <c r="C71" s="69" t="s">
        <v>55</v>
      </c>
      <c r="D71" s="74">
        <f>D70/D13</f>
        <v>9.8631865105452993E-2</v>
      </c>
      <c r="E71" s="74">
        <f>E70/E13</f>
        <v>9.6066207138780335E-2</v>
      </c>
      <c r="F71" s="74">
        <f>F70/F13</f>
        <v>0.10426707834812814</v>
      </c>
      <c r="G71" s="88"/>
      <c r="H71" s="83">
        <f>5%</f>
        <v>0.05</v>
      </c>
      <c r="I71" s="83">
        <f>5%</f>
        <v>0.05</v>
      </c>
      <c r="J71" s="83">
        <f>4.5%</f>
        <v>4.4999999999999998E-2</v>
      </c>
      <c r="K71" s="83">
        <f>4%</f>
        <v>0.04</v>
      </c>
      <c r="L71" s="83">
        <f>3.5%</f>
        <v>3.5000000000000003E-2</v>
      </c>
    </row>
    <row r="72" spans="2:12" ht="18" customHeight="1" x14ac:dyDescent="0.2">
      <c r="B72" s="63"/>
      <c r="C72" s="69"/>
      <c r="D72" s="75"/>
      <c r="E72" s="75"/>
      <c r="F72" s="75"/>
      <c r="G72" s="89"/>
      <c r="H72" s="66"/>
      <c r="I72" s="66"/>
      <c r="J72" s="66"/>
      <c r="K72" s="66"/>
      <c r="L72" s="66"/>
    </row>
    <row r="73" spans="2:12" ht="18" customHeight="1" x14ac:dyDescent="0.2">
      <c r="B73" s="63"/>
      <c r="C73" s="69"/>
      <c r="D73" s="75"/>
      <c r="E73" s="75"/>
      <c r="F73" s="75"/>
      <c r="G73" s="89"/>
      <c r="H73" s="66"/>
      <c r="I73" s="66"/>
      <c r="J73" s="66"/>
      <c r="K73" s="66"/>
      <c r="L73" s="66"/>
    </row>
    <row r="74" spans="2:12" ht="18" customHeight="1" x14ac:dyDescent="0.2">
      <c r="B74" s="237" t="s">
        <v>136</v>
      </c>
      <c r="C74" s="238"/>
      <c r="D74" s="240"/>
      <c r="E74" s="240"/>
      <c r="F74" s="240"/>
      <c r="G74" s="241"/>
      <c r="H74" s="241"/>
      <c r="I74" s="241"/>
      <c r="J74" s="241"/>
      <c r="K74" s="241"/>
      <c r="L74" s="241"/>
    </row>
    <row r="75" spans="2:12" ht="18" customHeight="1" x14ac:dyDescent="0.2">
      <c r="B75" s="13" t="s">
        <v>137</v>
      </c>
      <c r="C75" s="69" t="s">
        <v>55</v>
      </c>
      <c r="D75" s="82">
        <f>'Historical Financials'!D36</f>
        <v>0.21618619477359577</v>
      </c>
      <c r="E75" s="82">
        <f>'Historical Financials'!E36</f>
        <v>0.29586702149543187</v>
      </c>
      <c r="F75" s="82">
        <f>'Historical Financials'!F36</f>
        <v>0.22430798003412014</v>
      </c>
      <c r="G75" s="88"/>
      <c r="H75" s="83">
        <f>22%</f>
        <v>0.22</v>
      </c>
      <c r="I75" s="83">
        <f>22%</f>
        <v>0.22</v>
      </c>
      <c r="J75" s="83">
        <f>22%</f>
        <v>0.22</v>
      </c>
      <c r="K75" s="83">
        <f>22%</f>
        <v>0.22</v>
      </c>
      <c r="L75" s="83">
        <f>22%</f>
        <v>0.22</v>
      </c>
    </row>
    <row r="76" spans="2:12" ht="18" customHeight="1" x14ac:dyDescent="0.2">
      <c r="B76" s="13" t="s">
        <v>138</v>
      </c>
      <c r="C76" s="69" t="s">
        <v>55</v>
      </c>
      <c r="D76" s="74"/>
      <c r="E76" s="74"/>
      <c r="F76" s="74"/>
      <c r="G76" s="88"/>
      <c r="H76" s="65"/>
      <c r="I76" s="65"/>
      <c r="J76" s="65"/>
      <c r="K76" s="65"/>
      <c r="L76" s="65"/>
    </row>
    <row r="77" spans="2:12" ht="18" customHeight="1" x14ac:dyDescent="0.2">
      <c r="B77" s="63"/>
      <c r="C77" s="69"/>
      <c r="D77" s="75"/>
      <c r="E77" s="75"/>
      <c r="F77" s="75"/>
      <c r="G77" s="89"/>
      <c r="H77" s="66"/>
      <c r="I77" s="66"/>
      <c r="J77" s="66"/>
      <c r="K77" s="66"/>
      <c r="L77" s="66"/>
    </row>
    <row r="78" spans="2:12" ht="18" customHeight="1" x14ac:dyDescent="0.2">
      <c r="B78" s="63"/>
      <c r="C78" s="69"/>
      <c r="D78" s="75"/>
      <c r="E78" s="75"/>
      <c r="F78" s="75"/>
      <c r="G78" s="89"/>
      <c r="H78" s="66"/>
      <c r="I78" s="66"/>
      <c r="J78" s="66"/>
      <c r="K78" s="66"/>
      <c r="L78" s="66"/>
    </row>
    <row r="79" spans="2:12" ht="18" customHeight="1" x14ac:dyDescent="0.2">
      <c r="B79" s="237" t="s">
        <v>139</v>
      </c>
      <c r="C79" s="238"/>
      <c r="D79" s="240"/>
      <c r="E79" s="240"/>
      <c r="F79" s="240"/>
      <c r="G79" s="241"/>
      <c r="H79" s="241"/>
      <c r="I79" s="241"/>
      <c r="J79" s="241"/>
      <c r="K79" s="241"/>
      <c r="L79" s="241"/>
    </row>
    <row r="80" spans="2:12" ht="18" customHeight="1" x14ac:dyDescent="0.2">
      <c r="B80" s="13" t="s">
        <v>114</v>
      </c>
      <c r="C80" s="69" t="s">
        <v>13</v>
      </c>
      <c r="D80" s="73">
        <f>D41</f>
        <v>1908.8033080000005</v>
      </c>
      <c r="E80" s="73">
        <f>E41</f>
        <v>2381.8298690000001</v>
      </c>
      <c r="F80" s="73">
        <f>F41</f>
        <v>2403.6272120000003</v>
      </c>
      <c r="G80" s="87"/>
      <c r="H80" s="15">
        <f>H41</f>
        <v>2572.6204905894001</v>
      </c>
      <c r="I80" s="15">
        <f>I41</f>
        <v>2759.2020960639848</v>
      </c>
      <c r="J80" s="15">
        <f>J41</f>
        <v>2965.9862474249981</v>
      </c>
      <c r="K80" s="15">
        <f>K41</f>
        <v>3137.9489623377121</v>
      </c>
      <c r="L80" s="15">
        <f>L41</f>
        <v>3245.8733673644501</v>
      </c>
    </row>
    <row r="81" spans="2:12" ht="18" customHeight="1" x14ac:dyDescent="0.2">
      <c r="B81" s="13" t="s">
        <v>140</v>
      </c>
      <c r="C81" s="69" t="s">
        <v>13</v>
      </c>
      <c r="D81" s="73">
        <f>-D67</f>
        <v>-414.64999999999992</v>
      </c>
      <c r="E81" s="73">
        <f>-E67</f>
        <v>-545.44000000000005</v>
      </c>
      <c r="F81" s="73">
        <f>-F67</f>
        <v>-620.54</v>
      </c>
      <c r="G81" s="87"/>
      <c r="H81" s="15">
        <f>-H67</f>
        <v>-391.87093687500004</v>
      </c>
      <c r="I81" s="15">
        <f>-I67</f>
        <v>-391.85053275000013</v>
      </c>
      <c r="J81" s="15">
        <f>-J67</f>
        <v>-387.90974611800004</v>
      </c>
      <c r="K81" s="15">
        <f>-K67</f>
        <v>-372.37587075432015</v>
      </c>
      <c r="L81" s="15">
        <f>-L67</f>
        <v>-342.10992737175047</v>
      </c>
    </row>
    <row r="82" spans="2:12" ht="18" customHeight="1" x14ac:dyDescent="0.2">
      <c r="B82" s="13" t="s">
        <v>141</v>
      </c>
      <c r="C82" s="69" t="s">
        <v>13</v>
      </c>
      <c r="D82" s="73">
        <f>0</f>
        <v>0</v>
      </c>
      <c r="E82" s="73">
        <f>-(E56-D56)</f>
        <v>-294.88000000000011</v>
      </c>
      <c r="F82" s="73">
        <f>-E58</f>
        <v>-294.88000000000011</v>
      </c>
      <c r="G82" s="87"/>
      <c r="H82" s="15">
        <f>-H58</f>
        <v>-173.56943951772246</v>
      </c>
      <c r="I82" s="15">
        <f>-I58</f>
        <v>-204.33140675897084</v>
      </c>
      <c r="J82" s="15">
        <f>-J58</f>
        <v>-231.99211801732736</v>
      </c>
      <c r="K82" s="15">
        <f>-K58</f>
        <v>-200.23762308076493</v>
      </c>
      <c r="L82" s="15">
        <f>-L58</f>
        <v>-137.11618167352435</v>
      </c>
    </row>
    <row r="83" spans="2:12" ht="18" customHeight="1" x14ac:dyDescent="0.2">
      <c r="B83" s="13" t="s">
        <v>142</v>
      </c>
      <c r="C83" s="69" t="s">
        <v>13</v>
      </c>
      <c r="D83" s="73">
        <f>-(D41-D70)*D75</f>
        <v>-292.64980514700125</v>
      </c>
      <c r="E83" s="73">
        <f>-(E41-E70)*E75</f>
        <v>-510.48892012963842</v>
      </c>
      <c r="F83" s="73">
        <f>-(F41-F70)*F75</f>
        <v>-387.65739804351955</v>
      </c>
      <c r="G83" s="87"/>
      <c r="H83" s="15">
        <f>-(H41-H70)*H75</f>
        <v>-487.60232055466798</v>
      </c>
      <c r="I83" s="15">
        <f>-(I41-I70)*I75</f>
        <v>-520.81734392907663</v>
      </c>
      <c r="J83" s="15">
        <f>-(J41-J70)*J75</f>
        <v>-567.17683028753959</v>
      </c>
      <c r="K83" s="15">
        <f>-(K41-K70)*K75</f>
        <v>-608.42608014834627</v>
      </c>
      <c r="L83" s="15">
        <f>-(L41-L70)*L75</f>
        <v>-638.82795679839398</v>
      </c>
    </row>
    <row r="84" spans="2:12" ht="18" customHeight="1" thickBot="1" x14ac:dyDescent="0.25">
      <c r="B84" s="13"/>
      <c r="C84" s="69"/>
      <c r="D84" s="75"/>
      <c r="E84" s="75"/>
      <c r="F84" s="75"/>
      <c r="G84" s="89"/>
      <c r="H84" s="66"/>
      <c r="I84" s="66"/>
      <c r="J84" s="66"/>
      <c r="K84" s="66"/>
      <c r="L84" s="66"/>
    </row>
    <row r="85" spans="2:12" ht="18" customHeight="1" thickTop="1" x14ac:dyDescent="0.2">
      <c r="B85" s="79" t="s">
        <v>143</v>
      </c>
      <c r="C85" s="71" t="s">
        <v>13</v>
      </c>
      <c r="D85" s="77">
        <f>SUM(D80:D83)</f>
        <v>1201.5035028529994</v>
      </c>
      <c r="E85" s="77">
        <f>SUM(E80:E83)</f>
        <v>1031.0209488703615</v>
      </c>
      <c r="F85" s="77">
        <f>SUM(F80:F83)</f>
        <v>1100.5498139564806</v>
      </c>
      <c r="G85" s="92"/>
      <c r="H85" s="68">
        <f>SUM(H80:H83)</f>
        <v>1519.5777936420095</v>
      </c>
      <c r="I85" s="68">
        <f>SUM(I80:I83)</f>
        <v>1642.202812625937</v>
      </c>
      <c r="J85" s="68">
        <f>SUM(J80:J83)</f>
        <v>1778.9075530021312</v>
      </c>
      <c r="K85" s="68">
        <f>SUM(K80:K83)</f>
        <v>1956.9093883542807</v>
      </c>
      <c r="L85" s="68">
        <f>SUM(L80:L83)</f>
        <v>2127.8193015207812</v>
      </c>
    </row>
    <row r="86" spans="2:12" ht="18" customHeight="1" x14ac:dyDescent="0.2">
      <c r="B86" s="78" t="s">
        <v>144</v>
      </c>
      <c r="C86" s="69" t="s">
        <v>55</v>
      </c>
      <c r="D86" s="74">
        <f>D85/D13</f>
        <v>0.21348296989268126</v>
      </c>
      <c r="E86" s="74">
        <f>E85/E13</f>
        <v>0.15088626668281768</v>
      </c>
      <c r="F86" s="74">
        <f>F85/F13</f>
        <v>0.16990348343596767</v>
      </c>
      <c r="G86" s="88"/>
      <c r="H86" s="65">
        <f>H85/H13</f>
        <v>0.21327628763898368</v>
      </c>
      <c r="I86" s="65">
        <f>I85/I13</f>
        <v>0.20954454254546839</v>
      </c>
      <c r="J86" s="65">
        <f>J85/J13</f>
        <v>0.2063646007510852</v>
      </c>
      <c r="K86" s="65">
        <f>K85/K13</f>
        <v>0.21020796910285064</v>
      </c>
      <c r="L86" s="65">
        <f>L85/L13</f>
        <v>0.21768931444161585</v>
      </c>
    </row>
    <row r="87" spans="2:12" ht="18" customHeight="1" x14ac:dyDescent="0.2">
      <c r="B87" s="78" t="s">
        <v>145</v>
      </c>
      <c r="C87" s="69" t="s">
        <v>55</v>
      </c>
      <c r="D87" s="74">
        <f>D85/D80</f>
        <v>0.62945380376142934</v>
      </c>
      <c r="E87" s="74">
        <f>E85/E80</f>
        <v>0.43286926673030207</v>
      </c>
      <c r="F87" s="74">
        <f>F85/F80</f>
        <v>0.45787042535632622</v>
      </c>
      <c r="G87" s="88"/>
      <c r="H87" s="65">
        <f>H85/H80</f>
        <v>0.59067312850869302</v>
      </c>
      <c r="I87" s="65">
        <f>I85/I80</f>
        <v>0.59517308100357968</v>
      </c>
      <c r="J87" s="65">
        <f>J85/J80</f>
        <v>0.59976931941155776</v>
      </c>
      <c r="K87" s="65">
        <f>K85/K80</f>
        <v>0.62362690147019495</v>
      </c>
      <c r="L87" s="65">
        <f>L85/L80</f>
        <v>0.65554599970377325</v>
      </c>
    </row>
    <row r="88" spans="2:12" ht="18" customHeight="1" x14ac:dyDescent="0.2">
      <c r="B88" s="63"/>
      <c r="C88" s="69"/>
      <c r="D88" s="75"/>
      <c r="E88" s="75"/>
      <c r="F88" s="75"/>
      <c r="G88" s="89"/>
      <c r="H88" s="66"/>
      <c r="I88" s="66"/>
      <c r="J88" s="66"/>
      <c r="K88" s="66"/>
      <c r="L88" s="66"/>
    </row>
  </sheetData>
  <mergeCells count="8">
    <mergeCell ref="B74:L74"/>
    <mergeCell ref="B79:L79"/>
    <mergeCell ref="B7:L7"/>
    <mergeCell ref="B20:L20"/>
    <mergeCell ref="B28:L28"/>
    <mergeCell ref="B40:L40"/>
    <mergeCell ref="B47:L47"/>
    <mergeCell ref="B61:L61"/>
  </mergeCells>
  <pageMargins left="0.7" right="0.7" top="0.75" bottom="0.75" header="0.3" footer="0.3"/>
  <ignoredErrors>
    <ignoredError sqref="E10:F10 H9:L9 E17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23C92-254E-E848-9A0F-814D3BADBCCF}">
  <dimension ref="B1:I92"/>
  <sheetViews>
    <sheetView zoomScale="113" workbookViewId="0">
      <selection activeCell="J87" sqref="J87"/>
    </sheetView>
  </sheetViews>
  <sheetFormatPr baseColWidth="10" defaultRowHeight="16" x14ac:dyDescent="0.2"/>
  <cols>
    <col min="1" max="1" width="3.5" style="1" customWidth="1"/>
    <col min="2" max="2" width="40.83203125" style="1" customWidth="1"/>
    <col min="3" max="9" width="15.1640625" style="1" customWidth="1"/>
    <col min="10" max="16384" width="10.83203125" style="1"/>
  </cols>
  <sheetData>
    <row r="1" spans="2:9" ht="4" customHeight="1" x14ac:dyDescent="0.2">
      <c r="B1" s="6"/>
      <c r="C1" s="6"/>
      <c r="D1" s="6"/>
      <c r="E1" s="6"/>
      <c r="F1" s="6"/>
      <c r="G1" s="6"/>
      <c r="H1" s="6"/>
      <c r="I1" s="6"/>
    </row>
    <row r="2" spans="2:9" ht="28" customHeight="1" x14ac:dyDescent="0.35">
      <c r="B2" s="7" t="s">
        <v>180</v>
      </c>
    </row>
    <row r="3" spans="2:9" ht="17" x14ac:dyDescent="0.25">
      <c r="B3" s="8" t="s">
        <v>181</v>
      </c>
    </row>
    <row r="4" spans="2:9" ht="17" thickBot="1" x14ac:dyDescent="0.25">
      <c r="B4" s="9"/>
      <c r="C4" s="9"/>
    </row>
    <row r="5" spans="2:9" ht="17" thickTop="1" x14ac:dyDescent="0.2">
      <c r="B5" s="61"/>
      <c r="C5" s="61" t="s">
        <v>148</v>
      </c>
      <c r="D5" s="61" t="s">
        <v>149</v>
      </c>
      <c r="E5" s="61" t="s">
        <v>150</v>
      </c>
      <c r="F5" s="61" t="s">
        <v>151</v>
      </c>
      <c r="G5" s="61" t="s">
        <v>152</v>
      </c>
      <c r="H5" s="61" t="s">
        <v>153</v>
      </c>
    </row>
    <row r="6" spans="2:9" ht="18" customHeight="1" x14ac:dyDescent="0.2"/>
    <row r="7" spans="2:9" ht="18" customHeight="1" x14ac:dyDescent="0.2">
      <c r="B7" s="237" t="s">
        <v>182</v>
      </c>
      <c r="C7" s="244"/>
      <c r="D7" s="244"/>
      <c r="E7" s="244"/>
      <c r="F7" s="244"/>
      <c r="G7" s="244"/>
      <c r="H7" s="244"/>
    </row>
    <row r="8" spans="2:9" ht="18" customHeight="1" x14ac:dyDescent="0.2">
      <c r="B8" s="13" t="s">
        <v>183</v>
      </c>
      <c r="C8" s="15"/>
      <c r="D8" s="15">
        <f>'Operating Model'!H13</f>
        <v>7124.9261250000009</v>
      </c>
      <c r="E8" s="15">
        <f>'Operating Model'!I13</f>
        <v>7837.0106550000019</v>
      </c>
      <c r="F8" s="15">
        <f>'Operating Model'!J13</f>
        <v>8620.2165804000015</v>
      </c>
      <c r="G8" s="15">
        <f>'Operating Model'!K13</f>
        <v>9309.3967688580033</v>
      </c>
      <c r="H8" s="15">
        <f>'Operating Model'!L13</f>
        <v>9774.5693534785842</v>
      </c>
    </row>
    <row r="9" spans="2:9" ht="18" customHeight="1" x14ac:dyDescent="0.2">
      <c r="B9" s="13" t="s">
        <v>184</v>
      </c>
      <c r="C9" s="15"/>
      <c r="D9" s="15">
        <f>'Operating Model'!H21</f>
        <v>-2914.9637456250002</v>
      </c>
      <c r="E9" s="15">
        <f>'Operating Model'!I21</f>
        <v>-3245.4782179500007</v>
      </c>
      <c r="F9" s="15">
        <f>'Operating Model'!J21</f>
        <v>-3612.9220742580005</v>
      </c>
      <c r="G9" s="15">
        <f>'Operating Model'!K21</f>
        <v>-3948.3196099182014</v>
      </c>
      <c r="H9" s="15">
        <f>'Operating Model'!L21</f>
        <v>-4174.9332266006195</v>
      </c>
    </row>
    <row r="10" spans="2:9" ht="18" customHeight="1" x14ac:dyDescent="0.2">
      <c r="B10" s="17" t="s">
        <v>102</v>
      </c>
      <c r="C10" s="67"/>
      <c r="D10" s="67">
        <f>D8+D9</f>
        <v>4209.9623793750006</v>
      </c>
      <c r="E10" s="67">
        <f>E8+E9</f>
        <v>4591.5324370500011</v>
      </c>
      <c r="F10" s="67">
        <f>F8+F9</f>
        <v>5007.2945061420014</v>
      </c>
      <c r="G10" s="67">
        <f>G8+G9</f>
        <v>5361.0771589398018</v>
      </c>
      <c r="H10" s="67">
        <f>H8+H9</f>
        <v>5599.6361268779647</v>
      </c>
    </row>
    <row r="11" spans="2:9" ht="18" customHeight="1" x14ac:dyDescent="0.2">
      <c r="B11" s="78" t="s">
        <v>103</v>
      </c>
      <c r="C11" s="65"/>
      <c r="D11" s="65">
        <f>D10/D8</f>
        <v>0.59087803936703975</v>
      </c>
      <c r="E11" s="65">
        <f>E10/E8</f>
        <v>0.58587803936703975</v>
      </c>
      <c r="F11" s="65">
        <f>F10/F8</f>
        <v>0.58087803936703986</v>
      </c>
      <c r="G11" s="65">
        <f>G10/G8</f>
        <v>0.57587803936703974</v>
      </c>
      <c r="H11" s="65">
        <f>H10/H8</f>
        <v>0.57287803936703974</v>
      </c>
    </row>
    <row r="12" spans="2:9" ht="18" customHeight="1" x14ac:dyDescent="0.2">
      <c r="B12" s="13"/>
      <c r="C12" s="15"/>
      <c r="D12" s="15"/>
      <c r="E12" s="15"/>
      <c r="F12" s="15"/>
      <c r="G12" s="15"/>
      <c r="H12" s="15"/>
    </row>
    <row r="13" spans="2:9" ht="18" customHeight="1" x14ac:dyDescent="0.2">
      <c r="B13" s="13" t="s">
        <v>185</v>
      </c>
      <c r="C13" s="15"/>
      <c r="D13" s="15">
        <f>'Operating Model'!H36</f>
        <v>-1637.3418887856003</v>
      </c>
      <c r="E13" s="15">
        <f>'Operating Model'!I36</f>
        <v>-1832.3303409860166</v>
      </c>
      <c r="F13" s="15">
        <f>'Operating Model'!J36</f>
        <v>-2041.3082587170034</v>
      </c>
      <c r="G13" s="15">
        <f>'Operating Model'!K36</f>
        <v>-2223.1281966020897</v>
      </c>
      <c r="H13" s="15">
        <f>'Operating Model'!L36</f>
        <v>-2353.7627595135145</v>
      </c>
    </row>
    <row r="14" spans="2:9" ht="18" customHeight="1" x14ac:dyDescent="0.2">
      <c r="B14" s="17" t="s">
        <v>114</v>
      </c>
      <c r="C14" s="67"/>
      <c r="D14" s="67">
        <f>D10+D13</f>
        <v>2572.6204905894001</v>
      </c>
      <c r="E14" s="67">
        <f>E10+E13</f>
        <v>2759.2020960639848</v>
      </c>
      <c r="F14" s="67">
        <f>F10+F13</f>
        <v>2965.9862474249981</v>
      </c>
      <c r="G14" s="67">
        <f>G10+G13</f>
        <v>3137.9489623377121</v>
      </c>
      <c r="H14" s="67">
        <f>H10+H13</f>
        <v>3245.8733673644501</v>
      </c>
    </row>
    <row r="15" spans="2:9" ht="18" customHeight="1" x14ac:dyDescent="0.2">
      <c r="B15" s="78" t="s">
        <v>115</v>
      </c>
      <c r="C15" s="65"/>
      <c r="D15" s="65">
        <f>D14/D8</f>
        <v>0.36107328629872631</v>
      </c>
      <c r="E15" s="65">
        <f>E14/E8</f>
        <v>0.35207328629872636</v>
      </c>
      <c r="F15" s="65">
        <f>F14/F8</f>
        <v>0.34407328629872641</v>
      </c>
      <c r="G15" s="65">
        <f>G14/G8</f>
        <v>0.3370732862987264</v>
      </c>
      <c r="H15" s="65">
        <f>H14/H8</f>
        <v>0.33207328629872634</v>
      </c>
    </row>
    <row r="16" spans="2:9" ht="18" customHeight="1" x14ac:dyDescent="0.2">
      <c r="B16" s="13"/>
      <c r="C16" s="15"/>
      <c r="D16" s="15"/>
      <c r="E16" s="15"/>
      <c r="F16" s="15"/>
      <c r="G16" s="15"/>
      <c r="H16" s="15"/>
    </row>
    <row r="17" spans="2:8" ht="18" customHeight="1" x14ac:dyDescent="0.2">
      <c r="B17" s="13" t="s">
        <v>134</v>
      </c>
      <c r="C17" s="15"/>
      <c r="D17" s="15">
        <f>'Operating Model'!H70</f>
        <v>356.24630625000009</v>
      </c>
      <c r="E17" s="15">
        <f>'Operating Model'!I70</f>
        <v>391.85053275000013</v>
      </c>
      <c r="F17" s="15">
        <f>'Operating Model'!J70</f>
        <v>387.90974611800004</v>
      </c>
      <c r="G17" s="15">
        <f>'Operating Model'!K70</f>
        <v>372.37587075432015</v>
      </c>
      <c r="H17" s="15">
        <f>'Operating Model'!L70</f>
        <v>342.10992737175047</v>
      </c>
    </row>
    <row r="18" spans="2:8" ht="18" customHeight="1" x14ac:dyDescent="0.2">
      <c r="B18" s="17" t="s">
        <v>186</v>
      </c>
      <c r="C18" s="67"/>
      <c r="D18" s="67">
        <f>D14-D17</f>
        <v>2216.3741843394</v>
      </c>
      <c r="E18" s="67">
        <f>E14-E17</f>
        <v>2367.3515633139846</v>
      </c>
      <c r="F18" s="67">
        <f>F14-F17</f>
        <v>2578.0765013069981</v>
      </c>
      <c r="G18" s="67">
        <f>G14-G17</f>
        <v>2765.5730915833919</v>
      </c>
      <c r="H18" s="67">
        <f>H14-H17</f>
        <v>2903.7634399926997</v>
      </c>
    </row>
    <row r="19" spans="2:8" ht="18" customHeight="1" x14ac:dyDescent="0.2">
      <c r="B19" s="78" t="s">
        <v>187</v>
      </c>
      <c r="C19" s="65"/>
      <c r="D19" s="65">
        <f>D18/D8</f>
        <v>0.31107328629872633</v>
      </c>
      <c r="E19" s="65">
        <f>E18/E8</f>
        <v>0.30207328629872637</v>
      </c>
      <c r="F19" s="65">
        <f>F18/F8</f>
        <v>0.29907328629872643</v>
      </c>
      <c r="G19" s="65">
        <f>G18/G8</f>
        <v>0.29707328629872637</v>
      </c>
      <c r="H19" s="65">
        <f>H18/H8</f>
        <v>0.29707328629872631</v>
      </c>
    </row>
    <row r="20" spans="2:8" ht="18" customHeight="1" x14ac:dyDescent="0.2">
      <c r="B20" s="13"/>
      <c r="C20" s="15"/>
      <c r="D20" s="15"/>
      <c r="E20" s="15"/>
      <c r="F20" s="15"/>
      <c r="G20" s="15"/>
      <c r="H20" s="15"/>
    </row>
    <row r="21" spans="2:8" ht="18" customHeight="1" x14ac:dyDescent="0.2">
      <c r="B21" s="13" t="s">
        <v>161</v>
      </c>
      <c r="C21" s="15"/>
      <c r="D21" s="15">
        <f>'Debt Schedule'!D48</f>
        <v>862.31163185999981</v>
      </c>
      <c r="E21" s="15">
        <f>'Debt Schedule'!E48</f>
        <v>856.15163957999994</v>
      </c>
      <c r="F21" s="15">
        <f>'Debt Schedule'!F48</f>
        <v>850.02244726139986</v>
      </c>
      <c r="G21" s="15">
        <f>'Debt Schedule'!G48</f>
        <v>843.95485486559994</v>
      </c>
      <c r="H21" s="15">
        <f>'Debt Schedule'!H48</f>
        <v>837.9485543929859</v>
      </c>
    </row>
    <row r="22" spans="2:8" ht="18" customHeight="1" x14ac:dyDescent="0.2">
      <c r="B22" s="13" t="s">
        <v>188</v>
      </c>
      <c r="C22" s="15"/>
      <c r="D22" s="15">
        <v>0</v>
      </c>
      <c r="E22" s="15">
        <v>0</v>
      </c>
      <c r="F22" s="15">
        <v>0</v>
      </c>
      <c r="G22" s="15">
        <v>0</v>
      </c>
      <c r="H22" s="15">
        <v>0</v>
      </c>
    </row>
    <row r="23" spans="2:8" ht="18" customHeight="1" x14ac:dyDescent="0.2">
      <c r="B23" s="17" t="s">
        <v>189</v>
      </c>
      <c r="C23" s="67"/>
      <c r="D23" s="67">
        <f>D18-D21+D22</f>
        <v>1354.0625524794002</v>
      </c>
      <c r="E23" s="67">
        <f>E18-E21+E22</f>
        <v>1511.1999237339846</v>
      </c>
      <c r="F23" s="67">
        <f>F18-F21+F22</f>
        <v>1728.0540540455981</v>
      </c>
      <c r="G23" s="67">
        <f>G18-G21+G22</f>
        <v>1921.6182367177921</v>
      </c>
      <c r="H23" s="67">
        <f>H18-H21+H22</f>
        <v>2065.8148855997138</v>
      </c>
    </row>
    <row r="24" spans="2:8" ht="18" customHeight="1" x14ac:dyDescent="0.2">
      <c r="B24" s="13"/>
      <c r="C24" s="15"/>
      <c r="D24" s="15"/>
      <c r="E24" s="15"/>
      <c r="F24" s="15"/>
      <c r="G24" s="15"/>
      <c r="H24" s="15"/>
    </row>
    <row r="25" spans="2:8" ht="18" customHeight="1" x14ac:dyDescent="0.2">
      <c r="B25" s="13" t="s">
        <v>190</v>
      </c>
      <c r="C25" s="15"/>
      <c r="D25" s="15">
        <f>-D23*D26</f>
        <v>-297.89376154546807</v>
      </c>
      <c r="E25" s="15">
        <f>-E23*E26</f>
        <v>-332.46398322147661</v>
      </c>
      <c r="F25" s="15">
        <f>-F23*F26</f>
        <v>-380.17189189003159</v>
      </c>
      <c r="G25" s="15">
        <f>-G23*G26</f>
        <v>-422.75601207791425</v>
      </c>
      <c r="H25" s="15">
        <f>-H23*H26</f>
        <v>-454.479274831937</v>
      </c>
    </row>
    <row r="26" spans="2:8" ht="18" customHeight="1" x14ac:dyDescent="0.2">
      <c r="B26" s="78" t="s">
        <v>191</v>
      </c>
      <c r="C26" s="65"/>
      <c r="D26" s="65">
        <f>'Operating Model'!H75</f>
        <v>0.22</v>
      </c>
      <c r="E26" s="65">
        <f>'Operating Model'!I75</f>
        <v>0.22</v>
      </c>
      <c r="F26" s="65">
        <f>'Operating Model'!J75</f>
        <v>0.22</v>
      </c>
      <c r="G26" s="65">
        <f>'Operating Model'!K75</f>
        <v>0.22</v>
      </c>
      <c r="H26" s="65">
        <f>'Operating Model'!L75</f>
        <v>0.22</v>
      </c>
    </row>
    <row r="27" spans="2:8" ht="18" customHeight="1" x14ac:dyDescent="0.2">
      <c r="B27" s="13"/>
      <c r="C27" s="15"/>
      <c r="D27" s="15"/>
      <c r="E27" s="15"/>
      <c r="F27" s="15"/>
      <c r="G27" s="15"/>
      <c r="H27" s="15"/>
    </row>
    <row r="28" spans="2:8" ht="18" customHeight="1" x14ac:dyDescent="0.2">
      <c r="B28" s="17" t="s">
        <v>192</v>
      </c>
      <c r="C28" s="67"/>
      <c r="D28" s="67">
        <f>D23+D25</f>
        <v>1056.1687909339321</v>
      </c>
      <c r="E28" s="67">
        <f>E23+E25</f>
        <v>1178.735940512508</v>
      </c>
      <c r="F28" s="67">
        <f>F23+F25</f>
        <v>1347.8821621555667</v>
      </c>
      <c r="G28" s="67">
        <f>G23+G25</f>
        <v>1498.8622246398779</v>
      </c>
      <c r="H28" s="67">
        <f>H23+H25</f>
        <v>1611.3356107677769</v>
      </c>
    </row>
    <row r="29" spans="2:8" ht="18" customHeight="1" x14ac:dyDescent="0.2">
      <c r="B29" s="78" t="s">
        <v>193</v>
      </c>
      <c r="C29" s="65"/>
      <c r="D29" s="65">
        <f>D28/D8</f>
        <v>0.14823575324213373</v>
      </c>
      <c r="E29" s="65">
        <f>E28/E8</f>
        <v>0.15040632103268561</v>
      </c>
      <c r="F29" s="65">
        <f>F28/F8</f>
        <v>0.1563629114865025</v>
      </c>
      <c r="G29" s="65">
        <f>G28/G8</f>
        <v>0.16100530054255549</v>
      </c>
      <c r="H29" s="65">
        <f>H28/H8</f>
        <v>0.16484978033270928</v>
      </c>
    </row>
    <row r="30" spans="2:8" ht="18" customHeight="1" x14ac:dyDescent="0.2">
      <c r="B30" s="63"/>
      <c r="C30" s="15"/>
      <c r="D30" s="15"/>
      <c r="E30" s="15"/>
      <c r="F30" s="15"/>
      <c r="G30" s="15"/>
      <c r="H30" s="15"/>
    </row>
    <row r="31" spans="2:8" ht="18" customHeight="1" x14ac:dyDescent="0.2">
      <c r="B31" s="237" t="s">
        <v>194</v>
      </c>
      <c r="C31" s="244"/>
      <c r="D31" s="244"/>
      <c r="E31" s="244"/>
      <c r="F31" s="244"/>
      <c r="G31" s="244"/>
      <c r="H31" s="244"/>
    </row>
    <row r="32" spans="2:8" ht="18" customHeight="1" x14ac:dyDescent="0.2">
      <c r="B32" s="98" t="s">
        <v>195</v>
      </c>
      <c r="C32" s="96"/>
      <c r="D32" s="96"/>
      <c r="E32" s="96"/>
      <c r="F32" s="96"/>
      <c r="G32" s="96"/>
      <c r="H32" s="96"/>
    </row>
    <row r="33" spans="2:8" ht="18" customHeight="1" x14ac:dyDescent="0.2">
      <c r="B33" s="13" t="s">
        <v>196</v>
      </c>
      <c r="C33" s="15">
        <v>3361.78</v>
      </c>
      <c r="D33" s="15">
        <f>D62+D56-(D34+D35+D36+D39+D40+D41+D42)</f>
        <v>31375.295082336674</v>
      </c>
      <c r="E33" s="15">
        <f>E62+E56-(E34+E35+E36+E39+E40+E41+E42)</f>
        <v>32305.790012766221</v>
      </c>
      <c r="F33" s="15">
        <f>F62+F56-(F34+F35+F36+F39+F40+F41+F42)</f>
        <v>33391.140689323016</v>
      </c>
      <c r="G33" s="15">
        <f>G62+G56-(G34+G35+G36+G39+G40+G41+G42)</f>
        <v>34655.177619007518</v>
      </c>
      <c r="H33" s="15">
        <f>H62+H56-(H34+H35+H36+H39+H40+H41+H42)</f>
        <v>36085.03621179016</v>
      </c>
    </row>
    <row r="34" spans="2:8" ht="18" customHeight="1" x14ac:dyDescent="0.2">
      <c r="B34" s="13" t="s">
        <v>122</v>
      </c>
      <c r="C34" s="15">
        <v>1541.19</v>
      </c>
      <c r="D34" s="15">
        <f>'Operating Model'!H52</f>
        <v>1695.2331582413951</v>
      </c>
      <c r="E34" s="15">
        <f>'Operating Model'!I52</f>
        <v>1864.6593790257882</v>
      </c>
      <c r="F34" s="15">
        <f>'Operating Model'!J52</f>
        <v>2051.0075082801409</v>
      </c>
      <c r="G34" s="15">
        <f>'Operating Model'!K52</f>
        <v>2214.9841007359764</v>
      </c>
      <c r="H34" s="15">
        <f>'Operating Model'!L52</f>
        <v>2325.6625801923033</v>
      </c>
    </row>
    <row r="35" spans="2:8" ht="18" customHeight="1" x14ac:dyDescent="0.2">
      <c r="B35" s="13" t="s">
        <v>123</v>
      </c>
      <c r="C35" s="15">
        <v>991.5</v>
      </c>
      <c r="D35" s="15">
        <f>'Operating Model'!H53</f>
        <v>1064.162871356493</v>
      </c>
      <c r="E35" s="15">
        <f>'Operating Model'!I53</f>
        <v>1158.1482926102528</v>
      </c>
      <c r="F35" s="15">
        <f>'Operating Model'!J53</f>
        <v>1269.4737304482321</v>
      </c>
      <c r="G35" s="15">
        <f>'Operating Model'!K53</f>
        <v>1365.6878553490988</v>
      </c>
      <c r="H35" s="15">
        <f>'Operating Model'!L53</f>
        <v>1432.6332717879557</v>
      </c>
    </row>
    <row r="36" spans="2:8" ht="18" customHeight="1" x14ac:dyDescent="0.2">
      <c r="B36" s="13" t="s">
        <v>197</v>
      </c>
      <c r="C36" s="15">
        <v>23.85</v>
      </c>
      <c r="D36" s="15">
        <f>C36</f>
        <v>23.85</v>
      </c>
      <c r="E36" s="15">
        <f>D36</f>
        <v>23.85</v>
      </c>
      <c r="F36" s="15">
        <f>E36</f>
        <v>23.85</v>
      </c>
      <c r="G36" s="15">
        <f>F36</f>
        <v>23.85</v>
      </c>
      <c r="H36" s="15">
        <f>G36</f>
        <v>23.85</v>
      </c>
    </row>
    <row r="37" spans="2:8" ht="18" customHeight="1" x14ac:dyDescent="0.2">
      <c r="B37" s="17" t="s">
        <v>198</v>
      </c>
      <c r="C37" s="67">
        <f t="shared" ref="C37:H37" si="0">SUM(C33:C36)</f>
        <v>5918.3200000000006</v>
      </c>
      <c r="D37" s="67">
        <f t="shared" si="0"/>
        <v>34158.541111934559</v>
      </c>
      <c r="E37" s="67">
        <f t="shared" si="0"/>
        <v>35352.447684402265</v>
      </c>
      <c r="F37" s="67">
        <f t="shared" si="0"/>
        <v>36735.471928051389</v>
      </c>
      <c r="G37" s="67">
        <f t="shared" si="0"/>
        <v>38259.699575092593</v>
      </c>
      <c r="H37" s="67">
        <f t="shared" si="0"/>
        <v>39867.182063770415</v>
      </c>
    </row>
    <row r="38" spans="2:8" ht="18" customHeight="1" x14ac:dyDescent="0.2">
      <c r="B38" s="13"/>
      <c r="C38" s="15"/>
      <c r="D38" s="15"/>
      <c r="E38" s="15"/>
      <c r="F38" s="15"/>
      <c r="G38" s="15"/>
      <c r="H38" s="15"/>
    </row>
    <row r="39" spans="2:8" ht="18" customHeight="1" x14ac:dyDescent="0.2">
      <c r="B39" s="13" t="s">
        <v>199</v>
      </c>
      <c r="C39" s="15">
        <v>1071</v>
      </c>
      <c r="D39" s="15">
        <f>C39+'Operating Model'!H67-'Operating Model'!H70</f>
        <v>1106.624630625</v>
      </c>
      <c r="E39" s="15">
        <f>D39+'Operating Model'!I67-'Operating Model'!I70</f>
        <v>1106.624630625</v>
      </c>
      <c r="F39" s="15">
        <f>E39+'Operating Model'!J67-'Operating Model'!J70</f>
        <v>1106.624630625</v>
      </c>
      <c r="G39" s="15">
        <f>F39+'Operating Model'!K67-'Operating Model'!K70</f>
        <v>1106.624630625</v>
      </c>
      <c r="H39" s="15">
        <f>G39+'Operating Model'!L67-'Operating Model'!L70</f>
        <v>1106.624630625</v>
      </c>
    </row>
    <row r="40" spans="2:8" ht="18" customHeight="1" x14ac:dyDescent="0.2">
      <c r="B40" s="13" t="s">
        <v>200</v>
      </c>
      <c r="C40" s="15">
        <v>10823.55</v>
      </c>
      <c r="D40" s="15">
        <f t="shared" ref="D40:H42" si="1">C40</f>
        <v>10823.55</v>
      </c>
      <c r="E40" s="15">
        <f t="shared" si="1"/>
        <v>10823.55</v>
      </c>
      <c r="F40" s="15">
        <f t="shared" si="1"/>
        <v>10823.55</v>
      </c>
      <c r="G40" s="15">
        <f t="shared" si="1"/>
        <v>10823.55</v>
      </c>
      <c r="H40" s="15">
        <f t="shared" si="1"/>
        <v>10823.55</v>
      </c>
    </row>
    <row r="41" spans="2:8" ht="18" customHeight="1" x14ac:dyDescent="0.2">
      <c r="B41" s="13" t="s">
        <v>201</v>
      </c>
      <c r="C41" s="15">
        <v>4957.4799999999996</v>
      </c>
      <c r="D41" s="15">
        <f t="shared" si="1"/>
        <v>4957.4799999999996</v>
      </c>
      <c r="E41" s="15">
        <f t="shared" si="1"/>
        <v>4957.4799999999996</v>
      </c>
      <c r="F41" s="15">
        <f t="shared" si="1"/>
        <v>4957.4799999999996</v>
      </c>
      <c r="G41" s="15">
        <f t="shared" si="1"/>
        <v>4957.4799999999996</v>
      </c>
      <c r="H41" s="15">
        <f t="shared" si="1"/>
        <v>4957.4799999999996</v>
      </c>
    </row>
    <row r="42" spans="2:8" ht="18" customHeight="1" x14ac:dyDescent="0.2">
      <c r="B42" s="13" t="s">
        <v>202</v>
      </c>
      <c r="C42" s="15">
        <v>86.32</v>
      </c>
      <c r="D42" s="15">
        <f t="shared" si="1"/>
        <v>86.32</v>
      </c>
      <c r="E42" s="15">
        <f t="shared" si="1"/>
        <v>86.32</v>
      </c>
      <c r="F42" s="15">
        <f t="shared" si="1"/>
        <v>86.32</v>
      </c>
      <c r="G42" s="15">
        <f t="shared" si="1"/>
        <v>86.32</v>
      </c>
      <c r="H42" s="15">
        <f t="shared" si="1"/>
        <v>86.32</v>
      </c>
    </row>
    <row r="43" spans="2:8" ht="18" customHeight="1" x14ac:dyDescent="0.2">
      <c r="B43" s="17" t="s">
        <v>203</v>
      </c>
      <c r="C43" s="67">
        <f t="shared" ref="C43:H43" si="2">C37+C39+C40+C41+C42</f>
        <v>22856.67</v>
      </c>
      <c r="D43" s="67">
        <f t="shared" si="2"/>
        <v>51132.515742559561</v>
      </c>
      <c r="E43" s="67">
        <f t="shared" si="2"/>
        <v>52326.422315027266</v>
      </c>
      <c r="F43" s="67">
        <f t="shared" si="2"/>
        <v>53709.446558676391</v>
      </c>
      <c r="G43" s="67">
        <f t="shared" si="2"/>
        <v>55233.674205717594</v>
      </c>
      <c r="H43" s="67">
        <f t="shared" si="2"/>
        <v>56841.156694395417</v>
      </c>
    </row>
    <row r="44" spans="2:8" ht="18" customHeight="1" x14ac:dyDescent="0.2">
      <c r="B44" s="13"/>
      <c r="C44" s="15"/>
      <c r="D44" s="15"/>
      <c r="E44" s="15"/>
      <c r="F44" s="15"/>
      <c r="G44" s="15"/>
      <c r="H44" s="15"/>
    </row>
    <row r="45" spans="2:8" ht="18" customHeight="1" x14ac:dyDescent="0.2">
      <c r="B45" s="98" t="s">
        <v>204</v>
      </c>
      <c r="C45" s="96"/>
      <c r="D45" s="96"/>
      <c r="E45" s="96"/>
      <c r="F45" s="96"/>
      <c r="G45" s="96"/>
      <c r="H45" s="96"/>
    </row>
    <row r="46" spans="2:8" ht="18" customHeight="1" x14ac:dyDescent="0.2">
      <c r="B46" s="13" t="s">
        <v>124</v>
      </c>
      <c r="C46" s="15">
        <v>467.92</v>
      </c>
      <c r="D46" s="15">
        <f>'Operating Model'!H54</f>
        <v>521.05659008016585</v>
      </c>
      <c r="E46" s="15">
        <f>'Operating Model'!I54</f>
        <v>580.13682535934777</v>
      </c>
      <c r="F46" s="15">
        <f>'Operating Model'!J54</f>
        <v>645.81827443435213</v>
      </c>
      <c r="G46" s="15">
        <f>'Operating Model'!K54</f>
        <v>705.77136871028961</v>
      </c>
      <c r="H46" s="15">
        <f>'Operating Model'!L54</f>
        <v>746.27908293194866</v>
      </c>
    </row>
    <row r="47" spans="2:8" ht="18" customHeight="1" x14ac:dyDescent="0.2">
      <c r="B47" s="13" t="s">
        <v>205</v>
      </c>
      <c r="C47" s="15">
        <v>88.59</v>
      </c>
      <c r="D47" s="15">
        <f>C47*(1+0.05)</f>
        <v>93.019500000000008</v>
      </c>
      <c r="E47" s="15">
        <f>D47*(1+0.05)</f>
        <v>97.67047500000001</v>
      </c>
      <c r="F47" s="15">
        <f>E47*(1+0.05)</f>
        <v>102.55399875000002</v>
      </c>
      <c r="G47" s="15">
        <f>F47*(1+0.05)</f>
        <v>107.68169868750003</v>
      </c>
      <c r="H47" s="15">
        <f>G47*(1+0.05)</f>
        <v>113.06578362187504</v>
      </c>
    </row>
    <row r="48" spans="2:8" ht="18" customHeight="1" x14ac:dyDescent="0.2">
      <c r="B48" s="13" t="s">
        <v>387</v>
      </c>
      <c r="C48" s="15">
        <v>961.97</v>
      </c>
      <c r="D48" s="15">
        <f>C48</f>
        <v>961.97</v>
      </c>
      <c r="E48" s="15">
        <f>D48</f>
        <v>961.97</v>
      </c>
      <c r="F48" s="15">
        <f>E48</f>
        <v>961.97</v>
      </c>
      <c r="G48" s="15">
        <f>F48</f>
        <v>961.97</v>
      </c>
      <c r="H48" s="15">
        <f>G48</f>
        <v>961.97</v>
      </c>
    </row>
    <row r="49" spans="2:8" ht="18" customHeight="1" x14ac:dyDescent="0.2">
      <c r="B49" s="13" t="s">
        <v>206</v>
      </c>
      <c r="C49" s="15">
        <v>132.88</v>
      </c>
      <c r="D49" s="15">
        <f>'Debt Schedule'!D49</f>
        <v>83.130800000000008</v>
      </c>
      <c r="E49" s="15">
        <f>'Debt Schedule'!E49</f>
        <v>83.130800000000008</v>
      </c>
      <c r="F49" s="15">
        <f>'Debt Schedule'!F49</f>
        <v>82.299491999999987</v>
      </c>
      <c r="G49" s="15">
        <f>'Debt Schedule'!G49</f>
        <v>81.468183999999994</v>
      </c>
      <c r="H49" s="15">
        <f>'Debt Schedule'!H49</f>
        <v>80.645189079999994</v>
      </c>
    </row>
    <row r="50" spans="2:8" ht="18" customHeight="1" x14ac:dyDescent="0.2">
      <c r="B50" s="13" t="s">
        <v>207</v>
      </c>
      <c r="C50" s="15">
        <v>538.34</v>
      </c>
      <c r="D50" s="15">
        <f>-D25</f>
        <v>297.89376154546807</v>
      </c>
      <c r="E50" s="15">
        <f>-E25</f>
        <v>332.46398322147661</v>
      </c>
      <c r="F50" s="15">
        <f>-F25</f>
        <v>380.17189189003159</v>
      </c>
      <c r="G50" s="15">
        <f>-G25</f>
        <v>422.75601207791425</v>
      </c>
      <c r="H50" s="15">
        <f>-H25</f>
        <v>454.479274831937</v>
      </c>
    </row>
    <row r="51" spans="2:8" ht="18" customHeight="1" x14ac:dyDescent="0.2">
      <c r="B51" s="17" t="s">
        <v>208</v>
      </c>
      <c r="C51" s="67">
        <f t="shared" ref="C51:H51" si="3">SUM(C46:C50)</f>
        <v>2189.7000000000003</v>
      </c>
      <c r="D51" s="67">
        <f t="shared" si="3"/>
        <v>1957.0706516256339</v>
      </c>
      <c r="E51" s="67">
        <f t="shared" si="3"/>
        <v>2055.3720835808244</v>
      </c>
      <c r="F51" s="67">
        <f t="shared" si="3"/>
        <v>2172.8136570743836</v>
      </c>
      <c r="G51" s="67">
        <f t="shared" si="3"/>
        <v>2279.6472634757038</v>
      </c>
      <c r="H51" s="67">
        <f t="shared" si="3"/>
        <v>2356.4393304657606</v>
      </c>
    </row>
    <row r="52" spans="2:8" ht="18" customHeight="1" x14ac:dyDescent="0.2">
      <c r="B52" s="98"/>
      <c r="C52" s="96"/>
      <c r="D52" s="96"/>
      <c r="E52" s="96"/>
      <c r="F52" s="96"/>
      <c r="G52" s="96"/>
      <c r="H52" s="96"/>
    </row>
    <row r="53" spans="2:8" ht="18" customHeight="1" x14ac:dyDescent="0.2">
      <c r="B53" s="13" t="s">
        <v>209</v>
      </c>
      <c r="C53" s="15">
        <v>4751.92</v>
      </c>
      <c r="D53" s="15">
        <f>'Debt Schedule'!D46</f>
        <v>11347.354199999998</v>
      </c>
      <c r="E53" s="15">
        <f>'Debt Schedule'!E46</f>
        <v>11264.223399999999</v>
      </c>
      <c r="F53" s="15">
        <f>'Debt Schedule'!F46</f>
        <v>11181.923907999999</v>
      </c>
      <c r="G53" s="15">
        <f>'Debt Schedule'!G46</f>
        <v>11100.455723999999</v>
      </c>
      <c r="H53" s="15">
        <f>'Debt Schedule'!H46</f>
        <v>11019.810534919998</v>
      </c>
    </row>
    <row r="54" spans="2:8" ht="18" customHeight="1" x14ac:dyDescent="0.2">
      <c r="B54" s="13" t="s">
        <v>210</v>
      </c>
      <c r="C54" s="15">
        <v>820</v>
      </c>
      <c r="D54" s="15">
        <f t="shared" ref="D54:H55" si="4">C54</f>
        <v>820</v>
      </c>
      <c r="E54" s="15">
        <f t="shared" si="4"/>
        <v>820</v>
      </c>
      <c r="F54" s="15">
        <f t="shared" si="4"/>
        <v>820</v>
      </c>
      <c r="G54" s="15">
        <f t="shared" si="4"/>
        <v>820</v>
      </c>
      <c r="H54" s="15">
        <f t="shared" si="4"/>
        <v>820</v>
      </c>
    </row>
    <row r="55" spans="2:8" ht="18" customHeight="1" x14ac:dyDescent="0.2">
      <c r="B55" s="13" t="s">
        <v>211</v>
      </c>
      <c r="C55" s="15">
        <v>82.91</v>
      </c>
      <c r="D55" s="15">
        <f t="shared" si="4"/>
        <v>82.91</v>
      </c>
      <c r="E55" s="15">
        <f t="shared" si="4"/>
        <v>82.91</v>
      </c>
      <c r="F55" s="15">
        <f t="shared" si="4"/>
        <v>82.91</v>
      </c>
      <c r="G55" s="15">
        <f t="shared" si="4"/>
        <v>82.91</v>
      </c>
      <c r="H55" s="15">
        <f t="shared" si="4"/>
        <v>82.91</v>
      </c>
    </row>
    <row r="56" spans="2:8" ht="18" customHeight="1" x14ac:dyDescent="0.2">
      <c r="B56" s="17" t="s">
        <v>212</v>
      </c>
      <c r="C56" s="67">
        <f t="shared" ref="C56:H56" si="5">C51+C53+C54+C55</f>
        <v>7844.5300000000007</v>
      </c>
      <c r="D56" s="67">
        <f t="shared" si="5"/>
        <v>14207.334851625632</v>
      </c>
      <c r="E56" s="67">
        <f t="shared" si="5"/>
        <v>14222.505483580822</v>
      </c>
      <c r="F56" s="67">
        <f t="shared" si="5"/>
        <v>14257.647565074381</v>
      </c>
      <c r="G56" s="67">
        <f t="shared" si="5"/>
        <v>14283.012987475704</v>
      </c>
      <c r="H56" s="67">
        <f t="shared" si="5"/>
        <v>14279.159865385758</v>
      </c>
    </row>
    <row r="57" spans="2:8" ht="18" customHeight="1" x14ac:dyDescent="0.2">
      <c r="B57" s="13"/>
      <c r="C57" s="15"/>
      <c r="D57" s="15"/>
      <c r="E57" s="15"/>
      <c r="F57" s="15"/>
      <c r="G57" s="15"/>
      <c r="H57" s="15"/>
    </row>
    <row r="58" spans="2:8" ht="18" customHeight="1" x14ac:dyDescent="0.2">
      <c r="B58" s="98" t="s">
        <v>213</v>
      </c>
      <c r="C58" s="96"/>
      <c r="D58" s="96"/>
      <c r="E58" s="96"/>
      <c r="F58" s="96"/>
      <c r="G58" s="96"/>
      <c r="H58" s="96"/>
    </row>
    <row r="59" spans="2:8" ht="18" customHeight="1" x14ac:dyDescent="0.2">
      <c r="B59" s="13" t="s">
        <v>214</v>
      </c>
      <c r="C59" s="15">
        <v>13502.75</v>
      </c>
      <c r="D59" s="15">
        <f>'Entry Assumptions'!G16</f>
        <v>34359.632100000003</v>
      </c>
      <c r="E59" s="15">
        <f>D59</f>
        <v>34359.632100000003</v>
      </c>
      <c r="F59" s="15">
        <f>E59</f>
        <v>34359.632100000003</v>
      </c>
      <c r="G59" s="15">
        <f>F59</f>
        <v>34359.632100000003</v>
      </c>
      <c r="H59" s="15">
        <f>G59</f>
        <v>34359.632100000003</v>
      </c>
    </row>
    <row r="60" spans="2:8" ht="18" customHeight="1" x14ac:dyDescent="0.2">
      <c r="B60" s="13" t="s">
        <v>215</v>
      </c>
      <c r="C60" s="15">
        <v>5006.32</v>
      </c>
      <c r="D60" s="15">
        <f>C60+D28</f>
        <v>6062.4887909339323</v>
      </c>
      <c r="E60" s="15">
        <f>D60+E28</f>
        <v>7241.2247314464403</v>
      </c>
      <c r="F60" s="15">
        <f>E60+F28</f>
        <v>8589.1068936020074</v>
      </c>
      <c r="G60" s="15">
        <f>F60+G28</f>
        <v>10087.969118241885</v>
      </c>
      <c r="H60" s="15">
        <f>G60+H28</f>
        <v>11699.304729009662</v>
      </c>
    </row>
    <row r="61" spans="2:8" ht="18" customHeight="1" x14ac:dyDescent="0.2">
      <c r="B61" s="98" t="s">
        <v>388</v>
      </c>
      <c r="C61" s="96">
        <v>-3496.94</v>
      </c>
      <c r="D61" s="96">
        <f>C61</f>
        <v>-3496.94</v>
      </c>
      <c r="E61" s="96">
        <f>D61</f>
        <v>-3496.94</v>
      </c>
      <c r="F61" s="96">
        <f>E61</f>
        <v>-3496.94</v>
      </c>
      <c r="G61" s="96">
        <f>F61</f>
        <v>-3496.94</v>
      </c>
      <c r="H61" s="96">
        <f>G61</f>
        <v>-3496.94</v>
      </c>
    </row>
    <row r="62" spans="2:8" ht="18" customHeight="1" x14ac:dyDescent="0.2">
      <c r="B62" s="17" t="s">
        <v>216</v>
      </c>
      <c r="C62" s="67">
        <f>SUM(C59:C61)</f>
        <v>15012.13</v>
      </c>
      <c r="D62" s="67">
        <f>D59+D60+D61</f>
        <v>36925.180890933931</v>
      </c>
      <c r="E62" s="67">
        <f>E59+E60+E61</f>
        <v>38103.91683144644</v>
      </c>
      <c r="F62" s="67">
        <f>F59+F60+F61</f>
        <v>39451.798993602009</v>
      </c>
      <c r="G62" s="67">
        <f>G59+G60+G61</f>
        <v>40950.661218241883</v>
      </c>
      <c r="H62" s="67">
        <f>H59+H60+H61</f>
        <v>42561.996829009659</v>
      </c>
    </row>
    <row r="63" spans="2:8" ht="18" customHeight="1" x14ac:dyDescent="0.2">
      <c r="B63" s="98"/>
      <c r="C63" s="96"/>
      <c r="D63" s="96"/>
      <c r="E63" s="96"/>
      <c r="F63" s="96"/>
      <c r="G63" s="96"/>
      <c r="H63" s="96"/>
    </row>
    <row r="64" spans="2:8" ht="18" customHeight="1" x14ac:dyDescent="0.2">
      <c r="B64" s="17" t="s">
        <v>217</v>
      </c>
      <c r="C64" s="67">
        <f>C62+C56</f>
        <v>22856.66</v>
      </c>
      <c r="D64" s="67">
        <f>D56+D62</f>
        <v>51132.515742559561</v>
      </c>
      <c r="E64" s="67">
        <f>E56+E62</f>
        <v>52326.422315027259</v>
      </c>
      <c r="F64" s="67">
        <f>F56+F62</f>
        <v>53709.446558676391</v>
      </c>
      <c r="G64" s="67">
        <f>G56+G62</f>
        <v>55233.674205717587</v>
      </c>
      <c r="H64" s="67">
        <f>H56+H62</f>
        <v>56841.156694395417</v>
      </c>
    </row>
    <row r="65" spans="2:8" ht="18" customHeight="1" x14ac:dyDescent="0.2">
      <c r="B65" s="99"/>
      <c r="C65" s="97"/>
      <c r="D65" s="97"/>
      <c r="E65" s="97"/>
      <c r="F65" s="97"/>
      <c r="G65" s="97"/>
      <c r="H65" s="97"/>
    </row>
    <row r="66" spans="2:8" ht="18" customHeight="1" x14ac:dyDescent="0.2">
      <c r="B66" s="99" t="s">
        <v>218</v>
      </c>
      <c r="C66" s="97">
        <f>C64-C43</f>
        <v>-9.9999999983992893E-3</v>
      </c>
      <c r="D66" s="97">
        <f>D43-D64</f>
        <v>0</v>
      </c>
      <c r="E66" s="97">
        <f>E43-E64</f>
        <v>0</v>
      </c>
      <c r="F66" s="97">
        <f>F43-F64</f>
        <v>0</v>
      </c>
      <c r="G66" s="97">
        <f>G43-G64</f>
        <v>0</v>
      </c>
      <c r="H66" s="97">
        <f>H43-H64</f>
        <v>0</v>
      </c>
    </row>
    <row r="67" spans="2:8" ht="18" customHeight="1" x14ac:dyDescent="0.2">
      <c r="B67" s="237" t="s">
        <v>219</v>
      </c>
      <c r="C67" s="244"/>
      <c r="D67" s="244"/>
      <c r="E67" s="244"/>
      <c r="F67" s="244"/>
      <c r="G67" s="244"/>
      <c r="H67" s="244"/>
    </row>
    <row r="68" spans="2:8" ht="18" customHeight="1" x14ac:dyDescent="0.2">
      <c r="B68" s="98" t="s">
        <v>220</v>
      </c>
      <c r="C68" s="96"/>
      <c r="D68" s="96"/>
      <c r="E68" s="96"/>
      <c r="F68" s="96"/>
      <c r="G68" s="96"/>
      <c r="H68" s="96"/>
    </row>
    <row r="69" spans="2:8" ht="18" customHeight="1" x14ac:dyDescent="0.2">
      <c r="B69" s="13" t="s">
        <v>192</v>
      </c>
      <c r="C69" s="15"/>
      <c r="D69" s="15">
        <f>D28</f>
        <v>1056.1687909339321</v>
      </c>
      <c r="E69" s="15">
        <f>E28</f>
        <v>1178.735940512508</v>
      </c>
      <c r="F69" s="15">
        <f>F28</f>
        <v>1347.8821621555667</v>
      </c>
      <c r="G69" s="15">
        <f>G28</f>
        <v>1498.8622246398779</v>
      </c>
      <c r="H69" s="15">
        <f>H28</f>
        <v>1611.3356107677769</v>
      </c>
    </row>
    <row r="70" spans="2:8" ht="18" customHeight="1" x14ac:dyDescent="0.2">
      <c r="B70" s="13" t="s">
        <v>134</v>
      </c>
      <c r="C70" s="15"/>
      <c r="D70" s="15">
        <f>D17</f>
        <v>356.24630625000009</v>
      </c>
      <c r="E70" s="15">
        <f>E17</f>
        <v>391.85053275000013</v>
      </c>
      <c r="F70" s="15">
        <f>F17</f>
        <v>387.90974611800004</v>
      </c>
      <c r="G70" s="15">
        <f>G17</f>
        <v>372.37587075432015</v>
      </c>
      <c r="H70" s="15">
        <f>H17</f>
        <v>342.10992737175047</v>
      </c>
    </row>
    <row r="71" spans="2:8" ht="18" customHeight="1" x14ac:dyDescent="0.2">
      <c r="B71" s="13" t="s">
        <v>221</v>
      </c>
      <c r="C71" s="15"/>
      <c r="D71" s="15">
        <f t="shared" ref="D71:H72" si="6">-(D34-C34)</f>
        <v>-154.04315824139508</v>
      </c>
      <c r="E71" s="15">
        <f t="shared" si="6"/>
        <v>-169.42622078439308</v>
      </c>
      <c r="F71" s="15">
        <f t="shared" si="6"/>
        <v>-186.34812925435267</v>
      </c>
      <c r="G71" s="15">
        <f t="shared" si="6"/>
        <v>-163.97659245583554</v>
      </c>
      <c r="H71" s="15">
        <f t="shared" si="6"/>
        <v>-110.67847945632684</v>
      </c>
    </row>
    <row r="72" spans="2:8" ht="18" customHeight="1" x14ac:dyDescent="0.2">
      <c r="B72" s="13" t="s">
        <v>222</v>
      </c>
      <c r="C72" s="15"/>
      <c r="D72" s="15">
        <f t="shared" si="6"/>
        <v>-72.662871356493042</v>
      </c>
      <c r="E72" s="15">
        <f t="shared" si="6"/>
        <v>-93.985421253759796</v>
      </c>
      <c r="F72" s="15">
        <f t="shared" si="6"/>
        <v>-111.32543783797928</v>
      </c>
      <c r="G72" s="15">
        <f t="shared" si="6"/>
        <v>-96.214124900866636</v>
      </c>
      <c r="H72" s="15">
        <f t="shared" si="6"/>
        <v>-66.94541643885691</v>
      </c>
    </row>
    <row r="73" spans="2:8" ht="18" customHeight="1" x14ac:dyDescent="0.2">
      <c r="B73" s="13" t="s">
        <v>223</v>
      </c>
      <c r="C73" s="15"/>
      <c r="D73" s="15">
        <f>D46-C46</f>
        <v>53.136590080165831</v>
      </c>
      <c r="E73" s="15">
        <f>E46-D46</f>
        <v>59.08023527918192</v>
      </c>
      <c r="F73" s="15">
        <f>F46-E46</f>
        <v>65.681449075004366</v>
      </c>
      <c r="G73" s="15">
        <f>G46-F46</f>
        <v>59.953094275937474</v>
      </c>
      <c r="H73" s="15">
        <f>H46-G46</f>
        <v>40.507714221659057</v>
      </c>
    </row>
    <row r="74" spans="2:8" ht="18" customHeight="1" x14ac:dyDescent="0.2">
      <c r="B74" s="13" t="s">
        <v>224</v>
      </c>
      <c r="C74" s="15"/>
      <c r="D74" s="15">
        <f>(D47-C47)+(D50-C50)-(D36-C36)</f>
        <v>-236.01673845453195</v>
      </c>
      <c r="E74" s="15">
        <f>(E47-D47)+(E50-D50)-(E36-D36)</f>
        <v>39.221196676008546</v>
      </c>
      <c r="F74" s="15">
        <f>(F47-E47)+(F50-E50)-(F36-E36)</f>
        <v>52.591432418554987</v>
      </c>
      <c r="G74" s="15">
        <f>(G47-F47)+(G50-F50)-(G36-F36)</f>
        <v>47.711820125382673</v>
      </c>
      <c r="H74" s="15">
        <f>(H47-G47)+(H50-G50)-(H36-G36)</f>
        <v>37.107347688397766</v>
      </c>
    </row>
    <row r="75" spans="2:8" ht="18" customHeight="1" x14ac:dyDescent="0.2">
      <c r="B75" s="17" t="s">
        <v>225</v>
      </c>
      <c r="C75" s="67"/>
      <c r="D75" s="67">
        <f>SUM(D69:D74)</f>
        <v>1002.828919211678</v>
      </c>
      <c r="E75" s="67">
        <f>SUM(E69:E74)</f>
        <v>1405.4762631795459</v>
      </c>
      <c r="F75" s="67">
        <f>SUM(F69:F74)</f>
        <v>1556.3912226747941</v>
      </c>
      <c r="G75" s="67">
        <f>SUM(G69:G74)</f>
        <v>1718.7122924388161</v>
      </c>
      <c r="H75" s="67">
        <f>SUM(H69:H74)</f>
        <v>1853.4367041544003</v>
      </c>
    </row>
    <row r="76" spans="2:8" ht="18" customHeight="1" x14ac:dyDescent="0.2">
      <c r="B76" s="13"/>
      <c r="C76" s="15"/>
      <c r="D76" s="15"/>
      <c r="E76" s="15"/>
      <c r="F76" s="15"/>
      <c r="G76" s="15"/>
      <c r="H76" s="15"/>
    </row>
    <row r="77" spans="2:8" ht="18" customHeight="1" x14ac:dyDescent="0.2">
      <c r="B77" s="98" t="s">
        <v>226</v>
      </c>
      <c r="C77" s="96"/>
      <c r="D77" s="96"/>
      <c r="E77" s="96"/>
      <c r="F77" s="96"/>
      <c r="G77" s="96"/>
      <c r="H77" s="96"/>
    </row>
    <row r="78" spans="2:8" ht="18" customHeight="1" x14ac:dyDescent="0.2">
      <c r="B78" s="13" t="s">
        <v>227</v>
      </c>
      <c r="C78" s="15"/>
      <c r="D78" s="15">
        <f>-'Operating Model'!H67</f>
        <v>-391.87093687500004</v>
      </c>
      <c r="E78" s="15">
        <f>-'Operating Model'!I67</f>
        <v>-391.85053275000013</v>
      </c>
      <c r="F78" s="15">
        <f>-'Operating Model'!J67</f>
        <v>-387.90974611800004</v>
      </c>
      <c r="G78" s="15">
        <f>-'Operating Model'!K67</f>
        <v>-372.37587075432015</v>
      </c>
      <c r="H78" s="15">
        <f>-'Operating Model'!L67</f>
        <v>-342.10992737175047</v>
      </c>
    </row>
    <row r="79" spans="2:8" ht="18" customHeight="1" x14ac:dyDescent="0.2">
      <c r="B79" s="13" t="s">
        <v>228</v>
      </c>
      <c r="C79" s="15"/>
      <c r="D79" s="15">
        <v>0</v>
      </c>
      <c r="E79" s="15">
        <v>0</v>
      </c>
      <c r="F79" s="15">
        <v>0</v>
      </c>
      <c r="G79" s="15">
        <v>0</v>
      </c>
      <c r="H79" s="15">
        <v>0</v>
      </c>
    </row>
    <row r="80" spans="2:8" ht="18" customHeight="1" x14ac:dyDescent="0.2">
      <c r="B80" s="17" t="s">
        <v>229</v>
      </c>
      <c r="C80" s="67"/>
      <c r="D80" s="67">
        <f>D78+D79</f>
        <v>-391.87093687500004</v>
      </c>
      <c r="E80" s="67">
        <f>E78+E79</f>
        <v>-391.85053275000013</v>
      </c>
      <c r="F80" s="67">
        <f>F78+F79</f>
        <v>-387.90974611800004</v>
      </c>
      <c r="G80" s="67">
        <f>G78+G79</f>
        <v>-372.37587075432015</v>
      </c>
      <c r="H80" s="67">
        <f>H78+H79</f>
        <v>-342.10992737175047</v>
      </c>
    </row>
    <row r="81" spans="2:8" ht="18" customHeight="1" x14ac:dyDescent="0.2">
      <c r="B81" s="13"/>
      <c r="C81" s="15"/>
      <c r="D81" s="15"/>
      <c r="E81" s="15"/>
      <c r="F81" s="15"/>
      <c r="G81" s="15"/>
      <c r="H81" s="15"/>
    </row>
    <row r="82" spans="2:8" ht="18" customHeight="1" x14ac:dyDescent="0.2">
      <c r="B82" s="98" t="s">
        <v>230</v>
      </c>
      <c r="C82" s="96"/>
      <c r="D82" s="96"/>
      <c r="E82" s="96"/>
      <c r="F82" s="96"/>
      <c r="G82" s="96"/>
      <c r="H82" s="96"/>
    </row>
    <row r="83" spans="2:8" ht="18" customHeight="1" x14ac:dyDescent="0.2">
      <c r="B83" s="13" t="s">
        <v>231</v>
      </c>
      <c r="C83" s="15"/>
      <c r="D83" s="15">
        <f>'Debt Schedule'!D46-C53+'Debt Schedule'!D49-C49</f>
        <v>6545.6849999999977</v>
      </c>
      <c r="E83" s="15">
        <f>'Debt Schedule'!E46-'Debt Schedule'!D46+'Debt Schedule'!E49-'Debt Schedule'!D49</f>
        <v>-83.130799999998999</v>
      </c>
      <c r="F83" s="15">
        <f>'Debt Schedule'!F46-'Debt Schedule'!E46+'Debt Schedule'!F49-'Debt Schedule'!E49</f>
        <v>-83.130800000000121</v>
      </c>
      <c r="G83" s="15">
        <f>'Debt Schedule'!G46-'Debt Schedule'!F46+'Debt Schedule'!G49-'Debt Schedule'!F49</f>
        <v>-82.299491999999375</v>
      </c>
      <c r="H83" s="15">
        <f>'Debt Schedule'!H46-'Debt Schedule'!G46+'Debt Schedule'!H49-'Debt Schedule'!G49</f>
        <v>-81.468184000001727</v>
      </c>
    </row>
    <row r="84" spans="2:8" ht="18" customHeight="1" x14ac:dyDescent="0.2">
      <c r="B84" s="13" t="s">
        <v>232</v>
      </c>
      <c r="C84" s="15"/>
      <c r="D84" s="15">
        <f>D59-C59</f>
        <v>20856.882100000003</v>
      </c>
      <c r="E84" s="15">
        <f>0</f>
        <v>0</v>
      </c>
      <c r="F84" s="15">
        <f>0</f>
        <v>0</v>
      </c>
      <c r="G84" s="15">
        <f>0</f>
        <v>0</v>
      </c>
      <c r="H84" s="15">
        <f>0</f>
        <v>0</v>
      </c>
    </row>
    <row r="85" spans="2:8" ht="18" customHeight="1" x14ac:dyDescent="0.2">
      <c r="B85" s="13" t="s">
        <v>233</v>
      </c>
      <c r="C85" s="15"/>
      <c r="D85" s="15">
        <v>0</v>
      </c>
      <c r="E85" s="15">
        <v>0</v>
      </c>
      <c r="F85" s="15">
        <v>0</v>
      </c>
      <c r="G85" s="15">
        <v>0</v>
      </c>
      <c r="H85" s="15">
        <v>0</v>
      </c>
    </row>
    <row r="86" spans="2:8" ht="18" customHeight="1" x14ac:dyDescent="0.2">
      <c r="B86" s="17" t="s">
        <v>234</v>
      </c>
      <c r="C86" s="67"/>
      <c r="D86" s="67">
        <f>D83+D84+D85</f>
        <v>27402.5671</v>
      </c>
      <c r="E86" s="67">
        <f>E83+E84+E85</f>
        <v>-83.130799999998999</v>
      </c>
      <c r="F86" s="67">
        <f>F83+F84+F85</f>
        <v>-83.130800000000121</v>
      </c>
      <c r="G86" s="67">
        <f>G83+G84+G85</f>
        <v>-82.299491999999375</v>
      </c>
      <c r="H86" s="67">
        <f>H83+H84+H85</f>
        <v>-81.468184000001727</v>
      </c>
    </row>
    <row r="87" spans="2:8" ht="18" customHeight="1" x14ac:dyDescent="0.2">
      <c r="B87" s="13"/>
      <c r="C87" s="15"/>
      <c r="D87" s="15"/>
      <c r="E87" s="15"/>
      <c r="F87" s="15"/>
      <c r="G87" s="15"/>
      <c r="H87" s="15"/>
    </row>
    <row r="88" spans="2:8" ht="18" customHeight="1" x14ac:dyDescent="0.2">
      <c r="B88" s="98" t="s">
        <v>235</v>
      </c>
      <c r="C88" s="96"/>
      <c r="D88" s="96">
        <f>D75+D80+D86</f>
        <v>28013.525082336677</v>
      </c>
      <c r="E88" s="96">
        <f>E75+E80+E86</f>
        <v>930.49493042954668</v>
      </c>
      <c r="F88" s="96">
        <f>F75+F80+F86</f>
        <v>1085.3506765567938</v>
      </c>
      <c r="G88" s="96">
        <f>G75+G80+G86</f>
        <v>1264.0369296844965</v>
      </c>
      <c r="H88" s="96">
        <f>H75+H80+H86</f>
        <v>1429.8585927826482</v>
      </c>
    </row>
    <row r="89" spans="2:8" ht="18" customHeight="1" x14ac:dyDescent="0.2">
      <c r="B89" s="13" t="s">
        <v>236</v>
      </c>
      <c r="C89" s="15"/>
      <c r="D89" s="15">
        <f>C33</f>
        <v>3361.78</v>
      </c>
      <c r="E89" s="15">
        <f>D90</f>
        <v>31375.295082336674</v>
      </c>
      <c r="F89" s="15">
        <f>E90</f>
        <v>32305.790012766221</v>
      </c>
      <c r="G89" s="15">
        <f>F90</f>
        <v>33391.140689323016</v>
      </c>
      <c r="H89" s="15">
        <f>G90</f>
        <v>34655.177619007518</v>
      </c>
    </row>
    <row r="90" spans="2:8" ht="18" customHeight="1" x14ac:dyDescent="0.2">
      <c r="B90" s="17" t="s">
        <v>237</v>
      </c>
      <c r="C90" s="67"/>
      <c r="D90" s="67">
        <f>D33</f>
        <v>31375.295082336674</v>
      </c>
      <c r="E90" s="67">
        <f>E33</f>
        <v>32305.790012766221</v>
      </c>
      <c r="F90" s="67">
        <f>F33</f>
        <v>33391.140689323016</v>
      </c>
      <c r="G90" s="67">
        <f>G33</f>
        <v>34655.177619007518</v>
      </c>
      <c r="H90" s="67">
        <f>H33</f>
        <v>36085.03621179016</v>
      </c>
    </row>
    <row r="91" spans="2:8" ht="18" customHeight="1" x14ac:dyDescent="0.2">
      <c r="B91" s="13"/>
      <c r="C91" s="15"/>
      <c r="D91" s="15"/>
      <c r="E91" s="15"/>
      <c r="F91" s="15"/>
      <c r="G91" s="15"/>
      <c r="H91" s="15"/>
    </row>
    <row r="92" spans="2:8" ht="18" customHeight="1" x14ac:dyDescent="0.2">
      <c r="B92" s="99" t="s">
        <v>238</v>
      </c>
      <c r="C92" s="97"/>
      <c r="D92" s="97">
        <f>D90-D33</f>
        <v>0</v>
      </c>
      <c r="E92" s="97">
        <f>E90-E33</f>
        <v>0</v>
      </c>
      <c r="F92" s="97">
        <f>F90-F33</f>
        <v>0</v>
      </c>
      <c r="G92" s="97">
        <f>G90-G33</f>
        <v>0</v>
      </c>
      <c r="H92" s="97">
        <f>H90-H33</f>
        <v>0</v>
      </c>
    </row>
  </sheetData>
  <mergeCells count="3">
    <mergeCell ref="B7:H7"/>
    <mergeCell ref="B31:H31"/>
    <mergeCell ref="B67:H6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748D2-7186-A74E-9E7E-5D12EE67C309}">
  <dimension ref="B1:I58"/>
  <sheetViews>
    <sheetView topLeftCell="A29" workbookViewId="0">
      <selection activeCell="L20" sqref="L20"/>
    </sheetView>
  </sheetViews>
  <sheetFormatPr baseColWidth="10" defaultRowHeight="16" x14ac:dyDescent="0.2"/>
  <cols>
    <col min="1" max="1" width="3.5" style="1" customWidth="1"/>
    <col min="2" max="2" width="40.83203125" style="1" customWidth="1"/>
    <col min="3" max="3" width="14" style="1" customWidth="1"/>
    <col min="4" max="9" width="15.1640625" style="1" customWidth="1"/>
    <col min="10" max="16384" width="10.83203125" style="1"/>
  </cols>
  <sheetData>
    <row r="1" spans="2:9" ht="4" customHeight="1" x14ac:dyDescent="0.2">
      <c r="B1" s="6"/>
      <c r="C1" s="6"/>
      <c r="D1" s="6"/>
      <c r="E1" s="6"/>
      <c r="F1" s="6"/>
      <c r="G1" s="6"/>
      <c r="H1" s="6"/>
      <c r="I1" s="6"/>
    </row>
    <row r="2" spans="2:9" ht="28" customHeight="1" x14ac:dyDescent="0.35">
      <c r="B2" s="7" t="s">
        <v>146</v>
      </c>
    </row>
    <row r="3" spans="2:9" ht="17" x14ac:dyDescent="0.25">
      <c r="B3" s="8" t="s">
        <v>147</v>
      </c>
    </row>
    <row r="4" spans="2:9" ht="17" thickBot="1" x14ac:dyDescent="0.25">
      <c r="B4" s="9"/>
      <c r="C4" s="9"/>
    </row>
    <row r="5" spans="2:9" ht="22" customHeight="1" thickTop="1" x14ac:dyDescent="0.2">
      <c r="B5" s="61"/>
      <c r="C5" s="61" t="s">
        <v>148</v>
      </c>
      <c r="D5" s="61" t="s">
        <v>149</v>
      </c>
      <c r="E5" s="61" t="s">
        <v>150</v>
      </c>
      <c r="F5" s="61" t="s">
        <v>151</v>
      </c>
      <c r="G5" s="61" t="s">
        <v>152</v>
      </c>
      <c r="H5" s="61" t="s">
        <v>153</v>
      </c>
      <c r="I5" s="61" t="s">
        <v>154</v>
      </c>
    </row>
    <row r="6" spans="2:9" ht="18" customHeight="1" x14ac:dyDescent="0.2"/>
    <row r="7" spans="2:9" ht="18" customHeight="1" x14ac:dyDescent="0.2">
      <c r="B7" s="237" t="s">
        <v>155</v>
      </c>
      <c r="C7" s="244"/>
      <c r="D7" s="244"/>
      <c r="E7" s="244"/>
      <c r="F7" s="244"/>
      <c r="G7" s="244"/>
      <c r="H7" s="244"/>
      <c r="I7" s="244"/>
    </row>
    <row r="8" spans="2:9" ht="18" customHeight="1" x14ac:dyDescent="0.2">
      <c r="B8" s="13" t="s">
        <v>156</v>
      </c>
      <c r="C8" s="15"/>
      <c r="D8" s="15"/>
      <c r="E8" s="15"/>
      <c r="F8" s="15"/>
      <c r="G8" s="15"/>
      <c r="H8" s="15"/>
      <c r="I8" s="15"/>
    </row>
    <row r="9" spans="2:9" ht="18" customHeight="1" x14ac:dyDescent="0.2">
      <c r="B9" s="13" t="s">
        <v>157</v>
      </c>
      <c r="C9" s="15"/>
      <c r="D9" s="15"/>
      <c r="E9" s="15"/>
      <c r="F9" s="15"/>
      <c r="G9" s="15"/>
      <c r="H9" s="15"/>
      <c r="I9" s="15"/>
    </row>
    <row r="10" spans="2:9" ht="18" customHeight="1" x14ac:dyDescent="0.2">
      <c r="B10" s="13" t="s">
        <v>158</v>
      </c>
      <c r="C10" s="15"/>
      <c r="D10" s="15"/>
      <c r="E10" s="15"/>
      <c r="F10" s="15"/>
      <c r="G10" s="15"/>
      <c r="H10" s="15"/>
      <c r="I10" s="15"/>
    </row>
    <row r="11" spans="2:9" ht="18" customHeight="1" x14ac:dyDescent="0.2">
      <c r="B11" s="17" t="s">
        <v>159</v>
      </c>
      <c r="C11" s="67"/>
      <c r="D11" s="67"/>
      <c r="E11" s="67"/>
      <c r="F11" s="67"/>
      <c r="G11" s="67"/>
      <c r="H11" s="67"/>
      <c r="I11" s="67"/>
    </row>
    <row r="12" spans="2:9" ht="18" customHeight="1" x14ac:dyDescent="0.2">
      <c r="B12" s="13"/>
      <c r="C12" s="15"/>
      <c r="D12" s="15"/>
      <c r="E12" s="15"/>
      <c r="F12" s="15"/>
      <c r="G12" s="15"/>
      <c r="H12" s="15"/>
      <c r="I12" s="15"/>
    </row>
    <row r="13" spans="2:9" ht="18" customHeight="1" x14ac:dyDescent="0.2">
      <c r="B13" s="13" t="s">
        <v>160</v>
      </c>
      <c r="C13" s="94"/>
      <c r="D13" s="94"/>
      <c r="E13" s="94"/>
      <c r="F13" s="94"/>
      <c r="G13" s="94"/>
      <c r="H13" s="94"/>
      <c r="I13" s="94"/>
    </row>
    <row r="14" spans="2:9" ht="18" customHeight="1" x14ac:dyDescent="0.2">
      <c r="B14" s="13" t="s">
        <v>161</v>
      </c>
      <c r="C14" s="15"/>
      <c r="D14" s="15"/>
      <c r="E14" s="15"/>
      <c r="F14" s="15"/>
      <c r="G14" s="15"/>
      <c r="H14" s="15"/>
      <c r="I14" s="15"/>
    </row>
    <row r="15" spans="2:9" ht="18" customHeight="1" x14ac:dyDescent="0.2">
      <c r="B15" s="13" t="s">
        <v>162</v>
      </c>
      <c r="C15" s="94"/>
      <c r="D15" s="94"/>
      <c r="E15" s="94"/>
      <c r="F15" s="94"/>
      <c r="G15" s="94"/>
      <c r="H15" s="94"/>
      <c r="I15" s="94"/>
    </row>
    <row r="16" spans="2:9" ht="18" customHeight="1" x14ac:dyDescent="0.2">
      <c r="B16" s="13" t="s">
        <v>48</v>
      </c>
      <c r="C16" s="15"/>
      <c r="D16" s="15"/>
      <c r="E16" s="15"/>
      <c r="F16" s="15"/>
      <c r="G16" s="15"/>
      <c r="H16" s="15"/>
      <c r="I16" s="15"/>
    </row>
    <row r="17" spans="2:9" ht="18" customHeight="1" x14ac:dyDescent="0.2">
      <c r="B17" s="63"/>
      <c r="C17" s="15"/>
      <c r="D17" s="15"/>
      <c r="E17" s="15"/>
      <c r="F17" s="15"/>
      <c r="G17" s="15"/>
      <c r="H17" s="15"/>
      <c r="I17" s="15"/>
    </row>
    <row r="18" spans="2:9" ht="18" customHeight="1" x14ac:dyDescent="0.2">
      <c r="B18" s="237" t="s">
        <v>163</v>
      </c>
      <c r="C18" s="244"/>
      <c r="D18" s="244"/>
      <c r="E18" s="244"/>
      <c r="F18" s="244"/>
      <c r="G18" s="244"/>
      <c r="H18" s="244"/>
      <c r="I18" s="244"/>
    </row>
    <row r="19" spans="2:9" ht="18" customHeight="1" x14ac:dyDescent="0.2">
      <c r="B19" s="13" t="s">
        <v>157</v>
      </c>
      <c r="C19" s="15"/>
      <c r="D19" s="15"/>
      <c r="E19" s="15"/>
      <c r="F19" s="15"/>
      <c r="G19" s="15"/>
      <c r="H19" s="15"/>
      <c r="I19" s="15"/>
    </row>
    <row r="20" spans="2:9" ht="18" customHeight="1" x14ac:dyDescent="0.2">
      <c r="B20" s="13" t="s">
        <v>164</v>
      </c>
      <c r="C20" s="15"/>
      <c r="D20" s="15"/>
      <c r="E20" s="15"/>
      <c r="F20" s="15"/>
      <c r="G20" s="15"/>
      <c r="H20" s="15"/>
      <c r="I20" s="15"/>
    </row>
    <row r="21" spans="2:9" ht="18" customHeight="1" x14ac:dyDescent="0.2">
      <c r="B21" s="13" t="s">
        <v>165</v>
      </c>
      <c r="C21" s="15"/>
      <c r="D21" s="15"/>
      <c r="E21" s="15"/>
      <c r="F21" s="15"/>
      <c r="G21" s="15"/>
      <c r="H21" s="15"/>
      <c r="I21" s="15"/>
    </row>
    <row r="22" spans="2:9" ht="18" customHeight="1" x14ac:dyDescent="0.2">
      <c r="B22" s="17" t="s">
        <v>159</v>
      </c>
      <c r="C22" s="67"/>
      <c r="D22" s="67"/>
      <c r="E22" s="67"/>
      <c r="F22" s="67"/>
      <c r="G22" s="67"/>
      <c r="H22" s="67"/>
      <c r="I22" s="67"/>
    </row>
    <row r="23" spans="2:9" ht="18" customHeight="1" x14ac:dyDescent="0.2">
      <c r="B23" s="13"/>
      <c r="C23" s="15"/>
      <c r="D23" s="15"/>
      <c r="E23" s="15"/>
      <c r="F23" s="15"/>
      <c r="G23" s="15"/>
      <c r="H23" s="15"/>
      <c r="I23" s="15"/>
    </row>
    <row r="24" spans="2:9" ht="18" customHeight="1" x14ac:dyDescent="0.2">
      <c r="B24" s="13" t="s">
        <v>160</v>
      </c>
      <c r="C24" s="94"/>
      <c r="D24" s="94"/>
      <c r="E24" s="94"/>
      <c r="F24" s="94"/>
      <c r="G24" s="94"/>
      <c r="H24" s="94"/>
      <c r="I24" s="94"/>
    </row>
    <row r="25" spans="2:9" ht="18" customHeight="1" x14ac:dyDescent="0.2">
      <c r="B25" s="13" t="s">
        <v>161</v>
      </c>
      <c r="C25" s="15"/>
      <c r="D25" s="15"/>
      <c r="E25" s="15"/>
      <c r="F25" s="15"/>
      <c r="G25" s="15"/>
      <c r="H25" s="15"/>
      <c r="I25" s="15"/>
    </row>
    <row r="26" spans="2:9" ht="18" customHeight="1" x14ac:dyDescent="0.2">
      <c r="B26" s="63"/>
      <c r="C26" s="15"/>
      <c r="D26" s="15"/>
      <c r="E26" s="15"/>
      <c r="F26" s="15"/>
      <c r="G26" s="15"/>
      <c r="H26" s="15"/>
      <c r="I26" s="15"/>
    </row>
    <row r="27" spans="2:9" ht="18" customHeight="1" x14ac:dyDescent="0.2">
      <c r="B27" s="237" t="s">
        <v>166</v>
      </c>
      <c r="C27" s="244"/>
      <c r="D27" s="244"/>
      <c r="E27" s="244"/>
      <c r="F27" s="244"/>
      <c r="G27" s="244"/>
      <c r="H27" s="244"/>
      <c r="I27" s="244"/>
    </row>
    <row r="28" spans="2:9" ht="18" customHeight="1" x14ac:dyDescent="0.2">
      <c r="B28" s="13" t="s">
        <v>157</v>
      </c>
      <c r="C28" s="15">
        <f>'Entry Assumptions'!G24</f>
        <v>8313.08</v>
      </c>
      <c r="D28" s="15">
        <f>C31</f>
        <v>8313.08</v>
      </c>
      <c r="E28" s="15">
        <f>D31</f>
        <v>8229.9491999999991</v>
      </c>
      <c r="F28" s="15">
        <f>E31</f>
        <v>8146.8183999999992</v>
      </c>
      <c r="G28" s="15">
        <f>F31</f>
        <v>8064.5189079999991</v>
      </c>
      <c r="H28" s="15">
        <f>G31</f>
        <v>7983.0507239999988</v>
      </c>
      <c r="I28" s="15"/>
    </row>
    <row r="29" spans="2:9" ht="18" customHeight="1" x14ac:dyDescent="0.2">
      <c r="B29" s="13" t="s">
        <v>167</v>
      </c>
      <c r="C29" s="15">
        <v>0</v>
      </c>
      <c r="D29" s="15">
        <f>-C28*0.01</f>
        <v>-83.130800000000008</v>
      </c>
      <c r="E29" s="15">
        <f>-D28*0.01</f>
        <v>-83.130800000000008</v>
      </c>
      <c r="F29" s="15">
        <f>-E28*0.01</f>
        <v>-82.299491999999987</v>
      </c>
      <c r="G29" s="15">
        <f>-F28*0.01</f>
        <v>-81.468183999999994</v>
      </c>
      <c r="H29" s="15">
        <f>-G28*0.01</f>
        <v>-80.645189079999994</v>
      </c>
      <c r="I29" s="15"/>
    </row>
    <row r="30" spans="2:9" ht="18" customHeight="1" x14ac:dyDescent="0.2">
      <c r="B30" s="13" t="s">
        <v>165</v>
      </c>
      <c r="C30" s="15">
        <v>0</v>
      </c>
      <c r="D30" s="15">
        <f>0</f>
        <v>0</v>
      </c>
      <c r="E30" s="15">
        <f>0</f>
        <v>0</v>
      </c>
      <c r="F30" s="15">
        <f>0</f>
        <v>0</v>
      </c>
      <c r="G30" s="15">
        <f>0</f>
        <v>0</v>
      </c>
      <c r="H30" s="15">
        <f>0</f>
        <v>0</v>
      </c>
      <c r="I30" s="15"/>
    </row>
    <row r="31" spans="2:9" ht="18" customHeight="1" x14ac:dyDescent="0.2">
      <c r="B31" s="17" t="s">
        <v>159</v>
      </c>
      <c r="C31" s="67">
        <f>C28</f>
        <v>8313.08</v>
      </c>
      <c r="D31" s="67">
        <f>D28+D29+D30</f>
        <v>8229.9491999999991</v>
      </c>
      <c r="E31" s="67">
        <f>E28+E29+E30</f>
        <v>8146.8183999999992</v>
      </c>
      <c r="F31" s="67">
        <f>F28+F29+F30</f>
        <v>8064.5189079999991</v>
      </c>
      <c r="G31" s="67">
        <f>G28+G29+G30</f>
        <v>7983.0507239999988</v>
      </c>
      <c r="H31" s="67">
        <f>H28+H29+H30</f>
        <v>7902.4055349199989</v>
      </c>
      <c r="I31" s="67"/>
    </row>
    <row r="32" spans="2:9" ht="18" customHeight="1" x14ac:dyDescent="0.2">
      <c r="B32" s="13"/>
      <c r="C32" s="15"/>
      <c r="D32" s="15"/>
      <c r="E32" s="15"/>
      <c r="F32" s="15"/>
      <c r="G32" s="15"/>
      <c r="H32" s="15"/>
      <c r="I32" s="15"/>
    </row>
    <row r="33" spans="2:9" ht="18" customHeight="1" x14ac:dyDescent="0.2">
      <c r="B33" s="13" t="s">
        <v>160</v>
      </c>
      <c r="C33" s="94">
        <f>'Entry Assumptions'!H24</f>
        <v>7.4099999999999999E-2</v>
      </c>
      <c r="D33" s="94">
        <f>C33</f>
        <v>7.4099999999999999E-2</v>
      </c>
      <c r="E33" s="94">
        <f>D33</f>
        <v>7.4099999999999999E-2</v>
      </c>
      <c r="F33" s="94">
        <f>E33</f>
        <v>7.4099999999999999E-2</v>
      </c>
      <c r="G33" s="94">
        <f>F33</f>
        <v>7.4099999999999999E-2</v>
      </c>
      <c r="H33" s="94">
        <f>G33</f>
        <v>7.4099999999999999E-2</v>
      </c>
      <c r="I33" s="94"/>
    </row>
    <row r="34" spans="2:9" ht="18" customHeight="1" x14ac:dyDescent="0.2">
      <c r="B34" s="13" t="s">
        <v>161</v>
      </c>
      <c r="C34" s="15">
        <v>0</v>
      </c>
      <c r="D34" s="15">
        <f>(C31+D31)/2*D33</f>
        <v>612.91923185999985</v>
      </c>
      <c r="E34" s="15">
        <f>(D31+E31)/2*E33</f>
        <v>606.75923957999998</v>
      </c>
      <c r="F34" s="15">
        <f>(E31+F31)/2*F33</f>
        <v>600.63004726139991</v>
      </c>
      <c r="G34" s="15">
        <f>(F31+G31)/2*G33</f>
        <v>594.56245486559999</v>
      </c>
      <c r="H34" s="15">
        <f>(G31+H31)/2*H33</f>
        <v>588.55615439298595</v>
      </c>
      <c r="I34" s="15"/>
    </row>
    <row r="35" spans="2:9" ht="18" customHeight="1" x14ac:dyDescent="0.2">
      <c r="B35" s="63"/>
      <c r="C35" s="15"/>
      <c r="D35" s="15"/>
      <c r="E35" s="15"/>
      <c r="F35" s="15"/>
      <c r="G35" s="15"/>
      <c r="H35" s="15"/>
      <c r="I35" s="15"/>
    </row>
    <row r="36" spans="2:9" ht="18" customHeight="1" x14ac:dyDescent="0.2">
      <c r="B36" s="237" t="s">
        <v>168</v>
      </c>
      <c r="C36" s="244"/>
      <c r="D36" s="244"/>
      <c r="E36" s="244"/>
      <c r="F36" s="244"/>
      <c r="G36" s="244"/>
      <c r="H36" s="244"/>
      <c r="I36" s="244"/>
    </row>
    <row r="37" spans="2:9" ht="18" customHeight="1" x14ac:dyDescent="0.2">
      <c r="B37" s="13" t="s">
        <v>157</v>
      </c>
      <c r="C37" s="15">
        <f>'Entry Assumptions'!G25</f>
        <v>3117.4049999999997</v>
      </c>
      <c r="D37" s="15">
        <f>C39</f>
        <v>3117.4049999999997</v>
      </c>
      <c r="E37" s="15">
        <f>D39</f>
        <v>3117.4049999999997</v>
      </c>
      <c r="F37" s="15">
        <f>E39</f>
        <v>3117.4049999999997</v>
      </c>
      <c r="G37" s="15">
        <f>F39</f>
        <v>3117.4049999999997</v>
      </c>
      <c r="H37" s="15">
        <f>G39</f>
        <v>3117.4049999999997</v>
      </c>
      <c r="I37" s="15"/>
    </row>
    <row r="38" spans="2:9" ht="18" customHeight="1" x14ac:dyDescent="0.2">
      <c r="B38" s="13" t="s">
        <v>169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/>
    </row>
    <row r="39" spans="2:9" ht="18" customHeight="1" x14ac:dyDescent="0.2">
      <c r="B39" s="17" t="s">
        <v>159</v>
      </c>
      <c r="C39" s="67">
        <f>C37</f>
        <v>3117.4049999999997</v>
      </c>
      <c r="D39" s="67">
        <f>D37+D38</f>
        <v>3117.4049999999997</v>
      </c>
      <c r="E39" s="67">
        <f>E37+E38</f>
        <v>3117.4049999999997</v>
      </c>
      <c r="F39" s="67">
        <f>F37+F38</f>
        <v>3117.4049999999997</v>
      </c>
      <c r="G39" s="67">
        <f>G37+G38</f>
        <v>3117.4049999999997</v>
      </c>
      <c r="H39" s="67">
        <f>H37+H38</f>
        <v>3117.4049999999997</v>
      </c>
      <c r="I39" s="67"/>
    </row>
    <row r="40" spans="2:9" ht="18" customHeight="1" x14ac:dyDescent="0.2">
      <c r="B40" s="13"/>
      <c r="C40" s="15"/>
      <c r="D40" s="15"/>
      <c r="E40" s="15"/>
      <c r="F40" s="15"/>
      <c r="G40" s="15"/>
      <c r="H40" s="15"/>
      <c r="I40" s="15"/>
    </row>
    <row r="41" spans="2:9" ht="18" customHeight="1" x14ac:dyDescent="0.2">
      <c r="B41" s="13" t="s">
        <v>170</v>
      </c>
      <c r="C41" s="94">
        <f>'Entry Assumptions'!H25</f>
        <v>0.08</v>
      </c>
      <c r="D41" s="94">
        <f>C41</f>
        <v>0.08</v>
      </c>
      <c r="E41" s="94">
        <f>D41</f>
        <v>0.08</v>
      </c>
      <c r="F41" s="94">
        <f>E41</f>
        <v>0.08</v>
      </c>
      <c r="G41" s="94">
        <f>F41</f>
        <v>0.08</v>
      </c>
      <c r="H41" s="94">
        <f>G41</f>
        <v>0.08</v>
      </c>
      <c r="I41" s="94"/>
    </row>
    <row r="42" spans="2:9" ht="18" customHeight="1" x14ac:dyDescent="0.2">
      <c r="B42" s="13" t="s">
        <v>161</v>
      </c>
      <c r="C42" s="15">
        <v>0</v>
      </c>
      <c r="D42" s="15">
        <f>(C39+D39)/2*D41</f>
        <v>249.39239999999998</v>
      </c>
      <c r="E42" s="15">
        <f>(D39+E39)/2*E41</f>
        <v>249.39239999999998</v>
      </c>
      <c r="F42" s="15">
        <f>(E39+F39)/2*F41</f>
        <v>249.39239999999998</v>
      </c>
      <c r="G42" s="15">
        <f>(F39+G39)/2*G41</f>
        <v>249.39239999999998</v>
      </c>
      <c r="H42" s="15">
        <f>(G39+H39)/2*H41</f>
        <v>249.39239999999998</v>
      </c>
      <c r="I42" s="15"/>
    </row>
    <row r="43" spans="2:9" ht="18" customHeight="1" x14ac:dyDescent="0.2">
      <c r="B43" s="63"/>
      <c r="C43" s="15"/>
      <c r="D43" s="15"/>
      <c r="E43" s="15"/>
      <c r="F43" s="15"/>
      <c r="G43" s="15"/>
      <c r="H43" s="15"/>
      <c r="I43" s="15"/>
    </row>
    <row r="44" spans="2:9" ht="18" customHeight="1" x14ac:dyDescent="0.2">
      <c r="B44" s="237" t="s">
        <v>171</v>
      </c>
      <c r="C44" s="244"/>
      <c r="D44" s="244"/>
      <c r="E44" s="244"/>
      <c r="F44" s="244"/>
      <c r="G44" s="244"/>
      <c r="H44" s="244"/>
      <c r="I44" s="244"/>
    </row>
    <row r="45" spans="2:9" ht="18" customHeight="1" x14ac:dyDescent="0.2">
      <c r="B45" s="17" t="s">
        <v>172</v>
      </c>
      <c r="C45" s="67">
        <f t="shared" ref="C45:H45" si="0">C28+C37</f>
        <v>11430.485000000001</v>
      </c>
      <c r="D45" s="67">
        <f t="shared" si="0"/>
        <v>11430.485000000001</v>
      </c>
      <c r="E45" s="67">
        <f t="shared" si="0"/>
        <v>11347.354199999998</v>
      </c>
      <c r="F45" s="67">
        <f t="shared" si="0"/>
        <v>11264.223399999999</v>
      </c>
      <c r="G45" s="67">
        <f t="shared" si="0"/>
        <v>11181.923907999999</v>
      </c>
      <c r="H45" s="67">
        <f t="shared" si="0"/>
        <v>11100.455723999999</v>
      </c>
      <c r="I45" s="67"/>
    </row>
    <row r="46" spans="2:9" ht="18" customHeight="1" x14ac:dyDescent="0.2">
      <c r="B46" s="17" t="s">
        <v>173</v>
      </c>
      <c r="C46" s="67">
        <f t="shared" ref="C46:H46" si="1">C31+C39</f>
        <v>11430.485000000001</v>
      </c>
      <c r="D46" s="67">
        <f t="shared" si="1"/>
        <v>11347.354199999998</v>
      </c>
      <c r="E46" s="67">
        <f t="shared" si="1"/>
        <v>11264.223399999999</v>
      </c>
      <c r="F46" s="67">
        <f t="shared" si="1"/>
        <v>11181.923907999999</v>
      </c>
      <c r="G46" s="67">
        <f t="shared" si="1"/>
        <v>11100.455723999999</v>
      </c>
      <c r="H46" s="67">
        <f t="shared" si="1"/>
        <v>11019.810534919998</v>
      </c>
      <c r="I46" s="67"/>
    </row>
    <row r="47" spans="2:9" ht="18" customHeight="1" x14ac:dyDescent="0.2">
      <c r="B47" s="13"/>
      <c r="C47" s="15"/>
      <c r="D47" s="15"/>
      <c r="E47" s="15"/>
      <c r="F47" s="15"/>
      <c r="G47" s="15"/>
      <c r="H47" s="15"/>
      <c r="I47" s="15"/>
    </row>
    <row r="48" spans="2:9" ht="18" customHeight="1" x14ac:dyDescent="0.2">
      <c r="B48" s="17" t="s">
        <v>174</v>
      </c>
      <c r="C48" s="67"/>
      <c r="D48" s="67">
        <f>D34+D42</f>
        <v>862.31163185999981</v>
      </c>
      <c r="E48" s="67">
        <f>E34+E42</f>
        <v>856.15163957999994</v>
      </c>
      <c r="F48" s="67">
        <f>F34+F42</f>
        <v>850.02244726139986</v>
      </c>
      <c r="G48" s="67">
        <f>G34+G42</f>
        <v>843.95485486559994</v>
      </c>
      <c r="H48" s="67">
        <f>H34+H42</f>
        <v>837.9485543929859</v>
      </c>
      <c r="I48" s="67"/>
    </row>
    <row r="49" spans="2:9" ht="18" customHeight="1" x14ac:dyDescent="0.2">
      <c r="B49" s="13" t="s">
        <v>175</v>
      </c>
      <c r="C49" s="15"/>
      <c r="D49" s="15">
        <f>-D29</f>
        <v>83.130800000000008</v>
      </c>
      <c r="E49" s="15">
        <f>-E29</f>
        <v>83.130800000000008</v>
      </c>
      <c r="F49" s="15">
        <f>-F29</f>
        <v>82.299491999999987</v>
      </c>
      <c r="G49" s="15">
        <f>-G29</f>
        <v>81.468183999999994</v>
      </c>
      <c r="H49" s="15">
        <f>-H29</f>
        <v>80.645189079999994</v>
      </c>
      <c r="I49" s="15"/>
    </row>
    <row r="50" spans="2:9" ht="18" customHeight="1" x14ac:dyDescent="0.2">
      <c r="B50" s="13" t="s">
        <v>176</v>
      </c>
      <c r="C50" s="15"/>
      <c r="D50" s="15"/>
      <c r="E50" s="15"/>
      <c r="F50" s="15"/>
      <c r="G50" s="15"/>
      <c r="H50" s="15"/>
      <c r="I50" s="15"/>
    </row>
    <row r="51" spans="2:9" ht="18" customHeight="1" x14ac:dyDescent="0.2">
      <c r="B51" s="13" t="s">
        <v>177</v>
      </c>
      <c r="C51" s="15"/>
      <c r="D51" s="15"/>
      <c r="E51" s="15"/>
      <c r="F51" s="15"/>
      <c r="G51" s="15"/>
      <c r="H51" s="15"/>
      <c r="I51" s="15"/>
    </row>
    <row r="52" spans="2:9" ht="18" customHeight="1" x14ac:dyDescent="0.2">
      <c r="B52" s="63"/>
      <c r="C52" s="15"/>
      <c r="D52" s="15"/>
      <c r="E52" s="15"/>
      <c r="F52" s="15"/>
      <c r="G52" s="15"/>
      <c r="H52" s="15"/>
      <c r="I52" s="15"/>
    </row>
    <row r="53" spans="2:9" ht="18" customHeight="1" x14ac:dyDescent="0.2">
      <c r="B53" s="237" t="s">
        <v>178</v>
      </c>
      <c r="C53" s="244"/>
      <c r="D53" s="244"/>
      <c r="E53" s="244"/>
      <c r="F53" s="244"/>
      <c r="G53" s="244"/>
      <c r="H53" s="244"/>
      <c r="I53" s="244"/>
    </row>
    <row r="54" spans="2:9" ht="18" customHeight="1" x14ac:dyDescent="0.2">
      <c r="B54" s="13" t="s">
        <v>114</v>
      </c>
      <c r="C54" s="15"/>
      <c r="D54" s="15">
        <f>'Operating Model'!H41</f>
        <v>2572.6204905894001</v>
      </c>
      <c r="E54" s="15">
        <f>'Operating Model'!I41</f>
        <v>2759.2020960639848</v>
      </c>
      <c r="F54" s="15">
        <f>'Operating Model'!J41</f>
        <v>2965.9862474249981</v>
      </c>
      <c r="G54" s="15">
        <f>'Operating Model'!K41</f>
        <v>3137.9489623377121</v>
      </c>
      <c r="H54" s="15">
        <f>'Operating Model'!L41</f>
        <v>3245.8733673644501</v>
      </c>
      <c r="I54" s="15"/>
    </row>
    <row r="55" spans="2:9" ht="18" customHeight="1" x14ac:dyDescent="0.2">
      <c r="B55" s="13" t="s">
        <v>61</v>
      </c>
      <c r="C55" s="95"/>
      <c r="D55" s="95">
        <f>D46/D54</f>
        <v>4.4108154473263417</v>
      </c>
      <c r="E55" s="95">
        <f>E46/E54</f>
        <v>4.0824205722619844</v>
      </c>
      <c r="F55" s="95">
        <f>F46/F54</f>
        <v>3.7700525137997154</v>
      </c>
      <c r="G55" s="95">
        <f>G46/G54</f>
        <v>3.5374876574571092</v>
      </c>
      <c r="H55" s="95">
        <f>H46/H54</f>
        <v>3.3950217053192517</v>
      </c>
      <c r="I55" s="95"/>
    </row>
    <row r="56" spans="2:9" ht="18" customHeight="1" x14ac:dyDescent="0.2">
      <c r="B56" s="13" t="s">
        <v>62</v>
      </c>
      <c r="C56" s="95"/>
      <c r="D56" s="95">
        <f>D31/D54</f>
        <v>3.1990529617971273</v>
      </c>
      <c r="E56" s="95">
        <f>E31/E54</f>
        <v>2.9525993806765642</v>
      </c>
      <c r="F56" s="95">
        <f>F31/F54</f>
        <v>2.7190007758806809</v>
      </c>
      <c r="G56" s="95">
        <f>G31/G54</f>
        <v>2.5440345970613807</v>
      </c>
      <c r="H56" s="95">
        <f>H31/H54</f>
        <v>2.4346006884848101</v>
      </c>
      <c r="I56" s="95"/>
    </row>
    <row r="57" spans="2:9" ht="18" customHeight="1" x14ac:dyDescent="0.2">
      <c r="B57" s="13" t="s">
        <v>63</v>
      </c>
      <c r="C57" s="95"/>
      <c r="D57" s="95">
        <f>D54/D48</f>
        <v>2.9833999630044148</v>
      </c>
      <c r="E57" s="95">
        <f>E54/E48</f>
        <v>3.2227960194266045</v>
      </c>
      <c r="F57" s="95">
        <f>F54/F48</f>
        <v>3.4893034377866194</v>
      </c>
      <c r="G57" s="95">
        <f>G54/G48</f>
        <v>3.7181478893648068</v>
      </c>
      <c r="H57" s="95">
        <f>H54/H48</f>
        <v>3.8735950439293698</v>
      </c>
      <c r="I57" s="95"/>
    </row>
    <row r="58" spans="2:9" ht="18" customHeight="1" x14ac:dyDescent="0.2">
      <c r="B58" s="13" t="s">
        <v>179</v>
      </c>
      <c r="C58" s="95"/>
      <c r="D58" s="95">
        <f>(D54-'Operating Model'!H67)/D48</f>
        <v>2.5289575985546424</v>
      </c>
      <c r="E58" s="95">
        <f>(E54-'Operating Model'!I67)/E48</f>
        <v>2.7651077844987015</v>
      </c>
      <c r="F58" s="95">
        <f>(F54-'Operating Model'!J67)/F48</f>
        <v>3.0329510821896979</v>
      </c>
      <c r="G58" s="95">
        <f>(G54-'Operating Model'!K67)/G48</f>
        <v>3.2769206500077663</v>
      </c>
      <c r="H58" s="95">
        <f>(H54-'Operating Model'!L67)/H48</f>
        <v>3.4653242430810089</v>
      </c>
      <c r="I58" s="95"/>
    </row>
  </sheetData>
  <mergeCells count="6">
    <mergeCell ref="B53:I53"/>
    <mergeCell ref="B7:I7"/>
    <mergeCell ref="B18:I18"/>
    <mergeCell ref="B27:I27"/>
    <mergeCell ref="B36:I36"/>
    <mergeCell ref="B44:I4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B1C73-8491-C248-8C5B-6C39E60348F9}">
  <dimension ref="B1:H31"/>
  <sheetViews>
    <sheetView workbookViewId="0">
      <selection activeCell="F23" sqref="F23"/>
    </sheetView>
  </sheetViews>
  <sheetFormatPr baseColWidth="10" defaultRowHeight="16" x14ac:dyDescent="0.2"/>
  <cols>
    <col min="1" max="1" width="3.5" style="1" customWidth="1"/>
    <col min="2" max="2" width="40.83203125" style="1" customWidth="1"/>
    <col min="3" max="3" width="17.5" style="1" customWidth="1"/>
    <col min="4" max="4" width="14" style="1" customWidth="1"/>
    <col min="5" max="5" width="5.83203125" style="1" customWidth="1"/>
    <col min="6" max="6" width="40.83203125" style="1" customWidth="1"/>
    <col min="7" max="7" width="17.5" style="1" customWidth="1"/>
    <col min="8" max="8" width="14" style="1" customWidth="1"/>
    <col min="9" max="16384" width="10.83203125" style="1"/>
  </cols>
  <sheetData>
    <row r="1" spans="2:8" ht="4" customHeight="1" x14ac:dyDescent="0.2">
      <c r="B1" s="6"/>
      <c r="C1" s="6"/>
      <c r="D1" s="6"/>
      <c r="E1" s="6"/>
      <c r="F1" s="6"/>
      <c r="G1" s="6"/>
      <c r="H1" s="6"/>
    </row>
    <row r="2" spans="2:8" ht="28" customHeight="1" x14ac:dyDescent="0.35">
      <c r="B2" s="7" t="s">
        <v>239</v>
      </c>
    </row>
    <row r="3" spans="2:8" ht="17" x14ac:dyDescent="0.25">
      <c r="B3" s="8" t="s">
        <v>240</v>
      </c>
    </row>
    <row r="4" spans="2:8" ht="17" thickBot="1" x14ac:dyDescent="0.25">
      <c r="B4" s="9"/>
      <c r="C4" s="9"/>
    </row>
    <row r="5" spans="2:8" ht="17" thickTop="1" x14ac:dyDescent="0.2"/>
    <row r="6" spans="2:8" ht="18" customHeight="1" x14ac:dyDescent="0.2">
      <c r="B6" s="237" t="s">
        <v>241</v>
      </c>
      <c r="C6" s="237"/>
      <c r="D6" s="237"/>
      <c r="E6" s="63"/>
      <c r="F6" s="237" t="s">
        <v>253</v>
      </c>
      <c r="G6" s="237"/>
      <c r="H6" s="237"/>
    </row>
    <row r="7" spans="2:8" ht="18" customHeight="1" x14ac:dyDescent="0.2">
      <c r="B7" s="13" t="s">
        <v>242</v>
      </c>
      <c r="C7" s="198">
        <f>'Entry Assumptions'!C6</f>
        <v>46112</v>
      </c>
      <c r="D7" s="63"/>
      <c r="E7" s="63"/>
      <c r="F7" s="13" t="s">
        <v>57</v>
      </c>
      <c r="G7" s="104">
        <v>0.01</v>
      </c>
      <c r="H7" s="63" t="s">
        <v>55</v>
      </c>
    </row>
    <row r="8" spans="2:8" ht="18" customHeight="1" x14ac:dyDescent="0.2">
      <c r="B8" s="13" t="s">
        <v>243</v>
      </c>
      <c r="C8" s="199">
        <v>47938</v>
      </c>
      <c r="D8" s="63"/>
      <c r="E8" s="63"/>
      <c r="F8" s="13" t="s">
        <v>254</v>
      </c>
      <c r="G8" s="43">
        <v>50</v>
      </c>
      <c r="H8" s="63" t="s">
        <v>13</v>
      </c>
    </row>
    <row r="9" spans="2:8" ht="18" customHeight="1" x14ac:dyDescent="0.2">
      <c r="B9" s="13" t="s">
        <v>244</v>
      </c>
      <c r="C9" s="100">
        <v>5</v>
      </c>
      <c r="D9" s="63"/>
      <c r="E9" s="63"/>
      <c r="F9" s="13"/>
      <c r="G9" s="15"/>
      <c r="H9" s="63"/>
    </row>
    <row r="10" spans="2:8" ht="18" customHeight="1" x14ac:dyDescent="0.2">
      <c r="B10" s="63"/>
      <c r="C10" s="66"/>
      <c r="D10" s="63"/>
      <c r="E10" s="63"/>
      <c r="F10" s="17" t="s">
        <v>255</v>
      </c>
      <c r="G10" s="48">
        <f>C21*G7+G8</f>
        <v>884.90946289430258</v>
      </c>
      <c r="H10" s="64" t="s">
        <v>13</v>
      </c>
    </row>
    <row r="11" spans="2:8" ht="18" customHeight="1" x14ac:dyDescent="0.2">
      <c r="B11" s="237" t="s">
        <v>245</v>
      </c>
      <c r="C11" s="241"/>
      <c r="D11" s="237"/>
      <c r="E11" s="63"/>
      <c r="F11" s="63"/>
      <c r="G11" s="66"/>
      <c r="H11" s="63"/>
    </row>
    <row r="12" spans="2:8" ht="18" customHeight="1" x14ac:dyDescent="0.2">
      <c r="B12" s="13" t="s">
        <v>246</v>
      </c>
      <c r="C12" s="101">
        <f>'Operating Model'!L41</f>
        <v>3245.8733673644501</v>
      </c>
      <c r="D12" s="63" t="s">
        <v>13</v>
      </c>
      <c r="E12" s="63"/>
      <c r="F12" s="237" t="s">
        <v>256</v>
      </c>
      <c r="G12" s="241"/>
      <c r="H12" s="237"/>
    </row>
    <row r="13" spans="2:8" ht="18" customHeight="1" x14ac:dyDescent="0.2">
      <c r="B13" s="13" t="s">
        <v>247</v>
      </c>
      <c r="C13" s="102">
        <v>18</v>
      </c>
      <c r="D13" s="63" t="s">
        <v>19</v>
      </c>
      <c r="E13" s="63"/>
      <c r="F13" s="13" t="s">
        <v>252</v>
      </c>
      <c r="G13" s="103">
        <f>C21</f>
        <v>83490.946289430256</v>
      </c>
      <c r="H13" s="63" t="s">
        <v>13</v>
      </c>
    </row>
    <row r="14" spans="2:8" ht="18" customHeight="1" x14ac:dyDescent="0.2">
      <c r="B14" s="13"/>
      <c r="C14" s="66"/>
      <c r="D14" s="63"/>
      <c r="E14" s="63"/>
      <c r="F14" s="13" t="s">
        <v>257</v>
      </c>
      <c r="G14" s="103">
        <f>-G10</f>
        <v>-884.90946289430258</v>
      </c>
      <c r="H14" s="63" t="s">
        <v>13</v>
      </c>
    </row>
    <row r="15" spans="2:8" ht="18" customHeight="1" x14ac:dyDescent="0.2">
      <c r="B15" s="17" t="s">
        <v>248</v>
      </c>
      <c r="C15" s="48">
        <f>C12*C13</f>
        <v>58425.720612560101</v>
      </c>
      <c r="D15" s="64" t="s">
        <v>13</v>
      </c>
      <c r="E15" s="63"/>
      <c r="F15" s="13" t="s">
        <v>258</v>
      </c>
      <c r="G15" s="43">
        <v>0</v>
      </c>
      <c r="H15" s="63" t="s">
        <v>13</v>
      </c>
    </row>
    <row r="16" spans="2:8" ht="18" customHeight="1" x14ac:dyDescent="0.2">
      <c r="B16" s="13"/>
      <c r="C16" s="15"/>
      <c r="D16" s="63"/>
      <c r="E16" s="63"/>
      <c r="F16" s="13"/>
      <c r="G16" s="15"/>
      <c r="H16" s="63"/>
    </row>
    <row r="17" spans="2:8" ht="18" customHeight="1" x14ac:dyDescent="0.2">
      <c r="B17" s="13" t="s">
        <v>249</v>
      </c>
      <c r="C17" s="103">
        <f>C18-C19</f>
        <v>-25065.225676870163</v>
      </c>
      <c r="D17" s="63" t="s">
        <v>13</v>
      </c>
      <c r="E17" s="63"/>
      <c r="F17" s="17" t="s">
        <v>259</v>
      </c>
      <c r="G17" s="48">
        <f>G13+G14+G15</f>
        <v>82606.036826535958</v>
      </c>
      <c r="H17" s="64" t="s">
        <v>13</v>
      </c>
    </row>
    <row r="18" spans="2:8" ht="18" customHeight="1" x14ac:dyDescent="0.2">
      <c r="B18" s="13" t="s">
        <v>250</v>
      </c>
      <c r="C18" s="103">
        <f>'Debt Schedule'!H46</f>
        <v>11019.810534919998</v>
      </c>
      <c r="D18" s="63" t="s">
        <v>13</v>
      </c>
      <c r="E18" s="63"/>
      <c r="F18" s="13"/>
      <c r="G18" s="66"/>
      <c r="H18" s="63"/>
    </row>
    <row r="19" spans="2:8" ht="18" customHeight="1" x14ac:dyDescent="0.2">
      <c r="B19" s="13" t="s">
        <v>251</v>
      </c>
      <c r="C19" s="103">
        <f>'3-Statement Model (Forecast)'!H33</f>
        <v>36085.03621179016</v>
      </c>
      <c r="D19" s="63" t="s">
        <v>13</v>
      </c>
      <c r="E19" s="63"/>
      <c r="F19" s="13" t="s">
        <v>260</v>
      </c>
      <c r="G19" s="104">
        <v>1</v>
      </c>
      <c r="H19" s="63" t="s">
        <v>55</v>
      </c>
    </row>
    <row r="20" spans="2:8" ht="18" customHeight="1" x14ac:dyDescent="0.2">
      <c r="B20" s="13"/>
      <c r="C20" s="15"/>
      <c r="D20" s="63"/>
      <c r="E20" s="63"/>
      <c r="F20" s="17" t="s">
        <v>261</v>
      </c>
      <c r="G20" s="48">
        <f>G17*G19</f>
        <v>82606.036826535958</v>
      </c>
      <c r="H20" s="64" t="s">
        <v>13</v>
      </c>
    </row>
    <row r="21" spans="2:8" ht="18" customHeight="1" x14ac:dyDescent="0.2">
      <c r="B21" s="17" t="s">
        <v>252</v>
      </c>
      <c r="C21" s="48">
        <f>C15-C17</f>
        <v>83490.946289430256</v>
      </c>
      <c r="D21" s="64" t="s">
        <v>13</v>
      </c>
      <c r="E21" s="63"/>
      <c r="F21" s="63"/>
      <c r="G21" s="63"/>
      <c r="H21" s="63"/>
    </row>
    <row r="22" spans="2:8" ht="18" customHeight="1" x14ac:dyDescent="0.2">
      <c r="B22" s="63"/>
      <c r="C22" s="66"/>
      <c r="D22" s="63"/>
      <c r="E22" s="63"/>
      <c r="F22" s="63"/>
      <c r="G22" s="63"/>
      <c r="H22" s="63"/>
    </row>
    <row r="23" spans="2:8" ht="18" customHeight="1" x14ac:dyDescent="0.2">
      <c r="B23" s="237" t="s">
        <v>262</v>
      </c>
      <c r="C23" s="241"/>
      <c r="D23" s="237"/>
      <c r="E23" s="63"/>
      <c r="F23" s="63"/>
      <c r="G23" s="63"/>
      <c r="H23" s="63"/>
    </row>
    <row r="24" spans="2:8" ht="18" customHeight="1" x14ac:dyDescent="0.2">
      <c r="B24" s="13" t="s">
        <v>18</v>
      </c>
      <c r="C24" s="105">
        <f>'Entry Assumptions'!C24</f>
        <v>20.839804260274171</v>
      </c>
      <c r="D24" s="63" t="s">
        <v>19</v>
      </c>
      <c r="E24" s="63"/>
      <c r="F24" s="63"/>
      <c r="G24" s="63"/>
      <c r="H24" s="63"/>
    </row>
    <row r="25" spans="2:8" ht="18" customHeight="1" x14ac:dyDescent="0.2">
      <c r="B25" s="13" t="s">
        <v>247</v>
      </c>
      <c r="C25" s="105">
        <f>C13</f>
        <v>18</v>
      </c>
      <c r="D25" s="63" t="s">
        <v>19</v>
      </c>
      <c r="E25" s="63"/>
      <c r="F25" s="63"/>
      <c r="G25" s="63"/>
      <c r="H25" s="63"/>
    </row>
    <row r="26" spans="2:8" ht="18" customHeight="1" x14ac:dyDescent="0.2">
      <c r="B26" s="13" t="s">
        <v>263</v>
      </c>
      <c r="C26" s="57">
        <f>C25-C24</f>
        <v>-2.8398042602741711</v>
      </c>
      <c r="D26" s="63" t="s">
        <v>19</v>
      </c>
      <c r="E26" s="63"/>
      <c r="F26" s="63"/>
      <c r="G26" s="63"/>
      <c r="H26" s="63"/>
    </row>
    <row r="27" spans="2:8" ht="18" customHeight="1" x14ac:dyDescent="0.2">
      <c r="B27" s="13"/>
      <c r="C27" s="66"/>
      <c r="D27" s="63"/>
      <c r="E27" s="63"/>
      <c r="F27" s="63"/>
      <c r="G27" s="63"/>
      <c r="H27" s="63"/>
    </row>
    <row r="28" spans="2:8" ht="18" customHeight="1" x14ac:dyDescent="0.2">
      <c r="B28" s="13" t="s">
        <v>264</v>
      </c>
      <c r="C28" s="49">
        <f>C12*(C25-C24)</f>
        <v>-9217.6450169520358</v>
      </c>
      <c r="D28" s="63" t="s">
        <v>13</v>
      </c>
      <c r="E28" s="63"/>
      <c r="F28" s="63"/>
      <c r="G28" s="63"/>
      <c r="H28" s="63"/>
    </row>
    <row r="29" spans="2:8" ht="18" customHeight="1" x14ac:dyDescent="0.2">
      <c r="B29" s="13" t="s">
        <v>265</v>
      </c>
      <c r="C29" s="49">
        <f>C24*(C12-'Entry Assumptions'!C23)</f>
        <v>24332.625629512135</v>
      </c>
      <c r="D29" s="63" t="s">
        <v>13</v>
      </c>
      <c r="E29" s="63"/>
      <c r="F29" s="63"/>
      <c r="G29" s="63"/>
      <c r="H29" s="63"/>
    </row>
    <row r="30" spans="2:8" ht="18" customHeight="1" x14ac:dyDescent="0.2">
      <c r="B30" s="13" t="s">
        <v>266</v>
      </c>
      <c r="C30" s="49">
        <f>'Entry Assumptions'!G18-C17</f>
        <v>70855.342776870166</v>
      </c>
      <c r="D30" s="63" t="s">
        <v>13</v>
      </c>
      <c r="E30" s="63"/>
      <c r="F30" s="63"/>
      <c r="G30" s="63"/>
      <c r="H30" s="63"/>
    </row>
    <row r="31" spans="2:8" ht="18" customHeight="1" x14ac:dyDescent="0.2">
      <c r="B31" s="17" t="s">
        <v>267</v>
      </c>
      <c r="C31" s="48">
        <f>C28+C29+C30</f>
        <v>85970.323389430268</v>
      </c>
      <c r="D31" s="64" t="s">
        <v>13</v>
      </c>
      <c r="E31" s="63"/>
      <c r="F31" s="63"/>
      <c r="G31" s="63"/>
      <c r="H31" s="63"/>
    </row>
  </sheetData>
  <mergeCells count="5">
    <mergeCell ref="B6:D6"/>
    <mergeCell ref="B11:D11"/>
    <mergeCell ref="F6:H6"/>
    <mergeCell ref="F12:H12"/>
    <mergeCell ref="B23:D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D02C7-EECA-7242-A0CE-90B1643128FE}">
  <dimension ref="B1:H26"/>
  <sheetViews>
    <sheetView workbookViewId="0">
      <selection activeCell="L34" sqref="L34"/>
    </sheetView>
  </sheetViews>
  <sheetFormatPr baseColWidth="10" defaultRowHeight="16" x14ac:dyDescent="0.2"/>
  <cols>
    <col min="1" max="1" width="3.5" style="1" customWidth="1"/>
    <col min="2" max="2" width="40.83203125" style="1" customWidth="1"/>
    <col min="3" max="3" width="17.5" style="1" customWidth="1"/>
    <col min="4" max="4" width="14" style="1" customWidth="1"/>
    <col min="5" max="5" width="5.83203125" style="1" customWidth="1"/>
    <col min="6" max="6" width="40.83203125" style="1" customWidth="1"/>
    <col min="7" max="7" width="17.5" style="1" customWidth="1"/>
    <col min="8" max="8" width="14" style="1" customWidth="1"/>
    <col min="9" max="16384" width="10.83203125" style="1"/>
  </cols>
  <sheetData>
    <row r="1" spans="2:8" ht="4" customHeight="1" x14ac:dyDescent="0.2">
      <c r="B1" s="6"/>
      <c r="C1" s="6"/>
      <c r="D1" s="6"/>
      <c r="E1" s="6"/>
      <c r="F1" s="6"/>
      <c r="G1" s="6"/>
      <c r="H1" s="6"/>
    </row>
    <row r="2" spans="2:8" ht="28" customHeight="1" x14ac:dyDescent="0.35">
      <c r="B2" s="7" t="s">
        <v>268</v>
      </c>
    </row>
    <row r="3" spans="2:8" ht="17" x14ac:dyDescent="0.25">
      <c r="B3" s="8" t="s">
        <v>269</v>
      </c>
    </row>
    <row r="4" spans="2:8" ht="17" thickBot="1" x14ac:dyDescent="0.25">
      <c r="B4" s="9"/>
      <c r="C4" s="9"/>
    </row>
    <row r="5" spans="2:8" ht="17" thickTop="1" x14ac:dyDescent="0.2"/>
    <row r="6" spans="2:8" ht="18" customHeight="1" x14ac:dyDescent="0.2">
      <c r="B6" s="237" t="s">
        <v>270</v>
      </c>
      <c r="C6" s="237"/>
      <c r="D6" s="237"/>
      <c r="E6" s="63"/>
      <c r="F6" s="237" t="s">
        <v>284</v>
      </c>
      <c r="G6" s="237"/>
      <c r="H6" s="237"/>
    </row>
    <row r="7" spans="2:8" ht="18" customHeight="1" x14ac:dyDescent="0.2">
      <c r="B7" s="13" t="s">
        <v>271</v>
      </c>
      <c r="C7" s="103">
        <f>'Entry Assumptions'!G16</f>
        <v>34359.632100000003</v>
      </c>
      <c r="D7" s="63" t="s">
        <v>13</v>
      </c>
      <c r="E7" s="63"/>
      <c r="F7" s="120"/>
      <c r="G7" s="108" t="s">
        <v>285</v>
      </c>
      <c r="H7" s="108" t="s">
        <v>286</v>
      </c>
    </row>
    <row r="8" spans="2:8" ht="18" customHeight="1" x14ac:dyDescent="0.2">
      <c r="B8" s="13" t="s">
        <v>272</v>
      </c>
      <c r="C8" s="109">
        <f>'Exit Assumptions'!C9</f>
        <v>5</v>
      </c>
      <c r="D8" s="63" t="s">
        <v>273</v>
      </c>
      <c r="E8" s="63"/>
      <c r="F8" s="13" t="s">
        <v>287</v>
      </c>
      <c r="G8" s="115">
        <f>('Operating Model'!J41*'Exit Assumptions'!$C$13-('Debt Schedule'!F46-'3-Statement Model (Forecast)'!F33))/C7</f>
        <v>2.2001681803505977</v>
      </c>
      <c r="H8" s="117">
        <f>G8^(1/3)-1</f>
        <v>0.30062458751078136</v>
      </c>
    </row>
    <row r="9" spans="2:8" ht="18" customHeight="1" x14ac:dyDescent="0.2">
      <c r="B9" s="13" t="s">
        <v>274</v>
      </c>
      <c r="C9" s="103">
        <f>'Exit Assumptions'!G20</f>
        <v>82606.036826535958</v>
      </c>
      <c r="D9" s="63" t="s">
        <v>13</v>
      </c>
      <c r="E9" s="63"/>
      <c r="F9" s="13" t="s">
        <v>288</v>
      </c>
      <c r="G9" s="115">
        <f>('Operating Model'!K41*'Exit Assumptions'!$C$13-('Debt Schedule'!G46-'3-Statement Model (Forecast)'!G33))/C7</f>
        <v>2.3294138593843186</v>
      </c>
      <c r="H9" s="117">
        <f>G9^(1/4)-1</f>
        <v>0.23541156843730149</v>
      </c>
    </row>
    <row r="10" spans="2:8" ht="18" customHeight="1" x14ac:dyDescent="0.2">
      <c r="B10" s="63"/>
      <c r="C10" s="66"/>
      <c r="D10" s="63"/>
      <c r="E10" s="63"/>
      <c r="F10" s="121" t="s">
        <v>289</v>
      </c>
      <c r="G10" s="116">
        <f>'Exit Assumptions'!G20/C7</f>
        <v>2.4041595261008615</v>
      </c>
      <c r="H10" s="118">
        <f>C13</f>
        <v>0.19177056920292124</v>
      </c>
    </row>
    <row r="11" spans="2:8" ht="18" customHeight="1" x14ac:dyDescent="0.2">
      <c r="B11" s="237" t="s">
        <v>275</v>
      </c>
      <c r="C11" s="241"/>
      <c r="D11" s="237"/>
      <c r="E11" s="63"/>
      <c r="F11" s="13" t="s">
        <v>290</v>
      </c>
      <c r="G11" s="115">
        <f>('Operating Model'!L41*1.05*'Exit Assumptions'!$C$13-('Debt Schedule'!H46*0.95-'3-Statement Model (Forecast)'!H33*1.1))/C7</f>
        <v>2.6359923239103393</v>
      </c>
      <c r="H11" s="117">
        <f>G11^(1/6)-1</f>
        <v>0.17532332987271282</v>
      </c>
    </row>
    <row r="12" spans="2:8" ht="18" customHeight="1" x14ac:dyDescent="0.2">
      <c r="B12" s="119" t="s">
        <v>276</v>
      </c>
      <c r="C12" s="110">
        <f>C9/C7</f>
        <v>2.4041595261008615</v>
      </c>
      <c r="D12" s="107" t="s">
        <v>19</v>
      </c>
      <c r="E12" s="63"/>
      <c r="F12" s="13" t="s">
        <v>291</v>
      </c>
      <c r="G12" s="115">
        <f>('Operating Model'!L41*1.1*'Exit Assumptions'!$C$13-('Debt Schedule'!H46*0.9-'3-Statement Model (Forecast)'!H33*1.2))/C7</f>
        <v>2.8420707870890243</v>
      </c>
      <c r="H12" s="117">
        <f>G12^(1/7)-1</f>
        <v>0.16092719395697697</v>
      </c>
    </row>
    <row r="13" spans="2:8" ht="18" customHeight="1" x14ac:dyDescent="0.2">
      <c r="B13" s="119" t="s">
        <v>277</v>
      </c>
      <c r="C13" s="111">
        <f>(C9/C7)^(1/C8)-1</f>
        <v>0.19177056920292124</v>
      </c>
      <c r="D13" s="107" t="s">
        <v>55</v>
      </c>
      <c r="E13" s="63"/>
      <c r="F13" s="63"/>
      <c r="G13" s="66"/>
      <c r="H13" s="66"/>
    </row>
    <row r="14" spans="2:8" ht="18" customHeight="1" x14ac:dyDescent="0.2">
      <c r="B14" s="13"/>
      <c r="C14" s="66"/>
      <c r="D14" s="63"/>
      <c r="E14" s="63"/>
      <c r="F14" s="237" t="s">
        <v>292</v>
      </c>
      <c r="G14" s="241"/>
      <c r="H14" s="241"/>
    </row>
    <row r="15" spans="2:8" ht="18" customHeight="1" x14ac:dyDescent="0.2">
      <c r="B15" s="13" t="s">
        <v>278</v>
      </c>
      <c r="C15" s="112">
        <f>C12</f>
        <v>2.4041595261008615</v>
      </c>
      <c r="D15" s="63" t="s">
        <v>19</v>
      </c>
      <c r="E15" s="63"/>
      <c r="F15" s="13" t="s">
        <v>293</v>
      </c>
      <c r="G15" s="49">
        <f>C7</f>
        <v>34359.632100000003</v>
      </c>
      <c r="H15" s="66" t="s">
        <v>13</v>
      </c>
    </row>
    <row r="16" spans="2:8" ht="18" customHeight="1" x14ac:dyDescent="0.2">
      <c r="B16" s="13" t="s">
        <v>279</v>
      </c>
      <c r="C16" s="113">
        <f>C9/C7-1</f>
        <v>1.4041595261008615</v>
      </c>
      <c r="D16" s="63" t="s">
        <v>55</v>
      </c>
      <c r="E16" s="63"/>
      <c r="F16" s="13" t="s">
        <v>294</v>
      </c>
      <c r="G16" s="49">
        <f>'Exit Assumptions'!C29</f>
        <v>24332.625629512135</v>
      </c>
      <c r="H16" s="66" t="s">
        <v>13</v>
      </c>
    </row>
    <row r="17" spans="2:8" ht="18" customHeight="1" x14ac:dyDescent="0.2">
      <c r="B17" s="63"/>
      <c r="C17" s="66"/>
      <c r="D17" s="63"/>
      <c r="E17" s="63"/>
      <c r="F17" s="13" t="s">
        <v>295</v>
      </c>
      <c r="G17" s="49">
        <f>'Exit Assumptions'!C28</f>
        <v>-9217.6450169520358</v>
      </c>
      <c r="H17" s="66" t="s">
        <v>13</v>
      </c>
    </row>
    <row r="18" spans="2:8" ht="18" customHeight="1" x14ac:dyDescent="0.2">
      <c r="B18" s="237" t="s">
        <v>280</v>
      </c>
      <c r="C18" s="241"/>
      <c r="D18" s="237"/>
      <c r="E18" s="63"/>
      <c r="F18" s="13" t="s">
        <v>296</v>
      </c>
      <c r="G18" s="49">
        <f>'Exit Assumptions'!C30</f>
        <v>70855.342776870166</v>
      </c>
      <c r="H18" s="66" t="s">
        <v>13</v>
      </c>
    </row>
    <row r="19" spans="2:8" ht="18" customHeight="1" x14ac:dyDescent="0.2">
      <c r="B19" s="13" t="s">
        <v>281</v>
      </c>
      <c r="C19" s="49">
        <f>-C7</f>
        <v>-34359.632100000003</v>
      </c>
      <c r="D19" s="63" t="s">
        <v>13</v>
      </c>
      <c r="E19" s="63"/>
      <c r="F19" s="13" t="s">
        <v>297</v>
      </c>
      <c r="G19" s="49">
        <v>0</v>
      </c>
      <c r="H19" s="66" t="s">
        <v>13</v>
      </c>
    </row>
    <row r="20" spans="2:8" ht="18" customHeight="1" x14ac:dyDescent="0.2">
      <c r="B20" s="13" t="s">
        <v>149</v>
      </c>
      <c r="C20" s="49">
        <v>0</v>
      </c>
      <c r="D20" s="63" t="s">
        <v>13</v>
      </c>
      <c r="E20" s="63"/>
      <c r="F20" s="13"/>
      <c r="G20" s="15"/>
      <c r="H20" s="66"/>
    </row>
    <row r="21" spans="2:8" ht="18" customHeight="1" x14ac:dyDescent="0.2">
      <c r="B21" s="13" t="s">
        <v>150</v>
      </c>
      <c r="C21" s="49">
        <v>0</v>
      </c>
      <c r="D21" s="63" t="s">
        <v>13</v>
      </c>
      <c r="E21" s="63"/>
      <c r="F21" s="17" t="s">
        <v>298</v>
      </c>
      <c r="G21" s="48">
        <f>SUM(G15:G19)</f>
        <v>120329.95548943027</v>
      </c>
      <c r="H21" s="93" t="s">
        <v>13</v>
      </c>
    </row>
    <row r="22" spans="2:8" ht="18" customHeight="1" x14ac:dyDescent="0.2">
      <c r="B22" s="13" t="s">
        <v>151</v>
      </c>
      <c r="C22" s="49">
        <v>0</v>
      </c>
      <c r="D22" s="63" t="s">
        <v>13</v>
      </c>
      <c r="E22" s="63"/>
      <c r="F22" s="63"/>
      <c r="G22" s="63"/>
      <c r="H22" s="63"/>
    </row>
    <row r="23" spans="2:8" ht="18" customHeight="1" x14ac:dyDescent="0.2">
      <c r="B23" s="13" t="s">
        <v>152</v>
      </c>
      <c r="C23" s="49">
        <v>0</v>
      </c>
      <c r="D23" s="63" t="s">
        <v>13</v>
      </c>
      <c r="E23" s="63"/>
      <c r="F23" s="63"/>
      <c r="G23" s="63"/>
      <c r="H23" s="63"/>
    </row>
    <row r="24" spans="2:8" ht="18" customHeight="1" x14ac:dyDescent="0.2">
      <c r="B24" s="13" t="s">
        <v>282</v>
      </c>
      <c r="C24" s="49">
        <f>C9</f>
        <v>82606.036826535958</v>
      </c>
      <c r="D24" s="63" t="s">
        <v>13</v>
      </c>
      <c r="E24" s="63"/>
      <c r="F24" s="63"/>
      <c r="G24" s="63"/>
      <c r="H24" s="63"/>
    </row>
    <row r="25" spans="2:8" ht="18" customHeight="1" x14ac:dyDescent="0.2">
      <c r="B25" s="13"/>
      <c r="C25" s="66"/>
      <c r="D25" s="63"/>
      <c r="E25" s="63"/>
      <c r="F25" s="63"/>
      <c r="G25" s="63"/>
      <c r="H25" s="63"/>
    </row>
    <row r="26" spans="2:8" ht="18" customHeight="1" x14ac:dyDescent="0.2">
      <c r="B26" s="17" t="s">
        <v>283</v>
      </c>
      <c r="C26" s="114">
        <f>IRR(C19:C24)</f>
        <v>0.19177056920292124</v>
      </c>
      <c r="D26" s="64" t="s">
        <v>55</v>
      </c>
      <c r="E26" s="63"/>
      <c r="F26" s="63"/>
      <c r="G26" s="63"/>
      <c r="H26" s="63"/>
    </row>
  </sheetData>
  <mergeCells count="5">
    <mergeCell ref="B6:D6"/>
    <mergeCell ref="B11:D11"/>
    <mergeCell ref="B18:D18"/>
    <mergeCell ref="F6:H6"/>
    <mergeCell ref="F14:H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F3094-D8FA-794F-A774-DF9894FF3E7B}">
  <dimension ref="B1:N31"/>
  <sheetViews>
    <sheetView workbookViewId="0">
      <selection activeCell="J29" sqref="J29"/>
    </sheetView>
  </sheetViews>
  <sheetFormatPr baseColWidth="10" defaultRowHeight="16" x14ac:dyDescent="0.2"/>
  <cols>
    <col min="1" max="1" width="3.5" style="1" customWidth="1"/>
    <col min="2" max="2" width="29.1640625" style="1" customWidth="1"/>
    <col min="3" max="7" width="14" style="1" customWidth="1"/>
    <col min="8" max="8" width="5.83203125" style="1" customWidth="1"/>
    <col min="9" max="9" width="29.1640625" style="1" customWidth="1"/>
    <col min="10" max="14" width="14" style="1" customWidth="1"/>
    <col min="15" max="16384" width="10.83203125" style="1"/>
  </cols>
  <sheetData>
    <row r="1" spans="2:14" ht="4" customHeight="1" x14ac:dyDescent="0.2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2:14" ht="28" customHeight="1" x14ac:dyDescent="0.35">
      <c r="B2" s="7" t="s">
        <v>299</v>
      </c>
    </row>
    <row r="3" spans="2:14" ht="17" x14ac:dyDescent="0.25">
      <c r="B3" s="8" t="s">
        <v>300</v>
      </c>
    </row>
    <row r="4" spans="2:14" ht="17" thickBot="1" x14ac:dyDescent="0.25">
      <c r="B4" s="9"/>
      <c r="C4" s="9"/>
    </row>
    <row r="5" spans="2:14" ht="17" thickTop="1" x14ac:dyDescent="0.2"/>
    <row r="6" spans="2:14" ht="20" customHeight="1" x14ac:dyDescent="0.2">
      <c r="B6" s="237" t="s">
        <v>301</v>
      </c>
      <c r="C6" s="237"/>
      <c r="D6" s="237"/>
      <c r="E6" s="237"/>
      <c r="F6" s="237"/>
      <c r="G6" s="237"/>
      <c r="H6" s="63"/>
      <c r="I6" s="237" t="s">
        <v>307</v>
      </c>
      <c r="J6" s="237"/>
      <c r="K6" s="237"/>
      <c r="L6" s="237"/>
      <c r="M6" s="237"/>
      <c r="N6" s="237"/>
    </row>
    <row r="7" spans="2:14" ht="20" customHeight="1" x14ac:dyDescent="0.2">
      <c r="B7" s="127" t="s">
        <v>286</v>
      </c>
      <c r="C7" s="125">
        <v>0.05</v>
      </c>
      <c r="D7" s="125">
        <v>7.4999999999999997E-2</v>
      </c>
      <c r="E7" s="125">
        <v>0.1</v>
      </c>
      <c r="F7" s="125">
        <v>0.125</v>
      </c>
      <c r="G7" s="130">
        <v>0.15</v>
      </c>
      <c r="H7" s="63"/>
      <c r="I7" s="127" t="s">
        <v>285</v>
      </c>
      <c r="J7" s="125">
        <v>0.05</v>
      </c>
      <c r="K7" s="125">
        <v>7.4999999999999997E-2</v>
      </c>
      <c r="L7" s="125">
        <v>0.1</v>
      </c>
      <c r="M7" s="125">
        <v>0.125</v>
      </c>
      <c r="N7" s="130">
        <v>0.15</v>
      </c>
    </row>
    <row r="8" spans="2:14" ht="20" customHeight="1" x14ac:dyDescent="0.2">
      <c r="B8" s="128" t="s">
        <v>302</v>
      </c>
      <c r="C8" s="122">
        <v>0.12590029375397749</v>
      </c>
      <c r="D8" s="122">
        <v>0.1422279329020355</v>
      </c>
      <c r="E8" s="122">
        <v>0.15913420801333023</v>
      </c>
      <c r="F8" s="122">
        <v>0.17658369044025424</v>
      </c>
      <c r="G8" s="131">
        <v>0.19454118857617075</v>
      </c>
      <c r="H8" s="63"/>
      <c r="I8" s="128" t="s">
        <v>302</v>
      </c>
      <c r="J8" s="133">
        <v>1.8092545030480698</v>
      </c>
      <c r="K8" s="133">
        <v>1.9443027149910894</v>
      </c>
      <c r="L8" s="133">
        <v>2.0925151640375104</v>
      </c>
      <c r="M8" s="133">
        <v>2.2548316385167291</v>
      </c>
      <c r="N8" s="136">
        <v>2.4322356262947293</v>
      </c>
    </row>
    <row r="9" spans="2:14" ht="20" customHeight="1" x14ac:dyDescent="0.2">
      <c r="B9" s="128" t="s">
        <v>303</v>
      </c>
      <c r="C9" s="122">
        <v>0.13535606401130362</v>
      </c>
      <c r="D9" s="122">
        <v>0.15226129369787467</v>
      </c>
      <c r="E9" s="122">
        <v>0.16973959209595191</v>
      </c>
      <c r="F9" s="122">
        <v>0.18775412122345969</v>
      </c>
      <c r="G9" s="131">
        <v>0.20626860294221694</v>
      </c>
      <c r="H9" s="63"/>
      <c r="I9" s="128" t="s">
        <v>303</v>
      </c>
      <c r="J9" s="133">
        <v>1.886515680998808</v>
      </c>
      <c r="K9" s="133">
        <v>2.0312101937949008</v>
      </c>
      <c r="L9" s="133">
        <v>2.1900092463446375</v>
      </c>
      <c r="M9" s="133">
        <v>2.3639197547152286</v>
      </c>
      <c r="N9" s="136">
        <v>2.5539954559059432</v>
      </c>
    </row>
    <row r="10" spans="2:14" ht="20" customHeight="1" x14ac:dyDescent="0.2">
      <c r="B10" s="128" t="s">
        <v>304</v>
      </c>
      <c r="C10" s="122">
        <v>0.14450693244495838</v>
      </c>
      <c r="D10" s="122">
        <v>0.16195689335204433</v>
      </c>
      <c r="E10" s="123">
        <v>0.17997375259067683</v>
      </c>
      <c r="F10" s="122">
        <v>0.19851948700420574</v>
      </c>
      <c r="G10" s="131">
        <v>0.21755693415085542</v>
      </c>
      <c r="H10" s="63"/>
      <c r="I10" s="128" t="s">
        <v>304</v>
      </c>
      <c r="J10" s="133">
        <v>1.9637768589495463</v>
      </c>
      <c r="K10" s="133">
        <v>2.1181176725987116</v>
      </c>
      <c r="L10" s="134">
        <v>2.2875033286517645</v>
      </c>
      <c r="M10" s="133">
        <v>2.4730078709137282</v>
      </c>
      <c r="N10" s="136">
        <v>2.6757552855171571</v>
      </c>
    </row>
    <row r="11" spans="2:14" ht="20" customHeight="1" x14ac:dyDescent="0.2">
      <c r="B11" s="128" t="s">
        <v>305</v>
      </c>
      <c r="C11" s="122">
        <v>0.1533741662197472</v>
      </c>
      <c r="D11" s="122">
        <v>0.17133928603670623</v>
      </c>
      <c r="E11" s="122">
        <v>0.18986470544622436</v>
      </c>
      <c r="F11" s="122">
        <v>0.20891140991637536</v>
      </c>
      <c r="G11" s="131">
        <v>0.22844152463894662</v>
      </c>
      <c r="H11" s="63"/>
      <c r="I11" s="128" t="s">
        <v>305</v>
      </c>
      <c r="J11" s="133">
        <v>2.0410380369002845</v>
      </c>
      <c r="K11" s="133">
        <v>2.205025151402523</v>
      </c>
      <c r="L11" s="133">
        <v>2.3849974109588916</v>
      </c>
      <c r="M11" s="133">
        <v>2.5820959871122278</v>
      </c>
      <c r="N11" s="136">
        <v>2.7975151151283715</v>
      </c>
    </row>
    <row r="12" spans="2:14" ht="20" customHeight="1" x14ac:dyDescent="0.2">
      <c r="B12" s="129" t="s">
        <v>306</v>
      </c>
      <c r="C12" s="126">
        <v>0.16197681075726322</v>
      </c>
      <c r="D12" s="126">
        <v>0.18043035662724871</v>
      </c>
      <c r="E12" s="126">
        <v>0.19943730947400273</v>
      </c>
      <c r="F12" s="126">
        <v>0.21895783097703947</v>
      </c>
      <c r="G12" s="132">
        <v>0.23895348029297114</v>
      </c>
      <c r="H12" s="63"/>
      <c r="I12" s="129" t="s">
        <v>306</v>
      </c>
      <c r="J12" s="135">
        <v>2.1182992148510227</v>
      </c>
      <c r="K12" s="135">
        <v>2.2919326302063339</v>
      </c>
      <c r="L12" s="135">
        <v>2.4824914932660183</v>
      </c>
      <c r="M12" s="135">
        <v>2.6911841033107278</v>
      </c>
      <c r="N12" s="137">
        <v>2.9192749447395849</v>
      </c>
    </row>
    <row r="13" spans="2:14" ht="20" customHeight="1" x14ac:dyDescent="0.2"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</row>
    <row r="14" spans="2:14" ht="20" customHeight="1" x14ac:dyDescent="0.2"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</row>
    <row r="15" spans="2:14" ht="20" customHeight="1" x14ac:dyDescent="0.2">
      <c r="B15" s="237" t="s">
        <v>308</v>
      </c>
      <c r="C15" s="237"/>
      <c r="D15" s="237"/>
      <c r="E15" s="237"/>
      <c r="F15" s="237"/>
      <c r="G15" s="237"/>
      <c r="H15" s="63"/>
      <c r="I15" s="237" t="s">
        <v>311</v>
      </c>
      <c r="J15" s="237"/>
      <c r="K15" s="237"/>
      <c r="L15" s="237"/>
      <c r="M15" s="237"/>
      <c r="N15" s="237"/>
    </row>
    <row r="16" spans="2:14" ht="20" customHeight="1" x14ac:dyDescent="0.2">
      <c r="B16" s="127" t="s">
        <v>286</v>
      </c>
      <c r="C16" s="138" t="s">
        <v>302</v>
      </c>
      <c r="D16" s="138" t="s">
        <v>303</v>
      </c>
      <c r="E16" s="138" t="s">
        <v>304</v>
      </c>
      <c r="F16" s="138" t="s">
        <v>305</v>
      </c>
      <c r="G16" s="139" t="s">
        <v>306</v>
      </c>
      <c r="H16" s="63"/>
      <c r="I16" s="127" t="s">
        <v>286</v>
      </c>
      <c r="J16" s="138" t="s">
        <v>302</v>
      </c>
      <c r="K16" s="138" t="s">
        <v>303</v>
      </c>
      <c r="L16" s="138" t="s">
        <v>304</v>
      </c>
      <c r="M16" s="138" t="s">
        <v>305</v>
      </c>
      <c r="N16" s="139" t="s">
        <v>306</v>
      </c>
    </row>
    <row r="17" spans="2:14" ht="20" customHeight="1" x14ac:dyDescent="0.2">
      <c r="B17" s="128" t="s">
        <v>309</v>
      </c>
      <c r="C17" s="122">
        <v>0.21641996592516555</v>
      </c>
      <c r="D17" s="122">
        <v>0.19849573190082581</v>
      </c>
      <c r="E17" s="122">
        <v>0.1820479244690878</v>
      </c>
      <c r="F17" s="122">
        <v>0.16686784886958295</v>
      </c>
      <c r="G17" s="131">
        <v>0.15278713770412256</v>
      </c>
      <c r="H17" s="63"/>
      <c r="I17" s="128" t="s">
        <v>312</v>
      </c>
      <c r="J17" s="122">
        <v>0.15057352649578637</v>
      </c>
      <c r="K17" s="122">
        <v>0.16068451300741016</v>
      </c>
      <c r="L17" s="122">
        <v>0.17045498585559216</v>
      </c>
      <c r="M17" s="122">
        <v>0.17990970904001147</v>
      </c>
      <c r="N17" s="131">
        <v>0.18907075343595925</v>
      </c>
    </row>
    <row r="18" spans="2:14" ht="20" customHeight="1" x14ac:dyDescent="0.2">
      <c r="B18" s="128" t="s">
        <v>310</v>
      </c>
      <c r="C18" s="122">
        <v>0.22754948039831402</v>
      </c>
      <c r="D18" s="122">
        <v>0.20946125036307151</v>
      </c>
      <c r="E18" s="122">
        <v>0.19286295533988418</v>
      </c>
      <c r="F18" s="122">
        <v>0.17754399113626174</v>
      </c>
      <c r="G18" s="131">
        <v>0.16333444989311596</v>
      </c>
      <c r="H18" s="63"/>
      <c r="I18" s="128" t="s">
        <v>313</v>
      </c>
      <c r="J18" s="122">
        <v>0.154024786789414</v>
      </c>
      <c r="K18" s="122">
        <v>0.16430069273218084</v>
      </c>
      <c r="L18" s="122">
        <v>0.17422613226107564</v>
      </c>
      <c r="M18" s="122">
        <v>0.1838269040110827</v>
      </c>
      <c r="N18" s="131">
        <v>0.19312596809463822</v>
      </c>
    </row>
    <row r="19" spans="2:14" ht="20" customHeight="1" x14ac:dyDescent="0.2">
      <c r="B19" s="128" t="s">
        <v>302</v>
      </c>
      <c r="C19" s="122">
        <v>0.23828942498299055</v>
      </c>
      <c r="D19" s="122">
        <v>0.22004293934069086</v>
      </c>
      <c r="E19" s="122">
        <v>0.20329942429045289</v>
      </c>
      <c r="F19" s="123">
        <v>0.18784643304411741</v>
      </c>
      <c r="G19" s="131">
        <v>0.17351257120293306</v>
      </c>
      <c r="H19" s="63"/>
      <c r="I19" s="128" t="s">
        <v>314</v>
      </c>
      <c r="J19" s="122">
        <v>0.15763625755993149</v>
      </c>
      <c r="K19" s="122">
        <v>0.16808296561914471</v>
      </c>
      <c r="L19" s="123">
        <v>0.17816879499335858</v>
      </c>
      <c r="M19" s="122">
        <v>0.18792063874683551</v>
      </c>
      <c r="N19" s="131">
        <v>0.19736239591731985</v>
      </c>
    </row>
    <row r="20" spans="2:14" ht="20" customHeight="1" x14ac:dyDescent="0.2">
      <c r="B20" s="128" t="s">
        <v>303</v>
      </c>
      <c r="C20" s="122">
        <v>0.2486692002086166</v>
      </c>
      <c r="D20" s="122">
        <v>0.23026976613939532</v>
      </c>
      <c r="E20" s="122">
        <v>0.21338590108761335</v>
      </c>
      <c r="F20" s="122">
        <v>0.19780337746179999</v>
      </c>
      <c r="G20" s="131">
        <v>0.18334936417538406</v>
      </c>
      <c r="H20" s="63"/>
      <c r="I20" s="128" t="s">
        <v>315</v>
      </c>
      <c r="J20" s="122">
        <v>0.1614198137635785</v>
      </c>
      <c r="K20" s="122">
        <v>0.1720435559043072</v>
      </c>
      <c r="L20" s="122">
        <v>0.18229551736051253</v>
      </c>
      <c r="M20" s="122">
        <v>0.19220374994189204</v>
      </c>
      <c r="N20" s="131">
        <v>0.20179314494840006</v>
      </c>
    </row>
    <row r="21" spans="2:14" ht="20" customHeight="1" x14ac:dyDescent="0.2">
      <c r="B21" s="129" t="s">
        <v>304</v>
      </c>
      <c r="C21" s="126">
        <v>0.2587148934379131</v>
      </c>
      <c r="D21" s="126">
        <v>0.24016743371848648</v>
      </c>
      <c r="E21" s="126">
        <v>0.22314773595071635</v>
      </c>
      <c r="F21" s="126">
        <v>0.20743984905650725</v>
      </c>
      <c r="G21" s="132">
        <v>0.19286955150250207</v>
      </c>
      <c r="H21" s="63"/>
      <c r="I21" s="129" t="s">
        <v>316</v>
      </c>
      <c r="J21" s="126">
        <v>0.16538857527094541</v>
      </c>
      <c r="K21" s="126">
        <v>0.17619596359900713</v>
      </c>
      <c r="L21" s="126">
        <v>0.18662014661530457</v>
      </c>
      <c r="M21" s="126">
        <v>0.19669040414804373</v>
      </c>
      <c r="N21" s="132">
        <v>0.20643267708772761</v>
      </c>
    </row>
    <row r="22" spans="2:14" ht="20" customHeight="1" x14ac:dyDescent="0.2"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</row>
    <row r="23" spans="2:14" ht="20" customHeight="1" x14ac:dyDescent="0.2"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</row>
    <row r="24" spans="2:14" ht="20" customHeight="1" x14ac:dyDescent="0.2">
      <c r="B24" s="237" t="s">
        <v>317</v>
      </c>
      <c r="C24" s="237"/>
      <c r="D24" s="237"/>
      <c r="E24" s="237"/>
      <c r="F24" s="237"/>
      <c r="G24" s="237"/>
      <c r="H24" s="63"/>
      <c r="I24" s="63"/>
      <c r="J24" s="63"/>
      <c r="K24" s="63"/>
      <c r="L24" s="63"/>
      <c r="M24" s="63"/>
      <c r="N24" s="63"/>
    </row>
    <row r="25" spans="2:14" ht="20" customHeight="1" x14ac:dyDescent="0.2">
      <c r="B25" s="127" t="s">
        <v>318</v>
      </c>
      <c r="C25" s="124" t="s">
        <v>319</v>
      </c>
      <c r="D25" s="124" t="s">
        <v>320</v>
      </c>
      <c r="E25" s="124" t="s">
        <v>286</v>
      </c>
      <c r="F25" s="124" t="s">
        <v>285</v>
      </c>
      <c r="G25" s="155" t="s">
        <v>12</v>
      </c>
      <c r="H25" s="63"/>
      <c r="I25" s="63"/>
      <c r="J25" s="63"/>
      <c r="K25" s="63"/>
      <c r="L25" s="63"/>
      <c r="M25" s="63"/>
      <c r="N25" s="63"/>
    </row>
    <row r="26" spans="2:14" ht="20" customHeight="1" x14ac:dyDescent="0.2">
      <c r="B26" s="152" t="s">
        <v>321</v>
      </c>
      <c r="C26" s="140">
        <v>15</v>
      </c>
      <c r="D26" s="141">
        <v>0.05</v>
      </c>
      <c r="E26" s="142">
        <v>0.12</v>
      </c>
      <c r="F26" s="143">
        <v>1.65</v>
      </c>
      <c r="G26" s="156">
        <v>56700</v>
      </c>
      <c r="H26" s="63"/>
      <c r="I26" s="63"/>
      <c r="J26" s="63"/>
      <c r="K26" s="63"/>
      <c r="L26" s="63"/>
      <c r="M26" s="63"/>
      <c r="N26" s="63"/>
    </row>
    <row r="27" spans="2:14" ht="20" customHeight="1" x14ac:dyDescent="0.2">
      <c r="B27" s="153" t="s">
        <v>322</v>
      </c>
      <c r="C27" s="144">
        <v>18</v>
      </c>
      <c r="D27" s="145">
        <v>0.1</v>
      </c>
      <c r="E27" s="146">
        <v>0.192</v>
      </c>
      <c r="F27" s="147">
        <v>2.4</v>
      </c>
      <c r="G27" s="157">
        <v>82606</v>
      </c>
      <c r="H27" s="63"/>
      <c r="I27" s="63"/>
      <c r="J27" s="63"/>
      <c r="K27" s="63"/>
      <c r="L27" s="63"/>
      <c r="M27" s="63"/>
      <c r="N27" s="63"/>
    </row>
    <row r="28" spans="2:14" ht="20" customHeight="1" x14ac:dyDescent="0.2">
      <c r="B28" s="152" t="s">
        <v>323</v>
      </c>
      <c r="C28" s="140">
        <v>20</v>
      </c>
      <c r="D28" s="141">
        <v>0.12</v>
      </c>
      <c r="E28" s="142">
        <v>0.25</v>
      </c>
      <c r="F28" s="143">
        <v>3.05</v>
      </c>
      <c r="G28" s="156">
        <v>104800</v>
      </c>
      <c r="H28" s="63"/>
      <c r="I28" s="63"/>
      <c r="J28" s="63"/>
      <c r="K28" s="63"/>
      <c r="L28" s="63"/>
      <c r="M28" s="63"/>
      <c r="N28" s="63"/>
    </row>
    <row r="29" spans="2:14" ht="20" customHeight="1" x14ac:dyDescent="0.2">
      <c r="B29" s="154" t="s">
        <v>324</v>
      </c>
      <c r="C29" s="148">
        <v>22</v>
      </c>
      <c r="D29" s="149">
        <v>0.15</v>
      </c>
      <c r="E29" s="150">
        <v>0.32</v>
      </c>
      <c r="F29" s="151">
        <v>4</v>
      </c>
      <c r="G29" s="158">
        <v>137500</v>
      </c>
      <c r="H29" s="63"/>
      <c r="I29" s="63"/>
      <c r="J29" s="63"/>
      <c r="K29" s="63"/>
      <c r="L29" s="63"/>
      <c r="M29" s="63"/>
      <c r="N29" s="63"/>
    </row>
    <row r="31" spans="2:14" x14ac:dyDescent="0.2">
      <c r="B31" s="159" t="s">
        <v>325</v>
      </c>
    </row>
  </sheetData>
  <mergeCells count="5">
    <mergeCell ref="B6:G6"/>
    <mergeCell ref="I6:N6"/>
    <mergeCell ref="B15:G15"/>
    <mergeCell ref="I15:N15"/>
    <mergeCell ref="B24:G2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180D6-D7C4-284B-872B-1405D3975E4C}">
  <dimension ref="B1:F30"/>
  <sheetViews>
    <sheetView tabSelected="1" workbookViewId="0">
      <selection activeCell="G29" sqref="G29"/>
    </sheetView>
  </sheetViews>
  <sheetFormatPr baseColWidth="10" defaultRowHeight="16" x14ac:dyDescent="0.2"/>
  <cols>
    <col min="1" max="1" width="3.5" style="1" customWidth="1"/>
    <col min="2" max="2" width="5.83203125" style="1" customWidth="1"/>
    <col min="3" max="3" width="35" style="1" customWidth="1"/>
    <col min="4" max="4" width="58.33203125" style="1" customWidth="1"/>
    <col min="5" max="5" width="35" style="1" customWidth="1"/>
    <col min="6" max="6" width="23.33203125" style="1" customWidth="1"/>
    <col min="7" max="16384" width="10.83203125" style="1"/>
  </cols>
  <sheetData>
    <row r="1" spans="2:6" ht="4" customHeight="1" x14ac:dyDescent="0.2">
      <c r="B1" s="6"/>
      <c r="C1" s="6"/>
      <c r="D1" s="6"/>
      <c r="E1" s="6"/>
      <c r="F1" s="6"/>
    </row>
    <row r="2" spans="2:6" ht="28" customHeight="1" x14ac:dyDescent="0.35">
      <c r="C2" s="7" t="s">
        <v>326</v>
      </c>
    </row>
    <row r="3" spans="2:6" ht="17" x14ac:dyDescent="0.25">
      <c r="C3" s="8" t="s">
        <v>327</v>
      </c>
    </row>
    <row r="4" spans="2:6" ht="17" thickBot="1" x14ac:dyDescent="0.25">
      <c r="C4" s="9"/>
      <c r="D4" s="9"/>
    </row>
    <row r="5" spans="2:6" ht="17" thickTop="1" x14ac:dyDescent="0.2"/>
    <row r="6" spans="2:6" ht="20" customHeight="1" x14ac:dyDescent="0.2">
      <c r="B6" s="63"/>
      <c r="C6" s="237" t="s">
        <v>328</v>
      </c>
      <c r="D6" s="237"/>
      <c r="E6" s="237"/>
      <c r="F6" s="237"/>
    </row>
    <row r="7" spans="2:6" ht="20" customHeight="1" x14ac:dyDescent="0.2">
      <c r="B7" s="106" t="s">
        <v>329</v>
      </c>
      <c r="C7" s="120" t="s">
        <v>330</v>
      </c>
      <c r="D7" s="106" t="s">
        <v>331</v>
      </c>
      <c r="E7" s="106" t="s">
        <v>24</v>
      </c>
      <c r="F7" s="106" t="s">
        <v>332</v>
      </c>
    </row>
    <row r="8" spans="2:6" ht="20" customHeight="1" x14ac:dyDescent="0.2">
      <c r="B8" s="25">
        <v>1</v>
      </c>
      <c r="C8" s="12" t="s">
        <v>333</v>
      </c>
      <c r="D8" s="25" t="s">
        <v>334</v>
      </c>
      <c r="E8" s="25" t="s">
        <v>335</v>
      </c>
      <c r="F8" s="25" t="s">
        <v>458</v>
      </c>
    </row>
    <row r="9" spans="2:6" ht="20" customHeight="1" x14ac:dyDescent="0.2">
      <c r="B9" s="63">
        <v>2</v>
      </c>
      <c r="C9" s="13" t="s">
        <v>336</v>
      </c>
      <c r="D9" s="63" t="s">
        <v>337</v>
      </c>
      <c r="E9" s="63" t="s">
        <v>338</v>
      </c>
      <c r="F9" s="211">
        <v>46082</v>
      </c>
    </row>
    <row r="10" spans="2:6" ht="20" customHeight="1" x14ac:dyDescent="0.2">
      <c r="B10" s="25">
        <v>3</v>
      </c>
      <c r="C10" s="12" t="s">
        <v>339</v>
      </c>
      <c r="D10" s="25" t="s">
        <v>340</v>
      </c>
      <c r="E10" s="25" t="s">
        <v>341</v>
      </c>
      <c r="F10" s="25" t="s">
        <v>458</v>
      </c>
    </row>
    <row r="11" spans="2:6" ht="20" customHeight="1" x14ac:dyDescent="0.2">
      <c r="B11" s="63">
        <v>4</v>
      </c>
      <c r="C11" s="13" t="s">
        <v>342</v>
      </c>
      <c r="D11" s="63" t="s">
        <v>343</v>
      </c>
      <c r="E11" s="63" t="s">
        <v>344</v>
      </c>
      <c r="F11" s="63">
        <v>2025</v>
      </c>
    </row>
    <row r="12" spans="2:6" ht="20" customHeight="1" x14ac:dyDescent="0.2">
      <c r="B12" s="25">
        <v>5</v>
      </c>
      <c r="C12" s="12" t="s">
        <v>345</v>
      </c>
      <c r="D12" s="25" t="s">
        <v>346</v>
      </c>
      <c r="E12" s="25" t="s">
        <v>347</v>
      </c>
      <c r="F12" s="212">
        <v>46082</v>
      </c>
    </row>
    <row r="13" spans="2:6" ht="20" customHeight="1" x14ac:dyDescent="0.2">
      <c r="B13" s="63">
        <v>6</v>
      </c>
      <c r="C13" s="13" t="s">
        <v>348</v>
      </c>
      <c r="D13" s="63" t="s">
        <v>349</v>
      </c>
      <c r="E13" s="63" t="s">
        <v>350</v>
      </c>
      <c r="F13" s="63" t="s">
        <v>459</v>
      </c>
    </row>
    <row r="14" spans="2:6" ht="20" customHeight="1" x14ac:dyDescent="0.2">
      <c r="B14" s="25">
        <v>7</v>
      </c>
      <c r="C14" s="12" t="s">
        <v>351</v>
      </c>
      <c r="D14" s="25" t="s">
        <v>352</v>
      </c>
      <c r="E14" s="25" t="s">
        <v>353</v>
      </c>
      <c r="F14" s="212">
        <v>46082</v>
      </c>
    </row>
    <row r="15" spans="2:6" ht="20" customHeight="1" x14ac:dyDescent="0.2">
      <c r="B15" s="63"/>
      <c r="C15" s="63"/>
      <c r="D15" s="63"/>
      <c r="E15" s="63"/>
      <c r="F15" s="63"/>
    </row>
    <row r="16" spans="2:6" ht="20" customHeight="1" x14ac:dyDescent="0.2">
      <c r="B16" s="63"/>
      <c r="C16" s="237" t="s">
        <v>354</v>
      </c>
      <c r="D16" s="237"/>
      <c r="E16" s="237"/>
      <c r="F16" s="237"/>
    </row>
    <row r="17" spans="2:6" ht="20" customHeight="1" x14ac:dyDescent="0.2">
      <c r="B17" s="106" t="s">
        <v>329</v>
      </c>
      <c r="C17" s="120" t="s">
        <v>355</v>
      </c>
      <c r="D17" s="106" t="s">
        <v>356</v>
      </c>
      <c r="E17" s="106" t="s">
        <v>357</v>
      </c>
      <c r="F17" s="106"/>
    </row>
    <row r="18" spans="2:6" ht="20" customHeight="1" x14ac:dyDescent="0.2">
      <c r="B18" s="25">
        <v>1</v>
      </c>
      <c r="C18" s="12" t="s">
        <v>358</v>
      </c>
      <c r="D18" s="25" t="s">
        <v>359</v>
      </c>
      <c r="E18" s="25" t="s">
        <v>360</v>
      </c>
      <c r="F18" s="25"/>
    </row>
    <row r="19" spans="2:6" ht="20" customHeight="1" x14ac:dyDescent="0.2">
      <c r="B19" s="63">
        <v>2</v>
      </c>
      <c r="C19" s="13" t="s">
        <v>361</v>
      </c>
      <c r="D19" s="63" t="s">
        <v>452</v>
      </c>
      <c r="E19" s="63" t="s">
        <v>362</v>
      </c>
      <c r="F19" s="63"/>
    </row>
    <row r="20" spans="2:6" ht="20" customHeight="1" x14ac:dyDescent="0.2">
      <c r="B20" s="25">
        <v>3</v>
      </c>
      <c r="C20" s="12" t="s">
        <v>363</v>
      </c>
      <c r="D20" s="25" t="s">
        <v>453</v>
      </c>
      <c r="E20" s="25" t="s">
        <v>364</v>
      </c>
      <c r="F20" s="25"/>
    </row>
    <row r="21" spans="2:6" ht="20" customHeight="1" x14ac:dyDescent="0.2">
      <c r="B21" s="63">
        <v>4</v>
      </c>
      <c r="C21" s="13" t="s">
        <v>365</v>
      </c>
      <c r="D21" s="63" t="s">
        <v>454</v>
      </c>
      <c r="E21" s="63" t="s">
        <v>366</v>
      </c>
      <c r="F21" s="63"/>
    </row>
    <row r="22" spans="2:6" ht="20" customHeight="1" x14ac:dyDescent="0.2">
      <c r="B22" s="25">
        <v>5</v>
      </c>
      <c r="C22" s="12" t="s">
        <v>319</v>
      </c>
      <c r="D22" s="25" t="s">
        <v>455</v>
      </c>
      <c r="E22" s="25" t="s">
        <v>367</v>
      </c>
      <c r="F22" s="25"/>
    </row>
    <row r="23" spans="2:6" ht="20" customHeight="1" x14ac:dyDescent="0.2">
      <c r="B23" s="63">
        <v>6</v>
      </c>
      <c r="C23" s="13" t="s">
        <v>368</v>
      </c>
      <c r="D23" s="63" t="s">
        <v>456</v>
      </c>
      <c r="E23" s="63" t="s">
        <v>369</v>
      </c>
      <c r="F23" s="63"/>
    </row>
    <row r="24" spans="2:6" ht="20" customHeight="1" x14ac:dyDescent="0.2">
      <c r="B24" s="25">
        <v>7</v>
      </c>
      <c r="C24" s="12" t="s">
        <v>370</v>
      </c>
      <c r="D24" s="210">
        <v>0.22</v>
      </c>
      <c r="E24" s="25" t="s">
        <v>371</v>
      </c>
      <c r="F24" s="25"/>
    </row>
    <row r="25" spans="2:6" ht="20" customHeight="1" x14ac:dyDescent="0.2">
      <c r="B25" s="63">
        <v>8</v>
      </c>
      <c r="C25" s="13" t="s">
        <v>372</v>
      </c>
      <c r="D25" s="63" t="s">
        <v>457</v>
      </c>
      <c r="E25" s="63" t="s">
        <v>373</v>
      </c>
      <c r="F25" s="63"/>
    </row>
    <row r="26" spans="2:6" ht="20" customHeight="1" x14ac:dyDescent="0.2">
      <c r="B26" s="63"/>
      <c r="C26" s="63"/>
      <c r="D26" s="63"/>
      <c r="E26" s="63"/>
      <c r="F26" s="63"/>
    </row>
    <row r="27" spans="2:6" ht="20" customHeight="1" x14ac:dyDescent="0.2">
      <c r="B27" s="63"/>
      <c r="C27" s="332"/>
      <c r="D27" s="332"/>
      <c r="E27" s="332"/>
      <c r="F27" s="332"/>
    </row>
    <row r="28" spans="2:6" ht="20" customHeight="1" x14ac:dyDescent="0.2">
      <c r="B28" s="63"/>
      <c r="C28" s="333"/>
      <c r="D28" s="334"/>
      <c r="E28" s="334"/>
      <c r="F28" s="334"/>
    </row>
    <row r="29" spans="2:6" ht="20" customHeight="1" x14ac:dyDescent="0.2">
      <c r="B29" s="63"/>
      <c r="C29" s="334"/>
      <c r="D29" s="334"/>
      <c r="E29" s="334"/>
      <c r="F29" s="334"/>
    </row>
    <row r="30" spans="2:6" ht="20" customHeight="1" x14ac:dyDescent="0.2">
      <c r="B30" s="63"/>
      <c r="C30" s="335"/>
      <c r="D30" s="334"/>
      <c r="E30" s="334"/>
      <c r="F30" s="334"/>
    </row>
  </sheetData>
  <mergeCells count="4">
    <mergeCell ref="C6:F6"/>
    <mergeCell ref="C16:F16"/>
    <mergeCell ref="C27:F27"/>
    <mergeCell ref="C28:F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</vt:lpstr>
      <vt:lpstr>ToC</vt:lpstr>
      <vt:lpstr>Executive Summary </vt:lpstr>
      <vt:lpstr>Entry Assumptions</vt:lpstr>
      <vt:lpstr>Historical Financials</vt:lpstr>
      <vt:lpstr>Operating Model</vt:lpstr>
      <vt:lpstr>3-Statement Model (Forecast)</vt:lpstr>
      <vt:lpstr>Debt Schedule</vt:lpstr>
      <vt:lpstr>Exit Assumptions</vt:lpstr>
      <vt:lpstr>Returns </vt:lpstr>
      <vt:lpstr>Sensitivity Analysis</vt:lpstr>
      <vt:lpstr>Sources and Footnotes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Divij Budhiraja</dc:creator>
  <cp:lastModifiedBy>Divij Budhiraja</cp:lastModifiedBy>
  <dcterms:created xsi:type="dcterms:W3CDTF">2026-03-25T19:26:25Z</dcterms:created>
  <dcterms:modified xsi:type="dcterms:W3CDTF">2026-03-26T11:11:52Z</dcterms:modified>
</cp:coreProperties>
</file>