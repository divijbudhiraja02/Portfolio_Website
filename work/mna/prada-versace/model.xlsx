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ijbudhiraja/Desktop/Fin_work/M&amp;A Deal advisory /strategic Acquisitions/Prada_Versace/"/>
    </mc:Choice>
  </mc:AlternateContent>
  <xr:revisionPtr revIDLastSave="0" documentId="13_ncr:1_{91D4AFA5-3A36-4446-B9CF-D5022A7D86C2}" xr6:coauthVersionLast="47" xr6:coauthVersionMax="47" xr10:uidLastSave="{00000000-0000-0000-0000-000000000000}"/>
  <bookViews>
    <workbookView xWindow="3080" yWindow="2160" windowWidth="28040" windowHeight="17180" firstSheet="1" activeTab="1" xr2:uid="{E2E6F8A7-56FE-F542-AAFC-00687055484A}"/>
  </bookViews>
  <sheets>
    <sheet name="Cover Page" sheetId="1" r:id="rId1"/>
    <sheet name="Summary &amp; Sensitivity" sheetId="6" r:id="rId2"/>
    <sheet name="Accretion and Dilution Analysis" sheetId="7" r:id="rId3"/>
    <sheet name="Assumptions" sheetId="2" r:id="rId4"/>
    <sheet name="Pro-Forma Model" sheetId="3" r:id="rId5"/>
    <sheet name="Acquirer Modelling" sheetId="4" r:id="rId6"/>
    <sheet name="Target Modelling" sheetId="5" r:id="rId7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3" l="1"/>
  <c r="F51" i="3"/>
  <c r="B51" i="3"/>
  <c r="G50" i="3"/>
  <c r="F50" i="3"/>
  <c r="C50" i="3"/>
  <c r="B50" i="3"/>
  <c r="F45" i="3"/>
  <c r="E45" i="3"/>
  <c r="D45" i="3"/>
  <c r="C45" i="3"/>
  <c r="B45" i="3"/>
  <c r="F44" i="3"/>
  <c r="E44" i="3"/>
  <c r="D44" i="3"/>
  <c r="C44" i="3"/>
  <c r="B44" i="3"/>
  <c r="F41" i="3"/>
  <c r="E41" i="3"/>
  <c r="D41" i="3"/>
  <c r="C41" i="3"/>
  <c r="B41" i="3"/>
  <c r="F39" i="3"/>
  <c r="E39" i="3"/>
  <c r="D39" i="3"/>
  <c r="C39" i="3"/>
  <c r="B39" i="3"/>
  <c r="F34" i="3"/>
  <c r="E34" i="3"/>
  <c r="D34" i="3"/>
  <c r="C34" i="3"/>
  <c r="B34" i="3"/>
  <c r="F33" i="3"/>
  <c r="E33" i="3"/>
  <c r="D33" i="3"/>
  <c r="C33" i="3"/>
  <c r="B33" i="3"/>
  <c r="F32" i="3"/>
  <c r="E32" i="3"/>
  <c r="D32" i="3"/>
  <c r="C32" i="3"/>
  <c r="B32" i="3"/>
  <c r="F31" i="3"/>
  <c r="E31" i="3"/>
  <c r="D31" i="3"/>
  <c r="C31" i="3"/>
  <c r="B31" i="3"/>
  <c r="F30" i="3"/>
  <c r="E30" i="3"/>
  <c r="D30" i="3"/>
  <c r="C30" i="3"/>
  <c r="B30" i="3"/>
  <c r="F29" i="3"/>
  <c r="E29" i="3"/>
  <c r="D29" i="3"/>
  <c r="C29" i="3"/>
  <c r="B29" i="3"/>
  <c r="F25" i="3"/>
  <c r="E25" i="3"/>
  <c r="D25" i="3"/>
  <c r="C25" i="3"/>
  <c r="B25" i="3"/>
  <c r="B24" i="3"/>
  <c r="F23" i="3"/>
  <c r="E23" i="3"/>
  <c r="D23" i="3"/>
  <c r="C23" i="3"/>
  <c r="B23" i="3"/>
  <c r="F19" i="3"/>
  <c r="E19" i="3"/>
  <c r="D19" i="3"/>
  <c r="C19" i="3"/>
  <c r="B19" i="3"/>
  <c r="F18" i="3"/>
  <c r="E18" i="3"/>
  <c r="D18" i="3"/>
  <c r="C18" i="3"/>
  <c r="B18" i="3"/>
  <c r="C17" i="3"/>
  <c r="B17" i="3"/>
  <c r="F16" i="3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2" i="3"/>
  <c r="E12" i="3"/>
  <c r="D12" i="3"/>
  <c r="C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A46" i="5" a="1"/>
  <c r="A46" i="5"/>
  <c r="D43" i="5"/>
  <c r="D42" i="5"/>
  <c r="H37" i="5"/>
  <c r="G37" i="5"/>
  <c r="F37" i="5"/>
  <c r="E37" i="5"/>
  <c r="D37" i="5"/>
  <c r="C37" i="5"/>
  <c r="B37" i="5"/>
  <c r="H36" i="5"/>
  <c r="G36" i="5"/>
  <c r="F36" i="5"/>
  <c r="E36" i="5"/>
  <c r="D36" i="5"/>
  <c r="C36" i="5"/>
  <c r="B36" i="5"/>
  <c r="H35" i="5"/>
  <c r="G35" i="5"/>
  <c r="F35" i="5"/>
  <c r="E35" i="5"/>
  <c r="D35" i="5"/>
  <c r="C35" i="5"/>
  <c r="B35" i="5"/>
  <c r="H30" i="5"/>
  <c r="G30" i="5"/>
  <c r="F30" i="5"/>
  <c r="E30" i="5"/>
  <c r="D30" i="5"/>
  <c r="C30" i="5"/>
  <c r="B30" i="5"/>
  <c r="H29" i="5"/>
  <c r="G29" i="5"/>
  <c r="F29" i="5"/>
  <c r="E29" i="5"/>
  <c r="D29" i="5"/>
  <c r="C29" i="5"/>
  <c r="B29" i="5"/>
  <c r="H26" i="5"/>
  <c r="G26" i="5"/>
  <c r="F26" i="5"/>
  <c r="E26" i="5"/>
  <c r="D26" i="5"/>
  <c r="C26" i="5"/>
  <c r="B26" i="5"/>
  <c r="H24" i="5"/>
  <c r="G24" i="5"/>
  <c r="F24" i="5"/>
  <c r="E24" i="5"/>
  <c r="D24" i="5"/>
  <c r="C24" i="5"/>
  <c r="B24" i="5"/>
  <c r="H21" i="5"/>
  <c r="G21" i="5"/>
  <c r="F21" i="5"/>
  <c r="E21" i="5"/>
  <c r="D21" i="5"/>
  <c r="C21" i="5"/>
  <c r="B21" i="5"/>
  <c r="H20" i="5"/>
  <c r="G20" i="5"/>
  <c r="F20" i="5"/>
  <c r="E20" i="5"/>
  <c r="D20" i="5"/>
  <c r="C20" i="5"/>
  <c r="B20" i="5"/>
  <c r="H17" i="5"/>
  <c r="G17" i="5"/>
  <c r="F17" i="5"/>
  <c r="E17" i="5"/>
  <c r="D17" i="5"/>
  <c r="C17" i="5"/>
  <c r="B17" i="5"/>
  <c r="H15" i="5"/>
  <c r="G15" i="5"/>
  <c r="F15" i="5"/>
  <c r="E15" i="5"/>
  <c r="D15" i="5"/>
  <c r="C15" i="5"/>
  <c r="B15" i="5"/>
  <c r="H14" i="5"/>
  <c r="G14" i="5"/>
  <c r="F14" i="5"/>
  <c r="E14" i="5"/>
  <c r="D14" i="5"/>
  <c r="C14" i="5"/>
  <c r="B14" i="5"/>
  <c r="H12" i="5"/>
  <c r="G12" i="5"/>
  <c r="F12" i="5"/>
  <c r="E12" i="5"/>
  <c r="D12" i="5"/>
  <c r="C12" i="5"/>
  <c r="B12" i="5"/>
  <c r="D10" i="5"/>
  <c r="C10" i="5"/>
  <c r="E9" i="5"/>
  <c r="F9" i="5"/>
  <c r="G9" i="5"/>
  <c r="H9" i="5"/>
  <c r="L9" i="5"/>
  <c r="H43" i="4"/>
  <c r="G43" i="4"/>
  <c r="F43" i="4"/>
  <c r="E43" i="4"/>
  <c r="D43" i="4"/>
  <c r="C43" i="4"/>
  <c r="B43" i="4"/>
  <c r="H42" i="4"/>
  <c r="G42" i="4"/>
  <c r="F42" i="4"/>
  <c r="E42" i="4"/>
  <c r="D42" i="4"/>
  <c r="C42" i="4"/>
  <c r="B42" i="4"/>
  <c r="H41" i="4"/>
  <c r="G41" i="4"/>
  <c r="F41" i="4"/>
  <c r="E41" i="4"/>
  <c r="D41" i="4"/>
  <c r="C41" i="4"/>
  <c r="B41" i="4"/>
  <c r="H36" i="4"/>
  <c r="G36" i="4"/>
  <c r="F36" i="4"/>
  <c r="E36" i="4"/>
  <c r="D36" i="4"/>
  <c r="C36" i="4"/>
  <c r="L35" i="4"/>
  <c r="H35" i="4"/>
  <c r="G35" i="4"/>
  <c r="F35" i="4"/>
  <c r="E35" i="4"/>
  <c r="D35" i="4"/>
  <c r="C35" i="4"/>
  <c r="B35" i="4"/>
  <c r="H30" i="4"/>
  <c r="G30" i="4"/>
  <c r="F30" i="4"/>
  <c r="E30" i="4"/>
  <c r="D30" i="4"/>
  <c r="C30" i="4"/>
  <c r="B30" i="4"/>
  <c r="H29" i="4"/>
  <c r="G29" i="4"/>
  <c r="F29" i="4"/>
  <c r="E29" i="4"/>
  <c r="D29" i="4"/>
  <c r="C29" i="4"/>
  <c r="B29" i="4"/>
  <c r="H26" i="4"/>
  <c r="G26" i="4"/>
  <c r="F26" i="4"/>
  <c r="E26" i="4"/>
  <c r="D26" i="4"/>
  <c r="C26" i="4"/>
  <c r="B26" i="4"/>
  <c r="H24" i="4"/>
  <c r="G24" i="4"/>
  <c r="F24" i="4"/>
  <c r="E24" i="4"/>
  <c r="D24" i="4"/>
  <c r="C24" i="4"/>
  <c r="B24" i="4"/>
  <c r="H21" i="4"/>
  <c r="G21" i="4"/>
  <c r="F21" i="4"/>
  <c r="E21" i="4"/>
  <c r="D21" i="4"/>
  <c r="C21" i="4"/>
  <c r="B21" i="4"/>
  <c r="H20" i="4"/>
  <c r="G20" i="4"/>
  <c r="F20" i="4"/>
  <c r="E20" i="4"/>
  <c r="D20" i="4"/>
  <c r="C20" i="4"/>
  <c r="B20" i="4"/>
  <c r="H17" i="4"/>
  <c r="G17" i="4"/>
  <c r="F17" i="4"/>
  <c r="E17" i="4"/>
  <c r="D17" i="4"/>
  <c r="C17" i="4"/>
  <c r="B17" i="4"/>
  <c r="H15" i="4"/>
  <c r="G15" i="4"/>
  <c r="F15" i="4"/>
  <c r="E15" i="4"/>
  <c r="D15" i="4"/>
  <c r="C15" i="4"/>
  <c r="B15" i="4"/>
  <c r="H14" i="4"/>
  <c r="G14" i="4"/>
  <c r="F14" i="4"/>
  <c r="E14" i="4"/>
  <c r="D14" i="4"/>
  <c r="C14" i="4"/>
  <c r="B14" i="4"/>
  <c r="H12" i="4"/>
  <c r="G12" i="4"/>
  <c r="F12" i="4"/>
  <c r="E12" i="4"/>
  <c r="D12" i="4"/>
  <c r="C12" i="4"/>
  <c r="B12" i="4"/>
  <c r="C10" i="4"/>
  <c r="D9" i="4"/>
  <c r="E9" i="4"/>
  <c r="F9" i="4"/>
  <c r="G9" i="4"/>
  <c r="H9" i="4"/>
  <c r="L9" i="4"/>
  <c r="H52" i="2"/>
  <c r="H51" i="2"/>
  <c r="H47" i="2"/>
  <c r="H46" i="2"/>
  <c r="C46" i="2"/>
  <c r="H42" i="2"/>
  <c r="H41" i="2"/>
  <c r="H40" i="2"/>
  <c r="C38" i="2"/>
  <c r="C37" i="2"/>
  <c r="H30" i="2"/>
  <c r="H29" i="2"/>
  <c r="C30" i="2"/>
  <c r="H23" i="2"/>
  <c r="H22" i="2"/>
  <c r="C17" i="2"/>
  <c r="H16" i="2"/>
  <c r="C16" i="2"/>
  <c r="H8" i="2"/>
  <c r="H7" i="2"/>
  <c r="H6" i="2"/>
  <c r="C27" i="2"/>
  <c r="B52" i="3"/>
  <c r="C51" i="3"/>
  <c r="C52" i="3"/>
  <c r="F52" i="3"/>
  <c r="G51" i="3"/>
  <c r="G5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Divij Budhiraja</author>
  </authors>
  <commentList>
    <comment ref="C6" authorId="0" shapeId="0" xr:uid="{47BDE2F9-4766-634F-AD94-301EB4141325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Prada Group Press Release, April 10, 2025, https://www.pradagroup.com/en/news-media/press-releases-documents/2025/25-04-10-prada-group-versace.html</t>
        </r>
      </text>
    </comment>
    <comment ref="C14" authorId="0" shapeId="0" xr:uid="{F2AF3B92-0F82-8143-8843-F65C962CDC26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Prada Group Press Release - €1.0 billion term loan</t>
        </r>
      </text>
    </comment>
    <comment ref="C15" authorId="0" shapeId="0" xr:uid="{BCE203DB-2449-1340-B253-2F3ED1E0464D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Prada Group Press Release - €0.5 billion bridge facility</t>
        </r>
      </text>
    </comment>
    <comment ref="C26" authorId="0" shapeId="0" xr:uid="{2517F63E-A1A0-2545-9DF7-E8508A99DD2D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Prada Group FY2024 Results, March 4, 2025, https://www.pradagroup.com/en/news-media/news-section/25-03-04-prada-group-24-fy-results.html</t>
        </r>
      </text>
    </comment>
    <comment ref="H27" authorId="0" shapeId="0" xr:uid="{045E2CC6-308C-6540-A324-7900628B5CBA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Prada Group FY2024 Results</t>
        </r>
      </text>
    </comment>
    <comment ref="C28" authorId="0" shapeId="0" xr:uid="{4E9CC3E0-8E78-E544-B1AB-18F4D50EAC2F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Prada Group FY2024 Results - Net profit grew 25% to €839 million</t>
        </r>
      </text>
    </comment>
    <comment ref="H28" authorId="0" shapeId="0" xr:uid="{AFF6305C-C65B-EB4A-AF3F-2C729A8DB2A0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Prada Group FY2024 Results</t>
        </r>
      </text>
    </comment>
    <comment ref="C29" authorId="0" shapeId="0" xr:uid="{578EEC7C-A413-FC42-BCFF-29A9B639BA81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Prada Group FY2024 Results - Net profit grew 25% to €839 million</t>
        </r>
      </text>
    </comment>
    <comment ref="C36" authorId="0" shapeId="0" xr:uid="{A42EF1D1-EDC4-B54F-9C37-B18E0303EF07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Capri Holdings FY2024 10-K, Versace segment</t>
        </r>
      </text>
    </comment>
    <comment ref="H37" authorId="0" shapeId="0" xr:uid="{FE5CDC6C-0E9A-FC4D-BF8D-63EFBC4C8AE0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Capri Holdings earnings releases</t>
        </r>
      </text>
    </comment>
    <comment ref="C38" authorId="0" shapeId="0" xr:uid="{485B7D80-D6D0-6340-AA7C-E58C0C03AD35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Capri Holdings - Versace operating income FY2024 approx.</t>
        </r>
      </text>
    </comment>
    <comment ref="C39" authorId="0" shapeId="0" xr:uid="{5488FF76-A446-404B-8602-FF2F2A80064A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Capri Holdings earnings releases</t>
        </r>
      </text>
    </comment>
    <comment ref="C40" authorId="0" shapeId="0" xr:uid="{C96E49F5-39F3-364F-9BA0-B2B372DDA4A7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Capri Holdings - Versace operating income FY2024 approx.</t>
        </r>
      </text>
    </comment>
    <comment ref="C41" authorId="0" shapeId="0" xr:uid="{9622DCA8-65CA-D24A-8F13-0FA9563B2738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Capri Holdings guidance - Versace FY2025 revenue ~$810M</t>
        </r>
      </text>
    </comment>
    <comment ref="C42" authorId="0" shapeId="0" xr:uid="{42443822-504B-004B-B379-F7F8634632C3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Versace reported operating losses in FY2025</t>
        </r>
      </text>
    </comment>
    <comment ref="C47" authorId="0" shapeId="0" xr:uid="{CB3F58BF-7003-AD4F-9393-0E1F763FD2B5}">
      <text>
        <r>
          <rPr>
            <b/>
            <sz val="10"/>
            <color rgb="FF000000"/>
            <rFont val="Tahoma"/>
            <family val="2"/>
          </rPr>
          <t>Source: Capri Holdings paid ~$2.15B for Versace in 2018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Divij Budhiraja</author>
  </authors>
  <commentList>
    <comment ref="B9" authorId="0" shapeId="0" xr:uid="{195D6159-EB26-1B42-91B2-679A0B0878D6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Prada Group FY2024 Results</t>
        </r>
      </text>
    </comment>
    <comment ref="C9" authorId="0" shapeId="0" xr:uid="{5C4F956B-E87B-FE4F-856C-2A4446E6C2FE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Prada Group FY2024 Results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Divij Budhiraja</author>
  </authors>
  <commentList>
    <comment ref="B9" authorId="0" shapeId="0" xr:uid="{F6DF4153-D0D8-694D-9ADB-A794B11A1746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Capri Holdings FY2023 10-K, Versace segment</t>
        </r>
      </text>
    </comment>
    <comment ref="C9" authorId="0" shapeId="0" xr:uid="{787E66F0-555E-034E-B313-9556CAD0F977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Capri Holdings FY2024 10-K, Versace segment</t>
        </r>
      </text>
    </comment>
    <comment ref="D9" authorId="0" shapeId="0" xr:uid="{9C1721AD-2FDD-0A4F-836D-31C504B65B1E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Capri Holdings guidance - Versace FY2025</t>
        </r>
      </text>
    </comment>
    <comment ref="D41" authorId="0" shapeId="0" xr:uid="{FA890164-FAD8-8847-8F32-702BF8B8D964}">
      <text>
        <r>
          <rPr>
            <b/>
            <sz val="10"/>
            <color rgb="FF000000"/>
            <rFont val="Tahoma"/>
            <family val="2"/>
          </rPr>
          <t>Divij Budhiraja:</t>
        </r>
        <r>
          <rPr>
            <sz val="10"/>
            <color rgb="FF000000"/>
            <rFont val="Tahoma"/>
            <family val="2"/>
          </rPr>
          <t xml:space="preserve">
Source: Deal announced April 10, 2025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<sst xmlns="http://schemas.openxmlformats.org/spreadsheetml/2006/main" count="262" uniqueCount="188">
  <si>
    <t>PRADA S.p.A.</t>
  </si>
  <si>
    <t>Acquisition of Versace</t>
  </si>
  <si>
    <t>M&amp;A Financial Model</t>
  </si>
  <si>
    <t>Prepared by:</t>
  </si>
  <si>
    <t>Investment Banking Division</t>
  </si>
  <si>
    <t>Date:</t>
  </si>
  <si>
    <t>TRANSACTION OVERVIEW</t>
  </si>
  <si>
    <t>Acquirer:</t>
  </si>
  <si>
    <t>Prada S.p.A. (1913:HK)</t>
  </si>
  <si>
    <t>Target:</t>
  </si>
  <si>
    <t>Versace (Capri Holdings - NYSE: CPRI)</t>
  </si>
  <si>
    <t>Transaction Type:</t>
  </si>
  <si>
    <t>100% Acquisition - All Cash</t>
  </si>
  <si>
    <t>Enterprise Value:</t>
  </si>
  <si>
    <t>$1.375 billion (€1.25 billion)</t>
  </si>
  <si>
    <t>Deal Status:</t>
  </si>
  <si>
    <t>Closed - December 2, 2025</t>
  </si>
  <si>
    <t>MODEL CONTENTS</t>
  </si>
  <si>
    <t>Summary &amp; Sensitivity Analysis</t>
  </si>
  <si>
    <t>Accretion / Dilution Analysis</t>
  </si>
  <si>
    <t>Transaction Assumptions</t>
  </si>
  <si>
    <t>Standalone Acquirer Model (Prada)</t>
  </si>
  <si>
    <t>Standalone Target Model (Versace)</t>
  </si>
  <si>
    <t>Pro-Forma Combined Model</t>
  </si>
  <si>
    <t>Sources &amp; Uses of Funds</t>
  </si>
  <si>
    <t>Synergy Schedule</t>
  </si>
  <si>
    <t>CONFIDENTIAL - FOR DISCUSSION PURPOSES ONLY</t>
  </si>
  <si>
    <t>TRANSACTION ASSUMPTIONS</t>
  </si>
  <si>
    <t>Prada S.p.A. Acquisition of Versace</t>
  </si>
  <si>
    <t>DEAL STRUCTURE</t>
  </si>
  <si>
    <t>Enterprise Value</t>
  </si>
  <si>
    <t>$mm</t>
  </si>
  <si>
    <t>Enterprise Value (EUR)</t>
  </si>
  <si>
    <t>€mm</t>
  </si>
  <si>
    <t>Cash Consideration %</t>
  </si>
  <si>
    <t>Stock Consideration %</t>
  </si>
  <si>
    <t>Transaction Costs</t>
  </si>
  <si>
    <t>% of EV</t>
  </si>
  <si>
    <t>USD/EUR Exchange Rate</t>
  </si>
  <si>
    <t>As of deal announcement (April 10, 2025)</t>
  </si>
  <si>
    <t>FINANCING STRUCTURE</t>
  </si>
  <si>
    <t>New Term Loan</t>
  </si>
  <si>
    <t>$mm (€1.0bn)</t>
  </si>
  <si>
    <t>Interest Rate</t>
  </si>
  <si>
    <t>Bridge Facility</t>
  </si>
  <si>
    <t>$mm (€0.5bn)</t>
  </si>
  <si>
    <t>Total New Debt</t>
  </si>
  <si>
    <t>Blended Rate</t>
  </si>
  <si>
    <t>Cash from Balance Sheet</t>
  </si>
  <si>
    <t>ACQUIRER PROFILE - PRADA S.p.A.</t>
  </si>
  <si>
    <t>Fiscal Year End</t>
  </si>
  <si>
    <t>Currency</t>
  </si>
  <si>
    <t>EUR</t>
  </si>
  <si>
    <t>Share Price (HKD)</t>
  </si>
  <si>
    <t>HKD</t>
  </si>
  <si>
    <t>Share Price (USD)</t>
  </si>
  <si>
    <t>USD</t>
  </si>
  <si>
    <t>Shares Outstanding (mm)</t>
  </si>
  <si>
    <t>mm</t>
  </si>
  <si>
    <t>Market Cap (USD)</t>
  </si>
  <si>
    <t>FY2024 Financials (€mm)</t>
  </si>
  <si>
    <t>Revenue</t>
  </si>
  <si>
    <t>YoY Growth</t>
  </si>
  <si>
    <t>EBIT</t>
  </si>
  <si>
    <t>EBIT Margin</t>
  </si>
  <si>
    <t>Net Income</t>
  </si>
  <si>
    <t>Net Margin</t>
  </si>
  <si>
    <t>EPS (€)</t>
  </si>
  <si>
    <t>P/E Ratio</t>
  </si>
  <si>
    <t>TARGET PROFILE - VERSACE</t>
  </si>
  <si>
    <t>Parent Company</t>
  </si>
  <si>
    <t>Capri Holdings (NYSE: CPRI)</t>
  </si>
  <si>
    <t>FY2024 Financials ($mm)</t>
  </si>
  <si>
    <t>% of Capri Total</t>
  </si>
  <si>
    <t>Gross Profit</t>
  </si>
  <si>
    <t>Gross Margin</t>
  </si>
  <si>
    <t>Operating Income</t>
  </si>
  <si>
    <t>Operating Margin</t>
  </si>
  <si>
    <t>FY2025 Financials ($mm)</t>
  </si>
  <si>
    <t>YoY Decline</t>
  </si>
  <si>
    <t>VALUATION METRICS</t>
  </si>
  <si>
    <t>EV / FY2024 Revenue</t>
  </si>
  <si>
    <t>EV / FY2025 Revenue</t>
  </si>
  <si>
    <t>Capri 2018 Purchase Price</t>
  </si>
  <si>
    <t>Discount to 2018 Price</t>
  </si>
  <si>
    <t>SYNERGY ASSUMPTIONS</t>
  </si>
  <si>
    <t>Cost Synergies (% of Target Rev)</t>
  </si>
  <si>
    <t>Annual Cost Synergies ($mm)</t>
  </si>
  <si>
    <t>Revenue Synergies (% of Target Rev)</t>
  </si>
  <si>
    <t>Annual Revenue Synergies ($mm)</t>
  </si>
  <si>
    <t>Synergy Phase-in (Years)</t>
  </si>
  <si>
    <t>years</t>
  </si>
  <si>
    <t>Year 1 Realization</t>
  </si>
  <si>
    <t>Integration Costs</t>
  </si>
  <si>
    <t>Spread over (years)</t>
  </si>
  <si>
    <t>TAX &amp; OTHER ASSUMPTIONS</t>
  </si>
  <si>
    <t>Corporate Tax Rate</t>
  </si>
  <si>
    <t>D&amp;A (% of Revenue)</t>
  </si>
  <si>
    <t>PRADA S.p.A. - STANDALONE FINANCIAL MODEL</t>
  </si>
  <si>
    <t>Acquirer Projections (€mm)</t>
  </si>
  <si>
    <t>INCOME STATEMENT</t>
  </si>
  <si>
    <t>Historical</t>
  </si>
  <si>
    <t>Projected</t>
  </si>
  <si>
    <t>(€mm)</t>
  </si>
  <si>
    <t>FY2023</t>
  </si>
  <si>
    <t>FY2024</t>
  </si>
  <si>
    <t>FY2025E</t>
  </si>
  <si>
    <t>FY2026E</t>
  </si>
  <si>
    <t>FY2027E</t>
  </si>
  <si>
    <t>FY2028E</t>
  </si>
  <si>
    <t>FY2029E</t>
  </si>
  <si>
    <t>CAGR FY24-29E:</t>
  </si>
  <si>
    <t xml:space="preserve">  Growth %</t>
  </si>
  <si>
    <t>Cost of Goods Sold</t>
  </si>
  <si>
    <t xml:space="preserve">  COGS % Revenue</t>
  </si>
  <si>
    <t xml:space="preserve">  Gross Margin</t>
  </si>
  <si>
    <t>Operating Expenses</t>
  </si>
  <si>
    <t xml:space="preserve">  OpEx % Revenue</t>
  </si>
  <si>
    <t xml:space="preserve">  EBIT Margin</t>
  </si>
  <si>
    <t>Interest Expense</t>
  </si>
  <si>
    <t>EBT</t>
  </si>
  <si>
    <t>Income Tax</t>
  </si>
  <si>
    <t xml:space="preserve">  Tax Rate</t>
  </si>
  <si>
    <t xml:space="preserve">  Net Margin</t>
  </si>
  <si>
    <t>PER SHARE DATA</t>
  </si>
  <si>
    <t>EPS</t>
  </si>
  <si>
    <t>EPS CAGR:</t>
  </si>
  <si>
    <t xml:space="preserve">  EPS Growth</t>
  </si>
  <si>
    <t>KEY METRICS</t>
  </si>
  <si>
    <t>D&amp;A</t>
  </si>
  <si>
    <t>EBITDA</t>
  </si>
  <si>
    <t xml:space="preserve">  EBITDA Margin</t>
  </si>
  <si>
    <t>CapEx (% of Revenue)</t>
  </si>
  <si>
    <t>VERSACE - STANDALONE FINANCIAL MODEL</t>
  </si>
  <si>
    <t>Target Projections ($mm)</t>
  </si>
  <si>
    <t>($mm)</t>
  </si>
  <si>
    <t>CAGR FY25-29E:</t>
  </si>
  <si>
    <t>Turnaround assumptions under Prada</t>
  </si>
  <si>
    <t>Margin improvement from Prada synergies</t>
  </si>
  <si>
    <t>Cost restructuring under new ownership</t>
  </si>
  <si>
    <t>Debt free basis under Prada</t>
  </si>
  <si>
    <t>VALUATION AT DEAL PRICE</t>
  </si>
  <si>
    <t>EV / Revenue</t>
  </si>
  <si>
    <t>EV / EBITDA</t>
  </si>
  <si>
    <t>Notes:</t>
  </si>
  <si>
    <t>PRO-FORMA COMBINED MODEL</t>
  </si>
  <si>
    <t>Prada + Versace Combined Entity</t>
  </si>
  <si>
    <t>COMBINED INCOME STATEMENT</t>
  </si>
  <si>
    <t>Prada Revenue (converted to $)</t>
  </si>
  <si>
    <t>Versace Revenue</t>
  </si>
  <si>
    <t>Revenue Synergies</t>
  </si>
  <si>
    <t>Phase-in: 33% Y1, 67% Y2, 100% Y3+</t>
  </si>
  <si>
    <t>Combined Revenue</t>
  </si>
  <si>
    <t xml:space="preserve">  Revenue Growth %</t>
  </si>
  <si>
    <t>Prada EBIT (converted to $)</t>
  </si>
  <si>
    <t>Versace EBIT</t>
  </si>
  <si>
    <t>Cost Synergies</t>
  </si>
  <si>
    <t>5% of Versace revenue</t>
  </si>
  <si>
    <t>$75mm over 2 years</t>
  </si>
  <si>
    <t>Combined EBIT</t>
  </si>
  <si>
    <t>NEW DEBT SERVICE</t>
  </si>
  <si>
    <t>New Term Loan Interest</t>
  </si>
  <si>
    <t>Assumes 10% annual paydown</t>
  </si>
  <si>
    <t>Bridge Facility Interest</t>
  </si>
  <si>
    <t>Bridge refinanced in Year 1</t>
  </si>
  <si>
    <t>Total New Interest Expense</t>
  </si>
  <si>
    <t>PRO-FORMA NET INCOME</t>
  </si>
  <si>
    <t>Prada Existing Interest</t>
  </si>
  <si>
    <t>New Acquisition Interest</t>
  </si>
  <si>
    <t>Income Tax (25%)</t>
  </si>
  <si>
    <t>Pro-Forma Net Income</t>
  </si>
  <si>
    <t>PRO-FORMA EPS ANALYSIS</t>
  </si>
  <si>
    <t>100% cash deal - no dilution</t>
  </si>
  <si>
    <t>Pro-Forma EPS</t>
  </si>
  <si>
    <t>Standalone Prada EPS ($)</t>
  </si>
  <si>
    <t>ACCRETION / (DILUTION)</t>
  </si>
  <si>
    <t>$ per Share</t>
  </si>
  <si>
    <t>% Accretion / (Dilution)</t>
  </si>
  <si>
    <t>SOURCES &amp; USES OF FUNDS ($mm)</t>
  </si>
  <si>
    <t>SOURCES</t>
  </si>
  <si>
    <t>Amount</t>
  </si>
  <si>
    <t>% of Total</t>
  </si>
  <si>
    <t>USES</t>
  </si>
  <si>
    <t>Purchase Price (EV)</t>
  </si>
  <si>
    <t>Total Sources</t>
  </si>
  <si>
    <t>Total Uses</t>
  </si>
  <si>
    <t>Excess Cash / (Shortfall)</t>
  </si>
  <si>
    <t>Funded from Prada cash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</si>
</sst>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$&quot;#,##0"/>
    <numFmt numFmtId="165" formatCode="\€#,##0"/>
    <numFmt numFmtId="166" formatCode="0.0%"/>
    <numFmt numFmtId="167" formatCode="0.000"/>
    <numFmt numFmtId="168" formatCode="&quot;$&quot;#,##0.00"/>
    <numFmt numFmtId="169" formatCode="\€0.00"/>
    <numFmt numFmtId="171" formatCode="0.0\x"/>
    <numFmt numFmtId="172" formatCode="&quot;$&quot;#,##0;\(&quot;$&quot;#,##0\);\-"/>
    <numFmt numFmtId="173" formatCode="0.0%;\(0.0%\);\-"/>
    <numFmt numFmtId="175" formatCode="\€#,##0;\(\€#,##0\)"/>
    <numFmt numFmtId="176" formatCode="&quot;$&quot;#,##0;\(&quot;$&quot;#,##0\)"/>
    <numFmt numFmtId="177" formatCode="0.0%;\(0.0%\)"/>
    <numFmt numFmtId="178" formatCode="&quot;$&quot;0.00"/>
    <numFmt numFmtId="179" formatCode="&quot;$&quot;0.00;\(&quot;$&quot;0.00\)"/>
  </numFmts>
  <fonts count="2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8"/>
      <color rgb="FF1A1A1A"/>
      <name val="Arial"/>
      <family val="2"/>
    </font>
    <font>
      <b/>
      <sz val="22"/>
      <color rgb="FF4A4A4A"/>
      <name val="Arial"/>
      <family val="2"/>
    </font>
    <font>
      <b/>
      <sz val="18"/>
      <color rgb="FF000000"/>
      <name val="Arial"/>
      <family val="2"/>
    </font>
    <font>
      <b/>
      <sz val="11"/>
      <color rgb="FF666666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1A1A1A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400"/>
      <name val="Aptos Narrow"/>
      <family val="2"/>
      <scheme val="minor"/>
    </font>
    <font>
      <b/>
      <i/>
      <sz val="10"/>
      <color rgb="FFCC000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rgb="FF666666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2"/>
      <color rgb="FF666666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9"/>
      <color rgb="FF666666"/>
      <name val="Aptos Narrow"/>
      <family val="2"/>
      <scheme val="minor"/>
    </font>
    <font>
      <i/>
      <sz val="10"/>
      <color rgb="FF666666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6F2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17" fontId="6" fillId="2" borderId="0" xfId="0" applyNumberFormat="1" applyFont="1" applyFill="1"/>
    <xf numFmtId="0" fontId="7" fillId="3" borderId="0" xfId="0" applyFont="1" applyFill="1"/>
    <xf numFmtId="0" fontId="8" fillId="2" borderId="0" xfId="0" applyFont="1" applyFill="1"/>
    <xf numFmtId="0" fontId="9" fillId="2" borderId="0" xfId="0" applyFont="1" applyFill="1"/>
    <xf numFmtId="0" fontId="1" fillId="2" borderId="0" xfId="0" applyFont="1" applyFill="1"/>
    <xf numFmtId="0" fontId="10" fillId="2" borderId="0" xfId="0" applyFont="1" applyFill="1"/>
    <xf numFmtId="0" fontId="11" fillId="4" borderId="0" xfId="0" applyFont="1" applyFill="1"/>
    <xf numFmtId="0" fontId="12" fillId="2" borderId="0" xfId="0" applyFont="1" applyFill="1"/>
    <xf numFmtId="0" fontId="1" fillId="5" borderId="0" xfId="0" applyFont="1" applyFill="1"/>
    <xf numFmtId="164" fontId="13" fillId="2" borderId="0" xfId="0" applyNumberFormat="1" applyFont="1" applyFill="1"/>
    <xf numFmtId="164" fontId="0" fillId="2" borderId="0" xfId="0" applyNumberFormat="1" applyFill="1"/>
    <xf numFmtId="165" fontId="0" fillId="2" borderId="0" xfId="0" applyNumberFormat="1" applyFill="1"/>
    <xf numFmtId="9" fontId="13" fillId="2" borderId="0" xfId="0" applyNumberFormat="1" applyFont="1" applyFill="1"/>
    <xf numFmtId="9" fontId="0" fillId="2" borderId="0" xfId="0" applyNumberFormat="1" applyFill="1"/>
    <xf numFmtId="166" fontId="0" fillId="2" borderId="0" xfId="0" applyNumberFormat="1" applyFill="1"/>
    <xf numFmtId="167" fontId="13" fillId="2" borderId="0" xfId="0" applyNumberFormat="1" applyFont="1" applyFill="1"/>
    <xf numFmtId="0" fontId="16" fillId="2" borderId="0" xfId="0" applyFont="1" applyFill="1"/>
    <xf numFmtId="10" fontId="13" fillId="2" borderId="0" xfId="0" applyNumberFormat="1" applyFont="1" applyFill="1"/>
    <xf numFmtId="164" fontId="1" fillId="2" borderId="0" xfId="0" applyNumberFormat="1" applyFont="1" applyFill="1"/>
    <xf numFmtId="10" fontId="0" fillId="2" borderId="0" xfId="0" applyNumberFormat="1" applyFill="1"/>
    <xf numFmtId="16" fontId="0" fillId="2" borderId="0" xfId="0" applyNumberFormat="1" applyFill="1"/>
    <xf numFmtId="4" fontId="13" fillId="2" borderId="0" xfId="0" applyNumberFormat="1" applyFont="1" applyFill="1"/>
    <xf numFmtId="168" fontId="0" fillId="2" borderId="0" xfId="0" applyNumberFormat="1" applyFill="1"/>
    <xf numFmtId="3" fontId="13" fillId="2" borderId="0" xfId="0" applyNumberFormat="1" applyFont="1" applyFill="1"/>
    <xf numFmtId="0" fontId="17" fillId="2" borderId="0" xfId="0" applyFont="1" applyFill="1"/>
    <xf numFmtId="165" fontId="13" fillId="2" borderId="0" xfId="0" applyNumberFormat="1" applyFont="1" applyFill="1"/>
    <xf numFmtId="166" fontId="13" fillId="2" borderId="0" xfId="0" applyNumberFormat="1" applyFont="1" applyFill="1"/>
    <xf numFmtId="169" fontId="0" fillId="2" borderId="0" xfId="0" applyNumberFormat="1" applyFill="1"/>
    <xf numFmtId="171" fontId="0" fillId="2" borderId="0" xfId="0" applyNumberFormat="1" applyFill="1"/>
    <xf numFmtId="172" fontId="13" fillId="2" borderId="0" xfId="0" applyNumberFormat="1" applyFont="1" applyFill="1"/>
    <xf numFmtId="173" fontId="0" fillId="2" borderId="0" xfId="0" applyNumberFormat="1" applyFill="1"/>
    <xf numFmtId="1" fontId="13" fillId="2" borderId="0" xfId="0" applyNumberFormat="1" applyFont="1" applyFill="1"/>
    <xf numFmtId="0" fontId="1" fillId="2" borderId="0" xfId="0" applyFont="1" applyFill="1" applyAlignment="1">
      <alignment horizontal="center"/>
    </xf>
    <xf numFmtId="0" fontId="18" fillId="2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175" fontId="0" fillId="2" borderId="0" xfId="0" applyNumberFormat="1" applyFill="1"/>
    <xf numFmtId="165" fontId="1" fillId="2" borderId="0" xfId="0" applyNumberFormat="1" applyFont="1" applyFill="1"/>
    <xf numFmtId="175" fontId="13" fillId="2" borderId="0" xfId="0" applyNumberFormat="1" applyFont="1" applyFill="1"/>
    <xf numFmtId="165" fontId="1" fillId="8" borderId="0" xfId="0" applyNumberFormat="1" applyFont="1" applyFill="1"/>
    <xf numFmtId="3" fontId="0" fillId="2" borderId="0" xfId="0" applyNumberFormat="1" applyFill="1"/>
    <xf numFmtId="169" fontId="1" fillId="2" borderId="0" xfId="0" applyNumberFormat="1" applyFont="1" applyFill="1"/>
    <xf numFmtId="0" fontId="19" fillId="2" borderId="0" xfId="0" applyFont="1" applyFill="1"/>
    <xf numFmtId="176" fontId="0" fillId="2" borderId="0" xfId="0" applyNumberFormat="1" applyFill="1"/>
    <xf numFmtId="176" fontId="1" fillId="2" borderId="0" xfId="0" applyNumberFormat="1" applyFont="1" applyFill="1"/>
    <xf numFmtId="177" fontId="0" fillId="2" borderId="0" xfId="0" applyNumberFormat="1" applyFill="1"/>
    <xf numFmtId="172" fontId="0" fillId="2" borderId="0" xfId="0" applyNumberFormat="1" applyFill="1"/>
    <xf numFmtId="176" fontId="1" fillId="8" borderId="0" xfId="0" applyNumberFormat="1" applyFont="1" applyFill="1"/>
    <xf numFmtId="0" fontId="20" fillId="2" borderId="0" xfId="0" applyFont="1" applyFill="1"/>
    <xf numFmtId="164" fontId="1" fillId="9" borderId="0" xfId="0" applyNumberFormat="1" applyFont="1" applyFill="1"/>
    <xf numFmtId="164" fontId="1" fillId="8" borderId="0" xfId="0" applyNumberFormat="1" applyFont="1" applyFill="1"/>
    <xf numFmtId="178" fontId="1" fillId="2" borderId="0" xfId="0" applyNumberFormat="1" applyFont="1" applyFill="1"/>
    <xf numFmtId="178" fontId="0" fillId="2" borderId="0" xfId="0" applyNumberFormat="1" applyFill="1"/>
    <xf numFmtId="179" fontId="0" fillId="2" borderId="0" xfId="0" applyNumberFormat="1" applyFill="1"/>
    <xf numFmtId="177" fontId="1" fillId="9" borderId="0" xfId="0" applyNumberFormat="1" applyFont="1" applyFill="1"/>
    <xf numFmtId="0" fontId="1" fillId="6" borderId="0" xfId="0" applyFont="1" applyFill="1" applyAlignment="1">
      <alignment horizontal="right"/>
    </xf>
    <xf numFmtId="166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05F722-CA7A-7943-A88B-37FD7060651A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F035-153E-8F46-B2B1-CF22D3A50190}">
  <dimension ref="A1:B30"/>
  <sheetViews>
    <sheetView topLeftCell="A5" zoomScale="150" workbookViewId="0">
      <selection activeCell="B16" sqref="B16"/>
    </sheetView>
  </sheetViews>
  <sheetFormatPr baseColWidth="10" defaultRowHeight="16" x14ac:dyDescent="0.2"/>
  <cols>
    <col min="1" max="16384" width="10.83203125" style="1"/>
  </cols>
  <sheetData>
    <row r="1" spans="1:2" ht="35" x14ac:dyDescent="0.35">
      <c r="A1" s="2" t="s">
        <v>0</v>
      </c>
    </row>
    <row r="2" spans="1:2" ht="28" x14ac:dyDescent="0.3">
      <c r="A2" s="3" t="s">
        <v>1</v>
      </c>
    </row>
    <row r="4" spans="1:2" ht="23" x14ac:dyDescent="0.25">
      <c r="A4" s="4" t="s">
        <v>2</v>
      </c>
    </row>
    <row r="6" spans="1:2" x14ac:dyDescent="0.2">
      <c r="A6" s="5" t="s">
        <v>3</v>
      </c>
      <c r="B6" s="6" t="s">
        <v>4</v>
      </c>
    </row>
    <row r="7" spans="1:2" x14ac:dyDescent="0.2">
      <c r="A7" s="5" t="s">
        <v>5</v>
      </c>
      <c r="B7" s="7">
        <v>46054</v>
      </c>
    </row>
    <row r="10" spans="1:2" ht="19" x14ac:dyDescent="0.25">
      <c r="A10" s="8" t="s">
        <v>6</v>
      </c>
    </row>
    <row r="12" spans="1:2" x14ac:dyDescent="0.2">
      <c r="A12" s="9" t="s">
        <v>7</v>
      </c>
      <c r="B12" s="6" t="s">
        <v>8</v>
      </c>
    </row>
    <row r="13" spans="1:2" x14ac:dyDescent="0.2">
      <c r="A13" s="9" t="s">
        <v>9</v>
      </c>
      <c r="B13" s="6" t="s">
        <v>10</v>
      </c>
    </row>
    <row r="14" spans="1:2" x14ac:dyDescent="0.2">
      <c r="A14" s="9" t="s">
        <v>11</v>
      </c>
      <c r="B14" s="6" t="s">
        <v>12</v>
      </c>
    </row>
    <row r="15" spans="1:2" x14ac:dyDescent="0.2">
      <c r="A15" s="9" t="s">
        <v>13</v>
      </c>
      <c r="B15" s="6" t="s">
        <v>14</v>
      </c>
    </row>
    <row r="16" spans="1:2" x14ac:dyDescent="0.2">
      <c r="A16" s="9" t="s">
        <v>15</v>
      </c>
      <c r="B16" s="10" t="s">
        <v>16</v>
      </c>
    </row>
    <row r="19" spans="1:2" ht="19" x14ac:dyDescent="0.25">
      <c r="A19" s="8" t="s">
        <v>17</v>
      </c>
    </row>
    <row r="21" spans="1:2" x14ac:dyDescent="0.2">
      <c r="A21" s="11">
        <v>1</v>
      </c>
      <c r="B21" s="1" t="s">
        <v>18</v>
      </c>
    </row>
    <row r="22" spans="1:2" x14ac:dyDescent="0.2">
      <c r="A22" s="11">
        <v>2</v>
      </c>
      <c r="B22" s="1" t="s">
        <v>19</v>
      </c>
    </row>
    <row r="23" spans="1:2" x14ac:dyDescent="0.2">
      <c r="A23" s="11">
        <v>3</v>
      </c>
      <c r="B23" s="1" t="s">
        <v>20</v>
      </c>
    </row>
    <row r="24" spans="1:2" x14ac:dyDescent="0.2">
      <c r="A24" s="11">
        <v>4</v>
      </c>
      <c r="B24" s="1" t="s">
        <v>21</v>
      </c>
    </row>
    <row r="25" spans="1:2" x14ac:dyDescent="0.2">
      <c r="A25" s="11">
        <v>5</v>
      </c>
      <c r="B25" s="1" t="s">
        <v>22</v>
      </c>
    </row>
    <row r="26" spans="1:2" x14ac:dyDescent="0.2">
      <c r="A26" s="11">
        <v>6</v>
      </c>
      <c r="B26" s="1" t="s">
        <v>23</v>
      </c>
    </row>
    <row r="27" spans="1:2" x14ac:dyDescent="0.2">
      <c r="A27" s="11">
        <v>7</v>
      </c>
      <c r="B27" s="1" t="s">
        <v>24</v>
      </c>
    </row>
    <row r="28" spans="1:2" x14ac:dyDescent="0.2">
      <c r="A28" s="11">
        <v>8</v>
      </c>
      <c r="B28" s="1" t="s">
        <v>25</v>
      </c>
    </row>
    <row r="30" spans="1:2" x14ac:dyDescent="0.2">
      <c r="A30" s="1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9B01-9C44-BA45-B9BD-91C5D67C2A94}">
  <dimension ref="A1"/>
  <sheetViews>
    <sheetView tabSelected="1" workbookViewId="0">
      <selection activeCell="H26" sqref="H26"/>
    </sheetView>
  </sheetViews>
  <sheetFormatPr baseColWidth="10" defaultRowHeight="16" x14ac:dyDescent="0.2"/>
  <cols>
    <col min="1" max="16384" width="10.83203125" style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7C28-6CC6-CB45-99EF-53BA5F2ACC78}">
  <dimension ref="A1"/>
  <sheetViews>
    <sheetView workbookViewId="0">
      <selection activeCell="E30" sqref="E30"/>
    </sheetView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6815-A1F4-3D44-9F88-B6097E9447AC}">
  <dimension ref="A1:I58"/>
  <sheetViews>
    <sheetView topLeftCell="A27" workbookViewId="0">
      <selection activeCell="D34" sqref="D34"/>
    </sheetView>
  </sheetViews>
  <sheetFormatPr baseColWidth="10" defaultRowHeight="16" x14ac:dyDescent="0.2"/>
  <cols>
    <col min="1" max="16384" width="10.83203125" style="1"/>
  </cols>
  <sheetData>
    <row r="1" spans="1:9" ht="22" x14ac:dyDescent="0.3">
      <c r="A1" s="13" t="s">
        <v>27</v>
      </c>
    </row>
    <row r="2" spans="1:9" x14ac:dyDescent="0.2">
      <c r="A2" s="14" t="s">
        <v>28</v>
      </c>
    </row>
    <row r="4" spans="1:9" x14ac:dyDescent="0.2">
      <c r="A4" s="15" t="s">
        <v>29</v>
      </c>
    </row>
    <row r="6" spans="1:9" x14ac:dyDescent="0.2">
      <c r="A6" s="11" t="s">
        <v>30</v>
      </c>
      <c r="C6" s="16">
        <v>1375</v>
      </c>
      <c r="D6" s="1" t="s">
        <v>31</v>
      </c>
      <c r="F6" s="11" t="s">
        <v>32</v>
      </c>
      <c r="H6" s="18">
        <f>C6/C10</f>
        <v>1252.2768670309654</v>
      </c>
      <c r="I6" s="1" t="s">
        <v>33</v>
      </c>
    </row>
    <row r="7" spans="1:9" x14ac:dyDescent="0.2">
      <c r="A7" s="11" t="s">
        <v>34</v>
      </c>
      <c r="C7" s="19">
        <v>1</v>
      </c>
      <c r="F7" s="1" t="s">
        <v>35</v>
      </c>
      <c r="H7" s="20">
        <f>1-C7</f>
        <v>0</v>
      </c>
    </row>
    <row r="8" spans="1:9" x14ac:dyDescent="0.2">
      <c r="A8" s="11" t="s">
        <v>36</v>
      </c>
      <c r="C8" s="16">
        <v>35</v>
      </c>
      <c r="D8" s="1" t="s">
        <v>31</v>
      </c>
      <c r="F8" s="1" t="s">
        <v>37</v>
      </c>
      <c r="H8" s="21">
        <f>C8/C6</f>
        <v>2.5454545454545455E-2</v>
      </c>
    </row>
    <row r="10" spans="1:9" x14ac:dyDescent="0.2">
      <c r="A10" s="11" t="s">
        <v>38</v>
      </c>
      <c r="C10" s="22">
        <v>1.0980000000000001</v>
      </c>
      <c r="F10" s="23" t="s">
        <v>39</v>
      </c>
    </row>
    <row r="12" spans="1:9" x14ac:dyDescent="0.2">
      <c r="A12" s="15" t="s">
        <v>40</v>
      </c>
    </row>
    <row r="14" spans="1:9" x14ac:dyDescent="0.2">
      <c r="A14" s="11" t="s">
        <v>41</v>
      </c>
      <c r="C14" s="16">
        <v>1098</v>
      </c>
      <c r="D14" s="1" t="s">
        <v>42</v>
      </c>
      <c r="F14" s="1" t="s">
        <v>43</v>
      </c>
      <c r="H14" s="24">
        <v>5.5E-2</v>
      </c>
    </row>
    <row r="15" spans="1:9" x14ac:dyDescent="0.2">
      <c r="A15" s="11" t="s">
        <v>44</v>
      </c>
      <c r="C15" s="16">
        <v>549</v>
      </c>
      <c r="D15" s="1" t="s">
        <v>45</v>
      </c>
      <c r="F15" s="1" t="s">
        <v>43</v>
      </c>
      <c r="H15" s="24">
        <v>0.06</v>
      </c>
    </row>
    <row r="16" spans="1:9" x14ac:dyDescent="0.2">
      <c r="A16" s="11" t="s">
        <v>46</v>
      </c>
      <c r="C16" s="25">
        <f>C14+C15</f>
        <v>1647</v>
      </c>
      <c r="D16" s="1" t="s">
        <v>31</v>
      </c>
      <c r="F16" s="1" t="s">
        <v>47</v>
      </c>
      <c r="H16" s="26">
        <f>(C14*H14+C15*H15)/C16</f>
        <v>5.6666666666666664E-2</v>
      </c>
    </row>
    <row r="17" spans="1:9" x14ac:dyDescent="0.2">
      <c r="A17" s="11" t="s">
        <v>48</v>
      </c>
      <c r="C17" s="16">
        <f>C6+C8-C16</f>
        <v>-237</v>
      </c>
      <c r="D17" s="1" t="s">
        <v>31</v>
      </c>
    </row>
    <row r="19" spans="1:9" x14ac:dyDescent="0.2">
      <c r="A19" s="15" t="s">
        <v>49</v>
      </c>
    </row>
    <row r="21" spans="1:9" x14ac:dyDescent="0.2">
      <c r="A21" s="1" t="s">
        <v>50</v>
      </c>
      <c r="C21" s="27">
        <v>46387</v>
      </c>
      <c r="F21" s="1" t="s">
        <v>51</v>
      </c>
      <c r="H21" s="1" t="s">
        <v>52</v>
      </c>
    </row>
    <row r="22" spans="1:9" x14ac:dyDescent="0.2">
      <c r="A22" s="11" t="s">
        <v>53</v>
      </c>
      <c r="C22" s="28">
        <v>44.5</v>
      </c>
      <c r="D22" s="1" t="s">
        <v>54</v>
      </c>
      <c r="F22" s="1" t="s">
        <v>55</v>
      </c>
      <c r="H22" s="29">
        <f>C22/7.8</f>
        <v>5.7051282051282053</v>
      </c>
      <c r="I22" s="1" t="s">
        <v>56</v>
      </c>
    </row>
    <row r="23" spans="1:9" x14ac:dyDescent="0.2">
      <c r="A23" s="11" t="s">
        <v>57</v>
      </c>
      <c r="C23" s="30">
        <v>2560</v>
      </c>
      <c r="D23" s="1" t="s">
        <v>58</v>
      </c>
      <c r="F23" s="11" t="s">
        <v>59</v>
      </c>
      <c r="H23" s="17">
        <f>C23*H22</f>
        <v>14605.128205128205</v>
      </c>
      <c r="I23" s="1" t="s">
        <v>31</v>
      </c>
    </row>
    <row r="25" spans="1:9" x14ac:dyDescent="0.2">
      <c r="A25" s="31" t="s">
        <v>60</v>
      </c>
    </row>
    <row r="26" spans="1:9" x14ac:dyDescent="0.2">
      <c r="A26" s="11" t="s">
        <v>61</v>
      </c>
      <c r="C26" s="32">
        <v>5430</v>
      </c>
      <c r="D26" s="1" t="s">
        <v>33</v>
      </c>
      <c r="F26" s="1" t="s">
        <v>62</v>
      </c>
      <c r="H26" s="21">
        <v>0.15</v>
      </c>
    </row>
    <row r="27" spans="1:9" x14ac:dyDescent="0.2">
      <c r="A27" s="11" t="s">
        <v>63</v>
      </c>
      <c r="C27" s="18">
        <f>C26*H28</f>
        <v>1281.48</v>
      </c>
      <c r="D27" s="1" t="s">
        <v>33</v>
      </c>
      <c r="F27" s="1" t="s">
        <v>64</v>
      </c>
      <c r="H27" s="33">
        <v>0.15</v>
      </c>
    </row>
    <row r="28" spans="1:9" x14ac:dyDescent="0.2">
      <c r="A28" s="11" t="s">
        <v>65</v>
      </c>
      <c r="C28" s="33">
        <v>0.23599999999999999</v>
      </c>
      <c r="D28" s="1" t="s">
        <v>33</v>
      </c>
      <c r="F28" s="1" t="s">
        <v>66</v>
      </c>
      <c r="H28" s="33">
        <v>0.23599999999999999</v>
      </c>
    </row>
    <row r="29" spans="1:9" x14ac:dyDescent="0.2">
      <c r="A29" s="11" t="s">
        <v>67</v>
      </c>
      <c r="C29" s="32">
        <v>839</v>
      </c>
      <c r="F29" s="1" t="s">
        <v>68</v>
      </c>
      <c r="H29" s="21">
        <f>C29/C26</f>
        <v>0.15451197053406998</v>
      </c>
    </row>
    <row r="30" spans="1:9" x14ac:dyDescent="0.2">
      <c r="C30" s="34">
        <f>C29/C23*1000</f>
        <v>327.734375</v>
      </c>
      <c r="H30" s="35">
        <f>H22*C10/C30</f>
        <v>1.9113743467497939E-2</v>
      </c>
    </row>
    <row r="31" spans="1:9" x14ac:dyDescent="0.2">
      <c r="A31" s="15" t="s">
        <v>69</v>
      </c>
    </row>
    <row r="33" spans="1:8" x14ac:dyDescent="0.2">
      <c r="A33" s="1" t="s">
        <v>70</v>
      </c>
      <c r="C33" s="1" t="s">
        <v>71</v>
      </c>
      <c r="F33" s="1" t="s">
        <v>50</v>
      </c>
      <c r="H33" s="27">
        <v>46112</v>
      </c>
    </row>
    <row r="35" spans="1:8" x14ac:dyDescent="0.2">
      <c r="A35" s="31" t="s">
        <v>72</v>
      </c>
    </row>
    <row r="36" spans="1:8" x14ac:dyDescent="0.2">
      <c r="A36" s="11" t="s">
        <v>61</v>
      </c>
      <c r="C36" s="16">
        <v>1030</v>
      </c>
      <c r="D36" s="1" t="s">
        <v>31</v>
      </c>
      <c r="F36" s="1" t="s">
        <v>73</v>
      </c>
      <c r="H36" s="20">
        <v>0.2</v>
      </c>
    </row>
    <row r="37" spans="1:8" x14ac:dyDescent="0.2">
      <c r="A37" s="11" t="s">
        <v>74</v>
      </c>
      <c r="C37" s="17">
        <f>C36*H39</f>
        <v>669.5</v>
      </c>
      <c r="D37" s="1" t="s">
        <v>31</v>
      </c>
      <c r="F37" s="1" t="s">
        <v>75</v>
      </c>
      <c r="H37" s="33">
        <v>0.65</v>
      </c>
    </row>
    <row r="38" spans="1:8" x14ac:dyDescent="0.2">
      <c r="A38" s="11" t="s">
        <v>76</v>
      </c>
      <c r="C38" s="16">
        <f>C40</f>
        <v>50</v>
      </c>
      <c r="D38" s="1" t="s">
        <v>31</v>
      </c>
      <c r="F38" s="1" t="s">
        <v>77</v>
      </c>
      <c r="H38" s="20">
        <v>0.2</v>
      </c>
    </row>
    <row r="39" spans="1:8" x14ac:dyDescent="0.2">
      <c r="C39" s="33">
        <v>0.65</v>
      </c>
      <c r="H39" s="33">
        <v>0.65</v>
      </c>
    </row>
    <row r="40" spans="1:8" x14ac:dyDescent="0.2">
      <c r="A40" s="31" t="s">
        <v>78</v>
      </c>
      <c r="C40" s="16">
        <v>50</v>
      </c>
      <c r="H40" s="21">
        <f>C40/C36</f>
        <v>4.8543689320388349E-2</v>
      </c>
    </row>
    <row r="41" spans="1:8" x14ac:dyDescent="0.2">
      <c r="A41" s="11" t="s">
        <v>61</v>
      </c>
      <c r="C41" s="16">
        <v>810</v>
      </c>
      <c r="D41" s="1" t="s">
        <v>31</v>
      </c>
      <c r="F41" s="1" t="s">
        <v>79</v>
      </c>
      <c r="H41" s="21">
        <f>C41/C36-1</f>
        <v>-0.21359223300970875</v>
      </c>
    </row>
    <row r="42" spans="1:8" x14ac:dyDescent="0.2">
      <c r="A42" s="11" t="s">
        <v>76</v>
      </c>
      <c r="C42" s="36">
        <v>-50</v>
      </c>
      <c r="D42" s="1" t="s">
        <v>31</v>
      </c>
      <c r="F42" s="1" t="s">
        <v>77</v>
      </c>
      <c r="H42" s="37">
        <f>C42/C41</f>
        <v>-6.1728395061728392E-2</v>
      </c>
    </row>
    <row r="44" spans="1:8" x14ac:dyDescent="0.2">
      <c r="A44" s="15" t="s">
        <v>80</v>
      </c>
    </row>
    <row r="46" spans="1:8" x14ac:dyDescent="0.2">
      <c r="A46" s="1" t="s">
        <v>81</v>
      </c>
      <c r="C46" s="35">
        <f>C6/C36</f>
        <v>1.3349514563106797</v>
      </c>
      <c r="F46" s="1" t="s">
        <v>82</v>
      </c>
      <c r="H46" s="35">
        <f>C6/C41</f>
        <v>1.6975308641975309</v>
      </c>
    </row>
    <row r="47" spans="1:8" x14ac:dyDescent="0.2">
      <c r="A47" s="1" t="s">
        <v>83</v>
      </c>
      <c r="C47" s="17">
        <v>2150</v>
      </c>
      <c r="D47" s="1" t="s">
        <v>31</v>
      </c>
      <c r="F47" s="1" t="s">
        <v>84</v>
      </c>
      <c r="H47" s="21">
        <f>1-C6/C47</f>
        <v>0.36046511627906974</v>
      </c>
    </row>
    <row r="49" spans="1:8" x14ac:dyDescent="0.2">
      <c r="A49" s="15" t="s">
        <v>85</v>
      </c>
    </row>
    <row r="51" spans="1:8" x14ac:dyDescent="0.2">
      <c r="A51" s="11" t="s">
        <v>86</v>
      </c>
      <c r="C51" s="33">
        <v>0.05</v>
      </c>
      <c r="F51" s="1" t="s">
        <v>87</v>
      </c>
      <c r="H51" s="17">
        <f>C51*C41</f>
        <v>40.5</v>
      </c>
    </row>
    <row r="52" spans="1:8" x14ac:dyDescent="0.2">
      <c r="A52" s="11" t="s">
        <v>88</v>
      </c>
      <c r="C52" s="33">
        <v>0.02</v>
      </c>
      <c r="F52" s="1" t="s">
        <v>89</v>
      </c>
      <c r="H52" s="17">
        <f>C52*C41</f>
        <v>16.2</v>
      </c>
    </row>
    <row r="53" spans="1:8" x14ac:dyDescent="0.2">
      <c r="A53" s="11" t="s">
        <v>90</v>
      </c>
      <c r="C53" s="38">
        <v>3</v>
      </c>
      <c r="D53" s="1" t="s">
        <v>91</v>
      </c>
      <c r="F53" s="1" t="s">
        <v>92</v>
      </c>
      <c r="H53" s="19">
        <v>0.33</v>
      </c>
    </row>
    <row r="54" spans="1:8" x14ac:dyDescent="0.2">
      <c r="A54" s="11" t="s">
        <v>93</v>
      </c>
      <c r="C54" s="16">
        <v>75</v>
      </c>
      <c r="D54" s="1" t="s">
        <v>31</v>
      </c>
      <c r="F54" s="1" t="s">
        <v>94</v>
      </c>
      <c r="H54" s="38">
        <v>2</v>
      </c>
    </row>
    <row r="56" spans="1:8" x14ac:dyDescent="0.2">
      <c r="A56" s="15" t="s">
        <v>95</v>
      </c>
    </row>
    <row r="58" spans="1:8" x14ac:dyDescent="0.2">
      <c r="A58" s="11" t="s">
        <v>96</v>
      </c>
      <c r="C58" s="33">
        <v>0.25</v>
      </c>
      <c r="F58" s="1" t="s">
        <v>97</v>
      </c>
      <c r="H58" s="33">
        <v>0.06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AF7D-5DA9-8944-803C-F03561ED222D}">
  <dimension ref="A1:H54"/>
  <sheetViews>
    <sheetView topLeftCell="A34" workbookViewId="0">
      <selection activeCell="K19" sqref="K19"/>
    </sheetView>
  </sheetViews>
  <sheetFormatPr baseColWidth="10" defaultRowHeight="16" x14ac:dyDescent="0.2"/>
  <cols>
    <col min="1" max="16384" width="10.83203125" style="1"/>
  </cols>
  <sheetData>
    <row r="1" spans="1:8" ht="22" x14ac:dyDescent="0.3">
      <c r="A1" s="13" t="s">
        <v>145</v>
      </c>
    </row>
    <row r="2" spans="1:8" x14ac:dyDescent="0.2">
      <c r="A2" s="14" t="s">
        <v>146</v>
      </c>
    </row>
    <row r="4" spans="1:8" x14ac:dyDescent="0.2">
      <c r="A4" s="15" t="s">
        <v>147</v>
      </c>
    </row>
    <row r="6" spans="1:8" x14ac:dyDescent="0.2">
      <c r="A6" s="40" t="s">
        <v>135</v>
      </c>
      <c r="B6" s="43" t="s">
        <v>106</v>
      </c>
      <c r="C6" s="43" t="s">
        <v>107</v>
      </c>
      <c r="D6" s="43" t="s">
        <v>108</v>
      </c>
      <c r="E6" s="43" t="s">
        <v>109</v>
      </c>
      <c r="F6" s="43" t="s">
        <v>110</v>
      </c>
    </row>
    <row r="8" spans="1:8" x14ac:dyDescent="0.2">
      <c r="A8" s="11" t="s">
        <v>148</v>
      </c>
      <c r="B8" s="17">
        <f>'Acquirer Modelling'!D9*Assumptions!$C$10</f>
        <v>6498.7326000000012</v>
      </c>
      <c r="C8" s="17">
        <f>'Acquirer Modelling'!E9*Assumptions!$C$10</f>
        <v>7018.6312080000016</v>
      </c>
      <c r="D8" s="17">
        <f>'Acquirer Modelling'!F9*Assumptions!$C$10</f>
        <v>7509.9353925600017</v>
      </c>
      <c r="E8" s="17">
        <f>'Acquirer Modelling'!G9*Assumptions!$C$10</f>
        <v>7960.5315161136023</v>
      </c>
      <c r="F8" s="17">
        <f>'Acquirer Modelling'!H9*Assumptions!$C$10</f>
        <v>8438.1634070804193</v>
      </c>
    </row>
    <row r="9" spans="1:8" x14ac:dyDescent="0.2">
      <c r="A9" s="11" t="s">
        <v>149</v>
      </c>
      <c r="B9" s="17">
        <f>'Target Modelling'!D9</f>
        <v>810</v>
      </c>
      <c r="C9" s="17">
        <f>'Target Modelling'!E9</f>
        <v>826.2</v>
      </c>
      <c r="D9" s="17">
        <f>'Target Modelling'!F9</f>
        <v>867.5100000000001</v>
      </c>
      <c r="E9" s="17">
        <f>'Target Modelling'!G9</f>
        <v>928.23570000000018</v>
      </c>
      <c r="F9" s="17">
        <f>'Target Modelling'!H9</f>
        <v>1002.4945560000002</v>
      </c>
    </row>
    <row r="10" spans="1:8" x14ac:dyDescent="0.2">
      <c r="A10" s="1" t="s">
        <v>150</v>
      </c>
      <c r="B10" s="17">
        <f>Assumptions!$H$52*Assumptions!$H$55</f>
        <v>0</v>
      </c>
      <c r="C10" s="17">
        <f>Assumptions!$H$52*Assumptions!$H$55*2</f>
        <v>0</v>
      </c>
      <c r="D10" s="17">
        <f>Assumptions!$H$52</f>
        <v>16.2</v>
      </c>
      <c r="E10" s="17">
        <f>Assumptions!$H$52</f>
        <v>16.2</v>
      </c>
      <c r="F10" s="17">
        <f>Assumptions!$H$52</f>
        <v>16.2</v>
      </c>
      <c r="H10" s="50" t="s">
        <v>151</v>
      </c>
    </row>
    <row r="11" spans="1:8" x14ac:dyDescent="0.2">
      <c r="A11" s="11" t="s">
        <v>152</v>
      </c>
      <c r="B11" s="57">
        <f>SUM(B8:B10)</f>
        <v>7308.7326000000012</v>
      </c>
      <c r="C11" s="57">
        <f>SUM(C8:C10)</f>
        <v>7844.8312080000014</v>
      </c>
      <c r="D11" s="57">
        <f>SUM(D8:D10)</f>
        <v>8393.6453925600017</v>
      </c>
      <c r="E11" s="57">
        <f>SUM(E8:E10)</f>
        <v>8904.9672161136041</v>
      </c>
      <c r="F11" s="57">
        <f>SUM(F8:F10)</f>
        <v>9456.8579630804197</v>
      </c>
    </row>
    <row r="12" spans="1:8" x14ac:dyDescent="0.2">
      <c r="A12" s="23" t="s">
        <v>153</v>
      </c>
      <c r="C12" s="21">
        <f>(C11-B11)/B11</f>
        <v>7.3350420290379775E-2</v>
      </c>
      <c r="D12" s="21">
        <f>(D11-C11)/C11</f>
        <v>6.9958698920166776E-2</v>
      </c>
      <c r="E12" s="21">
        <f>(E11-D11)/D11</f>
        <v>6.0917729977827059E-2</v>
      </c>
      <c r="F12" s="21">
        <f>(F11-E11)/E11</f>
        <v>6.1975606824039201E-2</v>
      </c>
    </row>
    <row r="14" spans="1:8" x14ac:dyDescent="0.2">
      <c r="A14" s="1" t="s">
        <v>154</v>
      </c>
      <c r="B14" s="17">
        <f>'Acquirer Modelling'!D20*Assumptions!$C$10</f>
        <v>1592.1894870000003</v>
      </c>
      <c r="C14" s="17">
        <f>'Acquirer Modelling'!E20*Assumptions!$C$10</f>
        <v>1754.6578020000006</v>
      </c>
      <c r="D14" s="17">
        <f>'Acquirer Modelling'!F20*Assumptions!$C$10</f>
        <v>1952.5832020656003</v>
      </c>
      <c r="E14" s="17">
        <f>'Acquirer Modelling'!G20*Assumptions!$C$10</f>
        <v>2109.5408517701048</v>
      </c>
      <c r="F14" s="17">
        <f>'Acquirer Modelling'!H20*Assumptions!$C$10</f>
        <v>2320.4949369471155</v>
      </c>
    </row>
    <row r="15" spans="1:8" x14ac:dyDescent="0.2">
      <c r="A15" s="1" t="s">
        <v>155</v>
      </c>
      <c r="B15" s="51">
        <f>'Target Modelling'!D20</f>
        <v>24.300000000000011</v>
      </c>
      <c r="C15" s="51">
        <f>'Target Modelling'!E20</f>
        <v>66.09600000000006</v>
      </c>
      <c r="D15" s="51">
        <f>'Target Modelling'!F20</f>
        <v>104.10119999999995</v>
      </c>
      <c r="E15" s="51">
        <f>'Target Modelling'!G20</f>
        <v>148.5177119999999</v>
      </c>
      <c r="F15" s="51">
        <f>'Target Modelling'!H20</f>
        <v>190.47396564000002</v>
      </c>
    </row>
    <row r="16" spans="1:8" x14ac:dyDescent="0.2">
      <c r="A16" s="1" t="s">
        <v>156</v>
      </c>
      <c r="B16" s="17">
        <f>Assumptions!$H$51*Assumptions!$H$55</f>
        <v>0</v>
      </c>
      <c r="C16" s="17">
        <f>Assumptions!$H$51*Assumptions!$H$55*2</f>
        <v>0</v>
      </c>
      <c r="D16" s="17">
        <f>Assumptions!$H$51</f>
        <v>40.5</v>
      </c>
      <c r="E16" s="17">
        <f>Assumptions!$H$51</f>
        <v>40.5</v>
      </c>
      <c r="F16" s="17">
        <f>Assumptions!$H$51</f>
        <v>40.5</v>
      </c>
      <c r="H16" s="50" t="s">
        <v>157</v>
      </c>
    </row>
    <row r="17" spans="1:8" x14ac:dyDescent="0.2">
      <c r="A17" s="1" t="s">
        <v>93</v>
      </c>
      <c r="B17" s="54" t="e">
        <f>-Assumptions!$C$56/Assumptions!$H$56</f>
        <v>#DIV/0!</v>
      </c>
      <c r="C17" s="54" t="e">
        <f>-Assumptions!$C$56/Assumptions!$H$56</f>
        <v>#DIV/0!</v>
      </c>
      <c r="D17" s="54">
        <v>0</v>
      </c>
      <c r="E17" s="54">
        <v>0</v>
      </c>
      <c r="F17" s="54">
        <v>0</v>
      </c>
      <c r="H17" s="50" t="s">
        <v>158</v>
      </c>
    </row>
    <row r="18" spans="1:8" x14ac:dyDescent="0.2">
      <c r="A18" s="11" t="s">
        <v>159</v>
      </c>
      <c r="B18" s="57" t="e">
        <f>SUM(B14:B17)</f>
        <v>#DIV/0!</v>
      </c>
      <c r="C18" s="57" t="e">
        <f>SUM(C14:C17)</f>
        <v>#DIV/0!</v>
      </c>
      <c r="D18" s="57">
        <f>SUM(D14:D17)</f>
        <v>2097.1844020656004</v>
      </c>
      <c r="E18" s="57">
        <f>SUM(E14:E17)</f>
        <v>2298.5585637701047</v>
      </c>
      <c r="F18" s="57">
        <f>SUM(F14:F17)</f>
        <v>2551.4689025871157</v>
      </c>
    </row>
    <row r="19" spans="1:8" x14ac:dyDescent="0.2">
      <c r="A19" s="23" t="s">
        <v>118</v>
      </c>
      <c r="B19" s="21" t="e">
        <f>B18/B11</f>
        <v>#DIV/0!</v>
      </c>
      <c r="C19" s="21" t="e">
        <f>C18/C11</f>
        <v>#DIV/0!</v>
      </c>
      <c r="D19" s="21">
        <f>D18/D11</f>
        <v>0.24985382440917892</v>
      </c>
      <c r="E19" s="21">
        <f>E18/E11</f>
        <v>0.25812094620751058</v>
      </c>
      <c r="F19" s="21">
        <f>F18/F11</f>
        <v>0.2698009119464469</v>
      </c>
    </row>
    <row r="21" spans="1:8" x14ac:dyDescent="0.2">
      <c r="A21" s="15" t="s">
        <v>160</v>
      </c>
    </row>
    <row r="23" spans="1:8" x14ac:dyDescent="0.2">
      <c r="A23" s="1" t="s">
        <v>161</v>
      </c>
      <c r="B23" s="51">
        <f>-Assumptions!$C$14*Assumptions!$H$14</f>
        <v>-60.39</v>
      </c>
      <c r="C23" s="51">
        <f>-Assumptions!$C$14*Assumptions!$H$14</f>
        <v>-60.39</v>
      </c>
      <c r="D23" s="51">
        <f>-Assumptions!$C$14*Assumptions!$H$14*0.9</f>
        <v>-54.350999999999999</v>
      </c>
      <c r="E23" s="51">
        <f>-Assumptions!$C$14*Assumptions!$H$14*0.8</f>
        <v>-48.312000000000005</v>
      </c>
      <c r="F23" s="51">
        <f>-Assumptions!$C$14*Assumptions!$H$14*0.7</f>
        <v>-42.272999999999996</v>
      </c>
      <c r="H23" s="50" t="s">
        <v>162</v>
      </c>
    </row>
    <row r="24" spans="1:8" x14ac:dyDescent="0.2">
      <c r="A24" s="1" t="s">
        <v>163</v>
      </c>
      <c r="B24" s="51">
        <f>-Assumptions!$C$15*Assumptions!$H$15</f>
        <v>-32.94</v>
      </c>
      <c r="C24" s="54">
        <v>0</v>
      </c>
      <c r="D24" s="54">
        <v>0</v>
      </c>
      <c r="E24" s="54">
        <v>0</v>
      </c>
      <c r="F24" s="54">
        <v>0</v>
      </c>
      <c r="H24" s="50" t="s">
        <v>164</v>
      </c>
    </row>
    <row r="25" spans="1:8" x14ac:dyDescent="0.2">
      <c r="A25" s="11" t="s">
        <v>165</v>
      </c>
      <c r="B25" s="52">
        <f>B23+B24</f>
        <v>-93.33</v>
      </c>
      <c r="C25" s="52">
        <f>C23+C24</f>
        <v>-60.39</v>
      </c>
      <c r="D25" s="52">
        <f>D23+D24</f>
        <v>-54.350999999999999</v>
      </c>
      <c r="E25" s="52">
        <f>E23+E24</f>
        <v>-48.312000000000005</v>
      </c>
      <c r="F25" s="52">
        <f>F23+F24</f>
        <v>-42.272999999999996</v>
      </c>
    </row>
    <row r="27" spans="1:8" x14ac:dyDescent="0.2">
      <c r="A27" s="15" t="s">
        <v>166</v>
      </c>
    </row>
    <row r="29" spans="1:8" x14ac:dyDescent="0.2">
      <c r="A29" s="1" t="s">
        <v>159</v>
      </c>
      <c r="B29" s="17" t="e">
        <f>B18</f>
        <v>#DIV/0!</v>
      </c>
      <c r="C29" s="17" t="e">
        <f>C18</f>
        <v>#DIV/0!</v>
      </c>
      <c r="D29" s="17">
        <f>D18</f>
        <v>2097.1844020656004</v>
      </c>
      <c r="E29" s="17">
        <f>E18</f>
        <v>2298.5585637701047</v>
      </c>
      <c r="F29" s="17">
        <f>F18</f>
        <v>2551.4689025871157</v>
      </c>
    </row>
    <row r="30" spans="1:8" x14ac:dyDescent="0.2">
      <c r="A30" s="1" t="s">
        <v>167</v>
      </c>
      <c r="B30" s="51">
        <f>'Acquirer Modelling'!D23*Assumptions!$C$10</f>
        <v>-19.764000000000003</v>
      </c>
      <c r="C30" s="51">
        <f>'Acquirer Modelling'!E23*Assumptions!$C$10</f>
        <v>-16.470000000000002</v>
      </c>
      <c r="D30" s="51">
        <f>'Acquirer Modelling'!F23*Assumptions!$C$10</f>
        <v>-13.176000000000002</v>
      </c>
      <c r="E30" s="51">
        <f>'Acquirer Modelling'!G23*Assumptions!$C$10</f>
        <v>-10.98</v>
      </c>
      <c r="F30" s="51">
        <f>'Acquirer Modelling'!H23*Assumptions!$C$10</f>
        <v>-8.7840000000000007</v>
      </c>
    </row>
    <row r="31" spans="1:8" x14ac:dyDescent="0.2">
      <c r="A31" s="1" t="s">
        <v>168</v>
      </c>
      <c r="B31" s="51">
        <f>B25</f>
        <v>-93.33</v>
      </c>
      <c r="C31" s="51">
        <f>C25</f>
        <v>-60.39</v>
      </c>
      <c r="D31" s="51">
        <f>D25</f>
        <v>-54.350999999999999</v>
      </c>
      <c r="E31" s="51">
        <f>E25</f>
        <v>-48.312000000000005</v>
      </c>
      <c r="F31" s="51">
        <f>F25</f>
        <v>-42.272999999999996</v>
      </c>
    </row>
    <row r="32" spans="1:8" x14ac:dyDescent="0.2">
      <c r="A32" s="11" t="s">
        <v>120</v>
      </c>
      <c r="B32" s="25" t="e">
        <f>SUM(B29:B31)</f>
        <v>#DIV/0!</v>
      </c>
      <c r="C32" s="25" t="e">
        <f>SUM(C29:C31)</f>
        <v>#DIV/0!</v>
      </c>
      <c r="D32" s="25">
        <f>SUM(D29:D31)</f>
        <v>2029.6574020656003</v>
      </c>
      <c r="E32" s="25">
        <f>SUM(E29:E31)</f>
        <v>2239.2665637701048</v>
      </c>
      <c r="F32" s="25">
        <f>SUM(F29:F31)</f>
        <v>2500.4119025871155</v>
      </c>
    </row>
    <row r="33" spans="1:8" x14ac:dyDescent="0.2">
      <c r="A33" s="1" t="s">
        <v>169</v>
      </c>
      <c r="B33" s="51" t="e">
        <f>-B32*0.25</f>
        <v>#DIV/0!</v>
      </c>
      <c r="C33" s="51" t="e">
        <f>-C32*0.25</f>
        <v>#DIV/0!</v>
      </c>
      <c r="D33" s="51">
        <f>-D32*0.25</f>
        <v>-507.41435051640008</v>
      </c>
      <c r="E33" s="51">
        <f>-E32*0.25</f>
        <v>-559.81664094252619</v>
      </c>
      <c r="F33" s="51">
        <f>-F32*0.25</f>
        <v>-625.10297564677887</v>
      </c>
    </row>
    <row r="34" spans="1:8" x14ac:dyDescent="0.2">
      <c r="A34" s="11" t="s">
        <v>170</v>
      </c>
      <c r="B34" s="58" t="e">
        <f>B32+B33</f>
        <v>#DIV/0!</v>
      </c>
      <c r="C34" s="58" t="e">
        <f>C32+C33</f>
        <v>#DIV/0!</v>
      </c>
      <c r="D34" s="58">
        <f>D32+D33</f>
        <v>1522.2430515492001</v>
      </c>
      <c r="E34" s="58">
        <f>E32+E33</f>
        <v>1679.4499228275786</v>
      </c>
      <c r="F34" s="58">
        <f>F32+F33</f>
        <v>1875.3089269403367</v>
      </c>
    </row>
    <row r="36" spans="1:8" x14ac:dyDescent="0.2">
      <c r="A36" s="15" t="s">
        <v>171</v>
      </c>
    </row>
    <row r="38" spans="1:8" x14ac:dyDescent="0.2">
      <c r="A38" s="1" t="s">
        <v>57</v>
      </c>
      <c r="B38" s="48">
        <v>2560</v>
      </c>
      <c r="C38" s="48">
        <v>2560</v>
      </c>
      <c r="D38" s="48">
        <v>2560</v>
      </c>
      <c r="E38" s="48">
        <v>2560</v>
      </c>
      <c r="F38" s="48">
        <v>2560</v>
      </c>
      <c r="H38" s="50" t="s">
        <v>172</v>
      </c>
    </row>
    <row r="39" spans="1:8" x14ac:dyDescent="0.2">
      <c r="A39" s="11" t="s">
        <v>173</v>
      </c>
      <c r="B39" s="59" t="e">
        <f>B34/B38*1000</f>
        <v>#DIV/0!</v>
      </c>
      <c r="C39" s="59" t="e">
        <f>C34/C38*1000</f>
        <v>#DIV/0!</v>
      </c>
      <c r="D39" s="59">
        <f>D34/D38*1000</f>
        <v>594.62619201140637</v>
      </c>
      <c r="E39" s="59">
        <f>E34/E38*1000</f>
        <v>656.03512610452287</v>
      </c>
      <c r="F39" s="59">
        <f>F34/F38*1000</f>
        <v>732.54254958606896</v>
      </c>
    </row>
    <row r="41" spans="1:8" x14ac:dyDescent="0.2">
      <c r="A41" s="1" t="s">
        <v>174</v>
      </c>
      <c r="B41" s="60">
        <f>'Acquirer Modelling'!D35*Assumptions!$C$10</f>
        <v>460.67152939453138</v>
      </c>
      <c r="C41" s="60">
        <f>'Acquirer Modelling'!E35*Assumptions!$C$10</f>
        <v>509.23470761718761</v>
      </c>
      <c r="D41" s="60">
        <f>'Acquirer Modelling'!F35*Assumptions!$C$10</f>
        <v>568.18570373015632</v>
      </c>
      <c r="E41" s="60">
        <f>'Acquirer Modelling'!G35*Assumptions!$C$10</f>
        <v>614.81274954202286</v>
      </c>
      <c r="F41" s="60">
        <f>'Acquirer Modelling'!H35*Assumptions!$C$10</f>
        <v>677.2590635587253</v>
      </c>
    </row>
    <row r="43" spans="1:8" x14ac:dyDescent="0.2">
      <c r="A43" s="11" t="s">
        <v>175</v>
      </c>
    </row>
    <row r="44" spans="1:8" x14ac:dyDescent="0.2">
      <c r="A44" s="1" t="s">
        <v>176</v>
      </c>
      <c r="B44" s="61" t="e">
        <f>B39-B41</f>
        <v>#DIV/0!</v>
      </c>
      <c r="C44" s="61" t="e">
        <f>C39-C41</f>
        <v>#DIV/0!</v>
      </c>
      <c r="D44" s="61">
        <f>D39-D41</f>
        <v>26.440488281250055</v>
      </c>
      <c r="E44" s="61">
        <f>E39-E41</f>
        <v>41.222376562500017</v>
      </c>
      <c r="F44" s="61">
        <f>F39-F41</f>
        <v>55.283486027343656</v>
      </c>
    </row>
    <row r="45" spans="1:8" x14ac:dyDescent="0.2">
      <c r="A45" s="11" t="s">
        <v>177</v>
      </c>
      <c r="B45" s="62" t="e">
        <f>(B39-B41)/B41</f>
        <v>#DIV/0!</v>
      </c>
      <c r="C45" s="62" t="e">
        <f>(C39-C41)/C41</f>
        <v>#DIV/0!</v>
      </c>
      <c r="D45" s="62">
        <f>(D39-D41)/D41</f>
        <v>4.6534941142776821E-2</v>
      </c>
      <c r="E45" s="62">
        <f>(E39-E41)/E41</f>
        <v>6.7048669034932631E-2</v>
      </c>
      <c r="F45" s="62">
        <f>(F39-F41)/F41</f>
        <v>8.1628270483160556E-2</v>
      </c>
    </row>
    <row r="47" spans="1:8" x14ac:dyDescent="0.2">
      <c r="A47" s="15" t="s">
        <v>178</v>
      </c>
    </row>
    <row r="49" spans="1:8" x14ac:dyDescent="0.2">
      <c r="A49" s="41" t="s">
        <v>179</v>
      </c>
      <c r="B49" s="63" t="s">
        <v>180</v>
      </c>
      <c r="C49" s="63" t="s">
        <v>181</v>
      </c>
      <c r="E49" s="41" t="s">
        <v>182</v>
      </c>
      <c r="F49" s="63" t="s">
        <v>180</v>
      </c>
      <c r="G49" s="63" t="s">
        <v>181</v>
      </c>
    </row>
    <row r="50" spans="1:8" x14ac:dyDescent="0.2">
      <c r="A50" s="1" t="s">
        <v>41</v>
      </c>
      <c r="B50" s="17">
        <f>Assumptions!C14</f>
        <v>1098</v>
      </c>
      <c r="C50" s="21" t="e">
        <f>B51/$B$53</f>
        <v>#DIV/0!</v>
      </c>
      <c r="E50" s="1" t="s">
        <v>183</v>
      </c>
      <c r="F50" s="17">
        <f>Assumptions!C6</f>
        <v>1375</v>
      </c>
      <c r="G50" s="21" t="e">
        <f>F51/$F$53</f>
        <v>#DIV/0!</v>
      </c>
    </row>
    <row r="51" spans="1:8" x14ac:dyDescent="0.2">
      <c r="A51" s="1" t="s">
        <v>44</v>
      </c>
      <c r="B51" s="17">
        <f>Assumptions!C15</f>
        <v>549</v>
      </c>
      <c r="C51" s="21" t="e">
        <f ca="1">B52/$B$53</f>
        <v>#DIV/0!</v>
      </c>
      <c r="E51" s="1" t="s">
        <v>36</v>
      </c>
      <c r="F51" s="17">
        <f>Assumptions!C8</f>
        <v>35</v>
      </c>
      <c r="G51" s="21" t="e">
        <f ca="1">F52/$F$53</f>
        <v>#DIV/0!</v>
      </c>
    </row>
    <row r="52" spans="1:8" x14ac:dyDescent="0.2">
      <c r="A52" s="11" t="s">
        <v>184</v>
      </c>
      <c r="B52" s="25">
        <f ca="1">SUM(B51:B52)</f>
        <v>0</v>
      </c>
      <c r="C52" s="64">
        <f ca="1">SUM(C51:C52)</f>
        <v>0</v>
      </c>
      <c r="E52" s="11" t="s">
        <v>185</v>
      </c>
      <c r="F52" s="25">
        <f ca="1">SUM(F51:F52)</f>
        <v>0</v>
      </c>
      <c r="G52" s="64">
        <f ca="1">SUM(G51:G52)</f>
        <v>0</v>
      </c>
    </row>
    <row r="54" spans="1:8" x14ac:dyDescent="0.2">
      <c r="A54" s="11" t="s">
        <v>186</v>
      </c>
      <c r="B54" s="52">
        <f>B53-F53</f>
        <v>0</v>
      </c>
      <c r="H54" s="50" t="s">
        <v>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4B04-B9B8-8A44-8AB6-017279DF7F87}">
  <dimension ref="A1:L45"/>
  <sheetViews>
    <sheetView topLeftCell="A5" workbookViewId="0">
      <selection activeCell="H33" sqref="H33"/>
    </sheetView>
  </sheetViews>
  <sheetFormatPr baseColWidth="10" defaultRowHeight="16" x14ac:dyDescent="0.2"/>
  <cols>
    <col min="1" max="16384" width="10.83203125" style="1"/>
  </cols>
  <sheetData>
    <row r="1" spans="1:12" ht="22" x14ac:dyDescent="0.3">
      <c r="A1" s="13" t="s">
        <v>98</v>
      </c>
    </row>
    <row r="2" spans="1:12" x14ac:dyDescent="0.2">
      <c r="A2" s="14" t="s">
        <v>99</v>
      </c>
    </row>
    <row r="4" spans="1:12" x14ac:dyDescent="0.2">
      <c r="A4" s="15" t="s">
        <v>100</v>
      </c>
    </row>
    <row r="6" spans="1:12" x14ac:dyDescent="0.2">
      <c r="A6" s="11"/>
      <c r="B6" s="39" t="s">
        <v>101</v>
      </c>
      <c r="D6" s="39" t="s">
        <v>102</v>
      </c>
    </row>
    <row r="7" spans="1:12" x14ac:dyDescent="0.2">
      <c r="A7" s="40" t="s">
        <v>103</v>
      </c>
      <c r="B7" s="42" t="s">
        <v>104</v>
      </c>
      <c r="C7" s="42" t="s">
        <v>105</v>
      </c>
      <c r="D7" s="43" t="s">
        <v>106</v>
      </c>
      <c r="E7" s="43" t="s">
        <v>107</v>
      </c>
      <c r="F7" s="43" t="s">
        <v>108</v>
      </c>
      <c r="G7" s="43" t="s">
        <v>109</v>
      </c>
      <c r="H7" s="43" t="s">
        <v>110</v>
      </c>
    </row>
    <row r="9" spans="1:12" x14ac:dyDescent="0.2">
      <c r="A9" s="11" t="s">
        <v>61</v>
      </c>
      <c r="B9" s="18">
        <v>4720</v>
      </c>
      <c r="C9" s="18">
        <v>5430</v>
      </c>
      <c r="D9" s="18">
        <f>C9*(1+D10)</f>
        <v>5918.7000000000007</v>
      </c>
      <c r="E9" s="18">
        <f>D9*(1+E10)</f>
        <v>6392.1960000000008</v>
      </c>
      <c r="F9" s="18">
        <f>E9*(1+F10)</f>
        <v>6839.6497200000013</v>
      </c>
      <c r="G9" s="18">
        <f>F9*(1+G10)</f>
        <v>7250.0287032000015</v>
      </c>
      <c r="H9" s="18">
        <f>G9*(1+H10)</f>
        <v>7685.0304253920021</v>
      </c>
      <c r="K9" s="23" t="s">
        <v>111</v>
      </c>
      <c r="L9" s="21">
        <f>(H9/C9)^(1/5)-1</f>
        <v>7.1936730037889474E-2</v>
      </c>
    </row>
    <row r="10" spans="1:12" x14ac:dyDescent="0.2">
      <c r="A10" s="23" t="s">
        <v>112</v>
      </c>
      <c r="B10" s="21"/>
      <c r="C10" s="21">
        <f>(C9-B9)/B9</f>
        <v>0.15042372881355931</v>
      </c>
      <c r="D10" s="33">
        <v>0.09</v>
      </c>
      <c r="E10" s="33">
        <v>0.08</v>
      </c>
      <c r="F10" s="33">
        <v>7.0000000000000007E-2</v>
      </c>
      <c r="G10" s="33">
        <v>0.06</v>
      </c>
      <c r="H10" s="33">
        <v>0.06</v>
      </c>
    </row>
    <row r="12" spans="1:12" x14ac:dyDescent="0.2">
      <c r="A12" s="1" t="s">
        <v>113</v>
      </c>
      <c r="B12" s="44">
        <f>-B9*B13</f>
        <v>-1227.2</v>
      </c>
      <c r="C12" s="44">
        <f>-C9*C13</f>
        <v>-1384.65</v>
      </c>
      <c r="D12" s="44">
        <f>-D9*D13</f>
        <v>-1479.6750000000002</v>
      </c>
      <c r="E12" s="44">
        <f>-E9*E13</f>
        <v>-1598.0490000000002</v>
      </c>
      <c r="F12" s="44">
        <f>-F9*F13</f>
        <v>-1675.7141814000004</v>
      </c>
      <c r="G12" s="44">
        <f>-G9*G13</f>
        <v>-1776.2570322840004</v>
      </c>
      <c r="H12" s="44">
        <f>-H9*H13</f>
        <v>-1844.4073020940805</v>
      </c>
    </row>
    <row r="13" spans="1:12" x14ac:dyDescent="0.2">
      <c r="A13" s="23" t="s">
        <v>114</v>
      </c>
      <c r="B13" s="21">
        <v>0.26</v>
      </c>
      <c r="C13" s="21">
        <v>0.255</v>
      </c>
      <c r="D13" s="33">
        <v>0.25</v>
      </c>
      <c r="E13" s="33">
        <v>0.25</v>
      </c>
      <c r="F13" s="33">
        <v>0.245</v>
      </c>
      <c r="G13" s="33">
        <v>0.245</v>
      </c>
      <c r="H13" s="33">
        <v>0.24</v>
      </c>
    </row>
    <row r="14" spans="1:12" x14ac:dyDescent="0.2">
      <c r="A14" s="11" t="s">
        <v>74</v>
      </c>
      <c r="B14" s="45">
        <f>B9+B12</f>
        <v>3492.8</v>
      </c>
      <c r="C14" s="45">
        <f>C9+C12</f>
        <v>4045.35</v>
      </c>
      <c r="D14" s="45">
        <f>D9+D12</f>
        <v>4439.0250000000005</v>
      </c>
      <c r="E14" s="45">
        <f>E9+E12</f>
        <v>4794.1470000000008</v>
      </c>
      <c r="F14" s="45">
        <f>F9+F12</f>
        <v>5163.9355386000007</v>
      </c>
      <c r="G14" s="45">
        <f>G9+G12</f>
        <v>5473.7716709160013</v>
      </c>
      <c r="H14" s="45">
        <f>H9+H12</f>
        <v>5840.6231232979217</v>
      </c>
    </row>
    <row r="15" spans="1:12" x14ac:dyDescent="0.2">
      <c r="A15" s="23" t="s">
        <v>115</v>
      </c>
      <c r="B15" s="21">
        <f>B14/B9</f>
        <v>0.74</v>
      </c>
      <c r="C15" s="21">
        <f>C14/C9</f>
        <v>0.745</v>
      </c>
      <c r="D15" s="21">
        <f>D14/D9</f>
        <v>0.75</v>
      </c>
      <c r="E15" s="21">
        <f>E14/E9</f>
        <v>0.75</v>
      </c>
      <c r="F15" s="21">
        <f>F14/F9</f>
        <v>0.755</v>
      </c>
      <c r="G15" s="21">
        <f>G14/G9</f>
        <v>0.755</v>
      </c>
      <c r="H15" s="21">
        <f>H14/H9</f>
        <v>0.76</v>
      </c>
    </row>
    <row r="17" spans="1:8" x14ac:dyDescent="0.2">
      <c r="A17" s="1" t="s">
        <v>116</v>
      </c>
      <c r="B17" s="44">
        <f>-B9*B18</f>
        <v>-2454.4</v>
      </c>
      <c r="C17" s="44">
        <f>-C9*C18</f>
        <v>-2763.87</v>
      </c>
      <c r="D17" s="44">
        <f>-D9*D18</f>
        <v>-2988.9435000000003</v>
      </c>
      <c r="E17" s="44">
        <f>-E9*E18</f>
        <v>-3196.0980000000004</v>
      </c>
      <c r="F17" s="44">
        <f>-F9*F18</f>
        <v>-3385.6266114000005</v>
      </c>
      <c r="G17" s="44">
        <f>-G9*G18</f>
        <v>-3552.5140645680008</v>
      </c>
      <c r="H17" s="44">
        <f>-H9*H18</f>
        <v>-3727.2397563151208</v>
      </c>
    </row>
    <row r="18" spans="1:8" x14ac:dyDescent="0.2">
      <c r="A18" s="23" t="s">
        <v>117</v>
      </c>
      <c r="B18" s="21">
        <v>0.52</v>
      </c>
      <c r="C18" s="21">
        <v>0.50900000000000001</v>
      </c>
      <c r="D18" s="33">
        <v>0.505</v>
      </c>
      <c r="E18" s="33">
        <v>0.5</v>
      </c>
      <c r="F18" s="33">
        <v>0.495</v>
      </c>
      <c r="G18" s="33">
        <v>0.49</v>
      </c>
      <c r="H18" s="33">
        <v>0.48499999999999999</v>
      </c>
    </row>
    <row r="20" spans="1:8" x14ac:dyDescent="0.2">
      <c r="A20" s="11" t="s">
        <v>63</v>
      </c>
      <c r="B20" s="45">
        <f>B14+B17</f>
        <v>1038.4000000000001</v>
      </c>
      <c r="C20" s="45">
        <f>C14+C17</f>
        <v>1281.48</v>
      </c>
      <c r="D20" s="45">
        <f>D14+D17</f>
        <v>1450.0815000000002</v>
      </c>
      <c r="E20" s="45">
        <f>E14+E17</f>
        <v>1598.0490000000004</v>
      </c>
      <c r="F20" s="45">
        <f>F14+F17</f>
        <v>1778.3089272000002</v>
      </c>
      <c r="G20" s="45">
        <f>G14+G17</f>
        <v>1921.2576063480005</v>
      </c>
      <c r="H20" s="45">
        <f>H14+H17</f>
        <v>2113.3833669828009</v>
      </c>
    </row>
    <row r="21" spans="1:8" x14ac:dyDescent="0.2">
      <c r="A21" s="23" t="s">
        <v>118</v>
      </c>
      <c r="B21" s="21">
        <f>B20/B9</f>
        <v>0.22000000000000003</v>
      </c>
      <c r="C21" s="21">
        <f>C20/C9</f>
        <v>0.23600000000000002</v>
      </c>
      <c r="D21" s="21">
        <f>D20/D9</f>
        <v>0.245</v>
      </c>
      <c r="E21" s="21">
        <f>E20/E9</f>
        <v>0.25000000000000006</v>
      </c>
      <c r="F21" s="21">
        <f>F20/F9</f>
        <v>0.26</v>
      </c>
      <c r="G21" s="21">
        <f>G20/G9</f>
        <v>0.26500000000000001</v>
      </c>
      <c r="H21" s="21">
        <f>H20/H9</f>
        <v>0.27500000000000002</v>
      </c>
    </row>
    <row r="23" spans="1:8" x14ac:dyDescent="0.2">
      <c r="A23" s="1" t="s">
        <v>119</v>
      </c>
      <c r="B23" s="44">
        <v>-25</v>
      </c>
      <c r="C23" s="44">
        <v>-20</v>
      </c>
      <c r="D23" s="46">
        <v>-18</v>
      </c>
      <c r="E23" s="46">
        <v>-15</v>
      </c>
      <c r="F23" s="46">
        <v>-12</v>
      </c>
      <c r="G23" s="46">
        <v>-10</v>
      </c>
      <c r="H23" s="46">
        <v>-8</v>
      </c>
    </row>
    <row r="24" spans="1:8" x14ac:dyDescent="0.2">
      <c r="A24" s="11" t="s">
        <v>120</v>
      </c>
      <c r="B24" s="45">
        <f>B20+B23</f>
        <v>1013.4000000000001</v>
      </c>
      <c r="C24" s="45">
        <f>C20+C23</f>
        <v>1261.48</v>
      </c>
      <c r="D24" s="45">
        <f>D20+D23</f>
        <v>1432.0815000000002</v>
      </c>
      <c r="E24" s="45">
        <f>E20+E23</f>
        <v>1583.0490000000004</v>
      </c>
      <c r="F24" s="45">
        <f>F20+F23</f>
        <v>1766.3089272000002</v>
      </c>
      <c r="G24" s="45">
        <f>G20+G23</f>
        <v>1911.2576063480005</v>
      </c>
      <c r="H24" s="45">
        <f>H20+H23</f>
        <v>2105.3833669828009</v>
      </c>
    </row>
    <row r="26" spans="1:8" x14ac:dyDescent="0.2">
      <c r="A26" s="1" t="s">
        <v>121</v>
      </c>
      <c r="B26" s="44">
        <f>-B24*$C$27</f>
        <v>-253.35000000000002</v>
      </c>
      <c r="C26" s="44">
        <f>-C24*$C$27</f>
        <v>-315.37</v>
      </c>
      <c r="D26" s="44">
        <f>-D24*$C$27</f>
        <v>-358.02037500000006</v>
      </c>
      <c r="E26" s="44">
        <f>-E24*$C$27</f>
        <v>-395.76225000000011</v>
      </c>
      <c r="F26" s="44">
        <f>-F24*$C$27</f>
        <v>-441.57723180000005</v>
      </c>
      <c r="G26" s="44">
        <f>-G24*$C$27</f>
        <v>-477.81440158700013</v>
      </c>
      <c r="H26" s="44">
        <f>-H24*$C$27</f>
        <v>-526.34584174570023</v>
      </c>
    </row>
    <row r="27" spans="1:8" x14ac:dyDescent="0.2">
      <c r="A27" s="23" t="s">
        <v>122</v>
      </c>
      <c r="B27" s="21">
        <v>0.25</v>
      </c>
      <c r="C27" s="21">
        <v>0.25</v>
      </c>
      <c r="D27" s="33">
        <v>0.25</v>
      </c>
    </row>
    <row r="29" spans="1:8" x14ac:dyDescent="0.2">
      <c r="A29" s="11" t="s">
        <v>65</v>
      </c>
      <c r="B29" s="47">
        <f>B24+B26</f>
        <v>760.05000000000007</v>
      </c>
      <c r="C29" s="47">
        <f>C24+C26</f>
        <v>946.11</v>
      </c>
      <c r="D29" s="47">
        <f>D24+D26</f>
        <v>1074.0611250000002</v>
      </c>
      <c r="E29" s="47">
        <f>E24+E26</f>
        <v>1187.2867500000002</v>
      </c>
      <c r="F29" s="47">
        <f>F24+F26</f>
        <v>1324.7316954000003</v>
      </c>
      <c r="G29" s="47">
        <f>G24+G26</f>
        <v>1433.4432047610003</v>
      </c>
      <c r="H29" s="47">
        <f>H24+H26</f>
        <v>1579.0375252371007</v>
      </c>
    </row>
    <row r="30" spans="1:8" x14ac:dyDescent="0.2">
      <c r="A30" s="23" t="s">
        <v>123</v>
      </c>
      <c r="B30" s="21">
        <f>B29/B9</f>
        <v>0.16102754237288136</v>
      </c>
      <c r="C30" s="21">
        <f>C29/C9</f>
        <v>0.17423756906077348</v>
      </c>
      <c r="D30" s="21">
        <f>D29/D9</f>
        <v>0.18146909371990472</v>
      </c>
      <c r="E30" s="21">
        <f>E29/E9</f>
        <v>0.18574004145054376</v>
      </c>
      <c r="F30" s="21">
        <f>F29/F9</f>
        <v>0.19368414314059346</v>
      </c>
      <c r="G30" s="21">
        <f>G29/G9</f>
        <v>0.19771552133694453</v>
      </c>
      <c r="H30" s="21">
        <f>H29/H9</f>
        <v>0.20546926138637328</v>
      </c>
    </row>
    <row r="32" spans="1:8" x14ac:dyDescent="0.2">
      <c r="A32" s="15" t="s">
        <v>124</v>
      </c>
    </row>
    <row r="34" spans="1:12" x14ac:dyDescent="0.2">
      <c r="A34" s="1" t="s">
        <v>57</v>
      </c>
      <c r="B34" s="48">
        <v>2560</v>
      </c>
      <c r="C34" s="48">
        <v>2560</v>
      </c>
      <c r="D34" s="30">
        <v>2560</v>
      </c>
      <c r="E34" s="30">
        <v>2560</v>
      </c>
      <c r="F34" s="30">
        <v>2560</v>
      </c>
      <c r="G34" s="30">
        <v>2560</v>
      </c>
      <c r="H34" s="30">
        <v>2560</v>
      </c>
    </row>
    <row r="35" spans="1:12" x14ac:dyDescent="0.2">
      <c r="A35" s="11" t="s">
        <v>125</v>
      </c>
      <c r="B35" s="49">
        <f>B29/B34*1000</f>
        <v>296.89453125000006</v>
      </c>
      <c r="C35" s="49">
        <f>C29/C34*1000</f>
        <v>369.57421875</v>
      </c>
      <c r="D35" s="49">
        <f>D29/D34*1000</f>
        <v>419.55512695312507</v>
      </c>
      <c r="E35" s="49">
        <f>E29/E34*1000</f>
        <v>463.78388671875007</v>
      </c>
      <c r="F35" s="49">
        <f>F29/F34*1000</f>
        <v>517.47331851562501</v>
      </c>
      <c r="G35" s="49">
        <f>G29/G34*1000</f>
        <v>559.93875185976572</v>
      </c>
      <c r="H35" s="49">
        <f>H29/H34*1000</f>
        <v>616.81153329574249</v>
      </c>
      <c r="K35" s="23" t="s">
        <v>126</v>
      </c>
      <c r="L35" s="21">
        <f>(H35/C35)^(1/5)-1</f>
        <v>0.10787347277779324</v>
      </c>
    </row>
    <row r="36" spans="1:12" x14ac:dyDescent="0.2">
      <c r="A36" s="23" t="s">
        <v>127</v>
      </c>
      <c r="C36" s="21">
        <f>(C35-B35)/B35</f>
        <v>0.24479968423130033</v>
      </c>
      <c r="D36" s="21">
        <f>(D35-C35)/C35</f>
        <v>0.13523916352221219</v>
      </c>
      <c r="E36" s="21">
        <f>(E35-D35)/D35</f>
        <v>0.10541823213273824</v>
      </c>
      <c r="F36" s="21">
        <f>(F35-E35)/E35</f>
        <v>0.11576390067521584</v>
      </c>
      <c r="G36" s="21">
        <f>(G35-F35)/F35</f>
        <v>8.2063039435449597E-2</v>
      </c>
      <c r="H36" s="21">
        <f>(H35-G35)/G35</f>
        <v>0.10156964712137002</v>
      </c>
    </row>
    <row r="38" spans="1:12" x14ac:dyDescent="0.2">
      <c r="A38" s="15" t="s">
        <v>128</v>
      </c>
    </row>
    <row r="40" spans="1:12" x14ac:dyDescent="0.2">
      <c r="A40" s="1" t="s">
        <v>97</v>
      </c>
      <c r="B40" s="33">
        <v>0.06</v>
      </c>
      <c r="C40" s="33">
        <v>0.06</v>
      </c>
      <c r="D40" s="33">
        <v>0.06</v>
      </c>
      <c r="E40" s="33">
        <v>0.06</v>
      </c>
      <c r="F40" s="33">
        <v>0.06</v>
      </c>
      <c r="G40" s="33">
        <v>0.06</v>
      </c>
      <c r="H40" s="33">
        <v>0.06</v>
      </c>
    </row>
    <row r="41" spans="1:12" x14ac:dyDescent="0.2">
      <c r="A41" s="1" t="s">
        <v>129</v>
      </c>
      <c r="B41" s="18">
        <f>B9*B40</f>
        <v>283.2</v>
      </c>
      <c r="C41" s="18">
        <f>C9*C40</f>
        <v>325.8</v>
      </c>
      <c r="D41" s="18">
        <f>D9*D40</f>
        <v>355.12200000000001</v>
      </c>
      <c r="E41" s="18">
        <f>E9*E40</f>
        <v>383.53176000000002</v>
      </c>
      <c r="F41" s="18">
        <f>F9*F40</f>
        <v>410.37898320000005</v>
      </c>
      <c r="G41" s="18">
        <f>G9*G40</f>
        <v>435.00172219200005</v>
      </c>
      <c r="H41" s="18">
        <f>H9*H40</f>
        <v>461.10182552352012</v>
      </c>
    </row>
    <row r="42" spans="1:12" x14ac:dyDescent="0.2">
      <c r="A42" s="11" t="s">
        <v>130</v>
      </c>
      <c r="B42" s="45">
        <f>B20+B41</f>
        <v>1321.6000000000001</v>
      </c>
      <c r="C42" s="45">
        <f>C20+C41</f>
        <v>1607.28</v>
      </c>
      <c r="D42" s="45">
        <f>D20+D41</f>
        <v>1805.2035000000003</v>
      </c>
      <c r="E42" s="45">
        <f>E20+E41</f>
        <v>1981.5807600000005</v>
      </c>
      <c r="F42" s="45">
        <f>F20+F41</f>
        <v>2188.6879104000004</v>
      </c>
      <c r="G42" s="45">
        <f>G20+G41</f>
        <v>2356.2593285400008</v>
      </c>
      <c r="H42" s="45">
        <f>H20+H41</f>
        <v>2574.4851925063213</v>
      </c>
    </row>
    <row r="43" spans="1:12" x14ac:dyDescent="0.2">
      <c r="A43" s="23" t="s">
        <v>131</v>
      </c>
      <c r="B43" s="21">
        <f>B42/B9</f>
        <v>0.28000000000000003</v>
      </c>
      <c r="C43" s="21">
        <f>C42/C9</f>
        <v>0.29599999999999999</v>
      </c>
      <c r="D43" s="21">
        <f>D42/D9</f>
        <v>0.30499999999999999</v>
      </c>
      <c r="E43" s="21">
        <f>E42/E9</f>
        <v>0.31000000000000005</v>
      </c>
      <c r="F43" s="21">
        <f>F42/F9</f>
        <v>0.32</v>
      </c>
      <c r="G43" s="21">
        <f>G42/G9</f>
        <v>0.32500000000000001</v>
      </c>
      <c r="H43" s="21">
        <f>H42/H9</f>
        <v>0.33500000000000008</v>
      </c>
    </row>
    <row r="45" spans="1:12" x14ac:dyDescent="0.2">
      <c r="A45" s="1" t="s">
        <v>132</v>
      </c>
      <c r="B45" s="33">
        <v>0.09</v>
      </c>
      <c r="C45" s="33">
        <v>0.09</v>
      </c>
      <c r="D45" s="33">
        <v>8.5000000000000006E-2</v>
      </c>
      <c r="E45" s="33">
        <v>0.08</v>
      </c>
      <c r="F45" s="33">
        <v>0.08</v>
      </c>
      <c r="G45" s="33">
        <v>7.4999999999999997E-2</v>
      </c>
      <c r="H45" s="33">
        <v>7.4999999999999997E-2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118C-6ED7-8A47-844C-F9FC3E70694A}">
  <dimension ref="A1:L46"/>
  <sheetViews>
    <sheetView topLeftCell="A28" workbookViewId="0">
      <selection activeCell="M33" sqref="M33"/>
    </sheetView>
  </sheetViews>
  <sheetFormatPr baseColWidth="10" defaultRowHeight="16" x14ac:dyDescent="0.2"/>
  <cols>
    <col min="1" max="16384" width="10.83203125" style="1"/>
  </cols>
  <sheetData>
    <row r="1" spans="1:12" ht="22" x14ac:dyDescent="0.3">
      <c r="A1" s="13" t="s">
        <v>133</v>
      </c>
    </row>
    <row r="2" spans="1:12" x14ac:dyDescent="0.2">
      <c r="A2" s="14" t="s">
        <v>134</v>
      </c>
    </row>
    <row r="4" spans="1:12" x14ac:dyDescent="0.2">
      <c r="A4" s="15" t="s">
        <v>100</v>
      </c>
    </row>
    <row r="6" spans="1:12" x14ac:dyDescent="0.2">
      <c r="A6" s="11"/>
      <c r="B6" s="39" t="s">
        <v>101</v>
      </c>
      <c r="D6" s="39" t="s">
        <v>102</v>
      </c>
    </row>
    <row r="7" spans="1:12" x14ac:dyDescent="0.2">
      <c r="A7" s="40" t="s">
        <v>135</v>
      </c>
      <c r="B7" s="42" t="s">
        <v>104</v>
      </c>
      <c r="C7" s="42" t="s">
        <v>105</v>
      </c>
      <c r="D7" s="43" t="s">
        <v>106</v>
      </c>
      <c r="E7" s="43" t="s">
        <v>107</v>
      </c>
      <c r="F7" s="43" t="s">
        <v>108</v>
      </c>
      <c r="G7" s="43" t="s">
        <v>109</v>
      </c>
      <c r="H7" s="43" t="s">
        <v>110</v>
      </c>
    </row>
    <row r="9" spans="1:12" x14ac:dyDescent="0.2">
      <c r="A9" s="11" t="s">
        <v>61</v>
      </c>
      <c r="B9" s="17">
        <v>1106</v>
      </c>
      <c r="C9" s="17">
        <v>1030</v>
      </c>
      <c r="D9" s="16">
        <v>810</v>
      </c>
      <c r="E9" s="17">
        <f>D9*(1+E10)</f>
        <v>826.2</v>
      </c>
      <c r="F9" s="17">
        <f>E9*(1+F10)</f>
        <v>867.5100000000001</v>
      </c>
      <c r="G9" s="17">
        <f>F9*(1+G10)</f>
        <v>928.23570000000018</v>
      </c>
      <c r="H9" s="17">
        <f>G9*(1+H10)</f>
        <v>1002.4945560000002</v>
      </c>
      <c r="K9" s="23" t="s">
        <v>136</v>
      </c>
      <c r="L9" s="21">
        <f>(H9/D9)^(1/4)-1</f>
        <v>5.4749312563301844E-2</v>
      </c>
    </row>
    <row r="10" spans="1:12" x14ac:dyDescent="0.2">
      <c r="A10" s="23" t="s">
        <v>112</v>
      </c>
      <c r="C10" s="21">
        <f>(C9-B9)/B9</f>
        <v>-6.8716094032549732E-2</v>
      </c>
      <c r="D10" s="21">
        <f>(D9-C9)/C9</f>
        <v>-0.21359223300970873</v>
      </c>
      <c r="E10" s="33">
        <v>0.02</v>
      </c>
      <c r="F10" s="33">
        <v>0.05</v>
      </c>
      <c r="G10" s="33">
        <v>7.0000000000000007E-2</v>
      </c>
      <c r="H10" s="33">
        <v>0.08</v>
      </c>
      <c r="J10" s="50" t="s">
        <v>137</v>
      </c>
    </row>
    <row r="12" spans="1:12" x14ac:dyDescent="0.2">
      <c r="A12" s="1" t="s">
        <v>113</v>
      </c>
      <c r="B12" s="51">
        <f>-B9*B13</f>
        <v>-398.15999999999997</v>
      </c>
      <c r="C12" s="51">
        <f>-C9*C13</f>
        <v>-360.5</v>
      </c>
      <c r="D12" s="51">
        <f>-D9*D13</f>
        <v>-283.5</v>
      </c>
      <c r="E12" s="51">
        <f>-E9*E13</f>
        <v>-280.90800000000002</v>
      </c>
      <c r="F12" s="51">
        <f>-F9*F13</f>
        <v>-286.27830000000006</v>
      </c>
      <c r="G12" s="51">
        <f>-G9*G13</f>
        <v>-297.03542400000009</v>
      </c>
      <c r="H12" s="51">
        <f>-H9*H13</f>
        <v>-310.77331236000009</v>
      </c>
    </row>
    <row r="13" spans="1:12" x14ac:dyDescent="0.2">
      <c r="A13" s="23" t="s">
        <v>114</v>
      </c>
      <c r="B13" s="21">
        <v>0.36</v>
      </c>
      <c r="C13" s="21">
        <v>0.35</v>
      </c>
      <c r="D13" s="33">
        <v>0.35</v>
      </c>
      <c r="E13" s="33">
        <v>0.34</v>
      </c>
      <c r="F13" s="33">
        <v>0.33</v>
      </c>
      <c r="G13" s="33">
        <v>0.32</v>
      </c>
      <c r="H13" s="33">
        <v>0.31</v>
      </c>
      <c r="J13" s="50" t="s">
        <v>138</v>
      </c>
    </row>
    <row r="14" spans="1:12" x14ac:dyDescent="0.2">
      <c r="A14" s="11" t="s">
        <v>74</v>
      </c>
      <c r="B14" s="25">
        <f>B9+B12</f>
        <v>707.84</v>
      </c>
      <c r="C14" s="25">
        <f>C9+C12</f>
        <v>669.5</v>
      </c>
      <c r="D14" s="25">
        <f>D9+D12</f>
        <v>526.5</v>
      </c>
      <c r="E14" s="25">
        <f>E9+E12</f>
        <v>545.29200000000003</v>
      </c>
      <c r="F14" s="25">
        <f>F9+F12</f>
        <v>581.23170000000005</v>
      </c>
      <c r="G14" s="25">
        <f>G9+G12</f>
        <v>631.20027600000003</v>
      </c>
      <c r="H14" s="25">
        <f>H9+H12</f>
        <v>691.72124364000013</v>
      </c>
    </row>
    <row r="15" spans="1:12" x14ac:dyDescent="0.2">
      <c r="A15" s="23" t="s">
        <v>115</v>
      </c>
      <c r="B15" s="21">
        <f>B14/B9</f>
        <v>0.64</v>
      </c>
      <c r="C15" s="21">
        <f>C14/C9</f>
        <v>0.65</v>
      </c>
      <c r="D15" s="21">
        <f>D14/D9</f>
        <v>0.65</v>
      </c>
      <c r="E15" s="21">
        <f>E14/E9</f>
        <v>0.66</v>
      </c>
      <c r="F15" s="21">
        <f>F14/F9</f>
        <v>0.66999999999999993</v>
      </c>
      <c r="G15" s="21">
        <f>G14/G9</f>
        <v>0.67999999999999994</v>
      </c>
      <c r="H15" s="21">
        <f>H14/H9</f>
        <v>0.69</v>
      </c>
    </row>
    <row r="17" spans="1:10" x14ac:dyDescent="0.2">
      <c r="A17" s="1" t="s">
        <v>116</v>
      </c>
      <c r="B17" s="51">
        <f>-B9*B18</f>
        <v>-641.4799999999999</v>
      </c>
      <c r="C17" s="51">
        <f>-C9*C18</f>
        <v>-618</v>
      </c>
      <c r="D17" s="51">
        <f>-D9*D18</f>
        <v>-502.2</v>
      </c>
      <c r="E17" s="51">
        <f>-E9*E18</f>
        <v>-479.19599999999997</v>
      </c>
      <c r="F17" s="51">
        <f>-F9*F18</f>
        <v>-477.1305000000001</v>
      </c>
      <c r="G17" s="51">
        <f>-G9*G18</f>
        <v>-482.68256400000013</v>
      </c>
      <c r="H17" s="51">
        <f>-H9*H18</f>
        <v>-501.24727800000011</v>
      </c>
    </row>
    <row r="18" spans="1:10" x14ac:dyDescent="0.2">
      <c r="A18" s="23" t="s">
        <v>117</v>
      </c>
      <c r="B18" s="21">
        <v>0.57999999999999996</v>
      </c>
      <c r="C18" s="21">
        <v>0.6</v>
      </c>
      <c r="D18" s="33">
        <v>0.62</v>
      </c>
      <c r="E18" s="33">
        <v>0.57999999999999996</v>
      </c>
      <c r="F18" s="33">
        <v>0.55000000000000004</v>
      </c>
      <c r="G18" s="33">
        <v>0.52</v>
      </c>
      <c r="H18" s="33">
        <v>0.5</v>
      </c>
      <c r="J18" s="50" t="s">
        <v>139</v>
      </c>
    </row>
    <row r="20" spans="1:10" x14ac:dyDescent="0.2">
      <c r="A20" s="11" t="s">
        <v>63</v>
      </c>
      <c r="B20" s="52">
        <f>B14+B17</f>
        <v>66.360000000000127</v>
      </c>
      <c r="C20" s="52">
        <f>C14+C17</f>
        <v>51.5</v>
      </c>
      <c r="D20" s="52">
        <f>D14+D17</f>
        <v>24.300000000000011</v>
      </c>
      <c r="E20" s="52">
        <f>E14+E17</f>
        <v>66.09600000000006</v>
      </c>
      <c r="F20" s="52">
        <f>F14+F17</f>
        <v>104.10119999999995</v>
      </c>
      <c r="G20" s="52">
        <f>G14+G17</f>
        <v>148.5177119999999</v>
      </c>
      <c r="H20" s="52">
        <f>H14+H17</f>
        <v>190.47396564000002</v>
      </c>
    </row>
    <row r="21" spans="1:10" x14ac:dyDescent="0.2">
      <c r="A21" s="23" t="s">
        <v>118</v>
      </c>
      <c r="B21" s="53">
        <f>B20/B9</f>
        <v>6.0000000000000116E-2</v>
      </c>
      <c r="C21" s="53">
        <f>C20/C9</f>
        <v>0.05</v>
      </c>
      <c r="D21" s="53">
        <f>D20/D9</f>
        <v>3.0000000000000013E-2</v>
      </c>
      <c r="E21" s="53">
        <f>E20/E9</f>
        <v>8.0000000000000071E-2</v>
      </c>
      <c r="F21" s="53">
        <f>F20/F9</f>
        <v>0.11999999999999993</v>
      </c>
      <c r="G21" s="53">
        <f>G20/G9</f>
        <v>0.15999999999999986</v>
      </c>
      <c r="H21" s="53">
        <f>H20/H9</f>
        <v>0.18999999999999997</v>
      </c>
    </row>
    <row r="23" spans="1:10" x14ac:dyDescent="0.2">
      <c r="A23" s="1" t="s">
        <v>119</v>
      </c>
      <c r="B23" s="51">
        <v>-15</v>
      </c>
      <c r="C23" s="51">
        <v>-12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J23" s="50" t="s">
        <v>140</v>
      </c>
    </row>
    <row r="24" spans="1:10" x14ac:dyDescent="0.2">
      <c r="A24" s="11" t="s">
        <v>120</v>
      </c>
      <c r="B24" s="52">
        <f>B20+B23</f>
        <v>51.360000000000127</v>
      </c>
      <c r="C24" s="52">
        <f>C20+C23</f>
        <v>39.5</v>
      </c>
      <c r="D24" s="52">
        <f>D20+D23</f>
        <v>24.300000000000011</v>
      </c>
      <c r="E24" s="52">
        <f>E20+E23</f>
        <v>66.09600000000006</v>
      </c>
      <c r="F24" s="52">
        <f>F20+F23</f>
        <v>104.10119999999995</v>
      </c>
      <c r="G24" s="52">
        <f>G20+G23</f>
        <v>148.5177119999999</v>
      </c>
      <c r="H24" s="52">
        <f>H20+H23</f>
        <v>190.47396564000002</v>
      </c>
    </row>
    <row r="26" spans="1:10" x14ac:dyDescent="0.2">
      <c r="A26" s="1" t="s">
        <v>121</v>
      </c>
      <c r="B26" s="54">
        <f>IF(B24&gt;0,-B24*$D$27,0)</f>
        <v>-12.840000000000032</v>
      </c>
      <c r="C26" s="54">
        <f>IF(C24&gt;0,-C24*$D$27,0)</f>
        <v>-9.875</v>
      </c>
      <c r="D26" s="54">
        <f>IF(D24&gt;0,-D24*$D$27,0)</f>
        <v>-6.0750000000000028</v>
      </c>
      <c r="E26" s="54">
        <f>IF(E24&gt;0,-E24*$D$27,0)</f>
        <v>-16.524000000000015</v>
      </c>
      <c r="F26" s="54">
        <f>IF(F24&gt;0,-F24*$D$27,0)</f>
        <v>-26.025299999999987</v>
      </c>
      <c r="G26" s="54">
        <f>IF(G24&gt;0,-G24*$D$27,0)</f>
        <v>-37.129427999999976</v>
      </c>
      <c r="H26" s="54">
        <f>IF(H24&gt;0,-H24*$D$27,0)</f>
        <v>-47.618491410000004</v>
      </c>
    </row>
    <row r="27" spans="1:10" x14ac:dyDescent="0.2">
      <c r="A27" s="23" t="s">
        <v>122</v>
      </c>
      <c r="B27" s="21">
        <v>0.25</v>
      </c>
      <c r="C27" s="21">
        <v>0.25</v>
      </c>
      <c r="D27" s="21">
        <v>0.25</v>
      </c>
      <c r="E27" s="33">
        <v>0.25</v>
      </c>
    </row>
    <row r="29" spans="1:10" x14ac:dyDescent="0.2">
      <c r="A29" s="11" t="s">
        <v>65</v>
      </c>
      <c r="B29" s="55">
        <f>B24+B26</f>
        <v>38.520000000000095</v>
      </c>
      <c r="C29" s="55">
        <f>C24+C26</f>
        <v>29.625</v>
      </c>
      <c r="D29" s="55">
        <f>D24+D26</f>
        <v>18.225000000000009</v>
      </c>
      <c r="E29" s="55">
        <f>E24+E26</f>
        <v>49.572000000000045</v>
      </c>
      <c r="F29" s="55">
        <f>F24+F26</f>
        <v>78.075899999999962</v>
      </c>
      <c r="G29" s="55">
        <f>G24+G26</f>
        <v>111.38828399999993</v>
      </c>
      <c r="H29" s="55">
        <f>H24+H26</f>
        <v>142.85547423000003</v>
      </c>
    </row>
    <row r="30" spans="1:10" x14ac:dyDescent="0.2">
      <c r="A30" s="23" t="s">
        <v>123</v>
      </c>
      <c r="B30" s="53">
        <f>B29/B9</f>
        <v>3.4828209764918711E-2</v>
      </c>
      <c r="C30" s="53">
        <f>C29/C9</f>
        <v>2.8762135922330095E-2</v>
      </c>
      <c r="D30" s="53">
        <f>D29/D9</f>
        <v>2.250000000000001E-2</v>
      </c>
      <c r="E30" s="53">
        <f>E29/E9</f>
        <v>6.0000000000000053E-2</v>
      </c>
      <c r="F30" s="53">
        <f>F29/F9</f>
        <v>8.9999999999999941E-2</v>
      </c>
      <c r="G30" s="53">
        <f>G29/G9</f>
        <v>0.1199999999999999</v>
      </c>
      <c r="H30" s="53">
        <f>H29/H9</f>
        <v>0.14249999999999999</v>
      </c>
    </row>
    <row r="32" spans="1:10" x14ac:dyDescent="0.2">
      <c r="A32" s="15" t="s">
        <v>128</v>
      </c>
    </row>
    <row r="34" spans="1:8" x14ac:dyDescent="0.2">
      <c r="A34" s="1" t="s">
        <v>97</v>
      </c>
      <c r="B34" s="33">
        <v>7.0000000000000007E-2</v>
      </c>
      <c r="C34" s="33">
        <v>7.0000000000000007E-2</v>
      </c>
      <c r="D34" s="33">
        <v>7.0000000000000007E-2</v>
      </c>
      <c r="E34" s="33">
        <v>6.5000000000000002E-2</v>
      </c>
      <c r="F34" s="33">
        <v>0.06</v>
      </c>
      <c r="G34" s="33">
        <v>0.06</v>
      </c>
      <c r="H34" s="33">
        <v>5.5E-2</v>
      </c>
    </row>
    <row r="35" spans="1:8" x14ac:dyDescent="0.2">
      <c r="A35" s="1" t="s">
        <v>129</v>
      </c>
      <c r="B35" s="17">
        <f>B9*B34</f>
        <v>77.42</v>
      </c>
      <c r="C35" s="17">
        <f>C9*C34</f>
        <v>72.100000000000009</v>
      </c>
      <c r="D35" s="17">
        <f>D9*D34</f>
        <v>56.7</v>
      </c>
      <c r="E35" s="17">
        <f>E9*E34</f>
        <v>53.703000000000003</v>
      </c>
      <c r="F35" s="17">
        <f>F9*F34</f>
        <v>52.050600000000003</v>
      </c>
      <c r="G35" s="17">
        <f>G9*G34</f>
        <v>55.694142000000006</v>
      </c>
      <c r="H35" s="17">
        <f>H9*H34</f>
        <v>55.137200580000012</v>
      </c>
    </row>
    <row r="36" spans="1:8" x14ac:dyDescent="0.2">
      <c r="A36" s="11" t="s">
        <v>130</v>
      </c>
      <c r="B36" s="52">
        <f>B20+B35</f>
        <v>143.78000000000014</v>
      </c>
      <c r="C36" s="52">
        <f>C20+C35</f>
        <v>123.60000000000001</v>
      </c>
      <c r="D36" s="52">
        <f>D20+D35</f>
        <v>81.000000000000014</v>
      </c>
      <c r="E36" s="52">
        <f>E20+E35</f>
        <v>119.79900000000006</v>
      </c>
      <c r="F36" s="52">
        <f>F20+F35</f>
        <v>156.15179999999995</v>
      </c>
      <c r="G36" s="52">
        <f>G20+G35</f>
        <v>204.2118539999999</v>
      </c>
      <c r="H36" s="52">
        <f>H20+F35</f>
        <v>242.52456564000002</v>
      </c>
    </row>
    <row r="37" spans="1:8" x14ac:dyDescent="0.2">
      <c r="A37" s="23" t="s">
        <v>131</v>
      </c>
      <c r="B37" s="53">
        <f>B36/B9</f>
        <v>0.13000000000000014</v>
      </c>
      <c r="C37" s="53">
        <f>C36/C9</f>
        <v>0.12000000000000001</v>
      </c>
      <c r="D37" s="53">
        <f>D36/D9</f>
        <v>0.10000000000000002</v>
      </c>
      <c r="E37" s="53">
        <f>E36/E9</f>
        <v>0.14500000000000007</v>
      </c>
      <c r="F37" s="53">
        <f>F36/F9</f>
        <v>0.17999999999999991</v>
      </c>
      <c r="G37" s="53">
        <f>G36/G9</f>
        <v>0.21999999999999986</v>
      </c>
      <c r="H37" s="53">
        <f>H36/H9</f>
        <v>0.2419210799584631</v>
      </c>
    </row>
    <row r="39" spans="1:8" x14ac:dyDescent="0.2">
      <c r="A39" s="15" t="s">
        <v>141</v>
      </c>
    </row>
    <row r="41" spans="1:8" x14ac:dyDescent="0.2">
      <c r="A41" s="11" t="s">
        <v>30</v>
      </c>
      <c r="D41" s="25">
        <v>1375</v>
      </c>
    </row>
    <row r="42" spans="1:8" x14ac:dyDescent="0.2">
      <c r="A42" s="1" t="s">
        <v>142</v>
      </c>
      <c r="D42" s="35">
        <f>D41/D9</f>
        <v>1.6975308641975309</v>
      </c>
    </row>
    <row r="43" spans="1:8" x14ac:dyDescent="0.2">
      <c r="A43" s="1" t="s">
        <v>143</v>
      </c>
      <c r="D43" s="35">
        <f>IF(D36&gt;0,D41/D36,"NM")</f>
        <v>16.975308641975307</v>
      </c>
    </row>
    <row r="45" spans="1:8" x14ac:dyDescent="0.2">
      <c r="A45" s="31" t="s">
        <v>144</v>
      </c>
    </row>
    <row r="46" spans="1:8" x14ac:dyDescent="0.2">
      <c r="A46" s="56" t="e" cm="1">
        <f t="array" ref="A46">- Projections reflect turnaround under Prada ownership with operational improvements</f>
        <v>#NAME?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Summary &amp; Sensitivity</vt:lpstr>
      <vt:lpstr>Accretion and Dilution Analysis</vt:lpstr>
      <vt:lpstr>Assumptions</vt:lpstr>
      <vt:lpstr>Pro-Forma Model</vt:lpstr>
      <vt:lpstr>Acquirer Modelling</vt:lpstr>
      <vt:lpstr>Target Modelling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Divij Budhiraja</dc:creator>
  <cp:lastModifiedBy>Divij Budhiraja</cp:lastModifiedBy>
  <dcterms:created xsi:type="dcterms:W3CDTF">2026-02-03T16:10:21Z</dcterms:created>
  <dcterms:modified xsi:type="dcterms:W3CDTF">2026-02-03T17:00:16Z</dcterms:modified>
</cp:coreProperties>
</file>