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vijbudhiraja/Desktop/Fin_work/M&amp;A Deal advisory /strategic Acquisitions/HPE_Juniper/"/>
    </mc:Choice>
  </mc:AlternateContent>
  <xr:revisionPtr revIDLastSave="0" documentId="13_ncr:1_{668113DF-482D-B149-A125-B50FB235F5B8}" xr6:coauthVersionLast="47" xr6:coauthVersionMax="47" xr10:uidLastSave="{00000000-0000-0000-0000-000000000000}"/>
  <bookViews>
    <workbookView xWindow="720" yWindow="680" windowWidth="32000" windowHeight="19660" activeTab="3" xr2:uid="{CD7152F2-E156-2A47-88B2-0AC7EFF0F94C}"/>
  </bookViews>
  <sheets>
    <sheet name="Cover" sheetId="1" r:id="rId1"/>
    <sheet name="ToC" sheetId="2" r:id="rId2"/>
    <sheet name="Executive Summary" sheetId="12" r:id="rId3"/>
    <sheet name="Transaction Assumptions" sheetId="3" r:id="rId4"/>
    <sheet name="Synergy Assumptions" sheetId="4" r:id="rId5"/>
    <sheet name="Acquirer Standalone" sheetId="6" r:id="rId6"/>
    <sheet name="Target Standalone" sheetId="7" r:id="rId7"/>
    <sheet name="Valuation" sheetId="8" r:id="rId8"/>
    <sheet name="Sources &amp; Uses" sheetId="5" r:id="rId9"/>
    <sheet name="Accretion-Dilution Analysis" sheetId="9" r:id="rId10"/>
    <sheet name="PPA &amp; BS Adjustments" sheetId="11" r:id="rId11"/>
    <sheet name="Pro forma Financials" sheetId="10" r:id="rId1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2" l="1" a="1"/>
  <c r="M7" i="12" s="1"/>
  <c r="M4" i="12" a="1"/>
  <c r="M4" i="12" s="1"/>
  <c r="I42" i="12"/>
  <c r="O23" i="12"/>
  <c r="N23" i="12"/>
  <c r="O22" i="12"/>
  <c r="N22" i="12"/>
  <c r="O21" i="12"/>
  <c r="N21" i="12"/>
  <c r="O20" i="12"/>
  <c r="N20" i="12"/>
  <c r="O16" i="12"/>
  <c r="N16" i="12"/>
  <c r="O15" i="12"/>
  <c r="N15" i="12"/>
  <c r="O14" i="12"/>
  <c r="N14" i="12"/>
  <c r="O13" i="12"/>
  <c r="N13" i="12"/>
  <c r="O12" i="12"/>
  <c r="N12" i="12"/>
  <c r="O7" i="12"/>
  <c r="O6" i="12"/>
  <c r="O5" i="12"/>
  <c r="J51" i="12"/>
  <c r="I51" i="12"/>
  <c r="J50" i="12"/>
  <c r="I50" i="12"/>
  <c r="J49" i="12"/>
  <c r="I49" i="12"/>
  <c r="J48" i="12"/>
  <c r="I48" i="12"/>
  <c r="J47" i="12"/>
  <c r="I47" i="12"/>
  <c r="J46" i="12"/>
  <c r="I46" i="12"/>
  <c r="H43" i="12"/>
  <c r="F43" i="12"/>
  <c r="E43" i="12"/>
  <c r="H42" i="12"/>
  <c r="F42" i="12"/>
  <c r="E42" i="12"/>
  <c r="I41" i="12"/>
  <c r="H41" i="12"/>
  <c r="F41" i="12"/>
  <c r="E41" i="12"/>
  <c r="H40" i="12"/>
  <c r="F40" i="12"/>
  <c r="E40" i="12"/>
  <c r="H39" i="12"/>
  <c r="F39" i="12"/>
  <c r="E39" i="12"/>
  <c r="I38" i="12"/>
  <c r="H38" i="12"/>
  <c r="F38" i="12"/>
  <c r="E38" i="12"/>
  <c r="C23" i="9"/>
  <c r="E52" i="9"/>
  <c r="D52" i="9"/>
  <c r="C32" i="9"/>
  <c r="E53" i="9" s="1"/>
  <c r="E29" i="9"/>
  <c r="D29" i="9"/>
  <c r="C29" i="9"/>
  <c r="E27" i="9"/>
  <c r="D27" i="9"/>
  <c r="C27" i="9"/>
  <c r="E26" i="9"/>
  <c r="D26" i="9"/>
  <c r="C26" i="9"/>
  <c r="E25" i="9"/>
  <c r="D25" i="9"/>
  <c r="C25" i="9"/>
  <c r="E24" i="9"/>
  <c r="D24" i="9"/>
  <c r="C24" i="9"/>
  <c r="D54" i="9" s="1"/>
  <c r="E22" i="9"/>
  <c r="D22" i="9"/>
  <c r="C22" i="9"/>
  <c r="E8" i="9"/>
  <c r="E32" i="9" s="1"/>
  <c r="D8" i="9"/>
  <c r="D32" i="9" s="1"/>
  <c r="E7" i="9"/>
  <c r="D7" i="9"/>
  <c r="D62" i="10"/>
  <c r="C62" i="10"/>
  <c r="E90" i="10"/>
  <c r="E89" i="10"/>
  <c r="E88" i="10"/>
  <c r="E87" i="10"/>
  <c r="D90" i="10"/>
  <c r="D88" i="10"/>
  <c r="D87" i="10"/>
  <c r="E79" i="10"/>
  <c r="E77" i="10"/>
  <c r="H77" i="10" s="1"/>
  <c r="E74" i="10"/>
  <c r="E76" i="10"/>
  <c r="F71" i="10"/>
  <c r="F68" i="10"/>
  <c r="F69" i="10"/>
  <c r="D79" i="10"/>
  <c r="D78" i="10"/>
  <c r="D76" i="10"/>
  <c r="D74" i="10"/>
  <c r="D73" i="10"/>
  <c r="D71" i="10"/>
  <c r="D70" i="10"/>
  <c r="D69" i="10"/>
  <c r="D68" i="10"/>
  <c r="C79" i="10"/>
  <c r="H79" i="10" s="1"/>
  <c r="C78" i="10"/>
  <c r="H78" i="10" s="1"/>
  <c r="C76" i="10"/>
  <c r="H76" i="10" s="1"/>
  <c r="C74" i="10"/>
  <c r="H74" i="10" s="1"/>
  <c r="C73" i="10"/>
  <c r="H73" i="10" s="1"/>
  <c r="H75" i="10" s="1"/>
  <c r="C71" i="10"/>
  <c r="H71" i="10" s="1"/>
  <c r="C70" i="10"/>
  <c r="H70" i="10" s="1"/>
  <c r="C69" i="10"/>
  <c r="H69" i="10" s="1"/>
  <c r="C68" i="10"/>
  <c r="H68" i="10" s="1"/>
  <c r="F62" i="10"/>
  <c r="F60" i="10"/>
  <c r="F59" i="10"/>
  <c r="F58" i="10"/>
  <c r="F56" i="10"/>
  <c r="F57" i="10" s="1"/>
  <c r="F61" i="10" s="1"/>
  <c r="F63" i="10" s="1"/>
  <c r="F55" i="10"/>
  <c r="F54" i="10"/>
  <c r="F53" i="10"/>
  <c r="F50" i="10"/>
  <c r="F49" i="10"/>
  <c r="F48" i="10"/>
  <c r="F47" i="10"/>
  <c r="F45" i="10"/>
  <c r="F46" i="10" s="1"/>
  <c r="F51" i="10" s="1"/>
  <c r="F44" i="10"/>
  <c r="F43" i="10"/>
  <c r="F42" i="10"/>
  <c r="E62" i="10"/>
  <c r="E60" i="10"/>
  <c r="E59" i="10"/>
  <c r="E58" i="10"/>
  <c r="E56" i="10"/>
  <c r="E57" i="10" s="1"/>
  <c r="E61" i="10" s="1"/>
  <c r="E63" i="10" s="1"/>
  <c r="E55" i="10"/>
  <c r="E54" i="10"/>
  <c r="E53" i="10"/>
  <c r="E50" i="10"/>
  <c r="E49" i="10"/>
  <c r="E48" i="10"/>
  <c r="E47" i="10"/>
  <c r="E45" i="10"/>
  <c r="E46" i="10" s="1"/>
  <c r="E51" i="10" s="1"/>
  <c r="E44" i="10"/>
  <c r="E43" i="10"/>
  <c r="E42" i="10"/>
  <c r="D60" i="10"/>
  <c r="D59" i="10"/>
  <c r="D58" i="10"/>
  <c r="D56" i="10"/>
  <c r="D57" i="10" s="1"/>
  <c r="D61" i="10" s="1"/>
  <c r="D63" i="10" s="1"/>
  <c r="D55" i="10"/>
  <c r="D54" i="10"/>
  <c r="D53" i="10"/>
  <c r="D50" i="10"/>
  <c r="D49" i="10"/>
  <c r="D48" i="10"/>
  <c r="D47" i="10"/>
  <c r="D45" i="10"/>
  <c r="D46" i="10" s="1"/>
  <c r="D51" i="10" s="1"/>
  <c r="D44" i="10"/>
  <c r="D43" i="10"/>
  <c r="D42" i="10"/>
  <c r="C60" i="10"/>
  <c r="C59" i="10"/>
  <c r="H59" i="10" s="1"/>
  <c r="C58" i="10"/>
  <c r="C56" i="10"/>
  <c r="C57" i="10" s="1"/>
  <c r="C61" i="10" s="1"/>
  <c r="C55" i="10"/>
  <c r="C54" i="10"/>
  <c r="C53" i="10"/>
  <c r="C50" i="10"/>
  <c r="C49" i="10"/>
  <c r="C48" i="10"/>
  <c r="C47" i="10"/>
  <c r="C45" i="10"/>
  <c r="C46" i="10" s="1"/>
  <c r="C51" i="10" s="1"/>
  <c r="C44" i="10"/>
  <c r="C43" i="10"/>
  <c r="C42" i="10"/>
  <c r="H37" i="10"/>
  <c r="H36" i="10"/>
  <c r="E30" i="10"/>
  <c r="D30" i="10"/>
  <c r="C30" i="10"/>
  <c r="E28" i="10"/>
  <c r="F28" i="10"/>
  <c r="D28" i="10"/>
  <c r="C28" i="10"/>
  <c r="E26" i="10"/>
  <c r="D26" i="10"/>
  <c r="C26" i="10"/>
  <c r="E18" i="10"/>
  <c r="D18" i="10"/>
  <c r="C18" i="10"/>
  <c r="E17" i="10"/>
  <c r="D17" i="10"/>
  <c r="C17" i="10"/>
  <c r="F11" i="10"/>
  <c r="E11" i="10"/>
  <c r="D11" i="10"/>
  <c r="C11" i="10"/>
  <c r="J68" i="11"/>
  <c r="I68" i="11"/>
  <c r="H68" i="11"/>
  <c r="G68" i="11"/>
  <c r="F68" i="11"/>
  <c r="E68" i="11"/>
  <c r="D68" i="11"/>
  <c r="C68" i="11"/>
  <c r="E59" i="11"/>
  <c r="E62" i="11" s="1"/>
  <c r="E36" i="11"/>
  <c r="E46" i="11" s="1"/>
  <c r="F58" i="11"/>
  <c r="F50" i="11"/>
  <c r="E53" i="11"/>
  <c r="E56" i="11" s="1"/>
  <c r="F70" i="7"/>
  <c r="C61" i="11"/>
  <c r="C60" i="11"/>
  <c r="C59" i="11"/>
  <c r="C58" i="11"/>
  <c r="C55" i="11"/>
  <c r="C54" i="11"/>
  <c r="C53" i="11"/>
  <c r="G53" i="11" s="1"/>
  <c r="C51" i="11"/>
  <c r="G51" i="11" s="1"/>
  <c r="C50" i="11"/>
  <c r="C49" i="11"/>
  <c r="G49" i="11" s="1"/>
  <c r="C48" i="11"/>
  <c r="C45" i="11"/>
  <c r="C44" i="11"/>
  <c r="G44" i="11" s="1"/>
  <c r="C43" i="11"/>
  <c r="C42" i="11"/>
  <c r="C41" i="11"/>
  <c r="C39" i="11"/>
  <c r="G39" i="11" s="1"/>
  <c r="C38" i="11"/>
  <c r="G38" i="11" s="1"/>
  <c r="C37" i="11"/>
  <c r="G37" i="11" s="1"/>
  <c r="C36" i="11"/>
  <c r="C46" i="11" s="1"/>
  <c r="D28" i="11"/>
  <c r="D27" i="11"/>
  <c r="C28" i="11"/>
  <c r="C27" i="11"/>
  <c r="C25" i="11"/>
  <c r="D25" i="11" s="1"/>
  <c r="E25" i="11" s="1"/>
  <c r="C11" i="11"/>
  <c r="C8" i="11"/>
  <c r="C7" i="11"/>
  <c r="C6" i="11"/>
  <c r="C9" i="11"/>
  <c r="C33" i="5"/>
  <c r="C7" i="5"/>
  <c r="G14" i="5"/>
  <c r="G13" i="5"/>
  <c r="G12" i="5"/>
  <c r="G7" i="5"/>
  <c r="C14" i="5"/>
  <c r="C111" i="8"/>
  <c r="E113" i="8"/>
  <c r="D113" i="8"/>
  <c r="C113" i="8"/>
  <c r="J77" i="8"/>
  <c r="I77" i="8"/>
  <c r="I76" i="8"/>
  <c r="J76" i="8"/>
  <c r="J75" i="8" a="1"/>
  <c r="J75" i="8" s="1"/>
  <c r="I75" i="8" a="1"/>
  <c r="I75" i="8" s="1"/>
  <c r="J74" i="8"/>
  <c r="I74" i="8"/>
  <c r="J73" i="8"/>
  <c r="I73" i="8"/>
  <c r="J72" i="8"/>
  <c r="I72" i="8"/>
  <c r="D82" i="8"/>
  <c r="D81" i="8"/>
  <c r="D84" i="8"/>
  <c r="D83" i="8"/>
  <c r="F68" i="8"/>
  <c r="J68" i="8" s="1"/>
  <c r="F67" i="8"/>
  <c r="J67" i="8" s="1"/>
  <c r="F66" i="8"/>
  <c r="I66" i="8" s="1"/>
  <c r="F65" i="8"/>
  <c r="J65" i="8" s="1"/>
  <c r="J9" i="4"/>
  <c r="J18" i="4"/>
  <c r="J10" i="4"/>
  <c r="F10" i="4"/>
  <c r="G10" i="4" s="1"/>
  <c r="E10" i="4"/>
  <c r="F9" i="4"/>
  <c r="G9" i="4" s="1"/>
  <c r="E9" i="4"/>
  <c r="F8" i="4"/>
  <c r="G8" i="4" s="1"/>
  <c r="E8" i="4"/>
  <c r="F7" i="4"/>
  <c r="G7" i="4" s="1"/>
  <c r="E7" i="4"/>
  <c r="D9" i="4"/>
  <c r="J11" i="4"/>
  <c r="C17" i="4"/>
  <c r="C16" i="4"/>
  <c r="C15" i="4"/>
  <c r="C14" i="4"/>
  <c r="C13" i="4"/>
  <c r="D17" i="4"/>
  <c r="D16" i="4"/>
  <c r="D15" i="4"/>
  <c r="D14" i="4"/>
  <c r="D13" i="4"/>
  <c r="E17" i="4"/>
  <c r="E16" i="4"/>
  <c r="E15" i="4"/>
  <c r="E14" i="4"/>
  <c r="E13" i="4"/>
  <c r="F17" i="4"/>
  <c r="F16" i="4"/>
  <c r="F15" i="4"/>
  <c r="F14" i="4"/>
  <c r="F13" i="4"/>
  <c r="G17" i="4"/>
  <c r="G16" i="4"/>
  <c r="G15" i="4"/>
  <c r="G14" i="4"/>
  <c r="G13" i="4"/>
  <c r="D51" i="8"/>
  <c r="C51" i="8"/>
  <c r="D49" i="8"/>
  <c r="C49" i="8"/>
  <c r="D46" i="8"/>
  <c r="C46" i="8"/>
  <c r="D45" i="8"/>
  <c r="C45" i="8"/>
  <c r="G26" i="8"/>
  <c r="F26" i="8"/>
  <c r="E26" i="8"/>
  <c r="D26" i="8"/>
  <c r="C26" i="8"/>
  <c r="C25" i="8"/>
  <c r="G25" i="8"/>
  <c r="F25" i="8"/>
  <c r="E25" i="8"/>
  <c r="D25" i="8"/>
  <c r="G20" i="8"/>
  <c r="G24" i="8" s="1"/>
  <c r="F20" i="8"/>
  <c r="E20" i="8"/>
  <c r="E24" i="8" s="1"/>
  <c r="D20" i="8"/>
  <c r="D24" i="8" s="1"/>
  <c r="C20" i="8"/>
  <c r="C24" i="8" s="1"/>
  <c r="G18" i="8"/>
  <c r="F18" i="8"/>
  <c r="E18" i="8"/>
  <c r="D18" i="8"/>
  <c r="C18" i="8"/>
  <c r="G16" i="8"/>
  <c r="F16" i="8"/>
  <c r="E16" i="8"/>
  <c r="F17" i="8" s="1"/>
  <c r="D16" i="8"/>
  <c r="C16" i="8"/>
  <c r="D17" i="8" s="1"/>
  <c r="F12" i="8"/>
  <c r="C8" i="8" s="1"/>
  <c r="H25" i="6"/>
  <c r="I25" i="6"/>
  <c r="J25" i="6"/>
  <c r="K25" i="6"/>
  <c r="G25" i="6"/>
  <c r="H21" i="6"/>
  <c r="I21" i="6"/>
  <c r="J21" i="6"/>
  <c r="K21" i="6"/>
  <c r="G21" i="6"/>
  <c r="G162" i="6"/>
  <c r="G94" i="6"/>
  <c r="H82" i="6"/>
  <c r="I82" i="6"/>
  <c r="J82" i="6"/>
  <c r="K82" i="6"/>
  <c r="G82" i="6"/>
  <c r="H78" i="6"/>
  <c r="I78" i="6"/>
  <c r="J78" i="6"/>
  <c r="K78" i="6"/>
  <c r="G78" i="6"/>
  <c r="H77" i="6"/>
  <c r="I77" i="6"/>
  <c r="J77" i="6"/>
  <c r="K77" i="6"/>
  <c r="G77" i="6"/>
  <c r="H60" i="6"/>
  <c r="I60" i="6"/>
  <c r="J60" i="6"/>
  <c r="K60" i="6"/>
  <c r="H61" i="6"/>
  <c r="H63" i="6" s="1"/>
  <c r="I61" i="6"/>
  <c r="I63" i="6" s="1"/>
  <c r="J61" i="6"/>
  <c r="J63" i="6" s="1"/>
  <c r="K61" i="6"/>
  <c r="K63" i="6" s="1"/>
  <c r="H62" i="6"/>
  <c r="I62" i="6"/>
  <c r="J62" i="6"/>
  <c r="K62" i="6"/>
  <c r="G62" i="6"/>
  <c r="G61" i="6"/>
  <c r="G60" i="6"/>
  <c r="H56" i="6"/>
  <c r="I56" i="6"/>
  <c r="J56" i="6"/>
  <c r="K56" i="6"/>
  <c r="H57" i="6"/>
  <c r="I57" i="6" s="1"/>
  <c r="J57" i="6" s="1"/>
  <c r="K57" i="6" s="1"/>
  <c r="G57" i="6"/>
  <c r="G56" i="6"/>
  <c r="G55" i="6"/>
  <c r="H55" i="6" s="1"/>
  <c r="H54" i="6"/>
  <c r="I54" i="6"/>
  <c r="J54" i="6"/>
  <c r="K54" i="6"/>
  <c r="G54" i="6"/>
  <c r="H50" i="6"/>
  <c r="I50" i="6" s="1"/>
  <c r="J50" i="6" s="1"/>
  <c r="K50" i="6" s="1"/>
  <c r="G50" i="6"/>
  <c r="H49" i="6"/>
  <c r="I49" i="6" s="1"/>
  <c r="J49" i="6" s="1"/>
  <c r="K49" i="6" s="1"/>
  <c r="G49" i="6"/>
  <c r="H48" i="6"/>
  <c r="I48" i="6" s="1"/>
  <c r="J48" i="6" s="1"/>
  <c r="K48" i="6" s="1"/>
  <c r="G48" i="6"/>
  <c r="H47" i="6"/>
  <c r="I47" i="6" s="1"/>
  <c r="G47" i="6"/>
  <c r="H46" i="6"/>
  <c r="I46" i="6"/>
  <c r="J46" i="6"/>
  <c r="K46" i="6"/>
  <c r="G46" i="6"/>
  <c r="H41" i="6"/>
  <c r="I41" i="6"/>
  <c r="J41" i="6"/>
  <c r="K41" i="6"/>
  <c r="H42" i="6"/>
  <c r="I42" i="6"/>
  <c r="J42" i="6"/>
  <c r="K42" i="6"/>
  <c r="H43" i="6"/>
  <c r="I43" i="6"/>
  <c r="J43" i="6"/>
  <c r="K43" i="6"/>
  <c r="G43" i="6"/>
  <c r="G42" i="6"/>
  <c r="G41" i="6"/>
  <c r="C116" i="6"/>
  <c r="C115" i="6"/>
  <c r="E162" i="6"/>
  <c r="F160" i="6"/>
  <c r="E160" i="6"/>
  <c r="D160" i="6"/>
  <c r="C160" i="6"/>
  <c r="F159" i="6"/>
  <c r="F162" i="6" s="1"/>
  <c r="E159" i="6"/>
  <c r="D159" i="6"/>
  <c r="D162" i="6" s="1"/>
  <c r="F158" i="6"/>
  <c r="E158" i="6"/>
  <c r="D158" i="6"/>
  <c r="G157" i="6"/>
  <c r="F157" i="6"/>
  <c r="E157" i="6"/>
  <c r="D157" i="6"/>
  <c r="F149" i="6"/>
  <c r="F152" i="6" s="1"/>
  <c r="G152" i="6" s="1"/>
  <c r="H152" i="6" s="1"/>
  <c r="I152" i="6" s="1"/>
  <c r="J152" i="6" s="1"/>
  <c r="K152" i="6" s="1"/>
  <c r="E149" i="6"/>
  <c r="D149" i="6"/>
  <c r="C149" i="6"/>
  <c r="F141" i="6"/>
  <c r="E141" i="6"/>
  <c r="D141" i="6"/>
  <c r="C141" i="6"/>
  <c r="F140" i="6"/>
  <c r="F144" i="6" s="1"/>
  <c r="G144" i="6" s="1"/>
  <c r="E140" i="6"/>
  <c r="E144" i="6" s="1"/>
  <c r="D140" i="6"/>
  <c r="D144" i="6" s="1"/>
  <c r="F139" i="6"/>
  <c r="F143" i="6" s="1"/>
  <c r="E139" i="6"/>
  <c r="E143" i="6" s="1"/>
  <c r="G143" i="6" s="1"/>
  <c r="D139" i="6"/>
  <c r="D143" i="6" s="1"/>
  <c r="G138" i="6"/>
  <c r="F138" i="6"/>
  <c r="E138" i="6"/>
  <c r="D138" i="6"/>
  <c r="K132" i="6"/>
  <c r="J132" i="6"/>
  <c r="I132" i="6"/>
  <c r="H132" i="6"/>
  <c r="G132" i="6"/>
  <c r="F132" i="6"/>
  <c r="E132" i="6"/>
  <c r="D132" i="6"/>
  <c r="C132" i="6"/>
  <c r="F131" i="6"/>
  <c r="F133" i="6" s="1"/>
  <c r="E131" i="6"/>
  <c r="E133" i="6" s="1"/>
  <c r="D131" i="6"/>
  <c r="D133" i="6" s="1"/>
  <c r="C131" i="6"/>
  <c r="C133" i="6" s="1"/>
  <c r="J125" i="6"/>
  <c r="H125" i="6"/>
  <c r="K124" i="6"/>
  <c r="K125" i="6" s="1"/>
  <c r="J124" i="6"/>
  <c r="I124" i="6"/>
  <c r="I125" i="6" s="1"/>
  <c r="H124" i="6"/>
  <c r="G124" i="6"/>
  <c r="G125" i="6" s="1"/>
  <c r="F124" i="6"/>
  <c r="F125" i="6" s="1"/>
  <c r="E124" i="6"/>
  <c r="E125" i="6" s="1"/>
  <c r="D124" i="6"/>
  <c r="D125" i="6" s="1"/>
  <c r="C124" i="6"/>
  <c r="C125" i="6" s="1"/>
  <c r="C126" i="6" s="1"/>
  <c r="F123" i="6"/>
  <c r="E123" i="6"/>
  <c r="F150" i="6" s="1"/>
  <c r="F151" i="6" s="1"/>
  <c r="D123" i="6"/>
  <c r="C123" i="6"/>
  <c r="K117" i="6"/>
  <c r="I117" i="6"/>
  <c r="C117" i="6"/>
  <c r="C118" i="6" s="1"/>
  <c r="K116" i="6"/>
  <c r="J116" i="6"/>
  <c r="J117" i="6" s="1"/>
  <c r="I116" i="6"/>
  <c r="H116" i="6"/>
  <c r="H117" i="6" s="1"/>
  <c r="G116" i="6"/>
  <c r="G117" i="6" s="1"/>
  <c r="F116" i="6"/>
  <c r="F117" i="6" s="1"/>
  <c r="E116" i="6"/>
  <c r="E117" i="6" s="1"/>
  <c r="D116" i="6"/>
  <c r="D117" i="6" s="1"/>
  <c r="D118" i="6" s="1"/>
  <c r="F115" i="6"/>
  <c r="F118" i="6" s="1"/>
  <c r="G118" i="6" s="1"/>
  <c r="E115" i="6"/>
  <c r="D115" i="6"/>
  <c r="H35" i="6"/>
  <c r="I35" i="6" s="1"/>
  <c r="J35" i="6" s="1"/>
  <c r="K35" i="6" s="1"/>
  <c r="H36" i="6"/>
  <c r="I36" i="6"/>
  <c r="J36" i="6"/>
  <c r="K36" i="6" s="1"/>
  <c r="G36" i="6"/>
  <c r="G35" i="6"/>
  <c r="H30" i="6"/>
  <c r="I30" i="6"/>
  <c r="J30" i="6"/>
  <c r="K30" i="6"/>
  <c r="G30" i="6"/>
  <c r="H26" i="6"/>
  <c r="I26" i="6"/>
  <c r="J26" i="6"/>
  <c r="K26" i="6"/>
  <c r="G26" i="6"/>
  <c r="H23" i="6"/>
  <c r="H101" i="6" s="1"/>
  <c r="I23" i="6"/>
  <c r="J23" i="6"/>
  <c r="K23" i="6"/>
  <c r="K101" i="6" s="1"/>
  <c r="H22" i="6"/>
  <c r="I22" i="6"/>
  <c r="J22" i="6"/>
  <c r="K22" i="6"/>
  <c r="G22" i="6"/>
  <c r="G23" i="6" s="1"/>
  <c r="G101" i="6" s="1"/>
  <c r="G20" i="6"/>
  <c r="H20" i="6"/>
  <c r="I20" i="6"/>
  <c r="J20" i="6"/>
  <c r="K20" i="6"/>
  <c r="K102" i="6" s="1"/>
  <c r="G19" i="6"/>
  <c r="H19" i="6"/>
  <c r="I19" i="6"/>
  <c r="J19" i="6"/>
  <c r="K19" i="6"/>
  <c r="C19" i="6"/>
  <c r="D18" i="6"/>
  <c r="D19" i="6" s="1"/>
  <c r="E18" i="6"/>
  <c r="F18" i="6"/>
  <c r="C18" i="6"/>
  <c r="H18" i="6"/>
  <c r="I18" i="6"/>
  <c r="J18" i="6"/>
  <c r="K18" i="6"/>
  <c r="G18" i="6"/>
  <c r="H17" i="6"/>
  <c r="I17" i="6" s="1"/>
  <c r="J17" i="6" s="1"/>
  <c r="K17" i="6" s="1"/>
  <c r="G17" i="6"/>
  <c r="H15" i="6"/>
  <c r="I15" i="6"/>
  <c r="J15" i="6"/>
  <c r="K15" i="6"/>
  <c r="G15" i="6"/>
  <c r="H16" i="6"/>
  <c r="I16" i="6"/>
  <c r="J16" i="6"/>
  <c r="K16" i="6"/>
  <c r="G16" i="6"/>
  <c r="D16" i="6"/>
  <c r="E16" i="6"/>
  <c r="F16" i="6"/>
  <c r="C16" i="6"/>
  <c r="H13" i="6"/>
  <c r="I13" i="6"/>
  <c r="J13" i="6"/>
  <c r="K13" i="6"/>
  <c r="G13" i="6"/>
  <c r="H14" i="6"/>
  <c r="I14" i="6" s="1"/>
  <c r="J14" i="6" s="1"/>
  <c r="K14" i="6" s="1"/>
  <c r="G14" i="6"/>
  <c r="D14" i="6"/>
  <c r="E14" i="6"/>
  <c r="F14" i="6"/>
  <c r="C14" i="6"/>
  <c r="J24" i="7"/>
  <c r="K24" i="7"/>
  <c r="I24" i="7"/>
  <c r="H25" i="7"/>
  <c r="G25" i="7"/>
  <c r="E94" i="7"/>
  <c r="F94" i="7"/>
  <c r="D94" i="7"/>
  <c r="H89" i="7"/>
  <c r="I89" i="7"/>
  <c r="J89" i="7"/>
  <c r="K89" i="7"/>
  <c r="G89" i="7"/>
  <c r="G88" i="7"/>
  <c r="H88" i="7" s="1"/>
  <c r="I88" i="7" s="1"/>
  <c r="E159" i="7"/>
  <c r="F159" i="7"/>
  <c r="F162" i="7" s="1"/>
  <c r="D159" i="7"/>
  <c r="F158" i="7"/>
  <c r="D149" i="7"/>
  <c r="E149" i="7"/>
  <c r="F149" i="7"/>
  <c r="C149" i="7"/>
  <c r="G57" i="7"/>
  <c r="H57" i="7" s="1"/>
  <c r="I57" i="7" s="1"/>
  <c r="J57" i="7" s="1"/>
  <c r="K57" i="7" s="1"/>
  <c r="G62" i="7"/>
  <c r="H62" i="7" s="1"/>
  <c r="I62" i="7" s="1"/>
  <c r="J62" i="7" s="1"/>
  <c r="K62" i="7" s="1"/>
  <c r="G61" i="7"/>
  <c r="H61" i="7" s="1"/>
  <c r="I61" i="7" s="1"/>
  <c r="J61" i="7" s="1"/>
  <c r="K61" i="7" s="1"/>
  <c r="G60" i="7"/>
  <c r="H60" i="7" s="1"/>
  <c r="G56" i="7"/>
  <c r="H56" i="7" s="1"/>
  <c r="I56" i="7" s="1"/>
  <c r="J56" i="7" s="1"/>
  <c r="K56" i="7" s="1"/>
  <c r="G55" i="7"/>
  <c r="H55" i="7" s="1"/>
  <c r="I55" i="7" s="1"/>
  <c r="G36" i="7"/>
  <c r="H36" i="7" s="1"/>
  <c r="I36" i="7" s="1"/>
  <c r="G35" i="7"/>
  <c r="H35" i="7" s="1"/>
  <c r="I35" i="7" s="1"/>
  <c r="F31" i="7"/>
  <c r="F33" i="7" s="1"/>
  <c r="G50" i="7"/>
  <c r="H50" i="7" s="1"/>
  <c r="I50" i="7" s="1"/>
  <c r="J50" i="7" s="1"/>
  <c r="K50" i="7" s="1"/>
  <c r="G49" i="7"/>
  <c r="H49" i="7" s="1"/>
  <c r="I49" i="7" s="1"/>
  <c r="J49" i="7" s="1"/>
  <c r="K49" i="7" s="1"/>
  <c r="E140" i="7"/>
  <c r="F140" i="7"/>
  <c r="D140" i="7"/>
  <c r="E139" i="7"/>
  <c r="F139" i="7"/>
  <c r="D139" i="7"/>
  <c r="D141" i="7"/>
  <c r="E138" i="7" s="1"/>
  <c r="E141" i="7"/>
  <c r="F138" i="7" s="1"/>
  <c r="F144" i="7" s="1"/>
  <c r="G144" i="7" s="1"/>
  <c r="F141" i="7"/>
  <c r="G138" i="7" s="1"/>
  <c r="C141" i="7"/>
  <c r="D138" i="7" s="1"/>
  <c r="D144" i="7" s="1"/>
  <c r="G48" i="7"/>
  <c r="H48" i="7" s="1"/>
  <c r="I48" i="7" s="1"/>
  <c r="G47" i="7"/>
  <c r="H47" i="7" s="1"/>
  <c r="D132" i="7"/>
  <c r="E132" i="7"/>
  <c r="F132" i="7"/>
  <c r="C132" i="7"/>
  <c r="D131" i="7"/>
  <c r="E131" i="7"/>
  <c r="F131" i="7"/>
  <c r="C131" i="7"/>
  <c r="D124" i="7"/>
  <c r="D125" i="7" s="1"/>
  <c r="E124" i="7"/>
  <c r="E125" i="7" s="1"/>
  <c r="F124" i="7"/>
  <c r="F125" i="7" s="1"/>
  <c r="C124" i="7"/>
  <c r="C125" i="7" s="1"/>
  <c r="D123" i="7"/>
  <c r="E123" i="7"/>
  <c r="F123" i="7"/>
  <c r="C123" i="7"/>
  <c r="D116" i="7"/>
  <c r="D117" i="7" s="1"/>
  <c r="E116" i="7"/>
  <c r="E117" i="7" s="1"/>
  <c r="F116" i="7"/>
  <c r="F117" i="7" s="1"/>
  <c r="C116" i="7"/>
  <c r="C117" i="7" s="1"/>
  <c r="D115" i="7"/>
  <c r="E115" i="7"/>
  <c r="F115" i="7"/>
  <c r="C115" i="7"/>
  <c r="G26" i="7"/>
  <c r="H26" i="7" s="1"/>
  <c r="I26" i="7" s="1"/>
  <c r="J26" i="7" s="1"/>
  <c r="K26" i="7" s="1"/>
  <c r="C31" i="7"/>
  <c r="D18" i="7"/>
  <c r="E18" i="7"/>
  <c r="F18" i="7"/>
  <c r="C18" i="7"/>
  <c r="D16" i="7"/>
  <c r="E16" i="7"/>
  <c r="F16" i="7"/>
  <c r="C16" i="7"/>
  <c r="D14" i="7"/>
  <c r="E14" i="7"/>
  <c r="F14" i="7"/>
  <c r="C14" i="7"/>
  <c r="G17" i="7"/>
  <c r="H17" i="7" s="1"/>
  <c r="I9" i="7"/>
  <c r="J9" i="7" s="1"/>
  <c r="G9" i="7"/>
  <c r="G8" i="7" s="1"/>
  <c r="G116" i="7" s="1"/>
  <c r="G117" i="7" s="1"/>
  <c r="H23" i="3"/>
  <c r="H25" i="3"/>
  <c r="H22" i="3"/>
  <c r="I16" i="3"/>
  <c r="C31" i="3"/>
  <c r="C26" i="3"/>
  <c r="C25" i="3"/>
  <c r="C23" i="3"/>
  <c r="C20" i="3"/>
  <c r="E18" i="3"/>
  <c r="D18" i="3"/>
  <c r="C107" i="7"/>
  <c r="D107" i="7"/>
  <c r="E107" i="7"/>
  <c r="F107" i="7"/>
  <c r="C104" i="7"/>
  <c r="D104" i="7"/>
  <c r="E104" i="7"/>
  <c r="F104" i="7"/>
  <c r="C99" i="7"/>
  <c r="C92" i="7"/>
  <c r="D92" i="7"/>
  <c r="E92" i="7"/>
  <c r="F92" i="7"/>
  <c r="C86" i="7"/>
  <c r="D86" i="7"/>
  <c r="E86" i="7"/>
  <c r="F86" i="7"/>
  <c r="C77" i="7"/>
  <c r="D77" i="7"/>
  <c r="E77" i="7"/>
  <c r="F77" i="7"/>
  <c r="C70" i="7"/>
  <c r="C71" i="7" s="1"/>
  <c r="C72" i="7" s="1"/>
  <c r="D70" i="7"/>
  <c r="D71" i="7" s="1"/>
  <c r="D72" i="7" s="1"/>
  <c r="E70" i="7"/>
  <c r="E71" i="7" s="1"/>
  <c r="E72" i="7" s="1"/>
  <c r="F71" i="7"/>
  <c r="F72" i="7" s="1"/>
  <c r="C63" i="7"/>
  <c r="D63" i="7"/>
  <c r="E63" i="7"/>
  <c r="F63" i="7"/>
  <c r="C51" i="7"/>
  <c r="D51" i="7"/>
  <c r="E51" i="7"/>
  <c r="F51" i="7"/>
  <c r="C44" i="7"/>
  <c r="D44" i="7"/>
  <c r="E44" i="7"/>
  <c r="F44" i="7"/>
  <c r="C76" i="7"/>
  <c r="D31" i="7"/>
  <c r="D34" i="7" s="1"/>
  <c r="E31" i="7"/>
  <c r="E34" i="7" s="1"/>
  <c r="F34" i="7"/>
  <c r="C34" i="3" s="1"/>
  <c r="C38" i="3" s="1"/>
  <c r="C30" i="7"/>
  <c r="D30" i="7"/>
  <c r="E30" i="7"/>
  <c r="F30" i="7"/>
  <c r="G30" i="7" s="1"/>
  <c r="H30" i="7" s="1"/>
  <c r="I30" i="7" s="1"/>
  <c r="J30" i="7" s="1"/>
  <c r="K30" i="7" s="1"/>
  <c r="C28" i="7"/>
  <c r="D28" i="7"/>
  <c r="E28" i="7"/>
  <c r="F28" i="7"/>
  <c r="C11" i="7"/>
  <c r="C12" i="7" s="1"/>
  <c r="C100" i="7" s="1"/>
  <c r="D11" i="7"/>
  <c r="E11" i="7"/>
  <c r="E12" i="7" s="1"/>
  <c r="E100" i="7" s="1"/>
  <c r="F11" i="7"/>
  <c r="F12" i="7" s="1"/>
  <c r="F100" i="7" s="1"/>
  <c r="F9" i="7"/>
  <c r="F99" i="7" s="1"/>
  <c r="E9" i="7"/>
  <c r="E99" i="7" s="1"/>
  <c r="D9" i="7"/>
  <c r="D99" i="7" s="1"/>
  <c r="F70" i="6"/>
  <c r="F71" i="6" s="1"/>
  <c r="E70" i="6"/>
  <c r="E71" i="6" s="1"/>
  <c r="D70" i="6"/>
  <c r="D71" i="6" s="1"/>
  <c r="C70" i="6"/>
  <c r="C71" i="6" s="1"/>
  <c r="C107" i="6"/>
  <c r="D107" i="6"/>
  <c r="E107" i="6"/>
  <c r="F107" i="6"/>
  <c r="C104" i="6"/>
  <c r="D104" i="6"/>
  <c r="E104" i="6"/>
  <c r="F104" i="6"/>
  <c r="C99" i="6"/>
  <c r="C92" i="6"/>
  <c r="D92" i="6"/>
  <c r="E92" i="6"/>
  <c r="F92" i="6"/>
  <c r="C86" i="6"/>
  <c r="D86" i="6"/>
  <c r="E86" i="6"/>
  <c r="F86" i="6"/>
  <c r="C77" i="6"/>
  <c r="D77" i="6"/>
  <c r="E77" i="6"/>
  <c r="F77" i="6"/>
  <c r="D76" i="6"/>
  <c r="C63" i="6"/>
  <c r="D63" i="6"/>
  <c r="E63" i="6"/>
  <c r="F63" i="6"/>
  <c r="C51" i="6"/>
  <c r="D51" i="6"/>
  <c r="E51" i="6"/>
  <c r="F51" i="6"/>
  <c r="C44" i="6"/>
  <c r="D44" i="6"/>
  <c r="E44" i="6"/>
  <c r="F44" i="6"/>
  <c r="C31" i="6"/>
  <c r="C76" i="6" s="1"/>
  <c r="C80" i="6" s="1"/>
  <c r="D31" i="6"/>
  <c r="D32" i="6" s="1"/>
  <c r="D103" i="6" s="1"/>
  <c r="E31" i="6"/>
  <c r="E76" i="6" s="1"/>
  <c r="E80" i="6" s="1"/>
  <c r="F31" i="6"/>
  <c r="F76" i="6" s="1"/>
  <c r="F80" i="6" s="1"/>
  <c r="C30" i="6"/>
  <c r="D30" i="6"/>
  <c r="E30" i="6"/>
  <c r="F30" i="6"/>
  <c r="C28" i="6"/>
  <c r="D28" i="6"/>
  <c r="E28" i="6"/>
  <c r="F28" i="6"/>
  <c r="F19" i="6"/>
  <c r="F22" i="6" s="1"/>
  <c r="E19" i="6"/>
  <c r="E22" i="6" s="1"/>
  <c r="C11" i="6"/>
  <c r="C12" i="6" s="1"/>
  <c r="C100" i="6" s="1"/>
  <c r="D11" i="6"/>
  <c r="D12" i="6" s="1"/>
  <c r="D100" i="6" s="1"/>
  <c r="E11" i="6"/>
  <c r="E12" i="6" s="1"/>
  <c r="E100" i="6" s="1"/>
  <c r="F11" i="6"/>
  <c r="F12" i="6" s="1"/>
  <c r="F100" i="6" s="1"/>
  <c r="F9" i="6"/>
  <c r="F99" i="6" s="1"/>
  <c r="E9" i="6"/>
  <c r="E99" i="6" s="1"/>
  <c r="D9" i="6"/>
  <c r="D99" i="6" s="1"/>
  <c r="C8" i="9"/>
  <c r="C7" i="9"/>
  <c r="H62" i="10"/>
  <c r="H60" i="10"/>
  <c r="H58" i="10"/>
  <c r="G57" i="10"/>
  <c r="G61" i="10" s="1"/>
  <c r="G63" i="10" s="1"/>
  <c r="H56" i="10"/>
  <c r="H55" i="10"/>
  <c r="H54" i="10"/>
  <c r="E93" i="10" s="1"/>
  <c r="H53" i="10"/>
  <c r="H50" i="10"/>
  <c r="H49" i="10"/>
  <c r="H48" i="10"/>
  <c r="H47" i="10"/>
  <c r="G46" i="10"/>
  <c r="G51" i="10" s="1"/>
  <c r="H44" i="10"/>
  <c r="H43" i="10"/>
  <c r="H42" i="10"/>
  <c r="E94" i="10" s="1"/>
  <c r="D37" i="10"/>
  <c r="C37" i="10"/>
  <c r="D36" i="10"/>
  <c r="C36" i="10"/>
  <c r="C35" i="10"/>
  <c r="C34" i="10"/>
  <c r="D25" i="10"/>
  <c r="C25" i="10"/>
  <c r="D24" i="10"/>
  <c r="C24" i="10"/>
  <c r="D23" i="10"/>
  <c r="C23" i="10"/>
  <c r="D20" i="10"/>
  <c r="C20" i="10"/>
  <c r="D15" i="10"/>
  <c r="C15" i="10"/>
  <c r="D14" i="10"/>
  <c r="C14" i="10"/>
  <c r="D13" i="10"/>
  <c r="C13" i="10"/>
  <c r="D10" i="10"/>
  <c r="C10" i="10"/>
  <c r="D8" i="10"/>
  <c r="C8" i="10"/>
  <c r="J76" i="11"/>
  <c r="I76" i="11"/>
  <c r="H76" i="11"/>
  <c r="G76" i="11"/>
  <c r="F76" i="11"/>
  <c r="E76" i="11"/>
  <c r="D76" i="11"/>
  <c r="C76" i="11"/>
  <c r="J75" i="11"/>
  <c r="I75" i="11"/>
  <c r="H75" i="11"/>
  <c r="G75" i="11"/>
  <c r="F75" i="11"/>
  <c r="E75" i="11"/>
  <c r="D75" i="11"/>
  <c r="C75" i="11"/>
  <c r="J74" i="11"/>
  <c r="I74" i="11"/>
  <c r="H74" i="11"/>
  <c r="J73" i="11"/>
  <c r="I73" i="11"/>
  <c r="H73" i="11"/>
  <c r="G73" i="11"/>
  <c r="F73" i="11"/>
  <c r="E73" i="11"/>
  <c r="D73" i="11"/>
  <c r="C73" i="11"/>
  <c r="J72" i="11"/>
  <c r="I72" i="11"/>
  <c r="H72" i="11"/>
  <c r="G72" i="11"/>
  <c r="F72" i="11"/>
  <c r="E72" i="11"/>
  <c r="D72" i="11"/>
  <c r="C72" i="11"/>
  <c r="J70" i="11"/>
  <c r="F62" i="11"/>
  <c r="G57" i="11"/>
  <c r="G55" i="11"/>
  <c r="F52" i="11"/>
  <c r="F56" i="11" s="1"/>
  <c r="D52" i="11"/>
  <c r="G48" i="11"/>
  <c r="F46" i="11"/>
  <c r="F40" i="11"/>
  <c r="D40" i="11"/>
  <c r="E30" i="11"/>
  <c r="E29" i="11"/>
  <c r="E24" i="11"/>
  <c r="E22" i="11"/>
  <c r="E21" i="11"/>
  <c r="C34" i="8"/>
  <c r="J95" i="8"/>
  <c r="I95" i="8"/>
  <c r="J94" i="8"/>
  <c r="I94" i="8"/>
  <c r="J93" i="8"/>
  <c r="I93" i="8"/>
  <c r="J92" i="8"/>
  <c r="I92" i="8"/>
  <c r="J91" i="8"/>
  <c r="I91" i="8"/>
  <c r="J90" i="8"/>
  <c r="I90" i="8"/>
  <c r="J89" i="8"/>
  <c r="I89" i="8"/>
  <c r="J88" i="8"/>
  <c r="I88" i="8"/>
  <c r="J70" i="8"/>
  <c r="I70" i="8"/>
  <c r="F70" i="8"/>
  <c r="J69" i="8"/>
  <c r="I69" i="8"/>
  <c r="F69" i="8"/>
  <c r="G28" i="8"/>
  <c r="F28" i="8"/>
  <c r="E28" i="8"/>
  <c r="D28" i="8"/>
  <c r="C28" i="8"/>
  <c r="K86" i="6"/>
  <c r="J86" i="6"/>
  <c r="I86" i="6"/>
  <c r="H86" i="6"/>
  <c r="G86" i="6"/>
  <c r="G63" i="6"/>
  <c r="G58" i="6"/>
  <c r="H51" i="6"/>
  <c r="G51" i="6"/>
  <c r="J101" i="6"/>
  <c r="I101" i="6"/>
  <c r="J102" i="6"/>
  <c r="I102" i="6"/>
  <c r="H102" i="6"/>
  <c r="G102" i="6"/>
  <c r="D35" i="5"/>
  <c r="D34" i="5"/>
  <c r="G21" i="5"/>
  <c r="G16" i="5"/>
  <c r="G9" i="5"/>
  <c r="C19" i="5"/>
  <c r="C30" i="5" s="1"/>
  <c r="C10" i="5"/>
  <c r="E34" i="4"/>
  <c r="F18" i="4"/>
  <c r="E18" i="4"/>
  <c r="D18" i="4"/>
  <c r="C18" i="4"/>
  <c r="C10" i="4"/>
  <c r="C45" i="3"/>
  <c r="H16" i="3"/>
  <c r="H9" i="3"/>
  <c r="E38" i="3"/>
  <c r="E37" i="3"/>
  <c r="E36" i="3"/>
  <c r="E35" i="3"/>
  <c r="C53" i="9" l="1"/>
  <c r="D53" i="9"/>
  <c r="C54" i="9"/>
  <c r="D64" i="10"/>
  <c r="C63" i="10"/>
  <c r="C64" i="10"/>
  <c r="E95" i="10"/>
  <c r="E97" i="10" s="1"/>
  <c r="E96" i="10"/>
  <c r="H72" i="10"/>
  <c r="H80" i="10"/>
  <c r="C94" i="10"/>
  <c r="H82" i="10"/>
  <c r="D94" i="10"/>
  <c r="H45" i="10"/>
  <c r="C93" i="10"/>
  <c r="H46" i="10"/>
  <c r="H51" i="10" s="1"/>
  <c r="H57" i="10"/>
  <c r="H61" i="10" s="1"/>
  <c r="H63" i="10" s="1"/>
  <c r="H64" i="10" s="1"/>
  <c r="D93" i="10"/>
  <c r="E40" i="11"/>
  <c r="F63" i="11"/>
  <c r="C31" i="11"/>
  <c r="C52" i="11"/>
  <c r="C56" i="11" s="1"/>
  <c r="C62" i="11" s="1"/>
  <c r="E27" i="11"/>
  <c r="D19" i="11"/>
  <c r="E19" i="11" s="1"/>
  <c r="J19" i="11" s="1"/>
  <c r="G50" i="11"/>
  <c r="C10" i="11"/>
  <c r="D59" i="11" s="1"/>
  <c r="E28" i="11"/>
  <c r="J28" i="11" s="1"/>
  <c r="C78" i="11" s="1"/>
  <c r="D20" i="11"/>
  <c r="E20" i="11" s="1"/>
  <c r="J20" i="11" s="1"/>
  <c r="D18" i="11"/>
  <c r="D23" i="11"/>
  <c r="E23" i="11" s="1"/>
  <c r="J23" i="11" s="1"/>
  <c r="G36" i="11"/>
  <c r="C40" i="11"/>
  <c r="G40" i="11" s="1"/>
  <c r="C12" i="11"/>
  <c r="G22" i="5"/>
  <c r="H21" i="5" s="1"/>
  <c r="H9" i="5"/>
  <c r="H19" i="5"/>
  <c r="H16" i="5"/>
  <c r="H7" i="5"/>
  <c r="H15" i="5"/>
  <c r="G25" i="5"/>
  <c r="C32" i="5"/>
  <c r="C35" i="5" s="1"/>
  <c r="C34" i="5"/>
  <c r="C22" i="5"/>
  <c r="D17" i="5" s="1"/>
  <c r="C82" i="8"/>
  <c r="F19" i="8"/>
  <c r="I67" i="8"/>
  <c r="D21" i="8"/>
  <c r="D22" i="8" s="1"/>
  <c r="E21" i="8"/>
  <c r="E22" i="8" s="1"/>
  <c r="E23" i="8" s="1"/>
  <c r="E27" i="8" s="1"/>
  <c r="C21" i="8"/>
  <c r="C22" i="8" s="1"/>
  <c r="C23" i="8" s="1"/>
  <c r="E17" i="8"/>
  <c r="E19" i="8"/>
  <c r="F21" i="8"/>
  <c r="F22" i="8" s="1"/>
  <c r="F23" i="8" s="1"/>
  <c r="I99" i="8"/>
  <c r="G17" i="8"/>
  <c r="C29" i="8"/>
  <c r="D29" i="8"/>
  <c r="F29" i="8"/>
  <c r="D19" i="8"/>
  <c r="G21" i="8"/>
  <c r="G22" i="8" s="1"/>
  <c r="E29" i="8"/>
  <c r="G29" i="8"/>
  <c r="I68" i="8"/>
  <c r="F24" i="8"/>
  <c r="I100" i="8" a="1"/>
  <c r="I100" i="8" s="1"/>
  <c r="C36" i="8"/>
  <c r="J66" i="8"/>
  <c r="F113" i="8" s="1"/>
  <c r="G19" i="8"/>
  <c r="D114" i="8"/>
  <c r="G114" i="8" s="1"/>
  <c r="J100" i="8" a="1"/>
  <c r="J100" i="8" s="1"/>
  <c r="I65" i="8"/>
  <c r="F34" i="4"/>
  <c r="C20" i="4"/>
  <c r="C33" i="4" s="1"/>
  <c r="D20" i="4"/>
  <c r="E20" i="4"/>
  <c r="E33" i="4" s="1"/>
  <c r="E35" i="4" s="1"/>
  <c r="F20" i="4"/>
  <c r="F33" i="4" s="1"/>
  <c r="F35" i="4" s="1"/>
  <c r="G18" i="4"/>
  <c r="G20" i="4" s="1"/>
  <c r="E8" i="10"/>
  <c r="H11" i="10" s="1"/>
  <c r="C27" i="8"/>
  <c r="C19" i="8"/>
  <c r="I55" i="6"/>
  <c r="H58" i="6"/>
  <c r="I58" i="6"/>
  <c r="I64" i="6" s="1"/>
  <c r="J55" i="6"/>
  <c r="J47" i="6"/>
  <c r="I51" i="6"/>
  <c r="G115" i="6"/>
  <c r="G119" i="6" s="1"/>
  <c r="H118" i="6"/>
  <c r="F126" i="6"/>
  <c r="G126" i="6" s="1"/>
  <c r="G141" i="6"/>
  <c r="H131" i="6"/>
  <c r="H134" i="6" s="1"/>
  <c r="H144" i="6"/>
  <c r="G140" i="6"/>
  <c r="D126" i="6"/>
  <c r="K133" i="6"/>
  <c r="K131" i="6" s="1"/>
  <c r="K134" i="6" s="1"/>
  <c r="I133" i="6"/>
  <c r="I131" i="6" s="1"/>
  <c r="I134" i="6" s="1"/>
  <c r="J133" i="6"/>
  <c r="J131" i="6" s="1"/>
  <c r="J134" i="6" s="1"/>
  <c r="H133" i="6"/>
  <c r="G133" i="6"/>
  <c r="G131" i="6" s="1"/>
  <c r="G134" i="6" s="1"/>
  <c r="H143" i="6"/>
  <c r="G139" i="6"/>
  <c r="E118" i="6"/>
  <c r="E150" i="6"/>
  <c r="E151" i="6" s="1"/>
  <c r="E152" i="6" s="1"/>
  <c r="H162" i="6"/>
  <c r="D150" i="6"/>
  <c r="D151" i="6" s="1"/>
  <c r="D152" i="6" s="1"/>
  <c r="E126" i="6"/>
  <c r="H24" i="10"/>
  <c r="G64" i="6"/>
  <c r="H25" i="10"/>
  <c r="D80" i="6"/>
  <c r="D93" i="6" s="1"/>
  <c r="H64" i="6"/>
  <c r="H13" i="10"/>
  <c r="H28" i="10"/>
  <c r="G12" i="6"/>
  <c r="G9" i="6"/>
  <c r="J88" i="7"/>
  <c r="F143" i="7"/>
  <c r="E143" i="7"/>
  <c r="G143" i="7" s="1"/>
  <c r="E144" i="7"/>
  <c r="D150" i="7"/>
  <c r="D151" i="7" s="1"/>
  <c r="D152" i="7" s="1"/>
  <c r="G63" i="7"/>
  <c r="F150" i="7"/>
  <c r="F151" i="7" s="1"/>
  <c r="F152" i="7" s="1"/>
  <c r="G152" i="7" s="1"/>
  <c r="H152" i="7" s="1"/>
  <c r="I152" i="7" s="1"/>
  <c r="J152" i="7" s="1"/>
  <c r="K152" i="7" s="1"/>
  <c r="D143" i="7"/>
  <c r="G140" i="7"/>
  <c r="G21" i="7" s="1"/>
  <c r="G77" i="7" s="1"/>
  <c r="H144" i="7"/>
  <c r="J36" i="7"/>
  <c r="G139" i="7"/>
  <c r="H143" i="7"/>
  <c r="I60" i="7"/>
  <c r="I63" i="7" s="1"/>
  <c r="H63" i="7"/>
  <c r="D158" i="7"/>
  <c r="D162" i="7" s="1"/>
  <c r="E150" i="7"/>
  <c r="E151" i="7" s="1"/>
  <c r="E152" i="7" s="1"/>
  <c r="C160" i="7"/>
  <c r="D157" i="7" s="1"/>
  <c r="F160" i="7"/>
  <c r="G157" i="7" s="1"/>
  <c r="E158" i="7"/>
  <c r="E162" i="7" s="1"/>
  <c r="G162" i="7" s="1"/>
  <c r="H162" i="7" s="1"/>
  <c r="I162" i="7" s="1"/>
  <c r="J162" i="7" s="1"/>
  <c r="K162" i="7" s="1"/>
  <c r="D133" i="7"/>
  <c r="E160" i="7"/>
  <c r="F157" i="7" s="1"/>
  <c r="D160" i="7"/>
  <c r="E157" i="7" s="1"/>
  <c r="J55" i="7"/>
  <c r="J35" i="7"/>
  <c r="D19" i="7"/>
  <c r="D20" i="7" s="1"/>
  <c r="D102" i="7" s="1"/>
  <c r="I47" i="7"/>
  <c r="J47" i="7" s="1"/>
  <c r="K47" i="7" s="1"/>
  <c r="C126" i="7"/>
  <c r="E133" i="7"/>
  <c r="E118" i="7"/>
  <c r="D118" i="7"/>
  <c r="C118" i="7"/>
  <c r="E126" i="7"/>
  <c r="C133" i="7"/>
  <c r="F118" i="7"/>
  <c r="G118" i="7" s="1"/>
  <c r="H118" i="7" s="1"/>
  <c r="D126" i="7"/>
  <c r="F133" i="7"/>
  <c r="J48" i="7"/>
  <c r="K48" i="7" s="1"/>
  <c r="F126" i="7"/>
  <c r="G126" i="7" s="1"/>
  <c r="G132" i="7"/>
  <c r="D12" i="7"/>
  <c r="D100" i="7" s="1"/>
  <c r="G16" i="7"/>
  <c r="G15" i="7" s="1"/>
  <c r="H16" i="7"/>
  <c r="F19" i="7"/>
  <c r="F22" i="7" s="1"/>
  <c r="C32" i="3" s="1"/>
  <c r="G14" i="7"/>
  <c r="G13" i="7" s="1"/>
  <c r="E19" i="7"/>
  <c r="E20" i="7" s="1"/>
  <c r="E102" i="7" s="1"/>
  <c r="H10" i="10"/>
  <c r="C19" i="7"/>
  <c r="C22" i="7" s="1"/>
  <c r="C34" i="7"/>
  <c r="D35" i="10" s="1"/>
  <c r="H14" i="10"/>
  <c r="H23" i="10"/>
  <c r="D31" i="3"/>
  <c r="G99" i="7"/>
  <c r="I17" i="7"/>
  <c r="J17" i="7" s="1"/>
  <c r="G12" i="7"/>
  <c r="G11" i="7" s="1"/>
  <c r="H9" i="7"/>
  <c r="H8" i="7" s="1"/>
  <c r="C80" i="7"/>
  <c r="C21" i="3"/>
  <c r="C22" i="3" s="1"/>
  <c r="C24" i="3" s="1"/>
  <c r="C27" i="3" s="1"/>
  <c r="H15" i="10"/>
  <c r="C32" i="7"/>
  <c r="C103" i="7" s="1"/>
  <c r="H18" i="3"/>
  <c r="I7" i="3" s="1"/>
  <c r="I8" i="3"/>
  <c r="F76" i="7"/>
  <c r="F80" i="7" s="1"/>
  <c r="E33" i="7"/>
  <c r="E76" i="7"/>
  <c r="E80" i="7" s="1"/>
  <c r="D33" i="7"/>
  <c r="D76" i="7"/>
  <c r="D80" i="7" s="1"/>
  <c r="C33" i="7"/>
  <c r="D34" i="10" s="1"/>
  <c r="F32" i="7"/>
  <c r="F103" i="7" s="1"/>
  <c r="E32" i="7"/>
  <c r="E103" i="7" s="1"/>
  <c r="D32" i="7"/>
  <c r="D103" i="7" s="1"/>
  <c r="D72" i="6"/>
  <c r="C72" i="6"/>
  <c r="F72" i="6"/>
  <c r="E72" i="6"/>
  <c r="E93" i="6"/>
  <c r="E105" i="6"/>
  <c r="E106" i="6" s="1"/>
  <c r="F108" i="6"/>
  <c r="F23" i="6"/>
  <c r="F101" i="6" s="1"/>
  <c r="E108" i="6"/>
  <c r="E23" i="6"/>
  <c r="E101" i="6" s="1"/>
  <c r="F93" i="6"/>
  <c r="F105" i="6"/>
  <c r="F106" i="6" s="1"/>
  <c r="C105" i="6"/>
  <c r="C106" i="6" s="1"/>
  <c r="C93" i="6"/>
  <c r="C95" i="6" s="1"/>
  <c r="D94" i="6" s="1"/>
  <c r="C20" i="6"/>
  <c r="C102" i="6" s="1"/>
  <c r="C22" i="6"/>
  <c r="D22" i="6"/>
  <c r="D20" i="6"/>
  <c r="D102" i="6" s="1"/>
  <c r="F20" i="6"/>
  <c r="F102" i="6" s="1"/>
  <c r="F32" i="6"/>
  <c r="F103" i="6" s="1"/>
  <c r="E20" i="6"/>
  <c r="E102" i="6" s="1"/>
  <c r="E32" i="6"/>
  <c r="E103" i="6" s="1"/>
  <c r="C32" i="6"/>
  <c r="C103" i="6" s="1"/>
  <c r="F64" i="10"/>
  <c r="G64" i="10"/>
  <c r="E64" i="10"/>
  <c r="F64" i="11"/>
  <c r="E63" i="11"/>
  <c r="E64" i="11" s="1"/>
  <c r="I97" i="8"/>
  <c r="C106" i="8"/>
  <c r="E106" i="8" s="1"/>
  <c r="F106" i="8" s="1"/>
  <c r="E114" i="8"/>
  <c r="H114" i="8" s="1"/>
  <c r="J97" i="8"/>
  <c r="I98" i="8"/>
  <c r="C104" i="8"/>
  <c r="E104" i="8" s="1"/>
  <c r="F104" i="8" s="1"/>
  <c r="J98" i="8"/>
  <c r="C107" i="8"/>
  <c r="E107" i="8" s="1"/>
  <c r="F107" i="8" s="1"/>
  <c r="J99" i="8"/>
  <c r="C105" i="8"/>
  <c r="E105" i="8" s="1"/>
  <c r="F105" i="8" s="1"/>
  <c r="C114" i="8"/>
  <c r="F114" i="8" s="1"/>
  <c r="D96" i="10" l="1"/>
  <c r="D95" i="10"/>
  <c r="D97" i="10" s="1"/>
  <c r="C96" i="10"/>
  <c r="C95" i="10"/>
  <c r="C97" i="10" s="1"/>
  <c r="E92" i="10"/>
  <c r="D92" i="10"/>
  <c r="C92" i="10"/>
  <c r="H81" i="10"/>
  <c r="H83" i="10" s="1"/>
  <c r="D58" i="11"/>
  <c r="G52" i="11"/>
  <c r="J27" i="11"/>
  <c r="D41" i="11"/>
  <c r="G41" i="11" s="1"/>
  <c r="I71" i="11"/>
  <c r="G71" i="11"/>
  <c r="E71" i="11"/>
  <c r="H71" i="11"/>
  <c r="J71" i="11"/>
  <c r="F71" i="11"/>
  <c r="D71" i="11"/>
  <c r="C71" i="11"/>
  <c r="C63" i="11"/>
  <c r="C64" i="11" s="1"/>
  <c r="I70" i="11"/>
  <c r="H70" i="11"/>
  <c r="F70" i="11"/>
  <c r="G70" i="11"/>
  <c r="E70" i="11"/>
  <c r="D70" i="11"/>
  <c r="C70" i="11"/>
  <c r="G74" i="11"/>
  <c r="F74" i="11"/>
  <c r="E74" i="11"/>
  <c r="D74" i="11"/>
  <c r="C74" i="11"/>
  <c r="E18" i="11"/>
  <c r="D31" i="11"/>
  <c r="H20" i="5"/>
  <c r="H13" i="5"/>
  <c r="H14" i="5"/>
  <c r="H8" i="5"/>
  <c r="D14" i="5"/>
  <c r="C26" i="5"/>
  <c r="G26" i="5" s="1"/>
  <c r="C25" i="5"/>
  <c r="D9" i="5"/>
  <c r="D15" i="5"/>
  <c r="D13" i="5"/>
  <c r="D7" i="5"/>
  <c r="D21" i="5"/>
  <c r="D16" i="5"/>
  <c r="D10" i="5"/>
  <c r="H12" i="5"/>
  <c r="D18" i="5"/>
  <c r="D8" i="5"/>
  <c r="D23" i="8"/>
  <c r="D27" i="8" s="1"/>
  <c r="C83" i="8"/>
  <c r="E83" i="8" s="1"/>
  <c r="F83" i="8" s="1"/>
  <c r="C81" i="8"/>
  <c r="E81" i="8" s="1"/>
  <c r="D30" i="8"/>
  <c r="C30" i="8"/>
  <c r="E30" i="8"/>
  <c r="G113" i="8"/>
  <c r="F27" i="8"/>
  <c r="F30" i="8" s="1"/>
  <c r="E82" i="8"/>
  <c r="F82" i="8" s="1"/>
  <c r="G23" i="8"/>
  <c r="G27" i="8" s="1"/>
  <c r="C35" i="8" s="1"/>
  <c r="C37" i="8" s="1"/>
  <c r="C84" i="8"/>
  <c r="E84" i="8" s="1"/>
  <c r="F84" i="8" s="1"/>
  <c r="H113" i="8"/>
  <c r="F81" i="8"/>
  <c r="C29" i="4"/>
  <c r="J17" i="4"/>
  <c r="J19" i="4" s="1"/>
  <c r="J16" i="4"/>
  <c r="J12" i="4"/>
  <c r="D33" i="4"/>
  <c r="G33" i="4"/>
  <c r="H8" i="10"/>
  <c r="C87" i="10" s="1"/>
  <c r="H9" i="10"/>
  <c r="J58" i="6"/>
  <c r="J64" i="6" s="1"/>
  <c r="K55" i="6"/>
  <c r="J51" i="6"/>
  <c r="K47" i="6"/>
  <c r="K51" i="6" s="1"/>
  <c r="I143" i="6"/>
  <c r="G123" i="6"/>
  <c r="H126" i="6"/>
  <c r="H140" i="6"/>
  <c r="I144" i="6"/>
  <c r="I162" i="6"/>
  <c r="H115" i="6"/>
  <c r="H119" i="6" s="1"/>
  <c r="I118" i="6"/>
  <c r="H138" i="6"/>
  <c r="G145" i="6"/>
  <c r="D95" i="6"/>
  <c r="E94" i="6" s="1"/>
  <c r="E95" i="6" s="1"/>
  <c r="F94" i="6" s="1"/>
  <c r="F95" i="6" s="1"/>
  <c r="D105" i="6"/>
  <c r="D106" i="6" s="1"/>
  <c r="H9" i="6"/>
  <c r="I9" i="6" s="1"/>
  <c r="J9" i="6" s="1"/>
  <c r="K9" i="6" s="1"/>
  <c r="G8" i="6"/>
  <c r="G100" i="6"/>
  <c r="H12" i="6"/>
  <c r="G141" i="7"/>
  <c r="G82" i="7"/>
  <c r="K88" i="7"/>
  <c r="J60" i="7"/>
  <c r="H138" i="7"/>
  <c r="H140" i="7" s="1"/>
  <c r="H21" i="7" s="1"/>
  <c r="H77" i="7" s="1"/>
  <c r="G145" i="7"/>
  <c r="G46" i="7" s="1"/>
  <c r="G51" i="7" s="1"/>
  <c r="D22" i="7"/>
  <c r="D23" i="7" s="1"/>
  <c r="D101" i="7" s="1"/>
  <c r="H139" i="7"/>
  <c r="H82" i="7" s="1"/>
  <c r="H86" i="7" s="1"/>
  <c r="I143" i="7"/>
  <c r="K36" i="7"/>
  <c r="I144" i="7"/>
  <c r="K55" i="7"/>
  <c r="J63" i="7"/>
  <c r="K60" i="7"/>
  <c r="K35" i="7"/>
  <c r="I133" i="7"/>
  <c r="H133" i="7"/>
  <c r="J133" i="7"/>
  <c r="K133" i="7"/>
  <c r="G133" i="7"/>
  <c r="G131" i="7" s="1"/>
  <c r="G134" i="7" s="1"/>
  <c r="G43" i="7" s="1"/>
  <c r="G115" i="7"/>
  <c r="G119" i="7" s="1"/>
  <c r="G41" i="7" s="1"/>
  <c r="C33" i="3"/>
  <c r="C37" i="3" s="1"/>
  <c r="H126" i="7"/>
  <c r="E22" i="7"/>
  <c r="E108" i="7" s="1"/>
  <c r="H132" i="7"/>
  <c r="H116" i="7"/>
  <c r="H117" i="7" s="1"/>
  <c r="H115" i="7" s="1"/>
  <c r="H119" i="7" s="1"/>
  <c r="H41" i="7" s="1"/>
  <c r="I118" i="7"/>
  <c r="G18" i="7"/>
  <c r="H15" i="7"/>
  <c r="F20" i="7"/>
  <c r="F102" i="7" s="1"/>
  <c r="C105" i="7"/>
  <c r="C106" i="7" s="1"/>
  <c r="C20" i="7"/>
  <c r="C102" i="7" s="1"/>
  <c r="C108" i="7"/>
  <c r="H14" i="7"/>
  <c r="I14" i="7" s="1"/>
  <c r="G10" i="7"/>
  <c r="G124" i="7" s="1"/>
  <c r="G125" i="7" s="1"/>
  <c r="G123" i="7" s="1"/>
  <c r="G19" i="7"/>
  <c r="I16" i="7"/>
  <c r="C49" i="3"/>
  <c r="C35" i="3"/>
  <c r="I8" i="7"/>
  <c r="H99" i="7"/>
  <c r="D35" i="3"/>
  <c r="C36" i="3"/>
  <c r="G100" i="7"/>
  <c r="H12" i="7"/>
  <c r="H11" i="7" s="1"/>
  <c r="K17" i="7"/>
  <c r="I12" i="3"/>
  <c r="I9" i="3"/>
  <c r="I15" i="3"/>
  <c r="I11" i="3"/>
  <c r="I13" i="3"/>
  <c r="I14" i="3"/>
  <c r="D93" i="7"/>
  <c r="D95" i="7" s="1"/>
  <c r="D105" i="7"/>
  <c r="D106" i="7" s="1"/>
  <c r="F23" i="7"/>
  <c r="F101" i="7" s="1"/>
  <c r="F108" i="7"/>
  <c r="F93" i="7"/>
  <c r="F105" i="7"/>
  <c r="F106" i="7" s="1"/>
  <c r="D108" i="7"/>
  <c r="E93" i="7"/>
  <c r="E105" i="7"/>
  <c r="E106" i="7" s="1"/>
  <c r="D108" i="6"/>
  <c r="D23" i="6"/>
  <c r="D101" i="6" s="1"/>
  <c r="C108" i="6"/>
  <c r="C23" i="6"/>
  <c r="C101" i="6" s="1"/>
  <c r="I77" i="11" l="1"/>
  <c r="E77" i="11"/>
  <c r="H77" i="11"/>
  <c r="F77" i="11"/>
  <c r="G77" i="11"/>
  <c r="D77" i="11"/>
  <c r="C77" i="11"/>
  <c r="J77" i="11"/>
  <c r="E31" i="11"/>
  <c r="J18" i="11"/>
  <c r="D62" i="11"/>
  <c r="G62" i="11" s="1"/>
  <c r="G58" i="11"/>
  <c r="G30" i="8"/>
  <c r="C38" i="8" s="1"/>
  <c r="C34" i="4"/>
  <c r="C35" i="4" s="1"/>
  <c r="C36" i="4" s="1"/>
  <c r="C27" i="4"/>
  <c r="C26" i="4"/>
  <c r="D29" i="4"/>
  <c r="D34" i="4" s="1"/>
  <c r="D35" i="4" s="1"/>
  <c r="C25" i="4"/>
  <c r="C24" i="4"/>
  <c r="C28" i="4" s="1"/>
  <c r="H12" i="10"/>
  <c r="M57" i="8"/>
  <c r="K59" i="8"/>
  <c r="J57" i="8"/>
  <c r="L57" i="8"/>
  <c r="N59" i="8"/>
  <c r="L61" i="8"/>
  <c r="M59" i="8"/>
  <c r="J59" i="8"/>
  <c r="K58" i="8"/>
  <c r="N58" i="8"/>
  <c r="L60" i="8"/>
  <c r="J61" i="8"/>
  <c r="J60" i="8"/>
  <c r="C39" i="8"/>
  <c r="M58" i="8"/>
  <c r="K60" i="8"/>
  <c r="N57" i="8"/>
  <c r="N61" i="8"/>
  <c r="L59" i="8"/>
  <c r="L58" i="8"/>
  <c r="C40" i="8"/>
  <c r="K57" i="8"/>
  <c r="N60" i="8"/>
  <c r="K61" i="8"/>
  <c r="M60" i="8"/>
  <c r="J58" i="8"/>
  <c r="K58" i="6"/>
  <c r="K64" i="6" s="1"/>
  <c r="J118" i="6"/>
  <c r="I115" i="6"/>
  <c r="I119" i="6" s="1"/>
  <c r="J162" i="6"/>
  <c r="J144" i="6"/>
  <c r="H123" i="6"/>
  <c r="I126" i="6"/>
  <c r="G150" i="6"/>
  <c r="G151" i="6" s="1"/>
  <c r="G149" i="6" s="1"/>
  <c r="G153" i="6" s="1"/>
  <c r="G127" i="6"/>
  <c r="J143" i="6"/>
  <c r="H139" i="6"/>
  <c r="H141" i="6" s="1"/>
  <c r="G11" i="6"/>
  <c r="G104" i="6"/>
  <c r="G10" i="6"/>
  <c r="H8" i="6"/>
  <c r="G99" i="6"/>
  <c r="I12" i="6"/>
  <c r="H100" i="6"/>
  <c r="G86" i="7"/>
  <c r="G104" i="7"/>
  <c r="H104" i="7"/>
  <c r="J144" i="7"/>
  <c r="J143" i="7"/>
  <c r="G127" i="7"/>
  <c r="G42" i="7" s="1"/>
  <c r="G78" i="7" s="1"/>
  <c r="G150" i="7"/>
  <c r="G151" i="7" s="1"/>
  <c r="G149" i="7" s="1"/>
  <c r="G153" i="7" s="1"/>
  <c r="G54" i="7" s="1"/>
  <c r="G58" i="7" s="1"/>
  <c r="G64" i="7" s="1"/>
  <c r="H141" i="7"/>
  <c r="K63" i="7"/>
  <c r="H131" i="7"/>
  <c r="H134" i="7" s="1"/>
  <c r="H43" i="7" s="1"/>
  <c r="E23" i="7"/>
  <c r="E101" i="7" s="1"/>
  <c r="J118" i="7"/>
  <c r="I126" i="7"/>
  <c r="G22" i="7"/>
  <c r="G23" i="7" s="1"/>
  <c r="G101" i="7" s="1"/>
  <c r="I99" i="7"/>
  <c r="I116" i="7"/>
  <c r="I117" i="7" s="1"/>
  <c r="I115" i="7" s="1"/>
  <c r="I119" i="7" s="1"/>
  <c r="I41" i="7" s="1"/>
  <c r="I132" i="7"/>
  <c r="I131" i="7" s="1"/>
  <c r="I134" i="7" s="1"/>
  <c r="I43" i="7" s="1"/>
  <c r="E95" i="7"/>
  <c r="F95" i="7" s="1"/>
  <c r="G94" i="7" s="1"/>
  <c r="H13" i="7"/>
  <c r="H18" i="7" s="1"/>
  <c r="H19" i="7" s="1"/>
  <c r="C23" i="7"/>
  <c r="C101" i="7" s="1"/>
  <c r="J16" i="7"/>
  <c r="I15" i="7"/>
  <c r="G20" i="7"/>
  <c r="G102" i="7" s="1"/>
  <c r="D33" i="3"/>
  <c r="D37" i="3" s="1"/>
  <c r="I13" i="7"/>
  <c r="J14" i="7"/>
  <c r="H100" i="7"/>
  <c r="I12" i="7"/>
  <c r="I11" i="7" s="1"/>
  <c r="H10" i="7"/>
  <c r="H124" i="7" s="1"/>
  <c r="H125" i="7" s="1"/>
  <c r="H123" i="7" s="1"/>
  <c r="J8" i="7"/>
  <c r="I69" i="11" l="1"/>
  <c r="I79" i="11" s="1"/>
  <c r="H69" i="11"/>
  <c r="H79" i="11" s="1"/>
  <c r="E69" i="11"/>
  <c r="G69" i="11"/>
  <c r="G79" i="11" s="1"/>
  <c r="F69" i="11"/>
  <c r="F79" i="11" s="1"/>
  <c r="J69" i="11"/>
  <c r="J79" i="11" s="1"/>
  <c r="D69" i="11"/>
  <c r="C69" i="11"/>
  <c r="C13" i="11"/>
  <c r="D43" i="11"/>
  <c r="D44" i="8"/>
  <c r="D48" i="8" s="1"/>
  <c r="D50" i="8" s="1"/>
  <c r="D52" i="8" s="1"/>
  <c r="E112" i="8"/>
  <c r="F112" i="8"/>
  <c r="C112" i="8"/>
  <c r="D112" i="8"/>
  <c r="H112" i="8"/>
  <c r="G112" i="8"/>
  <c r="C44" i="8"/>
  <c r="C48" i="8" s="1"/>
  <c r="C50" i="8" s="1"/>
  <c r="C52" i="8" s="1"/>
  <c r="E111" i="8"/>
  <c r="D111" i="8"/>
  <c r="H111" i="8"/>
  <c r="G111" i="8"/>
  <c r="F111" i="8"/>
  <c r="M61" i="8"/>
  <c r="F60" i="8"/>
  <c r="G58" i="8"/>
  <c r="D57" i="8"/>
  <c r="F61" i="8"/>
  <c r="C60" i="8"/>
  <c r="D58" i="8"/>
  <c r="E61" i="8"/>
  <c r="D61" i="8"/>
  <c r="C61" i="8"/>
  <c r="F57" i="8"/>
  <c r="E59" i="8"/>
  <c r="E60" i="8"/>
  <c r="F58" i="8"/>
  <c r="C57" i="8"/>
  <c r="G59" i="8"/>
  <c r="F59" i="8"/>
  <c r="G61" i="8"/>
  <c r="D60" i="8"/>
  <c r="E58" i="8"/>
  <c r="C58" i="8"/>
  <c r="G57" i="8"/>
  <c r="G60" i="8"/>
  <c r="C59" i="8"/>
  <c r="E57" i="8"/>
  <c r="D59" i="8"/>
  <c r="D36" i="4"/>
  <c r="E36" i="4" s="1"/>
  <c r="F36" i="4" s="1"/>
  <c r="G29" i="4"/>
  <c r="G34" i="4" s="1"/>
  <c r="G35" i="4" s="1"/>
  <c r="I138" i="6"/>
  <c r="H145" i="6"/>
  <c r="K162" i="6"/>
  <c r="I123" i="6"/>
  <c r="J126" i="6"/>
  <c r="H127" i="6"/>
  <c r="H150" i="6"/>
  <c r="H151" i="6" s="1"/>
  <c r="H149" i="6" s="1"/>
  <c r="H153" i="6" s="1"/>
  <c r="K144" i="6"/>
  <c r="K143" i="6"/>
  <c r="J115" i="6"/>
  <c r="J119" i="6" s="1"/>
  <c r="K118" i="6"/>
  <c r="K115" i="6" s="1"/>
  <c r="K119" i="6" s="1"/>
  <c r="I8" i="6"/>
  <c r="H104" i="6"/>
  <c r="H99" i="6"/>
  <c r="H11" i="6"/>
  <c r="H10" i="6" s="1"/>
  <c r="I100" i="6"/>
  <c r="J12" i="6"/>
  <c r="I138" i="7"/>
  <c r="H145" i="7"/>
  <c r="H46" i="7" s="1"/>
  <c r="H51" i="7" s="1"/>
  <c r="K143" i="7"/>
  <c r="K144" i="7"/>
  <c r="H127" i="7"/>
  <c r="H42" i="7" s="1"/>
  <c r="H150" i="7"/>
  <c r="H151" i="7" s="1"/>
  <c r="H149" i="7" s="1"/>
  <c r="H153" i="7" s="1"/>
  <c r="H54" i="7" s="1"/>
  <c r="H58" i="7" s="1"/>
  <c r="H64" i="7" s="1"/>
  <c r="J15" i="7"/>
  <c r="J116" i="7"/>
  <c r="J117" i="7" s="1"/>
  <c r="J115" i="7" s="1"/>
  <c r="J119" i="7" s="1"/>
  <c r="J41" i="7" s="1"/>
  <c r="J132" i="7"/>
  <c r="J131" i="7" s="1"/>
  <c r="J134" i="7" s="1"/>
  <c r="J43" i="7" s="1"/>
  <c r="H20" i="7"/>
  <c r="H102" i="7" s="1"/>
  <c r="H22" i="7"/>
  <c r="H23" i="7" s="1"/>
  <c r="H101" i="7" s="1"/>
  <c r="D32" i="3"/>
  <c r="D36" i="3" s="1"/>
  <c r="K118" i="7"/>
  <c r="J126" i="7"/>
  <c r="K16" i="7"/>
  <c r="I18" i="7"/>
  <c r="I19" i="7" s="1"/>
  <c r="K14" i="7"/>
  <c r="J13" i="7"/>
  <c r="I10" i="7"/>
  <c r="I124" i="7" s="1"/>
  <c r="I125" i="7" s="1"/>
  <c r="I123" i="7" s="1"/>
  <c r="J12" i="7"/>
  <c r="I100" i="7"/>
  <c r="J99" i="7"/>
  <c r="K8" i="7"/>
  <c r="C79" i="11" l="1"/>
  <c r="F20" i="10" s="1"/>
  <c r="H20" i="10" s="1"/>
  <c r="F16" i="10"/>
  <c r="D79" i="11"/>
  <c r="E79" i="11"/>
  <c r="D54" i="11"/>
  <c r="G43" i="11"/>
  <c r="G36" i="4"/>
  <c r="K126" i="6"/>
  <c r="K123" i="6" s="1"/>
  <c r="J123" i="6"/>
  <c r="I127" i="6"/>
  <c r="I150" i="6"/>
  <c r="I151" i="6" s="1"/>
  <c r="I149" i="6" s="1"/>
  <c r="I153" i="6" s="1"/>
  <c r="I141" i="6"/>
  <c r="I139" i="6"/>
  <c r="I140" i="6"/>
  <c r="J100" i="6"/>
  <c r="K12" i="6"/>
  <c r="K100" i="6" s="1"/>
  <c r="I11" i="6"/>
  <c r="I10" i="6" s="1"/>
  <c r="I104" i="6"/>
  <c r="I99" i="6"/>
  <c r="J8" i="6"/>
  <c r="J18" i="7"/>
  <c r="H78" i="7"/>
  <c r="I127" i="7"/>
  <c r="I42" i="7" s="1"/>
  <c r="I78" i="7" s="1"/>
  <c r="I150" i="7"/>
  <c r="I151" i="7" s="1"/>
  <c r="I149" i="7" s="1"/>
  <c r="I153" i="7" s="1"/>
  <c r="I54" i="7" s="1"/>
  <c r="I58" i="7" s="1"/>
  <c r="I64" i="7" s="1"/>
  <c r="I139" i="7"/>
  <c r="I82" i="7" s="1"/>
  <c r="I140" i="7"/>
  <c r="I21" i="7" s="1"/>
  <c r="I77" i="7" s="1"/>
  <c r="I20" i="7"/>
  <c r="I102" i="7" s="1"/>
  <c r="I22" i="7"/>
  <c r="I23" i="7" s="1"/>
  <c r="K15" i="7"/>
  <c r="K132" i="7"/>
  <c r="K131" i="7" s="1"/>
  <c r="K134" i="7" s="1"/>
  <c r="K43" i="7" s="1"/>
  <c r="K116" i="7"/>
  <c r="K117" i="7" s="1"/>
  <c r="K115" i="7" s="1"/>
  <c r="K119" i="7" s="1"/>
  <c r="K41" i="7" s="1"/>
  <c r="K126" i="7"/>
  <c r="K13" i="7"/>
  <c r="K12" i="7"/>
  <c r="K100" i="7" s="1"/>
  <c r="J100" i="7"/>
  <c r="K99" i="7"/>
  <c r="J11" i="7"/>
  <c r="J19" i="7" s="1"/>
  <c r="D56" i="11" l="1"/>
  <c r="G54" i="11"/>
  <c r="C14" i="11"/>
  <c r="D42" i="11" s="1"/>
  <c r="H16" i="10"/>
  <c r="H17" i="10"/>
  <c r="H18" i="10" s="1"/>
  <c r="I145" i="6"/>
  <c r="J138" i="6"/>
  <c r="J150" i="6"/>
  <c r="J151" i="6" s="1"/>
  <c r="J149" i="6" s="1"/>
  <c r="J153" i="6" s="1"/>
  <c r="J127" i="6"/>
  <c r="K127" i="6"/>
  <c r="K150" i="6"/>
  <c r="K151" i="6" s="1"/>
  <c r="K149" i="6" s="1"/>
  <c r="K153" i="6" s="1"/>
  <c r="J11" i="6"/>
  <c r="J10" i="6" s="1"/>
  <c r="J104" i="6"/>
  <c r="J99" i="6"/>
  <c r="K8" i="6"/>
  <c r="I86" i="7"/>
  <c r="I104" i="7"/>
  <c r="I141" i="7"/>
  <c r="J138" i="7"/>
  <c r="I145" i="7"/>
  <c r="I46" i="7" s="1"/>
  <c r="I51" i="7" s="1"/>
  <c r="K11" i="7"/>
  <c r="K10" i="7" s="1"/>
  <c r="K124" i="7" s="1"/>
  <c r="K125" i="7" s="1"/>
  <c r="K123" i="7" s="1"/>
  <c r="J20" i="7"/>
  <c r="K18" i="7"/>
  <c r="K19" i="7" s="1"/>
  <c r="I101" i="7"/>
  <c r="J10" i="7"/>
  <c r="J124" i="7" s="1"/>
  <c r="J125" i="7" s="1"/>
  <c r="J123" i="7" s="1"/>
  <c r="C90" i="10" l="1"/>
  <c r="H19" i="10"/>
  <c r="H26" i="10"/>
  <c r="H21" i="10"/>
  <c r="G42" i="11"/>
  <c r="D46" i="11"/>
  <c r="D63" i="11"/>
  <c r="G63" i="11" s="1"/>
  <c r="G56" i="11"/>
  <c r="J140" i="6"/>
  <c r="J139" i="6"/>
  <c r="J141" i="6" s="1"/>
  <c r="K11" i="6"/>
  <c r="K10" i="6"/>
  <c r="K104" i="6"/>
  <c r="K99" i="6"/>
  <c r="K127" i="7"/>
  <c r="K42" i="7" s="1"/>
  <c r="K150" i="7"/>
  <c r="K151" i="7" s="1"/>
  <c r="K149" i="7" s="1"/>
  <c r="K153" i="7" s="1"/>
  <c r="K54" i="7" s="1"/>
  <c r="K58" i="7" s="1"/>
  <c r="K64" i="7" s="1"/>
  <c r="J127" i="7"/>
  <c r="J42" i="7" s="1"/>
  <c r="J78" i="7" s="1"/>
  <c r="J150" i="7"/>
  <c r="J151" i="7" s="1"/>
  <c r="J149" i="7" s="1"/>
  <c r="J153" i="7" s="1"/>
  <c r="J54" i="7" s="1"/>
  <c r="J58" i="7" s="1"/>
  <c r="J64" i="7" s="1"/>
  <c r="J139" i="7"/>
  <c r="J82" i="7" s="1"/>
  <c r="J140" i="7"/>
  <c r="J21" i="7" s="1"/>
  <c r="J77" i="7" s="1"/>
  <c r="K20" i="7"/>
  <c r="K102" i="7" s="1"/>
  <c r="J102" i="7"/>
  <c r="D89" i="10" l="1"/>
  <c r="C89" i="10"/>
  <c r="C88" i="10"/>
  <c r="H22" i="10"/>
  <c r="H30" i="10"/>
  <c r="H29" i="10"/>
  <c r="H27" i="10"/>
  <c r="G46" i="11"/>
  <c r="G64" i="11" s="1"/>
  <c r="D64" i="11"/>
  <c r="J145" i="6"/>
  <c r="K138" i="6"/>
  <c r="J86" i="7"/>
  <c r="J104" i="7"/>
  <c r="K78" i="7"/>
  <c r="J141" i="7"/>
  <c r="K138" i="7"/>
  <c r="J145" i="7"/>
  <c r="J46" i="7" s="1"/>
  <c r="J51" i="7" s="1"/>
  <c r="J22" i="7"/>
  <c r="J23" i="7" s="1"/>
  <c r="J101" i="7" s="1"/>
  <c r="E91" i="10" l="1"/>
  <c r="H35" i="10"/>
  <c r="D91" i="10"/>
  <c r="H34" i="10"/>
  <c r="H31" i="10"/>
  <c r="C91" i="10"/>
  <c r="K140" i="6"/>
  <c r="K139" i="6"/>
  <c r="K141" i="6" s="1"/>
  <c r="K145" i="6" s="1"/>
  <c r="K140" i="7"/>
  <c r="K21" i="7" s="1"/>
  <c r="K77" i="7" s="1"/>
  <c r="K139" i="7"/>
  <c r="K141" i="7" l="1"/>
  <c r="K145" i="7" s="1"/>
  <c r="K46" i="7" s="1"/>
  <c r="K51" i="7" s="1"/>
  <c r="K82" i="7"/>
  <c r="K22" i="7"/>
  <c r="K86" i="7" l="1"/>
  <c r="K104" i="7"/>
  <c r="K23" i="7"/>
  <c r="K101" i="7" s="1"/>
  <c r="C6" i="9" l="1"/>
  <c r="D6" i="9"/>
  <c r="E6" i="9"/>
  <c r="C9" i="9"/>
  <c r="D9" i="9"/>
  <c r="E9" i="9"/>
  <c r="C10" i="9"/>
  <c r="D10" i="9"/>
  <c r="E10" i="9"/>
  <c r="C12" i="9"/>
  <c r="D12" i="9"/>
  <c r="E12" i="9"/>
  <c r="C17" i="9"/>
  <c r="D17" i="9"/>
  <c r="E17" i="9"/>
  <c r="C19" i="9"/>
  <c r="D19" i="9"/>
  <c r="E19" i="9"/>
  <c r="C20" i="9"/>
  <c r="D20" i="9"/>
  <c r="E20" i="9"/>
  <c r="C31" i="9"/>
  <c r="D31" i="9"/>
  <c r="E31" i="9"/>
  <c r="C33" i="9"/>
  <c r="D33" i="9"/>
  <c r="E33" i="9"/>
  <c r="C34" i="9"/>
  <c r="D34" i="9"/>
  <c r="E34" i="9"/>
  <c r="C38" i="9"/>
  <c r="D38" i="9"/>
  <c r="E38" i="9"/>
  <c r="C39" i="9"/>
  <c r="D39" i="9"/>
  <c r="E39" i="9"/>
  <c r="C40" i="9"/>
  <c r="D40" i="9"/>
  <c r="E40" i="9"/>
  <c r="C41" i="9"/>
  <c r="D41" i="9"/>
  <c r="E41" i="9"/>
  <c r="C42" i="9"/>
  <c r="D42" i="9"/>
  <c r="E42" i="9"/>
  <c r="C43" i="9"/>
  <c r="D43" i="9"/>
  <c r="E43" i="9"/>
  <c r="C44" i="9"/>
  <c r="D44" i="9"/>
  <c r="E44" i="9"/>
  <c r="C45" i="9"/>
  <c r="D45" i="9"/>
  <c r="E45" i="9"/>
  <c r="C55" i="9"/>
  <c r="D55" i="9"/>
  <c r="E55" i="9"/>
  <c r="C56" i="9"/>
  <c r="D56" i="9"/>
  <c r="E56" i="9"/>
  <c r="C57" i="9"/>
  <c r="D57" i="9"/>
  <c r="E57" i="9"/>
  <c r="C58" i="9"/>
  <c r="D58" i="9"/>
  <c r="E58" i="9"/>
  <c r="G24" i="6"/>
  <c r="H24" i="6"/>
  <c r="I24" i="6"/>
  <c r="J24" i="6"/>
  <c r="K24" i="6"/>
  <c r="G27" i="6"/>
  <c r="H27" i="6"/>
  <c r="I27" i="6"/>
  <c r="J27" i="6"/>
  <c r="K27" i="6"/>
  <c r="G28" i="6"/>
  <c r="H28" i="6"/>
  <c r="I28" i="6"/>
  <c r="J28" i="6"/>
  <c r="K28" i="6"/>
  <c r="G29" i="6"/>
  <c r="H29" i="6"/>
  <c r="I29" i="6"/>
  <c r="J29" i="6"/>
  <c r="K29" i="6"/>
  <c r="G31" i="6"/>
  <c r="H31" i="6"/>
  <c r="I31" i="6"/>
  <c r="J31" i="6"/>
  <c r="K31" i="6"/>
  <c r="G32" i="6"/>
  <c r="H32" i="6"/>
  <c r="I32" i="6"/>
  <c r="J32" i="6"/>
  <c r="K32" i="6"/>
  <c r="G33" i="6"/>
  <c r="H33" i="6"/>
  <c r="I33" i="6"/>
  <c r="J33" i="6"/>
  <c r="K33" i="6"/>
  <c r="G34" i="6"/>
  <c r="H34" i="6"/>
  <c r="I34" i="6"/>
  <c r="J34" i="6"/>
  <c r="K34" i="6"/>
  <c r="G40" i="6"/>
  <c r="H40" i="6"/>
  <c r="I40" i="6"/>
  <c r="J40" i="6"/>
  <c r="K40" i="6"/>
  <c r="G44" i="6"/>
  <c r="H44" i="6"/>
  <c r="I44" i="6"/>
  <c r="J44" i="6"/>
  <c r="K44" i="6"/>
  <c r="G52" i="6"/>
  <c r="H52" i="6"/>
  <c r="I52" i="6"/>
  <c r="J52" i="6"/>
  <c r="K52" i="6"/>
  <c r="G70" i="6"/>
  <c r="H70" i="6"/>
  <c r="I70" i="6"/>
  <c r="J70" i="6"/>
  <c r="K70" i="6"/>
  <c r="G71" i="6"/>
  <c r="H71" i="6"/>
  <c r="I71" i="6"/>
  <c r="J71" i="6"/>
  <c r="K71" i="6"/>
  <c r="G72" i="6"/>
  <c r="H72" i="6"/>
  <c r="I72" i="6"/>
  <c r="J72" i="6"/>
  <c r="K72" i="6"/>
  <c r="G76" i="6"/>
  <c r="H76" i="6"/>
  <c r="I76" i="6"/>
  <c r="J76" i="6"/>
  <c r="K76" i="6"/>
  <c r="G80" i="6"/>
  <c r="H80" i="6"/>
  <c r="I80" i="6"/>
  <c r="J80" i="6"/>
  <c r="K80" i="6"/>
  <c r="G90" i="6"/>
  <c r="H90" i="6"/>
  <c r="I90" i="6"/>
  <c r="J90" i="6"/>
  <c r="K90" i="6"/>
  <c r="G92" i="6"/>
  <c r="H92" i="6"/>
  <c r="I92" i="6"/>
  <c r="J92" i="6"/>
  <c r="K92" i="6"/>
  <c r="G93" i="6"/>
  <c r="H93" i="6"/>
  <c r="I93" i="6"/>
  <c r="J93" i="6"/>
  <c r="K93" i="6"/>
  <c r="H94" i="6"/>
  <c r="I94" i="6"/>
  <c r="J94" i="6"/>
  <c r="K94" i="6"/>
  <c r="G95" i="6"/>
  <c r="H95" i="6"/>
  <c r="I95" i="6"/>
  <c r="J95" i="6"/>
  <c r="K95" i="6"/>
  <c r="G103" i="6"/>
  <c r="H103" i="6"/>
  <c r="I103" i="6"/>
  <c r="J103" i="6"/>
  <c r="K103" i="6"/>
  <c r="G105" i="6"/>
  <c r="H105" i="6"/>
  <c r="I105" i="6"/>
  <c r="J105" i="6"/>
  <c r="K105" i="6"/>
  <c r="G106" i="6"/>
  <c r="H106" i="6"/>
  <c r="I106" i="6"/>
  <c r="J106" i="6"/>
  <c r="K106" i="6"/>
  <c r="G107" i="6"/>
  <c r="H107" i="6"/>
  <c r="I107" i="6"/>
  <c r="J107" i="6"/>
  <c r="K107" i="6"/>
  <c r="G108" i="6"/>
  <c r="H108" i="6"/>
  <c r="I108" i="6"/>
  <c r="J108" i="6"/>
  <c r="K108" i="6"/>
  <c r="H157" i="6"/>
  <c r="I157" i="6"/>
  <c r="J157" i="6"/>
  <c r="K157" i="6"/>
  <c r="G158" i="6"/>
  <c r="H158" i="6"/>
  <c r="I158" i="6"/>
  <c r="J158" i="6"/>
  <c r="K158" i="6"/>
  <c r="G159" i="6"/>
  <c r="H159" i="6"/>
  <c r="I159" i="6"/>
  <c r="J159" i="6"/>
  <c r="K159" i="6"/>
  <c r="G160" i="6"/>
  <c r="H160" i="6"/>
  <c r="I160" i="6"/>
  <c r="J160" i="6"/>
  <c r="K160" i="6"/>
  <c r="G163" i="6"/>
  <c r="H163" i="6"/>
  <c r="I163" i="6"/>
  <c r="J163" i="6"/>
  <c r="K163" i="6"/>
  <c r="G167" i="6"/>
  <c r="H167" i="6"/>
  <c r="I167" i="6"/>
  <c r="J167" i="6"/>
  <c r="K167" i="6"/>
  <c r="G168" i="6"/>
  <c r="H168" i="6"/>
  <c r="I168" i="6"/>
  <c r="J168" i="6"/>
  <c r="K168" i="6"/>
  <c r="G169" i="6"/>
  <c r="H169" i="6"/>
  <c r="I169" i="6"/>
  <c r="J169" i="6"/>
  <c r="K169" i="6"/>
  <c r="G170" i="6"/>
  <c r="H170" i="6"/>
  <c r="I170" i="6"/>
  <c r="J170" i="6"/>
  <c r="K170" i="6"/>
  <c r="O3" i="12"/>
  <c r="N4" i="12"/>
  <c r="O4" i="12"/>
  <c r="N5" i="12"/>
  <c r="O8" i="12"/>
  <c r="D46" i="12"/>
  <c r="E46" i="12"/>
  <c r="F46" i="12"/>
  <c r="D47" i="12"/>
  <c r="E47" i="12"/>
  <c r="F47" i="12"/>
  <c r="D48" i="12"/>
  <c r="E48" i="12"/>
  <c r="F48" i="12"/>
  <c r="D49" i="12"/>
  <c r="E49" i="12"/>
  <c r="F49" i="12"/>
  <c r="C37" i="5"/>
  <c r="G24" i="7"/>
  <c r="H24" i="7"/>
  <c r="I25" i="7"/>
  <c r="J25" i="7"/>
  <c r="K25" i="7"/>
  <c r="G27" i="7"/>
  <c r="H27" i="7"/>
  <c r="I27" i="7"/>
  <c r="J27" i="7"/>
  <c r="K27" i="7"/>
  <c r="G28" i="7"/>
  <c r="H28" i="7"/>
  <c r="I28" i="7"/>
  <c r="J28" i="7"/>
  <c r="K28" i="7"/>
  <c r="G29" i="7"/>
  <c r="H29" i="7"/>
  <c r="I29" i="7"/>
  <c r="J29" i="7"/>
  <c r="K29" i="7"/>
  <c r="G31" i="7"/>
  <c r="H31" i="7"/>
  <c r="I31" i="7"/>
  <c r="J31" i="7"/>
  <c r="K31" i="7"/>
  <c r="G32" i="7"/>
  <c r="H32" i="7"/>
  <c r="I32" i="7"/>
  <c r="J32" i="7"/>
  <c r="K32" i="7"/>
  <c r="G33" i="7"/>
  <c r="H33" i="7"/>
  <c r="I33" i="7"/>
  <c r="J33" i="7"/>
  <c r="K33" i="7"/>
  <c r="G34" i="7"/>
  <c r="H34" i="7"/>
  <c r="I34" i="7"/>
  <c r="J34" i="7"/>
  <c r="K34" i="7"/>
  <c r="G40" i="7"/>
  <c r="H40" i="7"/>
  <c r="I40" i="7"/>
  <c r="J40" i="7"/>
  <c r="K40" i="7"/>
  <c r="G44" i="7"/>
  <c r="H44" i="7"/>
  <c r="I44" i="7"/>
  <c r="J44" i="7"/>
  <c r="K44" i="7"/>
  <c r="G52" i="7"/>
  <c r="H52" i="7"/>
  <c r="I52" i="7"/>
  <c r="J52" i="7"/>
  <c r="K52" i="7"/>
  <c r="G70" i="7"/>
  <c r="H70" i="7"/>
  <c r="I70" i="7"/>
  <c r="J70" i="7"/>
  <c r="K70" i="7"/>
  <c r="G71" i="7"/>
  <c r="H71" i="7"/>
  <c r="I71" i="7"/>
  <c r="J71" i="7"/>
  <c r="K71" i="7"/>
  <c r="G72" i="7"/>
  <c r="H72" i="7"/>
  <c r="I72" i="7"/>
  <c r="J72" i="7"/>
  <c r="K72" i="7"/>
  <c r="G76" i="7"/>
  <c r="H76" i="7"/>
  <c r="I76" i="7"/>
  <c r="J76" i="7"/>
  <c r="K76" i="7"/>
  <c r="G80" i="7"/>
  <c r="H80" i="7"/>
  <c r="I80" i="7"/>
  <c r="J80" i="7"/>
  <c r="K80" i="7"/>
  <c r="G90" i="7"/>
  <c r="H90" i="7"/>
  <c r="I90" i="7"/>
  <c r="J90" i="7"/>
  <c r="K90" i="7"/>
  <c r="G92" i="7"/>
  <c r="H92" i="7"/>
  <c r="I92" i="7"/>
  <c r="J92" i="7"/>
  <c r="K92" i="7"/>
  <c r="G93" i="7"/>
  <c r="H93" i="7"/>
  <c r="I93" i="7"/>
  <c r="J93" i="7"/>
  <c r="K93" i="7"/>
  <c r="H94" i="7"/>
  <c r="I94" i="7"/>
  <c r="J94" i="7"/>
  <c r="K94" i="7"/>
  <c r="G95" i="7"/>
  <c r="H95" i="7"/>
  <c r="I95" i="7"/>
  <c r="J95" i="7"/>
  <c r="K95" i="7"/>
  <c r="G103" i="7"/>
  <c r="H103" i="7"/>
  <c r="I103" i="7"/>
  <c r="J103" i="7"/>
  <c r="K103" i="7"/>
  <c r="G105" i="7"/>
  <c r="H105" i="7"/>
  <c r="I105" i="7"/>
  <c r="J105" i="7"/>
  <c r="K105" i="7"/>
  <c r="G106" i="7"/>
  <c r="H106" i="7"/>
  <c r="I106" i="7"/>
  <c r="J106" i="7"/>
  <c r="K106" i="7"/>
  <c r="G107" i="7"/>
  <c r="H107" i="7"/>
  <c r="I107" i="7"/>
  <c r="J107" i="7"/>
  <c r="K107" i="7"/>
  <c r="G108" i="7"/>
  <c r="H108" i="7"/>
  <c r="I108" i="7"/>
  <c r="J108" i="7"/>
  <c r="K108" i="7"/>
  <c r="H157" i="7"/>
  <c r="I157" i="7"/>
  <c r="J157" i="7"/>
  <c r="K157" i="7"/>
  <c r="G158" i="7"/>
  <c r="H158" i="7"/>
  <c r="I158" i="7"/>
  <c r="J158" i="7"/>
  <c r="K158" i="7"/>
  <c r="G159" i="7"/>
  <c r="H159" i="7"/>
  <c r="I159" i="7"/>
  <c r="J159" i="7"/>
  <c r="K159" i="7"/>
  <c r="G160" i="7"/>
  <c r="H160" i="7"/>
  <c r="I160" i="7"/>
  <c r="J160" i="7"/>
  <c r="K160" i="7"/>
  <c r="G163" i="7"/>
  <c r="H163" i="7"/>
  <c r="I163" i="7"/>
  <c r="J163" i="7"/>
  <c r="K163" i="7"/>
  <c r="G167" i="7"/>
  <c r="H167" i="7"/>
  <c r="I167" i="7"/>
  <c r="J167" i="7"/>
  <c r="K167" i="7"/>
  <c r="G168" i="7"/>
  <c r="H168" i="7"/>
  <c r="I168" i="7"/>
  <c r="J168" i="7"/>
  <c r="K168" i="7"/>
  <c r="G169" i="7"/>
  <c r="H169" i="7"/>
  <c r="I169" i="7"/>
  <c r="J169" i="7"/>
  <c r="K169" i="7"/>
  <c r="G170" i="7"/>
  <c r="H170" i="7"/>
  <c r="I170" i="7"/>
  <c r="J170" i="7"/>
  <c r="K170" i="7"/>
  <c r="D34" i="3"/>
  <c r="D3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Divij Budhiraja</author>
  </authors>
  <commentList>
    <comment ref="D65" authorId="0" shapeId="0" xr:uid="{E3C8D494-C134-424A-A8ED-7EA280C3BA67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Source: Cisco FY2023 10-K &amp; IR press release. ~4,200mm diluted shares × $50.11/share (closing price Jan 9, 2024). investor.cisco.com</t>
        </r>
      </text>
    </comment>
    <comment ref="E65" authorId="0" shapeId="0" xr:uid="{24107231-1D57-E248-870A-003AA4303B06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Source: Cisco FY2023 10-K (July 2023). Cash &amp; investments $26.1B minus total debt ~$14.9B = net cash ~$11.2B. SEC EDGAR, https://www.sec.gov/Archives/edgar/data/858877/000085887723000023/csco-20230729.htm</t>
        </r>
      </text>
    </comment>
    <comment ref="G65" authorId="0" shapeId="0" xr:uid="{BA2FBAD2-4851-2548-8643-A275D54E76D5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Source: Cisco FY2023 Annual Report (fiscal year ended July 29, 2023). investor.cisco.com/news/news-details/2023/CISCO-REPORTS-FOURTH-QUARTER-AND-FISCAL-YEAR-2023-EARNINGS</t>
        </r>
      </text>
    </comment>
    <comment ref="H65" authorId="0" shapeId="0" xr:uid="{8859C1E0-844A-7A46-8281-5DA42FF7A43F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Source: Cisco FY2023 10-K. Non-GAAP operating income ~$17.3B + ~$1.5B D&amp;A ≈ EBITDA $16.9B. Gross margin 64.1%. investor.cisco.com</t>
        </r>
      </text>
    </comment>
    <comment ref="K65" authorId="0" shapeId="0" xr:uid="{6ACB2784-1189-6A44-874D-1E99422561C9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Source: Consensus NTM P/E as of Jan 9 2024 announcement date. Based on Cisco FY2024 guidance non-GAAP EPS ~$3.87. investor.cisco.com</t>
        </r>
      </text>
    </comment>
    <comment ref="L65" authorId="0" shapeId="0" xr:uid="{3E5BA4F7-5629-6E4F-AAD5-7F7D8001CB0F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Source: Cisco FY2024 full-year guidance midpoint ~$57.5B vs FY2023 $57.0B. investor.cisco.com</t>
        </r>
      </text>
    </comment>
    <comment ref="D66" authorId="0" shapeId="0" xr:uid="{B735BBE9-AD40-424F-96EF-985D55060A3B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Source: EXTR ~134mm diluted shares × ~$19.50/share (Jan 9, 2024 close). investor.extremenetworks.com</t>
        </r>
      </text>
    </comment>
    <comment ref="E66" authorId="0" shapeId="0" xr:uid="{D4F5A225-811D-AC42-944F-59BEC2188997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Source: Extreme Networks Q1 FY2024 earnings (Sept 30, 2023). Gross debt ~$270mm minus cash ~$75mm = net debt ~$195mm. investor.extremenetworks.com/news/news-details/2023/Extreme-Networks-Reports-First-Quarter-Fiscal-Year-2024-Financial-Results-11-01-2023</t>
        </r>
      </text>
    </comment>
    <comment ref="G66" authorId="0" shapeId="0" xr:uid="{AB3CBCCE-AE96-8C4F-B757-579547137241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Source: LTM ending Sept 30, 2023. EXTR FY2023 (June YE) $1,301mm + Q1 FY2024 revenue growth 19% YoY. investor.extremenetworks.com</t>
        </r>
      </text>
    </comment>
    <comment ref="H66" authorId="0" shapeId="0" xr:uid="{C24B4831-26A2-5340-9530-DC51D6ECF8FC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Source: Extreme Networks Q1 FY2024 &amp; FY2023 results. Non-GAAP operating margin ~13%; LTM EBITDA ~$183mm. investor.extremenetworks.com</t>
        </r>
      </text>
    </comment>
    <comment ref="K66" authorId="0" shapeId="0" xr:uid="{0CD9E67E-430C-5E49-A1BE-FA8FE948CC32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Source: Consensus NTM P/E as of Jan 9 2024 announcement date. investor.extremenetworks.com</t>
        </r>
      </text>
    </comment>
    <comment ref="L66" authorId="0" shapeId="0" xr:uid="{2EDDFE5A-76F7-C944-A3EB-180F4CA6C99E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Source: EXTR FY2024 guidance implied ~8% growth from FY2023. investor.extremenetworks.com</t>
        </r>
      </text>
    </comment>
    <comment ref="D67" authorId="0" shapeId="0" xr:uid="{C8FA39CA-54F6-854C-B3C7-C551CEFCB3D7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Source: F5 FY2023 10-K. ~59mm diluted shares × ~$168/share (Jan 9, 2024 close). investors.f5.com</t>
        </r>
      </text>
    </comment>
    <comment ref="E67" authorId="0" shapeId="0" xr:uid="{03530410-3064-E345-8112-8DBDEC40116B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Source: F5 FY2023 10-K (Sept 30, 2023). Cash ~$1.7B, debt ~$250mm; net cash position ~$(1.45B). investors.f5.com</t>
        </r>
      </text>
    </comment>
    <comment ref="G67" authorId="0" shapeId="0" xr:uid="{7D9E4DB6-3204-844D-B159-7B44500B9721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Source: F5 FY2023 Annual Report (fiscal year ended Sept 30, 2023), total revenue $2,813mm. https://www.f5.com/company/news/press-releases/earnings-q4-fy23</t>
        </r>
      </text>
    </comment>
    <comment ref="H67" authorId="0" shapeId="0" xr:uid="{E823C697-72B3-064E-B05A-D7FE73416138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Source: F5 FY2023. Non-GAAP operating margin ~30%; total EBITDA ~$840mm. https://www.f5.com/company/news/press-releases/earnings-q4-fy23</t>
        </r>
      </text>
    </comment>
    <comment ref="K67" authorId="0" shapeId="0" xr:uid="{DF063008-045C-EB49-8793-0224A613DB3A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Source: Consensus NTM P/E as of Jan 9 2024. F5 non-GAAP EPS guidance ~$11.35 midpoint for FY2024. investors.f5.com</t>
        </r>
      </text>
    </comment>
    <comment ref="L67" authorId="0" shapeId="0" xr:uid="{0CF810B7-2C2D-2646-B2F3-D596790F900E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Source: F5 FY2024 guidance: flat to low-single-digit decline vs FY2023. https://www.f5.com/company/news/press-releases/earnings-q4-fy23</t>
        </r>
      </text>
    </comment>
    <comment ref="D68" authorId="0" shapeId="0" xr:uid="{F5A4050D-1141-9E4E-8DC1-8308C6438A48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Source: HPE Transaction Assumptions — Offer price $40 × 325.9mm diluted shares = $13,036mm equity value.</t>
        </r>
      </text>
    </comment>
    <comment ref="E68" authorId="0" shapeId="0" xr:uid="{1B1948E0-96DC-5148-B803-6080B3EF726A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Source: JNPR balance sheet. Total debt ~$1,746mm, cash ~$1,221mm; net debt ~$525mm. SEC EDGAR JNPR 10-Q.</t>
        </r>
      </text>
    </comment>
    <comment ref="G68" authorId="0" shapeId="0" xr:uid="{5B41E272-6BA6-9647-A1B8-9E30302D3732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Source: JNPR LTM revenue as of Q3 2023 (Sept 30, 2023). SEC EDGAR JNPR 10-Q.</t>
        </r>
      </text>
    </comment>
    <comment ref="H68" authorId="0" shapeId="0" xr:uid="{59FE6C96-B664-5B41-AFAF-4E14459694CE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Source: JNPR LTM EBITDA (~16.5% margin). SEC EDGAR JNPR 10-Q/10-K.</t>
        </r>
      </text>
    </comment>
    <comment ref="K68" authorId="0" shapeId="0" xr:uid="{937BAC80-B0E6-7946-956D-1CB023FE6B91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Source: Consensus NTM P/E for JNPR as of Jan 9 2024 offer price.</t>
        </r>
      </text>
    </comment>
    <comment ref="L68" authorId="0" shapeId="0" xr:uid="{208E354D-229A-E447-A46C-F1C1134CD093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Source: JNPR FY2024 consensus revenue growth estimate at time of deal.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Divij Budhiraja</author>
  </authors>
  <commentList>
    <comment ref="C13" authorId="0" shapeId="0" xr:uid="{D2C988F9-1C0B-AB45-B38A-24C801EAC410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Total identified step-ups: intangibles (E31) + PP&amp;E fair value step-up (E27)</t>
        </r>
      </text>
    </comment>
    <comment ref="C14" authorId="0" shapeId="0" xr:uid="{8CBA7320-35F9-EB41-AFC1-0AF682DDFDAA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Goodwill = Excess Purchase Price − Identified Step-Ups + DTL created on step-ups. DTL is added back because it reduces net identifiable assets, increasing the goodwill residual.</t>
        </r>
      </text>
    </comment>
    <comment ref="I18" authorId="0" shapeId="0" xr:uid="{222674AD-63B4-9A49-934C-4CEBC1DF501B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Useful life: Customer Relationships — 10–14 yr typical for enterprise networking</t>
        </r>
      </text>
    </comment>
    <comment ref="J18" authorId="0" shapeId="0" xr:uid="{889A99BD-C372-FE4C-842C-E1CC1345000B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Annual amortization = Step-Up / Useful Life (straight-line)</t>
        </r>
      </text>
    </comment>
    <comment ref="I19" authorId="0" shapeId="0" xr:uid="{AFA8326D-D3D5-DA4C-973F-AA701EC9F65C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Useful life: Developed Technology — 5–8 yr typical for networking/silicon IP</t>
        </r>
      </text>
    </comment>
    <comment ref="I20" authorId="0" shapeId="0" xr:uid="{9A6DC543-F371-9245-A450-520A3B9C0289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Useful life: Trade Names — 15 yr typical; indefinite-lived not amortized under GAAP but modeled conservatively</t>
        </r>
      </text>
    </comment>
    <comment ref="I21" authorId="0" shapeId="0" xr:uid="{896FF319-FEAA-BF4D-95E5-A0A1BF6352BF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Order Backlog — removed, no step-up</t>
        </r>
      </text>
    </comment>
    <comment ref="I22" authorId="0" shapeId="0" xr:uid="{9496D5BD-308E-B548-81DC-DCC70291ABBC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Non-Compete — removed, no step-up</t>
        </r>
      </text>
    </comment>
    <comment ref="I23" authorId="0" shapeId="0" xr:uid="{F7B2FE2B-9A42-E14D-9177-CE9F61E3B73B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Useful life: IPR&amp;D — 5 yr once project complete and placed in service</t>
        </r>
      </text>
    </comment>
    <comment ref="I24" authorId="0" shapeId="0" xr:uid="{BCFCB9F4-ECC6-8745-B98C-05FFD5653F82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Favorable Leases — removed, no step-up</t>
        </r>
      </text>
    </comment>
    <comment ref="I25" authorId="0" shapeId="0" xr:uid="{9347BBBC-2A06-644C-A4B7-AF6987DD8FBD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Other Intangibles — no incremental step-up (book = fair value)</t>
        </r>
      </text>
    </comment>
    <comment ref="I27" authorId="0" shapeId="0" xr:uid="{A7A9ED04-2960-E049-A912-1F4A52F91483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Useful life: PP&amp;E step-up — 10 yr remaining useful life assumption</t>
        </r>
      </text>
    </comment>
    <comment ref="I28" authorId="0" shapeId="0" xr:uid="{2C79A040-7B1D-BF4A-B5A2-89BC02E60206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Inventory step-up — fully expensed in Year 1 when inventory is sold (standard PPA treatment)</t>
        </r>
      </text>
    </comment>
    <comment ref="E36" authorId="0" shapeId="0" xr:uid="{F096173A-95A4-3645-98DB-83439C0ABB96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HPE cash used to fund deal (from Sources &amp; Uses)</t>
        </r>
      </text>
    </comment>
    <comment ref="D38" authorId="0" shapeId="0" xr:uid="{E93CEAEE-F0AD-8F46-8760-152835666B3A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Inventory step-up from Section II PPA adjustment</t>
        </r>
      </text>
    </comment>
    <comment ref="D42" authorId="0" shapeId="0" xr:uid="{E9BE70EC-0755-3E44-A716-122A6495854F}">
      <text>
        <r>
          <rPr>
            <b/>
            <sz val="10"/>
            <color rgb="FF000000"/>
            <rFont val="Tahoma"/>
            <family val="2"/>
          </rPr>
          <t>Goodwill — residual from Section I (Excess Purchase Price less identified intangibles)</t>
        </r>
      </text>
    </comment>
    <comment ref="D43" authorId="0" shapeId="0" xr:uid="{A9FDA849-3FA4-2444-8CF4-80D2E20F5262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Intangible step-up only (Fair Value less Book Value from Section II) — book value already in Juniper standalone col C43</t>
        </r>
      </text>
    </comment>
    <comment ref="F50" authorId="0" shapeId="0" xr:uid="{755C82FB-B9AC-B942-9EE2-F97C46948332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Transaction fees accrued as liability at close</t>
        </r>
      </text>
    </comment>
    <comment ref="E51" authorId="0" shapeId="0" xr:uid="{4F393583-F509-3142-953B-01F22E442E81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New debt raised to fund acquisition (TLA + TLB + Notes)</t>
        </r>
      </text>
    </comment>
    <comment ref="F51" authorId="0" shapeId="0" xr:uid="{8C84FD93-5BE4-4E4A-B059-05E271193A8E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Transaction fees accrued as current liability at close</t>
        </r>
      </text>
    </comment>
    <comment ref="E53" authorId="0" shapeId="0" xr:uid="{CCD4A3C8-C8E4-5446-8CEB-FBD4C9E8DED2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New debt raised to fund acquisition (TLA $4B + TLB $3B + Sr Notes $3B)</t>
        </r>
      </text>
    </comment>
    <comment ref="D54" authorId="0" shapeId="0" xr:uid="{ECB36F58-C436-994A-9430-FDD93928607C}">
      <text>
        <r>
          <rPr>
            <b/>
            <sz val="10"/>
            <color rgb="FF000000"/>
            <rFont val="Tahoma"/>
            <family val="2"/>
          </rPr>
          <t>DTL on all identified intangible step-ups (D43) + PP&amp;E step-up (D41) at 21% US tax rate. Goodwill and inventory step-up excluded from DTL base.</t>
        </r>
      </text>
    </comment>
    <comment ref="D58" authorId="0" shapeId="0" xr:uid="{86177F13-B558-6C4F-B003-19112A8A2BD6}">
      <text>
        <r>
          <rPr>
            <b/>
            <sz val="10"/>
            <color rgb="FF000000"/>
            <rFont val="Tahoma"/>
            <family val="2"/>
          </rPr>
          <t>Eliminate Juniper's pre-acquisition equity in PPA — replaced by purchase consideration in APIC (D59)</t>
        </r>
      </text>
    </comment>
    <comment ref="F58" authorId="0" shapeId="0" xr:uid="{78DAFB80-F3F2-E840-9133-C83C93E8DE01}">
      <text>
        <r>
          <rPr>
            <b/>
            <sz val="10"/>
            <color rgb="FF000000"/>
            <rFont val="Tahoma"/>
            <family val="2"/>
          </rPr>
          <t>Transaction fees expensed at close - reduce retained earnings</t>
        </r>
      </text>
    </comment>
    <comment ref="D59" authorId="0" shapeId="0" xr:uid="{D774A3EB-34E9-8C47-AE56-117EBA6ACA5B}">
      <text>
        <r>
          <rPr>
            <b/>
            <sz val="10"/>
            <color rgb="FF000000"/>
            <rFont val="Tahoma"/>
            <family val="2"/>
          </rPr>
          <t>Total consideration paid recorded in APIC — links to Section I Total Purchase Price (EV basis)</t>
        </r>
      </text>
    </comment>
    <comment ref="E59" authorId="0" shapeId="0" xr:uid="{235613EA-D4A6-B546-AF3D-CAA3A6C087D9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HPE APIC decreases by total consideration paid to Juniper shareholders</t>
        </r>
      </text>
    </comment>
    <comment ref="D60" authorId="0" shapeId="0" xr:uid="{C4A9FCC1-6730-B743-967A-559A4BFB5F2B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Record total purchase consideration in APIC (equity value + fees)</t>
        </r>
      </text>
    </comment>
    <comment ref="C78" authorId="0" shapeId="0" xr:uid="{16B0674E-8037-8041-88D0-D501797ADFCE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Inventory step-up fully expensed in Year 1 only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<sst xmlns="http://schemas.openxmlformats.org/spreadsheetml/2006/main" count="1320" uniqueCount="748">
  <si>
    <t xml:space="preserve">  I.   DEAL OVERVIEW</t>
  </si>
  <si>
    <t>Item</t>
  </si>
  <si>
    <t>Acquiror</t>
  </si>
  <si>
    <t>Target</t>
  </si>
  <si>
    <t>Transaction Type</t>
  </si>
  <si>
    <t>Announcement Date</t>
  </si>
  <si>
    <t>Expected Close Date</t>
  </si>
  <si>
    <t>Acquiror Fiscal Year-End</t>
  </si>
  <si>
    <t>Target Fiscal Year-End</t>
  </si>
  <si>
    <t xml:space="preserve">  II.  OFFER PRICE &amp; PURCHASE PRICE</t>
  </si>
  <si>
    <t xml:space="preserve">  Offer Price Analysis</t>
  </si>
  <si>
    <t>52-Wk High</t>
  </si>
  <si>
    <t>1-Day Prior</t>
  </si>
  <si>
    <t>Offer Price</t>
  </si>
  <si>
    <t>Share Price ($)</t>
  </si>
  <si>
    <t>Premium to Reference</t>
  </si>
  <si>
    <t>—</t>
  </si>
  <si>
    <t xml:space="preserve">  Purchase Price Calculation</t>
  </si>
  <si>
    <t>Shares Outstanding — Basic (mm)</t>
  </si>
  <si>
    <t>Total Fully Diluted Shares (mm)</t>
  </si>
  <si>
    <t>Offer Price per Share ($)</t>
  </si>
  <si>
    <t>Equity Value ($mm)</t>
  </si>
  <si>
    <t>(+) Target Total Debt ($mm)</t>
  </si>
  <si>
    <t>(–) Target Cash &amp; Equivalents ($mm)</t>
  </si>
  <si>
    <t>Enterprise Value ($mm)</t>
  </si>
  <si>
    <t xml:space="preserve">  III. VALUATION MULTIPLES (IMPLIED)</t>
  </si>
  <si>
    <t>LTM</t>
  </si>
  <si>
    <t>NTM</t>
  </si>
  <si>
    <t>FY2024E</t>
  </si>
  <si>
    <t>Metric</t>
  </si>
  <si>
    <t>Revenue ($mm)</t>
  </si>
  <si>
    <t>EBITDA ($mm)</t>
  </si>
  <si>
    <t>EBIT ($mm)</t>
  </si>
  <si>
    <t>EPS ($)</t>
  </si>
  <si>
    <t>EV / Revenue</t>
  </si>
  <si>
    <t>EV / EBITDA</t>
  </si>
  <si>
    <t>EV / EBIT</t>
  </si>
  <si>
    <t>P / E</t>
  </si>
  <si>
    <t>Amount ($mm)</t>
  </si>
  <si>
    <t>Advisory Fees — Buy-Side</t>
  </si>
  <si>
    <t>Legal &amp; Other Professional Fees</t>
  </si>
  <si>
    <t>Total Transaction Fees</t>
  </si>
  <si>
    <t>Financing Fees (Debt Issuance Costs)</t>
  </si>
  <si>
    <t>Net Working Capital Adjustment</t>
  </si>
  <si>
    <t>Year 1</t>
  </si>
  <si>
    <t>Year 2</t>
  </si>
  <si>
    <t>Year 3</t>
  </si>
  <si>
    <t>Steady State</t>
  </si>
  <si>
    <t>Synergy Category</t>
  </si>
  <si>
    <t>Total Gross Synergies</t>
  </si>
  <si>
    <t>(–) Integration Costs</t>
  </si>
  <si>
    <t>% of Total</t>
  </si>
  <si>
    <t xml:space="preserve">  Equity</t>
  </si>
  <si>
    <t>Cash on Hand (Acquiror)</t>
  </si>
  <si>
    <t>Total Equity Consideration</t>
  </si>
  <si>
    <t xml:space="preserve">  Debt Financing</t>
  </si>
  <si>
    <t>Revolving Credit Facility (RCF)</t>
  </si>
  <si>
    <t>Total Debt Financing</t>
  </si>
  <si>
    <t>Stock Consideration</t>
  </si>
  <si>
    <t>Term Loan A (TLA)</t>
  </si>
  <si>
    <t>Term Loan B (TLB)</t>
  </si>
  <si>
    <t>Total Sources</t>
  </si>
  <si>
    <t>Total Uses</t>
  </si>
  <si>
    <t>Notes</t>
  </si>
  <si>
    <t>Total Equity</t>
  </si>
  <si>
    <t>Pro Forma Total Debt</t>
  </si>
  <si>
    <t>Pro Forma Net Debt</t>
  </si>
  <si>
    <t>Gross Leverage (Debt / EBITDA)</t>
  </si>
  <si>
    <t>Net Leverage (Net Debt / EBITDA)</t>
  </si>
  <si>
    <t>Steady-State Gross Synergies ($mm)</t>
  </si>
  <si>
    <t>Governing Agreement</t>
  </si>
  <si>
    <t>Financing Condition</t>
  </si>
  <si>
    <t>Closing Conditions</t>
  </si>
  <si>
    <t>Accounting Treatment</t>
  </si>
  <si>
    <t xml:space="preserve">  Equity Consideration</t>
  </si>
  <si>
    <t xml:space="preserve">  V.  TRANSACTION FEES &amp; PPA ADJUSTMENTS</t>
  </si>
  <si>
    <t xml:space="preserve">  VI.  KEY DEAL TERMS &amp; CONDITIONS</t>
  </si>
  <si>
    <t>■ Blue = Input</t>
  </si>
  <si>
    <t>■ Black = Formula</t>
  </si>
  <si>
    <t>Transaction Assumptions</t>
  </si>
  <si>
    <t>Entry</t>
  </si>
  <si>
    <t>Reference</t>
  </si>
  <si>
    <t>FY+1E</t>
  </si>
  <si>
    <t xml:space="preserve">  IV.  CONSIDERATION MIX</t>
  </si>
  <si>
    <t>Rate / Notes</t>
  </si>
  <si>
    <t>Senior Unsecured Notes (5-Year)</t>
  </si>
  <si>
    <t>Senior Unsecured Notes (10-Year)</t>
  </si>
  <si>
    <t>Total Consideration</t>
  </si>
  <si>
    <t xml:space="preserve">  Acquiror Equity Assumptions</t>
  </si>
  <si>
    <t>Acquiror Share Price at Signing ($)</t>
  </si>
  <si>
    <t>Acquiror Shares to be Issued (mm)</t>
  </si>
  <si>
    <t>Exchange Ratio</t>
  </si>
  <si>
    <t>Acquiror Shares Outstanding (Pre-Deal, mm)</t>
  </si>
  <si>
    <t>Pro Forma Acquiror Dilution (%)</t>
  </si>
  <si>
    <t>Advisory Fees — Sell-Side</t>
  </si>
  <si>
    <t>Fair Value Step-Up (PPA Estimate)</t>
  </si>
  <si>
    <t>Estimated Goodwill</t>
  </si>
  <si>
    <t>Regulatory Approvals Required</t>
  </si>
  <si>
    <t>Termination / Break-Up Fee</t>
  </si>
  <si>
    <t>Post-Close Integration Notes</t>
  </si>
  <si>
    <t>Synergy Assumptions</t>
  </si>
  <si>
    <t xml:space="preserve">  I.   SYNERGY PHASE-IN SCHEDULE  ($mm)</t>
  </si>
  <si>
    <t>Year 4</t>
  </si>
  <si>
    <t xml:space="preserve">  Revenue Synergies</t>
  </si>
  <si>
    <t>Cross-Selling Opportunities</t>
  </si>
  <si>
    <t>New Product Bundling</t>
  </si>
  <si>
    <t>Geographic Expansion</t>
  </si>
  <si>
    <t>Total Revenue Synergies</t>
  </si>
  <si>
    <t xml:space="preserve">  Cost Synergies</t>
  </si>
  <si>
    <t>Headcount Reduction / Redundancies</t>
  </si>
  <si>
    <t>Facilities Consolidation</t>
  </si>
  <si>
    <t>Procurement / Supply Chain</t>
  </si>
  <si>
    <t>IT Systems Integration</t>
  </si>
  <si>
    <t>G&amp;A / Corporate Overhead</t>
  </si>
  <si>
    <t>Total Cost Synergies</t>
  </si>
  <si>
    <t xml:space="preserve">  II.  INTEGRATION COSTS  ($mm)</t>
  </si>
  <si>
    <t>Integration Cost Category</t>
  </si>
  <si>
    <t>Total</t>
  </si>
  <si>
    <t>Severance &amp; Retention</t>
  </si>
  <si>
    <t>Facilities &amp; Relocation</t>
  </si>
  <si>
    <t>Professional Fees (Integration)</t>
  </si>
  <si>
    <t>Other Integration Costs</t>
  </si>
  <si>
    <t>Total Integration Costs</t>
  </si>
  <si>
    <t xml:space="preserve">  III. NET SYNERGIES SUMMARY  ($mm)</t>
  </si>
  <si>
    <t>Summary</t>
  </si>
  <si>
    <t>Net Synergies</t>
  </si>
  <si>
    <t>Cumulative Net Synergies</t>
  </si>
  <si>
    <t xml:space="preserve">  IV.  SYNERGY ASSUMPTIONS &amp; NOTES</t>
  </si>
  <si>
    <t>Assumption / Driver</t>
  </si>
  <si>
    <t>Value</t>
  </si>
  <si>
    <t>Revenue Synergy Ramp (% of SS)</t>
  </si>
  <si>
    <t>Cost Synergy Ramp (% of SS)</t>
  </si>
  <si>
    <t>Steady State Achieved (Year)</t>
  </si>
  <si>
    <t>Synergy Discount Rate (%)</t>
  </si>
  <si>
    <t>PV of Synergies ($mm)</t>
  </si>
  <si>
    <t>Combined Pro Forma Revenue ($mm)</t>
  </si>
  <si>
    <t>Synergies as % of Combined Revenue</t>
  </si>
  <si>
    <t>Management Confidence Level</t>
  </si>
  <si>
    <t xml:space="preserve">  Synergy Value Attribution</t>
  </si>
  <si>
    <t>PV of Synergies (Perpetuity)</t>
  </si>
  <si>
    <t>Transaction Premium Paid ($mm)</t>
  </si>
  <si>
    <t>Implied Synergy Capture Required (%)</t>
  </si>
  <si>
    <t>■ Green = Cross-Tab Link</t>
  </si>
  <si>
    <t>Sources &amp; Uses of Funds</t>
  </si>
  <si>
    <t xml:space="preserve">  SOURCES OF FUNDS</t>
  </si>
  <si>
    <t>Source</t>
  </si>
  <si>
    <t>Stock Consideration (Acquiror Shares)</t>
  </si>
  <si>
    <t>Rollover Equity (if applicable)</t>
  </si>
  <si>
    <t>Total Equity Sources</t>
  </si>
  <si>
    <t xml:space="preserve">  Debt</t>
  </si>
  <si>
    <t>Senior Secured Notes</t>
  </si>
  <si>
    <t>Senior Unsecured Notes</t>
  </si>
  <si>
    <t>Subordinated / Mezzanine Debt</t>
  </si>
  <si>
    <t>Total Debt Sources</t>
  </si>
  <si>
    <t>Other Sources (Target Cash Acquired, etc.)</t>
  </si>
  <si>
    <t>TOTAL SOURCES</t>
  </si>
  <si>
    <t xml:space="preserve">  USES OF FUNDS</t>
  </si>
  <si>
    <t>Use</t>
  </si>
  <si>
    <t xml:space="preserve">  Purchase Price</t>
  </si>
  <si>
    <t>Purchase Target Equity</t>
  </si>
  <si>
    <t>Refinance / Retire Target Debt</t>
  </si>
  <si>
    <t>Total Purchase Price</t>
  </si>
  <si>
    <t xml:space="preserve">  Fees &amp; Expenses</t>
  </si>
  <si>
    <t>Advisory Fees</t>
  </si>
  <si>
    <t>Legal &amp; Professional Fees</t>
  </si>
  <si>
    <t>Other Transaction Costs</t>
  </si>
  <si>
    <t>Total Fees &amp; Expenses</t>
  </si>
  <si>
    <t xml:space="preserve">  Other Uses</t>
  </si>
  <si>
    <t>Cash to Balance Sheet (Minimum Cash)</t>
  </si>
  <si>
    <t>Working Capital Adjustment</t>
  </si>
  <si>
    <t>Total Other Uses</t>
  </si>
  <si>
    <t>TOTAL USES</t>
  </si>
  <si>
    <t xml:space="preserve">  SOURCES &amp; USES CHECK</t>
  </si>
  <si>
    <t>Surplus / (Deficit)</t>
  </si>
  <si>
    <t>Check</t>
  </si>
  <si>
    <t xml:space="preserve">  PRO FORMA CAPITALIZATION</t>
  </si>
  <si>
    <t>Multiple</t>
  </si>
  <si>
    <t>(–) Pro Forma Cash</t>
  </si>
  <si>
    <t>LTM EBITDA (Enter)</t>
  </si>
  <si>
    <t>Pro Forma Equity Value</t>
  </si>
  <si>
    <t>Pro Forma Enterprise Value</t>
  </si>
  <si>
    <t>■ Blue = Input (Actual or Assumption)</t>
  </si>
  <si>
    <t>Acquirer Standalone Financials — Hewlett Packard Enterprise Co. (HPE)</t>
  </si>
  <si>
    <t>($mm, Fiscal Year Ending October 31)</t>
  </si>
  <si>
    <t>◄  Actuals  ►</t>
  </si>
  <si>
    <t>◄  Estimates / Forecasts  ►</t>
  </si>
  <si>
    <t>FY2020A</t>
  </si>
  <si>
    <t>FY2021A</t>
  </si>
  <si>
    <t>FY2022A</t>
  </si>
  <si>
    <t>FY2023A</t>
  </si>
  <si>
    <t>FY2025E</t>
  </si>
  <si>
    <t>FY2026E</t>
  </si>
  <si>
    <t>FY2027E</t>
  </si>
  <si>
    <t>FY2028E</t>
  </si>
  <si>
    <t>in $mm</t>
  </si>
  <si>
    <t xml:space="preserve">  I.   INCOME STATEMENT</t>
  </si>
  <si>
    <t>Revenue</t>
  </si>
  <si>
    <t xml:space="preserve">  YoY Growth (%)</t>
  </si>
  <si>
    <t>Cost of Revenue</t>
  </si>
  <si>
    <t>Gross Profit</t>
  </si>
  <si>
    <t xml:space="preserve">  Gross Margin (%)</t>
  </si>
  <si>
    <t>Research &amp; Development</t>
  </si>
  <si>
    <t>Selling, General &amp; Administrative</t>
  </si>
  <si>
    <t>Other Operating Expenses</t>
  </si>
  <si>
    <t>Total Operating Expenses</t>
  </si>
  <si>
    <t>EBIT (Operating Income)</t>
  </si>
  <si>
    <t xml:space="preserve">  EBIT Margin (%)</t>
  </si>
  <si>
    <t>Depreciation &amp; Amortization</t>
  </si>
  <si>
    <t>EBITDA</t>
  </si>
  <si>
    <t xml:space="preserve">  EBITDA Margin (%)</t>
  </si>
  <si>
    <t>Interest Expense</t>
  </si>
  <si>
    <t>Interest Income</t>
  </si>
  <si>
    <t>Other Non-Operating (Income) / Expense</t>
  </si>
  <si>
    <t>Pre-Tax Income (EBT)</t>
  </si>
  <si>
    <t xml:space="preserve">  Pre-Tax Margin (%)</t>
  </si>
  <si>
    <t>Income Tax Expense</t>
  </si>
  <si>
    <t xml:space="preserve">  Effective Tax Rate (%)</t>
  </si>
  <si>
    <t>Net Income</t>
  </si>
  <si>
    <t xml:space="preserve">  Net Margin (%)</t>
  </si>
  <si>
    <t>EPS — Basic ($)</t>
  </si>
  <si>
    <t>EPS — Diluted ($)</t>
  </si>
  <si>
    <t>Shares Outstanding — Diluted (mm)</t>
  </si>
  <si>
    <t xml:space="preserve">  II.  BALANCE SHEET</t>
  </si>
  <si>
    <t xml:space="preserve">  Current Assets</t>
  </si>
  <si>
    <t>Cash &amp; Cash Equivalents</t>
  </si>
  <si>
    <t>Accounts Receivable, net</t>
  </si>
  <si>
    <t>Inventories</t>
  </si>
  <si>
    <t>Prepaid Expenses &amp; Other Current Assets</t>
  </si>
  <si>
    <t>Total Current Assets</t>
  </si>
  <si>
    <t xml:space="preserve">  Non-Current Assets</t>
  </si>
  <si>
    <t>Property, Plant &amp; Equipment, net</t>
  </si>
  <si>
    <t>Goodwill</t>
  </si>
  <si>
    <t>Intangible Assets, net</t>
  </si>
  <si>
    <t>Long-Term Investments</t>
  </si>
  <si>
    <t>Other Non-Current Assets</t>
  </si>
  <si>
    <t>Total Non-Current Assets</t>
  </si>
  <si>
    <t>TOTAL ASSETS</t>
  </si>
  <si>
    <t xml:space="preserve">  Current Liabilities</t>
  </si>
  <si>
    <t>Accounts Payable</t>
  </si>
  <si>
    <t>Short-Term Debt &amp; Current Portion of LTD</t>
  </si>
  <si>
    <t>Accrued Liabilities</t>
  </si>
  <si>
    <t>Other Current Liabilities</t>
  </si>
  <si>
    <t>Total Current Liabilities</t>
  </si>
  <si>
    <t xml:space="preserve">  Non-Current Liabilities</t>
  </si>
  <si>
    <t>Long-Term Debt</t>
  </si>
  <si>
    <t>Deferred Tax Liabilities</t>
  </si>
  <si>
    <t>Other Non-Current Liabilities</t>
  </si>
  <si>
    <t>Total Non-Current Liabilities</t>
  </si>
  <si>
    <t>TOTAL LIABILITIES</t>
  </si>
  <si>
    <t xml:space="preserve">  Shareholders' Equity</t>
  </si>
  <si>
    <t>Common Stock &amp; Additional Paid-In Capital</t>
  </si>
  <si>
    <t>Retained Earnings</t>
  </si>
  <si>
    <t>Accumulated Other Comprehensive Income (Loss)</t>
  </si>
  <si>
    <t>Treasury Stock</t>
  </si>
  <si>
    <t>Total Shareholders' Equity</t>
  </si>
  <si>
    <t>TOTAL LIABILITIES &amp; EQUITY</t>
  </si>
  <si>
    <t xml:space="preserve">  Balance Sheet Check (Assets = L+E)</t>
  </si>
  <si>
    <t xml:space="preserve">  III. CASH FLOW STATEMENT</t>
  </si>
  <si>
    <t xml:space="preserve">  Operating Activities</t>
  </si>
  <si>
    <t>(+) Depreciation &amp; Amortization</t>
  </si>
  <si>
    <t>(+/–) Changes in Working Capital</t>
  </si>
  <si>
    <t>(+/–) Other Operating Adjustments</t>
  </si>
  <si>
    <t>Cash Flow from Operations (CFO)</t>
  </si>
  <si>
    <t xml:space="preserve">  Investing Activities</t>
  </si>
  <si>
    <t>Capital Expenditures (CapEx)</t>
  </si>
  <si>
    <t>Acquisitions, net of Cash</t>
  </si>
  <si>
    <t>Purchases / (Sales) of Investments</t>
  </si>
  <si>
    <t>Other Investing Activities</t>
  </si>
  <si>
    <t>Cash Flow from Investing (CFI)</t>
  </si>
  <si>
    <t xml:space="preserve">  Financing Activities</t>
  </si>
  <si>
    <t>Debt Issuance / (Repayment)</t>
  </si>
  <si>
    <t>Share Issuance / (Repurchases)</t>
  </si>
  <si>
    <t>Dividends Paid</t>
  </si>
  <si>
    <t>Other Financing Activities</t>
  </si>
  <si>
    <t>Cash Flow from Financing (CFF)</t>
  </si>
  <si>
    <t>Net Change in Cash</t>
  </si>
  <si>
    <t>Beginning Cash Balance</t>
  </si>
  <si>
    <t>Ending Cash Balance</t>
  </si>
  <si>
    <t xml:space="preserve">  IV.  KEY FINANCIAL METRICS &amp; RATIOS</t>
  </si>
  <si>
    <t>Revenue Growth (%)</t>
  </si>
  <si>
    <t>Gross Margin (%)</t>
  </si>
  <si>
    <t>EBITDA Margin (%)</t>
  </si>
  <si>
    <t>EBIT Margin (%)</t>
  </si>
  <si>
    <t>Net Margin (%)</t>
  </si>
  <si>
    <t>CapEx / Revenue (%)</t>
  </si>
  <si>
    <t>Free Cash Flow ($mm)</t>
  </si>
  <si>
    <t>FCF Margin (%)</t>
  </si>
  <si>
    <t>Net Debt ($mm)</t>
  </si>
  <si>
    <t>Net Leverage (x)</t>
  </si>
  <si>
    <t>($mm, Calendar Year Ending December 31)</t>
  </si>
  <si>
    <t>CY2020A</t>
  </si>
  <si>
    <t>CY2021A</t>
  </si>
  <si>
    <t>CY2022A</t>
  </si>
  <si>
    <t>CY2023A</t>
  </si>
  <si>
    <t>CY2024E</t>
  </si>
  <si>
    <t>CY2025E</t>
  </si>
  <si>
    <t>CY2026E</t>
  </si>
  <si>
    <t>CY2027E</t>
  </si>
  <si>
    <t>CY2028E</t>
  </si>
  <si>
    <t>Other Non-Operating (Income)/Expense</t>
  </si>
  <si>
    <t>Purchases/(Sales) of Investments</t>
  </si>
  <si>
    <t>Debt Issuance/(Repayment)</t>
  </si>
  <si>
    <t>Share Issuance/(Repurchases)</t>
  </si>
  <si>
    <t>■ Yellow = Key Output</t>
  </si>
  <si>
    <t xml:space="preserve">  I.   DISCOUNTED CASH FLOW (DCF) ANALYSIS</t>
  </si>
  <si>
    <t xml:space="preserve">  A.  Key DCF Assumptions</t>
  </si>
  <si>
    <t>Assumption</t>
  </si>
  <si>
    <t>Projection Period (Years)</t>
  </si>
  <si>
    <t>Risk-Free Rate (%)</t>
  </si>
  <si>
    <t>WACC (%)</t>
  </si>
  <si>
    <t>Equity Risk Premium (%)</t>
  </si>
  <si>
    <t>Terminal Growth Rate (%)</t>
  </si>
  <si>
    <t>Beta (Levered)</t>
  </si>
  <si>
    <t>Tax Rate (%)</t>
  </si>
  <si>
    <t>Cost of Debt (%)</t>
  </si>
  <si>
    <t>NTM EBITDA ($mm)</t>
  </si>
  <si>
    <t>Target D / (D+E) (%)</t>
  </si>
  <si>
    <t>Exit EBITDA Multiple (x)</t>
  </si>
  <si>
    <t>WACC Check (CAPM)</t>
  </si>
  <si>
    <t xml:space="preserve">  B.  Unlevered Free Cash Flow Projections  ($mm)</t>
  </si>
  <si>
    <t>FCF Build</t>
  </si>
  <si>
    <t>Year 5</t>
  </si>
  <si>
    <t>(–) D&amp;A</t>
  </si>
  <si>
    <t>EBIT (NOPAT Pre-Tax)</t>
  </si>
  <si>
    <t>(–) Taxes on EBIT</t>
  </si>
  <si>
    <t>NOPAT (Net Operating Profit After Tax)</t>
  </si>
  <si>
    <t>(+) D&amp;A Add-Back</t>
  </si>
  <si>
    <t>(–) Capital Expenditures</t>
  </si>
  <si>
    <t>(–/+) Change in Working Capital</t>
  </si>
  <si>
    <t>Unlevered Free Cash Flow (UFCF)</t>
  </si>
  <si>
    <t>Discount Period</t>
  </si>
  <si>
    <t>Discount Factor (@ WACC)</t>
  </si>
  <si>
    <t>PV of UFCF</t>
  </si>
  <si>
    <t xml:space="preserve">  C.  Terminal Value &amp; Valuation Bridge  ($mm)</t>
  </si>
  <si>
    <t>Method</t>
  </si>
  <si>
    <t>Value ($mm)</t>
  </si>
  <si>
    <t>Terminal Value — Exit Multiple Method</t>
  </si>
  <si>
    <t>Terminal Value — Gordon Growth Model</t>
  </si>
  <si>
    <t>PV of Terminal Value (Exit Multiple)</t>
  </si>
  <si>
    <t>PV of Terminal Value (Gordon Growth)</t>
  </si>
  <si>
    <t>Sum of PV of UFCFs</t>
  </si>
  <si>
    <t>Enterprise Value (Exit Multiple)</t>
  </si>
  <si>
    <t>Enterprise Value (Gordon Growth)</t>
  </si>
  <si>
    <t xml:space="preserve">  D.  Equity Value Bridge  ($mm)</t>
  </si>
  <si>
    <t>Exit Multiple</t>
  </si>
  <si>
    <t>Gordon Growth</t>
  </si>
  <si>
    <t>Enterprise Value</t>
  </si>
  <si>
    <t>(–) Total Debt</t>
  </si>
  <si>
    <t>(+) Cash &amp; Equivalents</t>
  </si>
  <si>
    <t>(–) Minority Interest</t>
  </si>
  <si>
    <t>Equity Value</t>
  </si>
  <si>
    <t>Fully Diluted Shares (mm)</t>
  </si>
  <si>
    <t>Implied Share Price ($)</t>
  </si>
  <si>
    <t>Current Share Price ($)</t>
  </si>
  <si>
    <t>Implied Premium / (Discount)</t>
  </si>
  <si>
    <t xml:space="preserve">  E.  Sensitivity Analysis — Implied Share Price ($)</t>
  </si>
  <si>
    <t>EV — Exit Multiple Method</t>
  </si>
  <si>
    <t>EV — Gordon Growth Method</t>
  </si>
  <si>
    <t>WACC →</t>
  </si>
  <si>
    <t xml:space="preserve">  II.  TRADING COMPARABLES ANALYSIS</t>
  </si>
  <si>
    <t>Company</t>
  </si>
  <si>
    <t>Ticker</t>
  </si>
  <si>
    <t>EV ($mm)</t>
  </si>
  <si>
    <t>LTM Rev ($mm)</t>
  </si>
  <si>
    <t>LTM EBITDA ($mm)</t>
  </si>
  <si>
    <t>EV/Rev (LTM)</t>
  </si>
  <si>
    <t>EV/EBITDA (LTM)</t>
  </si>
  <si>
    <t>NTM P/E (x)</t>
  </si>
  <si>
    <t>NTM Rev Growth (%)</t>
  </si>
  <si>
    <t>[Add Comparable]</t>
  </si>
  <si>
    <t>Mean</t>
  </si>
  <si>
    <t>Median</t>
  </si>
  <si>
    <t>High</t>
  </si>
  <si>
    <t>Low</t>
  </si>
  <si>
    <t>25th Pct</t>
  </si>
  <si>
    <t>75th Pct</t>
  </si>
  <si>
    <t xml:space="preserve">  Implied Valuation — Target (Based on Comps)</t>
  </si>
  <si>
    <t>Multiple Applied</t>
  </si>
  <si>
    <t>LTM Metric ($mm)</t>
  </si>
  <si>
    <t>Implied EV ($mm)</t>
  </si>
  <si>
    <t>Implied Equity ($mm)</t>
  </si>
  <si>
    <t>EV / Revenue (Median)</t>
  </si>
  <si>
    <t>EV / EBITDA (Median)</t>
  </si>
  <si>
    <t>EV / Revenue (Mean)</t>
  </si>
  <si>
    <t>EV / EBITDA (Mean)</t>
  </si>
  <si>
    <t xml:space="preserve">  III. PRECEDENT TRANSACTIONS ANALYSIS</t>
  </si>
  <si>
    <t>Date</t>
  </si>
  <si>
    <t>Transaction Value ($mm)</t>
  </si>
  <si>
    <t>EV/Rev (x)</t>
  </si>
  <si>
    <t>EV/EBITDA (x)</t>
  </si>
  <si>
    <t>[Add Transaction]</t>
  </si>
  <si>
    <t xml:space="preserve">  Implied Valuation — Target (Based on Precedents)</t>
  </si>
  <si>
    <t xml:space="preserve">  IV.  VALUATION SUMMARY — FOOTBALL FIELD</t>
  </si>
  <si>
    <t>Methodology</t>
  </si>
  <si>
    <t>Low ($mm)</t>
  </si>
  <si>
    <t>Median / Mid ($mm)</t>
  </si>
  <si>
    <t>High ($mm)</t>
  </si>
  <si>
    <t>Implied Share Price Low</t>
  </si>
  <si>
    <t>Implied Share Price Mid</t>
  </si>
  <si>
    <t>Implied Share Price High</t>
  </si>
  <si>
    <t>Trading Comps (EBITDA)</t>
  </si>
  <si>
    <t>Precedents (EBITDA)</t>
  </si>
  <si>
    <t>Transaction Value (Offer)</t>
  </si>
  <si>
    <t>Purchase Price Allocation (PPA) &amp; Balance Sheet Adjustments</t>
  </si>
  <si>
    <t xml:space="preserve">  I.   PURCHASE PRICE SUMMARY  ($mm)</t>
  </si>
  <si>
    <t>Note / Reference</t>
  </si>
  <si>
    <t>Equity Value (Offer Price × Diluted Shares)</t>
  </si>
  <si>
    <t>→ Transaction Assumptions</t>
  </si>
  <si>
    <t>(+) Target Total Debt Assumed</t>
  </si>
  <si>
    <t>Enter from Target BS</t>
  </si>
  <si>
    <t>(–) Target Cash Acquired</t>
  </si>
  <si>
    <t>(+) Transaction Fees &amp; Expenses</t>
  </si>
  <si>
    <t>Total Purchase Price (Aggregate Consideration)</t>
  </si>
  <si>
    <t>(–) Book Value of Net Assets Acquired</t>
  </si>
  <si>
    <t>Enter from Target latest BS</t>
  </si>
  <si>
    <t>Excess Purchase Price</t>
  </si>
  <si>
    <t>Total Identified Intangibles (PPA, see below)</t>
  </si>
  <si>
    <t>→ Section II</t>
  </si>
  <si>
    <t>Goodwill (Residual)</t>
  </si>
  <si>
    <t>Key PPA output</t>
  </si>
  <si>
    <t xml:space="preserve">  II.  IDENTIFIED INTANGIBLES &amp; FAIR VALUE STEP-UPS  ($mm)</t>
  </si>
  <si>
    <t>Asset Category</t>
  </si>
  <si>
    <t>Book Value ($mm)</t>
  </si>
  <si>
    <t>Fair Value ($mm)</t>
  </si>
  <si>
    <t>Step-Up ($mm)</t>
  </si>
  <si>
    <t>Customer Relationships</t>
  </si>
  <si>
    <t>Developed Technology / IP</t>
  </si>
  <si>
    <t>Trade Names &amp; Trademarks</t>
  </si>
  <si>
    <t>Order Backlog</t>
  </si>
  <si>
    <t>Non-Compete Agreements</t>
  </si>
  <si>
    <t>In-Process R&amp;D (IPR&amp;D)</t>
  </si>
  <si>
    <t>Favorable Leases / Contracts</t>
  </si>
  <si>
    <t>Other Identified Intangibles</t>
  </si>
  <si>
    <t xml:space="preserve">  Tangible Asset Fair Value Adjustments</t>
  </si>
  <si>
    <t>PP&amp;E Fair Value Step-Up</t>
  </si>
  <si>
    <t>Inventory Step-Up (to FMV)</t>
  </si>
  <si>
    <t>Deferred Revenue Write-Down</t>
  </si>
  <si>
    <t>Debt Fair Value Adjustment</t>
  </si>
  <si>
    <t>Total Identified PPA Adjustments</t>
  </si>
  <si>
    <t xml:space="preserve">  III. OPENING BALANCE SHEET ADJUSTMENTS  ($mm)</t>
  </si>
  <si>
    <t>Balance Sheet Item</t>
  </si>
  <si>
    <t>Target (Historical)</t>
  </si>
  <si>
    <t>PPA Adjustment</t>
  </si>
  <si>
    <t>Financing Adj.</t>
  </si>
  <si>
    <t>Elimination</t>
  </si>
  <si>
    <t>Pro Forma Opening</t>
  </si>
  <si>
    <t xml:space="preserve">  Assets</t>
  </si>
  <si>
    <t>Other Current Assets</t>
  </si>
  <si>
    <t>PP&amp;E, net (incl. step-up)</t>
  </si>
  <si>
    <t>Identified Intangibles, net</t>
  </si>
  <si>
    <t>Total Assets</t>
  </si>
  <si>
    <t xml:space="preserve">  Liabilities &amp; Equity</t>
  </si>
  <si>
    <t>Short-Term Debt</t>
  </si>
  <si>
    <t>Long-Term Debt (pro forma)</t>
  </si>
  <si>
    <t>Deferred Tax Liabilities (PPA)</t>
  </si>
  <si>
    <t>Total Liabilities</t>
  </si>
  <si>
    <t>Common Equity (pro forma)</t>
  </si>
  <si>
    <t>Retained Earnings Adjustment</t>
  </si>
  <si>
    <t>Total Liabilities &amp; Equity</t>
  </si>
  <si>
    <t xml:space="preserve">  BS Check: Assets = Liabilities + Equity</t>
  </si>
  <si>
    <t xml:space="preserve">  IV.  PPA AMORTIZATION SCHEDULE — INCOME STATEMENT IMPACT  ($mm)</t>
  </si>
  <si>
    <t>PP&amp;E Incremental D&amp;A (Step-Up)</t>
  </si>
  <si>
    <t>Inventory Step-Up (Year 1 only)</t>
  </si>
  <si>
    <t>Total PPA Amortization Charge (IS Impact)</t>
  </si>
  <si>
    <t>Pro Forma Year (Select):</t>
  </si>
  <si>
    <t xml:space="preserve">  I.   PRO FORMA INCOME STATEMENT  ($mm)</t>
  </si>
  <si>
    <t xml:space="preserve">  Line Item</t>
  </si>
  <si>
    <t>Acquirer (HPE)</t>
  </si>
  <si>
    <t>Target (JNPR)</t>
  </si>
  <si>
    <t>Synergies</t>
  </si>
  <si>
    <t>PPA Adj.</t>
  </si>
  <si>
    <t>Eliminations</t>
  </si>
  <si>
    <t>Pro Forma Combined</t>
  </si>
  <si>
    <t>PPA Amortization (Intangibles)</t>
  </si>
  <si>
    <t>Interest Expense (pro forma)</t>
  </si>
  <si>
    <t>Net Income (Pro Forma)</t>
  </si>
  <si>
    <t xml:space="preserve">  Key Pro Forma Metrics</t>
  </si>
  <si>
    <t>Shares — Basic (mm)</t>
  </si>
  <si>
    <t>Shares — Diluted (mm)</t>
  </si>
  <si>
    <t xml:space="preserve">  II.  PRO FORMA BALANCE SHEET SUMMARY  ($mm)</t>
  </si>
  <si>
    <t xml:space="preserve">  Balance Sheet Item</t>
  </si>
  <si>
    <t>PP&amp;E, net</t>
  </si>
  <si>
    <t>Long-Term Debt (Pro Forma)</t>
  </si>
  <si>
    <t>Total Equity (Pro Forma)</t>
  </si>
  <si>
    <t xml:space="preserve">  Balance Sheet Check</t>
  </si>
  <si>
    <t xml:space="preserve">  III. PRO FORMA CASH FLOW SUMMARY  ($mm)</t>
  </si>
  <si>
    <t xml:space="preserve">  Cash Flow Item</t>
  </si>
  <si>
    <t>Other Adj.</t>
  </si>
  <si>
    <t>Pro Forma</t>
  </si>
  <si>
    <t>(+) D&amp;A (incl. PPA amort.)</t>
  </si>
  <si>
    <t>(+/–) Working Capital Changes</t>
  </si>
  <si>
    <t>Other Operating Adjustments</t>
  </si>
  <si>
    <t>Transaction Financing Adjustments</t>
  </si>
  <si>
    <t xml:space="preserve">  IV.  KEY PRO FORMA METRICS &amp; CREDIT STATISTICS</t>
  </si>
  <si>
    <t xml:space="preserve">  Metric</t>
  </si>
  <si>
    <t>Pre-Synergy</t>
  </si>
  <si>
    <t>Run-Rate Syn.</t>
  </si>
  <si>
    <t>Pro Forma Revenue ($mm)</t>
  </si>
  <si>
    <t>Pro Forma EBITDA ($mm)</t>
  </si>
  <si>
    <t>Pro Forma EBITDA Margin (%)</t>
  </si>
  <si>
    <t>Pro Forma EBIT ($mm)</t>
  </si>
  <si>
    <t>Pro Forma Net Income ($mm)</t>
  </si>
  <si>
    <t>Pro Forma FCF ($mm)</t>
  </si>
  <si>
    <t>Total Debt ($mm)</t>
  </si>
  <si>
    <t>Cash &amp; Equivalents ($mm)</t>
  </si>
  <si>
    <t>Gross Leverage (Debt/EBITDA)</t>
  </si>
  <si>
    <t>Net Leverage (Net Debt/EBITDA)</t>
  </si>
  <si>
    <t>Accretion / Dilution Analysis — HPE Acquisition of Juniper Networks</t>
  </si>
  <si>
    <t xml:space="preserve">  I.   STANDALONE EPS — ACQUIRER (HPE)</t>
  </si>
  <si>
    <t>Year 1E</t>
  </si>
  <si>
    <t>Year 2E</t>
  </si>
  <si>
    <t>Year 3E</t>
  </si>
  <si>
    <t>Net Income — Standalone ($mm)</t>
  </si>
  <si>
    <t>EPS — Consensus / Management ($)</t>
  </si>
  <si>
    <t xml:space="preserve">  Difference (Model vs. Consensus)</t>
  </si>
  <si>
    <t xml:space="preserve">  II.  PRO FORMA EPS BRIDGE  ($mm unless noted)</t>
  </si>
  <si>
    <t xml:space="preserve">  Step 1: Acquirer Standalone Net Income</t>
  </si>
  <si>
    <t>Net Income — Acquirer (Standalone)</t>
  </si>
  <si>
    <t xml:space="preserve">  Step 2: Add Target Net Income</t>
  </si>
  <si>
    <t>Net Income — Target (Standalone)</t>
  </si>
  <si>
    <t>(–) Remove Target Standalone EPS impact (elim.)</t>
  </si>
  <si>
    <t xml:space="preserve">  Step 3: Pro Forma Adjustments</t>
  </si>
  <si>
    <t>(–) PPA Amortization (intangibles)</t>
  </si>
  <si>
    <t>(–) Inventory Step-Up (Year 1 only)</t>
  </si>
  <si>
    <t>(+/–) Incremental Interest on New Debt</t>
  </si>
  <si>
    <t>(+) Cost Synergies (after tax)</t>
  </si>
  <si>
    <t>(+) Revenue Synergies (after tax)</t>
  </si>
  <si>
    <t>(–) Integration Costs (after tax)</t>
  </si>
  <si>
    <t>(+/–) Other Pro Forma Adjustments</t>
  </si>
  <si>
    <t>Total Pro Forma Adjustments</t>
  </si>
  <si>
    <t xml:space="preserve">  Step 4: Pro Forma Net Income &amp; EPS</t>
  </si>
  <si>
    <t>Pro Forma Shares — Diluted (mm)</t>
  </si>
  <si>
    <t>Pro Forma EPS — Diluted ($)</t>
  </si>
  <si>
    <t>Acquirer Standalone EPS — Diluted ($)</t>
  </si>
  <si>
    <t xml:space="preserve">  III. ACCRETION / DILUTION SUMMARY</t>
  </si>
  <si>
    <t>Pro Forma EPS ($)</t>
  </si>
  <si>
    <t>Standalone EPS ($)</t>
  </si>
  <si>
    <t>EPS Accretion / (Dilution) ($)</t>
  </si>
  <si>
    <t>EPS Accretion / (Dilution) (%)</t>
  </si>
  <si>
    <t>Standalone Net Income ($mm)</t>
  </si>
  <si>
    <t>NI Accretion / (Dilution) ($mm)</t>
  </si>
  <si>
    <t>NI Accretion / (Dilution) (%)</t>
  </si>
  <si>
    <t xml:space="preserve">  Impact of Cash vs. Stock Mix on EPS</t>
  </si>
  <si>
    <t>100% Cash</t>
  </si>
  <si>
    <t>50/50 Mix</t>
  </si>
  <si>
    <t>100% Stock</t>
  </si>
  <si>
    <t>% Cash</t>
  </si>
  <si>
    <t>% Stock</t>
  </si>
  <si>
    <t>New Shares Issued (mm)</t>
  </si>
  <si>
    <t>Total PF Shares — Diluted</t>
  </si>
  <si>
    <t>Incremental Interest Exp.</t>
  </si>
  <si>
    <t>EPS Accretion/(Dilution)</t>
  </si>
  <si>
    <t>Hewlett Packard Enterprise (HPE)</t>
  </si>
  <si>
    <t>Juniper Networks</t>
  </si>
  <si>
    <t>All-Cash</t>
  </si>
  <si>
    <t>Shares Outstanding  Basic (mm)</t>
  </si>
  <si>
    <t>Diluted Shares  Options/RSUs (mm)</t>
  </si>
  <si>
    <t>Target Standalone Financials : Juniper Networks, Inc. (JNPR)</t>
  </si>
  <si>
    <t>Cash on hand + existing facilities</t>
  </si>
  <si>
    <t>N/A — All-Cash Deal</t>
  </si>
  <si>
    <t>Undrawn — backup liquidity</t>
  </si>
  <si>
    <t>SOFR + 125 bps</t>
  </si>
  <si>
    <t>N/A</t>
  </si>
  <si>
    <t>~5.90% fixed</t>
  </si>
  <si>
    <t>~6.10% fixed</t>
  </si>
  <si>
    <t>Definitive Agreement (Merger Agreement) signed January 9, 2024</t>
  </si>
  <si>
    <t>$550mm (~4.2% of Equity Value) payable by Juniper if deal terminated</t>
  </si>
  <si>
    <t>Juniper shareholder approval (obtained); regulatory clearances; no MAE</t>
  </si>
  <si>
    <t>Acquisition Method (ASC 805); Juniper fully consolidated post-close</t>
  </si>
  <si>
    <t>HPE targeting $450mm+ in annualized synergies by Year 3; Juniper to operate as standalone BU</t>
  </si>
  <si>
    <t>U.S. DOJ, EU (EC), China (SAMR), UK (CMA) : all cleared</t>
  </si>
  <si>
    <t>No financing condition: HPE committed financing secured at signing</t>
  </si>
  <si>
    <t>as % of revenue</t>
  </si>
  <si>
    <t xml:space="preserve">  V.  SUPPORTING SCHEDULES</t>
  </si>
  <si>
    <t xml:space="preserve">ACCOUNTS RECEIVABLES </t>
  </si>
  <si>
    <t>Revenue/365</t>
  </si>
  <si>
    <t xml:space="preserve">Acc. Rec. </t>
  </si>
  <si>
    <t xml:space="preserve">DSO </t>
  </si>
  <si>
    <t>INVENTORY</t>
  </si>
  <si>
    <t>Inventory</t>
  </si>
  <si>
    <t xml:space="preserve">COGS </t>
  </si>
  <si>
    <t>COGS/365</t>
  </si>
  <si>
    <t>DIO</t>
  </si>
  <si>
    <t>PREPAID EXP. &amp; OTHER CURRENT ASSETS</t>
  </si>
  <si>
    <t xml:space="preserve">Other Current Assets </t>
  </si>
  <si>
    <t xml:space="preserve">Revenue </t>
  </si>
  <si>
    <t xml:space="preserve">as % of revenue </t>
  </si>
  <si>
    <t xml:space="preserve">PPE SCHEDULE </t>
  </si>
  <si>
    <t>BOP</t>
  </si>
  <si>
    <t xml:space="preserve">(+)  CAPEX </t>
  </si>
  <si>
    <t xml:space="preserve">(-) D&amp;A </t>
  </si>
  <si>
    <t xml:space="preserve">EOP </t>
  </si>
  <si>
    <t xml:space="preserve">Capex as % of BOP </t>
  </si>
  <si>
    <t xml:space="preserve">D&amp;A as % of BOP </t>
  </si>
  <si>
    <t xml:space="preserve">PPE </t>
  </si>
  <si>
    <t>ACCOUNTS PAYABLE</t>
  </si>
  <si>
    <t>Payable</t>
  </si>
  <si>
    <t>Purchases</t>
  </si>
  <si>
    <t>Purchases/365</t>
  </si>
  <si>
    <t>DPO</t>
  </si>
  <si>
    <t xml:space="preserve">EQUITY </t>
  </si>
  <si>
    <t xml:space="preserve">BOP </t>
  </si>
  <si>
    <t xml:space="preserve">(+) NI </t>
  </si>
  <si>
    <t xml:space="preserve">(-) Dividends </t>
  </si>
  <si>
    <t>Equity</t>
  </si>
  <si>
    <t>Dividend Payout %</t>
  </si>
  <si>
    <t>NFD</t>
  </si>
  <si>
    <t xml:space="preserve">NFD </t>
  </si>
  <si>
    <t xml:space="preserve">NFR </t>
  </si>
  <si>
    <t xml:space="preserve">Int Rate </t>
  </si>
  <si>
    <t>25% / 50% / 80% / 100%</t>
  </si>
  <si>
    <t>HIGH</t>
  </si>
  <si>
    <t>0</t>
  </si>
  <si>
    <t>Cisco Systems</t>
  </si>
  <si>
    <t>CSCO</t>
  </si>
  <si>
    <t>Extreme Networks</t>
  </si>
  <si>
    <t>EXTR</t>
  </si>
  <si>
    <t>F5, Inc.</t>
  </si>
  <si>
    <t>FFIV</t>
  </si>
  <si>
    <t>Juniper Networks (Target)</t>
  </si>
  <si>
    <t>JNPR</t>
  </si>
  <si>
    <t>Valuation Analysis : Juniper Networks, Inc. (JNPR)</t>
  </si>
  <si>
    <t>DCF : Exit Multiple</t>
  </si>
  <si>
    <t>DCF : Gordon Growth</t>
  </si>
  <si>
    <t>Long term Investments</t>
  </si>
  <si>
    <t>Year 6</t>
  </si>
  <si>
    <t>Year 7</t>
  </si>
  <si>
    <t>Year 8+</t>
  </si>
  <si>
    <t>Pro Forma Combined Financial Statements : HPE + Juniper Networks</t>
  </si>
  <si>
    <t xml:space="preserve">  IV.   EPS ACCRETION / (DILUTION) </t>
  </si>
  <si>
    <t>STRICTLY CONFIDENTIAL — NOT FOR DISTRIBUTION</t>
  </si>
  <si>
    <t>MERGER &amp; ACQUISITION ANALYSIS  |  ALL-CASH TRANSACTION</t>
  </si>
  <si>
    <t>Hewlett Packard Enterprise</t>
  </si>
  <si>
    <t>Acquisition of Juniper Networks</t>
  </si>
  <si>
    <t>Project Olive  ·  M&amp;A Financial Model  ·  January 2024</t>
  </si>
  <si>
    <t>This model presents a comprehensive merger &amp; acquisition analysis of Hewlett Packard Enterprise Co. (NYSE: HPE) and its proposed acquisition of Juniper Networks, Inc. (NYSE: JNPR) for an aggregate consideration of approximately $13.7 billion, representing $40.00 per share in an all-cash transaction announced January 9, 2024.</t>
  </si>
  <si>
    <t>KEY DEAL STATISTICS</t>
  </si>
  <si>
    <t>Offer Price per Share</t>
  </si>
  <si>
    <t>Premium to 52-Week High</t>
  </si>
  <si>
    <t>$13,696mm</t>
  </si>
  <si>
    <t>2.5x / 2.4x</t>
  </si>
  <si>
    <t>EV / LTM  |  NTM Revenue</t>
  </si>
  <si>
    <t>14.4x / 14.5x</t>
  </si>
  <si>
    <t>EV / LTM  |  NTM EBITDA</t>
  </si>
  <si>
    <t>~$500mm</t>
  </si>
  <si>
    <t>Run-Rate Cost Synergies</t>
  </si>
  <si>
    <t>Consideration Structure</t>
  </si>
  <si>
    <t>$10,000mm</t>
  </si>
  <si>
    <t>New Debt Financing</t>
  </si>
  <si>
    <t>$6,492mm</t>
  </si>
  <si>
    <t>Implied Goodwill</t>
  </si>
  <si>
    <t>Executive Summary</t>
  </si>
  <si>
    <t>Sources &amp; Uses</t>
  </si>
  <si>
    <t>Acquirer Standalone</t>
  </si>
  <si>
    <t>Target Standalone</t>
  </si>
  <si>
    <t>PPA &amp; BS Adjustments</t>
  </si>
  <si>
    <t>Pro Forma Financials</t>
  </si>
  <si>
    <t>Accretion-Dilution Analysis</t>
  </si>
  <si>
    <t>Valuation</t>
  </si>
  <si>
    <t>H</t>
  </si>
  <si>
    <t>P</t>
  </si>
  <si>
    <t>E</t>
  </si>
  <si>
    <t>×</t>
  </si>
  <si>
    <t>J</t>
  </si>
  <si>
    <t>N</t>
  </si>
  <si>
    <t>R</t>
  </si>
  <si>
    <t>●</t>
  </si>
  <si>
    <t>STRICTLY CONFIDENTIAL  —  NOT FOR DISTRIBUTION</t>
  </si>
  <si>
    <t>Table of Contents</t>
  </si>
  <si>
    <t>HPE Acquisition of Juniper Networks  —  M&amp;A Financial Model</t>
  </si>
  <si>
    <t>Project Olive  ·  January 2024  ·  All-Cash Transaction  ·  $13.7bn Enterprise Value</t>
  </si>
  <si>
    <t>#</t>
  </si>
  <si>
    <t>SECTION</t>
  </si>
  <si>
    <t>DESCRIPTION</t>
  </si>
  <si>
    <t>TAB</t>
  </si>
  <si>
    <t>Transaction rationale, key highlights, deal structure and management overview</t>
  </si>
  <si>
    <t>Ex. Sum.</t>
  </si>
  <si>
    <t>Offer price, consideration structure, deal timeline and key deal terms</t>
  </si>
  <si>
    <t>Tx. Assum.</t>
  </si>
  <si>
    <t>Financing structure, debt tranches, pro forma capitalization and use of proceeds</t>
  </si>
  <si>
    <t>S&amp;U</t>
  </si>
  <si>
    <t>HPE historical financials — income statement, balance sheet, cash flow statement</t>
  </si>
  <si>
    <t>Acq. SA</t>
  </si>
  <si>
    <t>Juniper Networks historical financials, estimates and key operating metrics</t>
  </si>
  <si>
    <t>Tgt. SA</t>
  </si>
  <si>
    <t>Revenue and cost synergy build, phase-in schedule, integration costs and PV</t>
  </si>
  <si>
    <t>Purchase price allocation, intangible step-ups, DTL and amortization schedule</t>
  </si>
  <si>
    <t>PPA</t>
  </si>
  <si>
    <t>Combined pro forma income statement, balance sheet and cash flow statement</t>
  </si>
  <si>
    <t>PF Fins.</t>
  </si>
  <si>
    <t>EPS bridge, accretion / (dilution) summary, sensitivity and consideration mix</t>
  </si>
  <si>
    <t>Acc./Dil.</t>
  </si>
  <si>
    <t>Trading comps, transaction comps, DCF analysis and football field summary</t>
  </si>
  <si>
    <t>This model has been prepared for internal purposes only. All projections are based on publicly available information and management assumptions.</t>
  </si>
  <si>
    <t>HPE Acquisition of Juniper Networks  —  Project Olive  ·  $13.7bn All-Cash Transaction</t>
  </si>
  <si>
    <t>Announcement Date: January 9, 2024  ·  Expected Close: Q4 2024  ·  Offer: $40.00/share (All-Cash)  ·  Premium: 32.4%</t>
  </si>
  <si>
    <t xml:space="preserve">  I.   TRANSACTION OVERVIEW</t>
  </si>
  <si>
    <t>DEAL TERMS</t>
  </si>
  <si>
    <t>Hewlett Packard Enterprise Co. (HPE)</t>
  </si>
  <si>
    <t>Juniper Networks, Inc. (JNPR)</t>
  </si>
  <si>
    <t>All-Cash Acquisition</t>
  </si>
  <si>
    <t>$40.00 per share</t>
  </si>
  <si>
    <t>STRATEGIC RATIONALE</t>
  </si>
  <si>
    <t>▪  AI-Driven Networking</t>
  </si>
  <si>
    <t>Positions HPE at the forefront of AI networking with Juniper's Mist AI platform</t>
  </si>
  <si>
    <t>▪  Scale &amp; Market Share</t>
  </si>
  <si>
    <t>Creates #2 enterprise networking player; combined revenue of ~$31.4bn</t>
  </si>
  <si>
    <t>▪  Cost Synergies</t>
  </si>
  <si>
    <t>~$500mm run-rate cost synergies by Year 4; 25% phased in Year 1</t>
  </si>
  <si>
    <t>▪  Cross-Selling Upside</t>
  </si>
  <si>
    <t>Significant HPE/Aruba + Juniper portfolio bundling across shared enterprise base</t>
  </si>
  <si>
    <t>▪  Margin Expansion</t>
  </si>
  <si>
    <t>PF EBITDA margin expands from 13.7% to 15.3% at full synergy run-rate</t>
  </si>
  <si>
    <t xml:space="preserve">  II.  FINANCIAL SNAPSHOT  —  Key Pro Forma Metrics &amp; Accretion Analysis</t>
  </si>
  <si>
    <t xml:space="preserve">  III. PRO FORMA FINANCIAL SUMMARY  ($mm)</t>
  </si>
  <si>
    <t>METRIC</t>
  </si>
  <si>
    <t>HPE STANDALONE</t>
  </si>
  <si>
    <t>JNPR STANDALONE</t>
  </si>
  <si>
    <t>PRO FORMA (Y1)</t>
  </si>
  <si>
    <t>w/ RUN-RATE SYN.</t>
  </si>
  <si>
    <t>Gross Profit ($mm)</t>
  </si>
  <si>
    <t xml:space="preserve">  IV.  ACCRETION / (DILUTION) &amp; CREDIT SUMMARY</t>
  </si>
  <si>
    <t>EPS METRIC</t>
  </si>
  <si>
    <t>YEAR 1E</t>
  </si>
  <si>
    <t>YEAR 2E</t>
  </si>
  <si>
    <t>YEAR 3E</t>
  </si>
  <si>
    <t>EPS Accretion / (Dil.)</t>
  </si>
  <si>
    <t>% Accretion / (Dil.)</t>
  </si>
  <si>
    <t>CREDIT METRIC</t>
  </si>
  <si>
    <t>PRE-SYN.</t>
  </si>
  <si>
    <t>RUN-RATE SYN.</t>
  </si>
  <si>
    <t>Cash ($mm)</t>
  </si>
  <si>
    <t>Gross Leverage (x)</t>
  </si>
  <si>
    <t>This document is strictly confidential. Financial projections are based on publicly available information and management assumptions and do not constitute investment advice.  ·  January 2024</t>
  </si>
  <si>
    <t>EPS Bridge</t>
  </si>
  <si>
    <t>Base</t>
  </si>
  <si>
    <t>SA EPS</t>
  </si>
  <si>
    <t>– Interest</t>
  </si>
  <si>
    <t>PF EPS</t>
  </si>
  <si>
    <t>Synergy Ramp</t>
  </si>
  <si>
    <t>Year</t>
  </si>
  <si>
    <t>Gross Synergies</t>
  </si>
  <si>
    <t>PF Revenue &amp; EBITDA</t>
  </si>
  <si>
    <t>Entity</t>
  </si>
  <si>
    <t>HPE Standalone</t>
  </si>
  <si>
    <t>JNPR Standalone</t>
  </si>
  <si>
    <t>PF + Synergies</t>
  </si>
  <si>
    <t>– PPA Amort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</si>
</sst>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8" formatCode="&quot;$&quot;#,##0.00_);[Red]\(&quot;$&quot;#,##0.00\)"/>
    <numFmt numFmtId="164" formatCode="&quot;$&quot;#,##0.00;\(&quot;$&quot;#,##0.00\);&quot;-&quot;"/>
    <numFmt numFmtId="165" formatCode="&quot;$&quot;#,##0.00"/>
    <numFmt numFmtId="166" formatCode="0.0%;\(0.0%\);&quot;-&quot;"/>
    <numFmt numFmtId="167" formatCode="#,##0.0;&quot;-&quot;"/>
    <numFmt numFmtId="168" formatCode="#,##0.0"/>
    <numFmt numFmtId="169" formatCode="&quot;$&quot;#,##0;\(&quot;$&quot;#,##0\);&quot;-&quot;"/>
    <numFmt numFmtId="170" formatCode="0.0&quot;x&quot;;\(0.0&quot;x&quot;\);&quot;-&quot;"/>
    <numFmt numFmtId="171" formatCode="0.0000&quot;x&quot;"/>
    <numFmt numFmtId="172" formatCode="0.0%"/>
    <numFmt numFmtId="173" formatCode="&quot;$&quot;#,##0"/>
    <numFmt numFmtId="174" formatCode="0.0&quot;x&quot;"/>
    <numFmt numFmtId="175" formatCode="0.0"/>
    <numFmt numFmtId="176" formatCode="0.000\x"/>
    <numFmt numFmtId="177" formatCode="&quot;$&quot;0.00;\(&quot;$&quot;0.00\);&quot;-&quot;"/>
    <numFmt numFmtId="178" formatCode="#,##0;&quot;-&quot;"/>
    <numFmt numFmtId="179" formatCode="&quot;$&quot;#,##0.0;\(&quot;$&quot;#,##0.0\);&quot;-&quot;"/>
    <numFmt numFmtId="180" formatCode="0.0\x"/>
    <numFmt numFmtId="182" formatCode="&quot;$&quot;#,##0.0"/>
  </numFmts>
  <fonts count="7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5"/>
      <color rgb="FFFFFFFF"/>
      <name val="Aptos Narrow"/>
      <family val="2"/>
      <scheme val="minor"/>
    </font>
    <font>
      <sz val="9"/>
      <color rgb="FF0070C0"/>
      <name val="Aptos Narrow"/>
      <family val="2"/>
      <scheme val="minor"/>
    </font>
    <font>
      <b/>
      <sz val="9"/>
      <color rgb="FF0070C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9"/>
      <color rgb="FF000000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sz val="9"/>
      <color rgb="FF375623"/>
      <name val="Aptos Narrow"/>
      <family val="2"/>
      <scheme val="minor"/>
    </font>
    <font>
      <b/>
      <sz val="8"/>
      <color rgb="FF0070C0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b/>
      <sz val="8"/>
      <color rgb="FF375623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i/>
      <sz val="9"/>
      <color rgb="FF595959"/>
      <name val="Aptos Narrow"/>
      <family val="2"/>
      <scheme val="minor"/>
    </font>
    <font>
      <b/>
      <sz val="8"/>
      <color rgb="FFFFFFFF"/>
      <name val="Aptos Narrow"/>
      <family val="2"/>
      <scheme val="minor"/>
    </font>
    <font>
      <i/>
      <sz val="8"/>
      <color rgb="FF595959"/>
      <name val="Aptos Narrow"/>
      <family val="2"/>
      <scheme val="minor"/>
    </font>
    <font>
      <b/>
      <sz val="8"/>
      <color rgb="FF7D6608"/>
      <name val="Aptos Narrow"/>
      <family val="2"/>
      <scheme val="minor"/>
    </font>
    <font>
      <b/>
      <sz val="9"/>
      <color rgb="FF1F3864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9"/>
      <color rgb="FFAAAAAA"/>
      <name val="Aptos Narrow"/>
      <family val="2"/>
      <scheme val="minor"/>
    </font>
    <font>
      <i/>
      <sz val="9"/>
      <color rgb="FF000000"/>
      <name val="Aptos Narrow"/>
      <family val="2"/>
      <scheme val="minor"/>
    </font>
    <font>
      <b/>
      <i/>
      <sz val="9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3" tint="0.499984740745262"/>
      <name val="Aptos Narrow"/>
      <family val="2"/>
      <scheme val="minor"/>
    </font>
    <font>
      <sz val="12"/>
      <color theme="3" tint="0.499984740745262"/>
      <name val="Aptos Narrow"/>
      <family val="2"/>
      <scheme val="minor"/>
    </font>
    <font>
      <sz val="9"/>
      <color theme="1"/>
      <name val="Aptos Narrow"/>
      <scheme val="minor"/>
    </font>
    <font>
      <i/>
      <sz val="9"/>
      <color rgb="FF5C5C5C"/>
      <name val="Aptos Narrow"/>
      <scheme val="minor"/>
    </font>
    <font>
      <sz val="12"/>
      <color theme="0"/>
      <name val="Aptos Narrow"/>
      <family val="2"/>
      <scheme val="minor"/>
    </font>
    <font>
      <sz val="9"/>
      <color rgb="FF0000FF"/>
      <name val="Aptos Narrow"/>
      <family val="2"/>
      <scheme val="minor"/>
    </font>
    <font>
      <sz val="9"/>
      <color rgb="FF008000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9"/>
      <color rgb="FF0000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9"/>
      <color rgb="FF404040"/>
      <name val="Aptos Narrow"/>
      <family val="2"/>
      <scheme val="minor"/>
    </font>
    <font>
      <sz val="12"/>
      <color rgb="FF404040"/>
      <name val="Aptos Narrow"/>
      <family val="2"/>
      <scheme val="minor"/>
    </font>
    <font>
      <b/>
      <sz val="12"/>
      <color rgb="FF1F3864"/>
      <name val="Aptos Narrow"/>
      <family val="2"/>
      <scheme val="minor"/>
    </font>
    <font>
      <sz val="9"/>
      <color rgb="FF1F3864"/>
      <name val="Aptos Narrow"/>
      <family val="2"/>
      <scheme val="minor"/>
    </font>
    <font>
      <b/>
      <sz val="8"/>
      <color rgb="FFC8A951"/>
      <name val="Calibri"/>
      <family val="2"/>
    </font>
    <font>
      <sz val="8"/>
      <color rgb="FF8899AA"/>
      <name val="Calibri"/>
      <family val="2"/>
    </font>
    <font>
      <b/>
      <sz val="28"/>
      <color rgb="FF0D1F3C"/>
      <name val="Calibri"/>
      <family val="2"/>
    </font>
    <font>
      <sz val="28"/>
      <color rgb="FF0D1F3C"/>
      <name val="Calibri"/>
      <family val="2"/>
    </font>
    <font>
      <i/>
      <sz val="10"/>
      <color rgb="FF8899AA"/>
      <name val="Calibri"/>
      <family val="2"/>
    </font>
    <font>
      <sz val="9.5"/>
      <color rgb="FF333D47"/>
      <name val="Calibri"/>
      <family val="2"/>
    </font>
    <font>
      <b/>
      <sz val="20"/>
      <color rgb="FF0D1F3C"/>
      <name val="Calibri"/>
      <family val="2"/>
    </font>
    <font>
      <sz val="8.5"/>
      <color theme="1"/>
      <name val="Calibri"/>
      <family val="2"/>
    </font>
    <font>
      <b/>
      <sz val="11"/>
      <color rgb="FFFFFFFF"/>
      <name val="Calibri"/>
      <family val="2"/>
    </font>
    <font>
      <b/>
      <sz val="9"/>
      <color rgb="FFC8A951"/>
      <name val="Calibri"/>
      <family val="2"/>
    </font>
    <font>
      <sz val="8"/>
      <color rgb="FFC8A951"/>
      <name val="Aptos Narrow"/>
      <family val="2"/>
      <scheme val="minor"/>
    </font>
    <font>
      <b/>
      <sz val="7.5"/>
      <color rgb="FF0D1F3C"/>
      <name val="Calibri"/>
      <family val="2"/>
    </font>
    <font>
      <b/>
      <sz val="26"/>
      <color rgb="FF0D1F3C"/>
      <name val="Calibri"/>
      <family val="2"/>
    </font>
    <font>
      <sz val="13"/>
      <color rgb="FF6B7A8D"/>
      <name val="Calibri"/>
      <family val="2"/>
    </font>
    <font>
      <sz val="8.5"/>
      <color rgb="FF6B7A8D"/>
      <name val="Calibri"/>
      <family val="2"/>
    </font>
    <font>
      <i/>
      <sz val="8.5"/>
      <color rgb="FF6B7A8D"/>
      <name val="Calibri"/>
      <family val="2"/>
    </font>
    <font>
      <b/>
      <sz val="9.5"/>
      <color rgb="FF0D1F3C"/>
      <name val="Calibri"/>
      <family val="2"/>
    </font>
    <font>
      <sz val="8"/>
      <color rgb="FF6B7A8D"/>
      <name val="Calibri"/>
      <family val="2"/>
    </font>
    <font>
      <b/>
      <sz val="7"/>
      <color rgb="FFC8A951"/>
      <name val="Calibri"/>
      <family val="2"/>
    </font>
    <font>
      <i/>
      <sz val="7"/>
      <color rgb="FFD8DCE3"/>
      <name val="Calibri"/>
      <family val="2"/>
    </font>
    <font>
      <sz val="7.5"/>
      <color rgb="FF6B7A8D"/>
      <name val="Calibri"/>
      <family val="2"/>
    </font>
    <font>
      <i/>
      <sz val="11"/>
      <color rgb="FF6B7A8D"/>
      <name val="Calibri"/>
      <family val="2"/>
    </font>
    <font>
      <b/>
      <sz val="7.5"/>
      <color rgb="FFC8A951"/>
      <name val="Calibri"/>
      <family val="2"/>
    </font>
    <font>
      <b/>
      <sz val="8.5"/>
      <color theme="1"/>
      <name val="Calibri"/>
      <family val="2"/>
    </font>
    <font>
      <b/>
      <sz val="8.5"/>
      <color rgb="FF0D1F3C"/>
      <name val="Calibri"/>
      <family val="2"/>
    </font>
    <font>
      <sz val="8.5"/>
      <color rgb="FF0D1F3C"/>
      <name val="Calibri"/>
      <family val="2"/>
    </font>
    <font>
      <i/>
      <sz val="6.5"/>
      <color rgb="FFD8DCE3"/>
      <name val="Calibri"/>
      <family val="2"/>
    </font>
    <font>
      <b/>
      <sz val="8.5"/>
      <color rgb="FF0D1F3C"/>
      <name val="Aptos Narrow"/>
      <family val="2"/>
      <scheme val="minor"/>
    </font>
    <font>
      <b/>
      <sz val="8.5"/>
      <color rgb="FFC0392B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D3461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364B6B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0D1F3C"/>
        <bgColor indexed="64"/>
      </patternFill>
    </fill>
    <fill>
      <patternFill patternType="solid">
        <fgColor rgb="FF1A3660"/>
        <bgColor indexed="64"/>
      </patternFill>
    </fill>
    <fill>
      <patternFill patternType="solid">
        <fgColor rgb="FFC8A951"/>
        <bgColor indexed="64"/>
      </patternFill>
    </fill>
    <fill>
      <patternFill patternType="solid">
        <fgColor rgb="FFF4F6F9"/>
        <bgColor indexed="64"/>
      </patternFill>
    </fill>
    <fill>
      <patternFill patternType="solid">
        <fgColor rgb="FF2E4057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rgb="FF4472C4"/>
      </top>
      <bottom/>
      <diagonal/>
    </border>
    <border>
      <left/>
      <right/>
      <top style="thin">
        <color rgb="FF4472C4"/>
      </top>
      <bottom style="thin">
        <color rgb="FF4472C4"/>
      </bottom>
      <diagonal/>
    </border>
    <border>
      <left/>
      <right/>
      <top/>
      <bottom style="medium">
        <color rgb="FF2E74B5"/>
      </bottom>
      <diagonal/>
    </border>
    <border>
      <left/>
      <right/>
      <top style="medium">
        <color rgb="FFFFFFFF"/>
      </top>
      <bottom/>
      <diagonal/>
    </border>
    <border>
      <left/>
      <right/>
      <top/>
      <bottom style="thin">
        <color rgb="FFD0D5DD"/>
      </bottom>
      <diagonal/>
    </border>
    <border>
      <left/>
      <right/>
      <top style="thin">
        <color rgb="FFD0D5DD"/>
      </top>
      <bottom/>
      <diagonal/>
    </border>
    <border>
      <left/>
      <right/>
      <top style="medium">
        <color rgb="FF0D1F3C"/>
      </top>
      <bottom/>
      <diagonal/>
    </border>
    <border>
      <left/>
      <right/>
      <top/>
      <bottom style="medium">
        <color rgb="FF0D1F3C"/>
      </bottom>
      <diagonal/>
    </border>
    <border>
      <left style="medium">
        <color rgb="FF0D1F3C"/>
      </left>
      <right/>
      <top style="medium">
        <color rgb="FF0D1F3C"/>
      </top>
      <bottom/>
      <diagonal/>
    </border>
    <border>
      <left style="medium">
        <color rgb="FF0D1F3C"/>
      </left>
      <right/>
      <top/>
      <bottom/>
      <diagonal/>
    </border>
    <border>
      <left style="medium">
        <color rgb="FF0D1F3C"/>
      </left>
      <right/>
      <top/>
      <bottom style="thin">
        <color rgb="FFD0D5DD"/>
      </bottom>
      <diagonal/>
    </border>
    <border>
      <left style="medium">
        <color rgb="FF0D1F3C"/>
      </left>
      <right/>
      <top style="thin">
        <color rgb="FFD0D5DD"/>
      </top>
      <bottom/>
      <diagonal/>
    </border>
    <border>
      <left style="medium">
        <color rgb="FF0D1F3C"/>
      </left>
      <right/>
      <top/>
      <bottom style="medium">
        <color rgb="FF0D1F3C"/>
      </bottom>
      <diagonal/>
    </border>
    <border>
      <left/>
      <right style="medium">
        <color rgb="FF0D1F3C"/>
      </right>
      <top style="medium">
        <color rgb="FF0D1F3C"/>
      </top>
      <bottom/>
      <diagonal/>
    </border>
    <border>
      <left/>
      <right style="medium">
        <color rgb="FF0D1F3C"/>
      </right>
      <top/>
      <bottom/>
      <diagonal/>
    </border>
    <border>
      <left/>
      <right style="medium">
        <color rgb="FF0D1F3C"/>
      </right>
      <top/>
      <bottom style="thin">
        <color rgb="FFD0D5DD"/>
      </bottom>
      <diagonal/>
    </border>
    <border>
      <left/>
      <right style="medium">
        <color rgb="FF0D1F3C"/>
      </right>
      <top/>
      <bottom style="medium">
        <color rgb="FF0D1F3C"/>
      </bottom>
      <diagonal/>
    </border>
    <border>
      <left/>
      <right/>
      <top/>
      <bottom style="thin">
        <color rgb="FFD8DCE3"/>
      </bottom>
      <diagonal/>
    </border>
    <border>
      <left/>
      <right/>
      <top style="thin">
        <color rgb="FFD8DCE3"/>
      </top>
      <bottom style="thin">
        <color rgb="FFD8DCE3"/>
      </bottom>
      <diagonal/>
    </border>
    <border>
      <left/>
      <right/>
      <top style="thin">
        <color rgb="FFD8DCE3"/>
      </top>
      <bottom/>
      <diagonal/>
    </border>
    <border>
      <left/>
      <right/>
      <top style="thin">
        <color rgb="FFD8DCE3"/>
      </top>
      <bottom style="medium">
        <color rgb="FF0D1F3C"/>
      </bottom>
      <diagonal/>
    </border>
    <border>
      <left style="medium">
        <color rgb="FF0D1F3C"/>
      </left>
      <right/>
      <top style="thin">
        <color rgb="FFD8DCE3"/>
      </top>
      <bottom/>
      <diagonal/>
    </border>
    <border>
      <left style="medium">
        <color rgb="FF0D1F3C"/>
      </left>
      <right/>
      <top style="thin">
        <color rgb="FFD8DCE3"/>
      </top>
      <bottom style="medium">
        <color rgb="FF0D1F3C"/>
      </bottom>
      <diagonal/>
    </border>
    <border>
      <left/>
      <right style="medium">
        <color rgb="FF0D1F3C"/>
      </right>
      <top style="thin">
        <color rgb="FFD8DCE3"/>
      </top>
      <bottom/>
      <diagonal/>
    </border>
    <border>
      <left/>
      <right style="medium">
        <color rgb="FF0D1F3C"/>
      </right>
      <top style="thin">
        <color rgb="FFD8DCE3"/>
      </top>
      <bottom style="medium">
        <color rgb="FF0D1F3C"/>
      </bottom>
      <diagonal/>
    </border>
    <border>
      <left style="medium">
        <color rgb="FF0D1F3C"/>
      </left>
      <right/>
      <top style="thin">
        <color rgb="FFD8DCE3"/>
      </top>
      <bottom style="thin">
        <color rgb="FFD8DCE3"/>
      </bottom>
      <diagonal/>
    </border>
    <border>
      <left/>
      <right style="medium">
        <color rgb="FF0D1F3C"/>
      </right>
      <top style="thin">
        <color rgb="FFD8DCE3"/>
      </top>
      <bottom style="thin">
        <color rgb="FFD8DCE3"/>
      </bottom>
      <diagonal/>
    </border>
    <border>
      <left/>
      <right style="medium">
        <color rgb="FF0D1F3C"/>
      </right>
      <top/>
      <bottom style="thin">
        <color rgb="FFD8DCE3"/>
      </bottom>
      <diagonal/>
    </border>
    <border>
      <left style="medium">
        <color rgb="FF0D1F3C"/>
      </left>
      <right/>
      <top style="thin">
        <color rgb="FFD8DCE3"/>
      </top>
      <bottom style="thin">
        <color rgb="FFC8A951"/>
      </bottom>
      <diagonal/>
    </border>
    <border>
      <left/>
      <right/>
      <top style="thin">
        <color rgb="FFD8DCE3"/>
      </top>
      <bottom style="thin">
        <color rgb="FFC8A951"/>
      </bottom>
      <diagonal/>
    </border>
    <border>
      <left/>
      <right style="medium">
        <color rgb="FF0D1F3C"/>
      </right>
      <top style="thin">
        <color rgb="FFD8DCE3"/>
      </top>
      <bottom style="thin">
        <color rgb="FFC8A951"/>
      </bottom>
      <diagonal/>
    </border>
    <border>
      <left/>
      <right/>
      <top style="thin">
        <color rgb="FFC8A951"/>
      </top>
      <bottom style="thin">
        <color rgb="FFC8A951"/>
      </bottom>
      <diagonal/>
    </border>
  </borders>
  <cellStyleXfs count="2">
    <xf numFmtId="0" fontId="0" fillId="0" borderId="0"/>
    <xf numFmtId="9" fontId="28" fillId="0" borderId="0" applyFont="0" applyFill="0" applyBorder="0" applyAlignment="0" applyProtection="0"/>
  </cellStyleXfs>
  <cellXfs count="504">
    <xf numFmtId="0" fontId="0" fillId="0" borderId="0" xfId="0"/>
    <xf numFmtId="0" fontId="0" fillId="2" borderId="0" xfId="0" applyFill="1"/>
    <xf numFmtId="0" fontId="0" fillId="3" borderId="0" xfId="0" applyFill="1"/>
    <xf numFmtId="0" fontId="6" fillId="2" borderId="0" xfId="0" applyFont="1" applyFill="1"/>
    <xf numFmtId="0" fontId="0" fillId="6" borderId="0" xfId="0" applyFill="1"/>
    <xf numFmtId="0" fontId="15" fillId="6" borderId="0" xfId="0" applyFont="1" applyFill="1"/>
    <xf numFmtId="0" fontId="7" fillId="6" borderId="0" xfId="0" applyFont="1" applyFill="1"/>
    <xf numFmtId="0" fontId="7" fillId="6" borderId="0" xfId="0" applyFont="1" applyFill="1" applyAlignment="1">
      <alignment indent="1"/>
    </xf>
    <xf numFmtId="0" fontId="0" fillId="7" borderId="0" xfId="0" applyFill="1"/>
    <xf numFmtId="0" fontId="7" fillId="7" borderId="0" xfId="0" applyFont="1" applyFill="1" applyAlignment="1">
      <alignment indent="1"/>
    </xf>
    <xf numFmtId="0" fontId="16" fillId="2" borderId="0" xfId="0" applyFont="1" applyFill="1"/>
    <xf numFmtId="0" fontId="16" fillId="2" borderId="0" xfId="0" applyFont="1" applyFill="1" applyAlignment="1">
      <alignment indent="1"/>
    </xf>
    <xf numFmtId="0" fontId="16" fillId="8" borderId="0" xfId="0" applyFont="1" applyFill="1" applyAlignment="1">
      <alignment indent="1"/>
    </xf>
    <xf numFmtId="0" fontId="14" fillId="5" borderId="0" xfId="0" applyFont="1" applyFill="1" applyAlignment="1">
      <alignment horizontal="center"/>
    </xf>
    <xf numFmtId="0" fontId="7" fillId="7" borderId="0" xfId="0" applyFont="1" applyFill="1" applyAlignment="1">
      <alignment indent="2"/>
    </xf>
    <xf numFmtId="0" fontId="7" fillId="6" borderId="0" xfId="0" applyFont="1" applyFill="1" applyAlignment="1">
      <alignment indent="2"/>
    </xf>
    <xf numFmtId="0" fontId="6" fillId="6" borderId="0" xfId="0" applyFont="1" applyFill="1"/>
    <xf numFmtId="166" fontId="7" fillId="6" borderId="0" xfId="0" applyNumberFormat="1" applyFont="1" applyFill="1" applyAlignment="1">
      <alignment horizontal="right"/>
    </xf>
    <xf numFmtId="167" fontId="4" fillId="6" borderId="0" xfId="0" applyNumberFormat="1" applyFont="1" applyFill="1" applyAlignment="1">
      <alignment horizontal="right"/>
    </xf>
    <xf numFmtId="167" fontId="7" fillId="6" borderId="0" xfId="0" applyNumberFormat="1" applyFont="1" applyFill="1"/>
    <xf numFmtId="167" fontId="7" fillId="6" borderId="0" xfId="0" applyNumberFormat="1" applyFont="1" applyFill="1" applyAlignment="1">
      <alignment horizontal="right"/>
    </xf>
    <xf numFmtId="0" fontId="8" fillId="6" borderId="0" xfId="0" applyFont="1" applyFill="1" applyAlignment="1">
      <alignment indent="2"/>
    </xf>
    <xf numFmtId="169" fontId="4" fillId="6" borderId="0" xfId="0" applyNumberFormat="1" applyFont="1" applyFill="1" applyAlignment="1">
      <alignment horizontal="right"/>
    </xf>
    <xf numFmtId="0" fontId="8" fillId="9" borderId="0" xfId="0" applyFont="1" applyFill="1" applyAlignment="1">
      <alignment indent="2"/>
    </xf>
    <xf numFmtId="0" fontId="0" fillId="9" borderId="0" xfId="0" applyFill="1"/>
    <xf numFmtId="0" fontId="1" fillId="9" borderId="0" xfId="0" applyFont="1" applyFill="1"/>
    <xf numFmtId="170" fontId="7" fillId="6" borderId="0" xfId="0" applyNumberFormat="1" applyFont="1" applyFill="1" applyAlignment="1">
      <alignment horizontal="right"/>
    </xf>
    <xf numFmtId="0" fontId="8" fillId="9" borderId="0" xfId="0" applyFont="1" applyFill="1" applyAlignment="1">
      <alignment indent="1"/>
    </xf>
    <xf numFmtId="169" fontId="9" fillId="6" borderId="0" xfId="0" applyNumberFormat="1" applyFont="1" applyFill="1" applyAlignment="1">
      <alignment horizontal="right"/>
    </xf>
    <xf numFmtId="171" fontId="7" fillId="7" borderId="0" xfId="0" applyNumberFormat="1" applyFont="1" applyFill="1" applyAlignment="1">
      <alignment horizontal="right"/>
    </xf>
    <xf numFmtId="169" fontId="7" fillId="6" borderId="0" xfId="0" applyNumberFormat="1" applyFont="1" applyFill="1" applyAlignment="1">
      <alignment horizontal="right"/>
    </xf>
    <xf numFmtId="0" fontId="8" fillId="7" borderId="0" xfId="0" applyFont="1" applyFill="1" applyAlignment="1">
      <alignment indent="1"/>
    </xf>
    <xf numFmtId="0" fontId="8" fillId="6" borderId="0" xfId="0" applyFont="1" applyFill="1" applyAlignment="1">
      <alignment indent="1"/>
    </xf>
    <xf numFmtId="0" fontId="10" fillId="3" borderId="0" xfId="0" applyFont="1" applyFill="1"/>
    <xf numFmtId="0" fontId="11" fillId="3" borderId="0" xfId="0" applyFont="1" applyFill="1"/>
    <xf numFmtId="49" fontId="4" fillId="6" borderId="0" xfId="0" applyNumberFormat="1" applyFont="1" applyFill="1" applyAlignment="1">
      <alignment horizontal="right"/>
    </xf>
    <xf numFmtId="49" fontId="4" fillId="7" borderId="0" xfId="0" applyNumberFormat="1" applyFont="1" applyFill="1" applyAlignment="1">
      <alignment horizontal="right"/>
    </xf>
    <xf numFmtId="165" fontId="4" fillId="7" borderId="0" xfId="0" applyNumberFormat="1" applyFont="1" applyFill="1" applyAlignment="1">
      <alignment horizontal="right"/>
    </xf>
    <xf numFmtId="172" fontId="7" fillId="6" borderId="0" xfId="0" applyNumberFormat="1" applyFont="1" applyFill="1" applyAlignment="1">
      <alignment horizontal="right"/>
    </xf>
    <xf numFmtId="168" fontId="4" fillId="6" borderId="0" xfId="0" applyNumberFormat="1" applyFont="1" applyFill="1" applyAlignment="1">
      <alignment horizontal="right"/>
    </xf>
    <xf numFmtId="168" fontId="4" fillId="7" borderId="0" xfId="0" applyNumberFormat="1" applyFont="1" applyFill="1" applyAlignment="1">
      <alignment horizontal="right"/>
    </xf>
    <xf numFmtId="168" fontId="7" fillId="6" borderId="0" xfId="0" applyNumberFormat="1" applyFont="1" applyFill="1" applyAlignment="1">
      <alignment horizontal="right"/>
    </xf>
    <xf numFmtId="173" fontId="7" fillId="6" borderId="0" xfId="0" applyNumberFormat="1" applyFont="1" applyFill="1" applyAlignment="1">
      <alignment horizontal="right"/>
    </xf>
    <xf numFmtId="173" fontId="8" fillId="6" borderId="0" xfId="0" applyNumberFormat="1" applyFont="1" applyFill="1" applyAlignment="1">
      <alignment horizontal="right"/>
    </xf>
    <xf numFmtId="173" fontId="4" fillId="7" borderId="0" xfId="0" applyNumberFormat="1" applyFont="1" applyFill="1" applyAlignment="1">
      <alignment horizontal="right"/>
    </xf>
    <xf numFmtId="173" fontId="4" fillId="6" borderId="0" xfId="0" applyNumberFormat="1" applyFont="1" applyFill="1" applyAlignment="1">
      <alignment horizontal="right"/>
    </xf>
    <xf numFmtId="173" fontId="7" fillId="7" borderId="0" xfId="0" applyNumberFormat="1" applyFont="1" applyFill="1" applyAlignment="1">
      <alignment horizontal="right"/>
    </xf>
    <xf numFmtId="173" fontId="8" fillId="9" borderId="0" xfId="0" applyNumberFormat="1" applyFont="1" applyFill="1" applyAlignment="1">
      <alignment horizontal="right"/>
    </xf>
    <xf numFmtId="165" fontId="4" fillId="6" borderId="0" xfId="0" applyNumberFormat="1" applyFont="1" applyFill="1" applyAlignment="1">
      <alignment horizontal="right"/>
    </xf>
    <xf numFmtId="174" fontId="7" fillId="7" borderId="0" xfId="0" applyNumberFormat="1" applyFont="1" applyFill="1" applyAlignment="1">
      <alignment horizontal="right"/>
    </xf>
    <xf numFmtId="174" fontId="7" fillId="6" borderId="0" xfId="0" applyNumberFormat="1" applyFont="1" applyFill="1" applyAlignment="1">
      <alignment horizontal="right"/>
    </xf>
    <xf numFmtId="172" fontId="7" fillId="7" borderId="0" xfId="0" applyNumberFormat="1" applyFont="1" applyFill="1" applyAlignment="1">
      <alignment horizontal="right"/>
    </xf>
    <xf numFmtId="173" fontId="7" fillId="9" borderId="0" xfId="0" applyNumberFormat="1" applyFont="1" applyFill="1" applyAlignment="1">
      <alignment horizontal="right"/>
    </xf>
    <xf numFmtId="10" fontId="14" fillId="9" borderId="0" xfId="0" applyNumberFormat="1" applyFont="1" applyFill="1" applyAlignment="1">
      <alignment horizontal="right"/>
    </xf>
    <xf numFmtId="0" fontId="12" fillId="3" borderId="0" xfId="0" applyFont="1" applyFill="1"/>
    <xf numFmtId="172" fontId="7" fillId="9" borderId="0" xfId="0" applyNumberFormat="1" applyFont="1" applyFill="1" applyAlignment="1">
      <alignment horizontal="right"/>
    </xf>
    <xf numFmtId="0" fontId="7" fillId="2" borderId="0" xfId="0" applyFont="1" applyFill="1" applyAlignment="1">
      <alignment indent="2"/>
    </xf>
    <xf numFmtId="0" fontId="8" fillId="2" borderId="0" xfId="0" applyFont="1" applyFill="1" applyAlignment="1">
      <alignment indent="1"/>
    </xf>
    <xf numFmtId="49" fontId="4" fillId="9" borderId="0" xfId="0" applyNumberFormat="1" applyFont="1" applyFill="1" applyAlignment="1">
      <alignment horizontal="right"/>
    </xf>
    <xf numFmtId="0" fontId="0" fillId="4" borderId="0" xfId="0" applyFill="1"/>
    <xf numFmtId="0" fontId="0" fillId="8" borderId="0" xfId="0" applyFill="1"/>
    <xf numFmtId="166" fontId="4" fillId="6" borderId="0" xfId="0" applyNumberFormat="1" applyFont="1" applyFill="1" applyAlignment="1">
      <alignment horizontal="right"/>
    </xf>
    <xf numFmtId="170" fontId="4" fillId="6" borderId="0" xfId="0" applyNumberFormat="1" applyFont="1" applyFill="1" applyAlignment="1">
      <alignment horizontal="right"/>
    </xf>
    <xf numFmtId="175" fontId="7" fillId="6" borderId="0" xfId="0" applyNumberFormat="1" applyFont="1" applyFill="1" applyAlignment="1">
      <alignment horizontal="right"/>
    </xf>
    <xf numFmtId="0" fontId="8" fillId="10" borderId="0" xfId="0" applyFont="1" applyFill="1" applyAlignment="1">
      <alignment indent="2"/>
    </xf>
    <xf numFmtId="169" fontId="8" fillId="10" borderId="0" xfId="0" applyNumberFormat="1" applyFont="1" applyFill="1" applyAlignment="1">
      <alignment horizontal="right"/>
    </xf>
    <xf numFmtId="170" fontId="8" fillId="10" borderId="0" xfId="0" applyNumberFormat="1" applyFont="1" applyFill="1" applyAlignment="1">
      <alignment horizontal="right"/>
    </xf>
    <xf numFmtId="164" fontId="7" fillId="10" borderId="0" xfId="0" applyNumberFormat="1" applyFont="1" applyFill="1" applyAlignment="1">
      <alignment horizontal="right"/>
    </xf>
    <xf numFmtId="164" fontId="8" fillId="10" borderId="0" xfId="0" applyNumberFormat="1" applyFont="1" applyFill="1" applyAlignment="1">
      <alignment horizontal="right"/>
    </xf>
    <xf numFmtId="164" fontId="15" fillId="6" borderId="0" xfId="0" applyNumberFormat="1" applyFont="1" applyFill="1" applyAlignment="1">
      <alignment horizontal="right"/>
    </xf>
    <xf numFmtId="164" fontId="15" fillId="11" borderId="0" xfId="0" applyNumberFormat="1" applyFont="1" applyFill="1" applyAlignment="1">
      <alignment horizontal="right"/>
    </xf>
    <xf numFmtId="0" fontId="20" fillId="4" borderId="0" xfId="0" applyFont="1" applyFill="1" applyAlignment="1">
      <alignment horizontal="center" wrapText="1"/>
    </xf>
    <xf numFmtId="0" fontId="25" fillId="6" borderId="0" xfId="0" applyFont="1" applyFill="1"/>
    <xf numFmtId="0" fontId="16" fillId="4" borderId="0" xfId="0" applyFont="1" applyFill="1" applyAlignment="1">
      <alignment horizontal="center"/>
    </xf>
    <xf numFmtId="17" fontId="15" fillId="6" borderId="0" xfId="0" applyNumberFormat="1" applyFont="1" applyFill="1"/>
    <xf numFmtId="0" fontId="16" fillId="4" borderId="0" xfId="0" applyFont="1" applyFill="1" applyAlignment="1">
      <alignment horizontal="center" wrapText="1"/>
    </xf>
    <xf numFmtId="164" fontId="7" fillId="6" borderId="0" xfId="0" applyNumberFormat="1" applyFont="1" applyFill="1"/>
    <xf numFmtId="164" fontId="7" fillId="6" borderId="0" xfId="0" applyNumberFormat="1" applyFont="1" applyFill="1" applyAlignment="1">
      <alignment horizontal="right"/>
    </xf>
    <xf numFmtId="169" fontId="4" fillId="10" borderId="0" xfId="0" applyNumberFormat="1" applyFont="1" applyFill="1" applyAlignment="1">
      <alignment horizontal="right"/>
    </xf>
    <xf numFmtId="0" fontId="19" fillId="2" borderId="0" xfId="0" applyFont="1" applyFill="1"/>
    <xf numFmtId="169" fontId="8" fillId="2" borderId="0" xfId="0" applyNumberFormat="1" applyFont="1" applyFill="1" applyAlignment="1">
      <alignment horizontal="right"/>
    </xf>
    <xf numFmtId="169" fontId="7" fillId="2" borderId="0" xfId="0" applyNumberFormat="1" applyFont="1" applyFill="1" applyAlignment="1">
      <alignment horizontal="right"/>
    </xf>
    <xf numFmtId="0" fontId="0" fillId="13" borderId="0" xfId="0" applyFill="1"/>
    <xf numFmtId="0" fontId="10" fillId="13" borderId="0" xfId="0" applyFont="1" applyFill="1"/>
    <xf numFmtId="0" fontId="11" fillId="13" borderId="0" xfId="0" applyFont="1" applyFill="1"/>
    <xf numFmtId="0" fontId="16" fillId="14" borderId="0" xfId="0" applyFont="1" applyFill="1" applyAlignment="1">
      <alignment horizontal="center"/>
    </xf>
    <xf numFmtId="0" fontId="16" fillId="15" borderId="0" xfId="0" applyFont="1" applyFill="1" applyAlignment="1">
      <alignment horizontal="center"/>
    </xf>
    <xf numFmtId="0" fontId="21" fillId="16" borderId="0" xfId="0" applyFont="1" applyFill="1" applyAlignment="1">
      <alignment horizontal="left"/>
    </xf>
    <xf numFmtId="0" fontId="7" fillId="16" borderId="0" xfId="0" applyFont="1" applyFill="1" applyAlignment="1">
      <alignment indent="2"/>
    </xf>
    <xf numFmtId="0" fontId="15" fillId="16" borderId="0" xfId="0" applyFont="1" applyFill="1" applyAlignment="1">
      <alignment horizontal="center"/>
    </xf>
    <xf numFmtId="166" fontId="7" fillId="16" borderId="0" xfId="0" applyNumberFormat="1" applyFont="1" applyFill="1" applyAlignment="1">
      <alignment horizontal="right"/>
    </xf>
    <xf numFmtId="0" fontId="19" fillId="16" borderId="0" xfId="0" applyFont="1" applyFill="1" applyAlignment="1">
      <alignment indent="2"/>
    </xf>
    <xf numFmtId="0" fontId="8" fillId="13" borderId="0" xfId="0" applyFont="1" applyFill="1" applyAlignment="1">
      <alignment indent="1"/>
    </xf>
    <xf numFmtId="169" fontId="8" fillId="13" borderId="0" xfId="0" applyNumberFormat="1" applyFont="1" applyFill="1" applyAlignment="1">
      <alignment horizontal="right"/>
    </xf>
    <xf numFmtId="0" fontId="8" fillId="13" borderId="1" xfId="0" applyFont="1" applyFill="1" applyBorder="1" applyAlignment="1">
      <alignment indent="1"/>
    </xf>
    <xf numFmtId="169" fontId="8" fillId="13" borderId="1" xfId="0" applyNumberFormat="1" applyFont="1" applyFill="1" applyBorder="1" applyAlignment="1">
      <alignment horizontal="right"/>
    </xf>
    <xf numFmtId="0" fontId="8" fillId="13" borderId="2" xfId="0" applyFont="1" applyFill="1" applyBorder="1" applyAlignment="1">
      <alignment indent="1"/>
    </xf>
    <xf numFmtId="169" fontId="8" fillId="13" borderId="2" xfId="0" applyNumberFormat="1" applyFont="1" applyFill="1" applyBorder="1" applyAlignment="1">
      <alignment horizontal="right"/>
    </xf>
    <xf numFmtId="0" fontId="19" fillId="6" borderId="0" xfId="0" applyFont="1" applyFill="1" applyAlignment="1">
      <alignment indent="2"/>
    </xf>
    <xf numFmtId="169" fontId="4" fillId="16" borderId="0" xfId="0" applyNumberFormat="1" applyFont="1" applyFill="1" applyAlignment="1">
      <alignment horizontal="right"/>
    </xf>
    <xf numFmtId="164" fontId="4" fillId="16" borderId="0" xfId="0" applyNumberFormat="1" applyFont="1" applyFill="1" applyAlignment="1">
      <alignment horizontal="right"/>
    </xf>
    <xf numFmtId="167" fontId="4" fillId="16" borderId="0" xfId="0" applyNumberFormat="1" applyFont="1" applyFill="1" applyAlignment="1">
      <alignment horizontal="right"/>
    </xf>
    <xf numFmtId="0" fontId="8" fillId="13" borderId="0" xfId="0" applyFont="1" applyFill="1" applyAlignment="1">
      <alignment indent="2"/>
    </xf>
    <xf numFmtId="0" fontId="8" fillId="13" borderId="1" xfId="0" applyFont="1" applyFill="1" applyBorder="1" applyAlignment="1">
      <alignment indent="2"/>
    </xf>
    <xf numFmtId="0" fontId="8" fillId="13" borderId="2" xfId="0" applyFont="1" applyFill="1" applyBorder="1" applyAlignment="1">
      <alignment indent="2"/>
    </xf>
    <xf numFmtId="0" fontId="8" fillId="10" borderId="0" xfId="0" applyFont="1" applyFill="1" applyAlignment="1">
      <alignment horizontal="center"/>
    </xf>
    <xf numFmtId="0" fontId="8" fillId="10" borderId="0" xfId="0" applyFont="1" applyFill="1" applyAlignment="1">
      <alignment indent="1"/>
    </xf>
    <xf numFmtId="169" fontId="7" fillId="16" borderId="0" xfId="0" applyNumberFormat="1" applyFont="1" applyFill="1" applyAlignment="1">
      <alignment horizontal="right"/>
    </xf>
    <xf numFmtId="0" fontId="14" fillId="16" borderId="0" xfId="0" applyFont="1" applyFill="1"/>
    <xf numFmtId="169" fontId="7" fillId="13" borderId="0" xfId="0" applyNumberFormat="1" applyFont="1" applyFill="1" applyAlignment="1">
      <alignment horizontal="right"/>
    </xf>
    <xf numFmtId="0" fontId="22" fillId="13" borderId="0" xfId="0" applyFont="1" applyFill="1"/>
    <xf numFmtId="0" fontId="14" fillId="13" borderId="0" xfId="0" applyFont="1" applyFill="1"/>
    <xf numFmtId="0" fontId="14" fillId="13" borderId="0" xfId="0" applyFont="1" applyFill="1" applyAlignment="1">
      <alignment horizontal="center"/>
    </xf>
    <xf numFmtId="3" fontId="4" fillId="16" borderId="0" xfId="0" applyNumberFormat="1" applyFont="1" applyFill="1" applyAlignment="1">
      <alignment horizontal="right"/>
    </xf>
    <xf numFmtId="0" fontId="0" fillId="16" borderId="0" xfId="0" applyFill="1"/>
    <xf numFmtId="166" fontId="4" fillId="16" borderId="0" xfId="0" applyNumberFormat="1" applyFont="1" applyFill="1" applyAlignment="1">
      <alignment horizontal="right"/>
    </xf>
    <xf numFmtId="2" fontId="4" fillId="16" borderId="0" xfId="0" applyNumberFormat="1" applyFont="1" applyFill="1" applyAlignment="1">
      <alignment horizontal="right"/>
    </xf>
    <xf numFmtId="0" fontId="16" fillId="15" borderId="0" xfId="0" applyFont="1" applyFill="1"/>
    <xf numFmtId="176" fontId="7" fillId="16" borderId="0" xfId="0" applyNumberFormat="1" applyFont="1" applyFill="1" applyAlignment="1">
      <alignment horizontal="right"/>
    </xf>
    <xf numFmtId="170" fontId="7" fillId="16" borderId="0" xfId="0" applyNumberFormat="1" applyFont="1" applyFill="1" applyAlignment="1">
      <alignment horizontal="right"/>
    </xf>
    <xf numFmtId="0" fontId="23" fillId="13" borderId="0" xfId="0" applyFont="1" applyFill="1"/>
    <xf numFmtId="172" fontId="16" fillId="8" borderId="0" xfId="0" applyNumberFormat="1" applyFont="1" applyFill="1" applyAlignment="1">
      <alignment horizontal="center"/>
    </xf>
    <xf numFmtId="0" fontId="24" fillId="13" borderId="0" xfId="0" applyFont="1" applyFill="1"/>
    <xf numFmtId="174" fontId="16" fillId="8" borderId="0" xfId="0" applyNumberFormat="1" applyFont="1" applyFill="1" applyAlignment="1">
      <alignment horizontal="center"/>
    </xf>
    <xf numFmtId="164" fontId="15" fillId="16" borderId="0" xfId="0" applyNumberFormat="1" applyFont="1" applyFill="1" applyAlignment="1">
      <alignment horizontal="right"/>
    </xf>
    <xf numFmtId="0" fontId="7" fillId="16" borderId="0" xfId="0" applyFont="1" applyFill="1"/>
    <xf numFmtId="49" fontId="4" fillId="16" borderId="0" xfId="0" applyNumberFormat="1" applyFont="1" applyFill="1" applyAlignment="1">
      <alignment horizontal="right"/>
    </xf>
    <xf numFmtId="170" fontId="4" fillId="16" borderId="0" xfId="0" applyNumberFormat="1" applyFont="1" applyFill="1" applyAlignment="1">
      <alignment horizontal="right"/>
    </xf>
    <xf numFmtId="0" fontId="25" fillId="16" borderId="0" xfId="0" applyFont="1" applyFill="1"/>
    <xf numFmtId="0" fontId="14" fillId="13" borderId="0" xfId="0" applyFont="1" applyFill="1" applyAlignment="1">
      <alignment indent="2"/>
    </xf>
    <xf numFmtId="170" fontId="8" fillId="13" borderId="0" xfId="0" applyNumberFormat="1" applyFont="1" applyFill="1" applyAlignment="1">
      <alignment horizontal="right"/>
    </xf>
    <xf numFmtId="166" fontId="8" fillId="13" borderId="0" xfId="0" applyNumberFormat="1" applyFont="1" applyFill="1" applyAlignment="1">
      <alignment horizontal="right"/>
    </xf>
    <xf numFmtId="0" fontId="15" fillId="16" borderId="0" xfId="0" applyFont="1" applyFill="1" applyAlignment="1">
      <alignment indent="2"/>
    </xf>
    <xf numFmtId="0" fontId="15" fillId="16" borderId="0" xfId="0" applyFont="1" applyFill="1"/>
    <xf numFmtId="17" fontId="15" fillId="16" borderId="0" xfId="0" applyNumberFormat="1" applyFont="1" applyFill="1"/>
    <xf numFmtId="164" fontId="7" fillId="16" borderId="0" xfId="0" applyNumberFormat="1" applyFont="1" applyFill="1" applyAlignment="1">
      <alignment horizontal="right"/>
    </xf>
    <xf numFmtId="0" fontId="6" fillId="13" borderId="0" xfId="0" applyFont="1" applyFill="1"/>
    <xf numFmtId="0" fontId="16" fillId="15" borderId="0" xfId="0" applyFont="1" applyFill="1" applyAlignment="1">
      <alignment horizontal="center" wrapText="1"/>
    </xf>
    <xf numFmtId="0" fontId="8" fillId="13" borderId="0" xfId="0" applyFont="1" applyFill="1"/>
    <xf numFmtId="0" fontId="16" fillId="8" borderId="0" xfId="0" applyFont="1" applyFill="1"/>
    <xf numFmtId="0" fontId="12" fillId="13" borderId="0" xfId="0" applyFont="1" applyFill="1"/>
    <xf numFmtId="0" fontId="16" fillId="14" borderId="0" xfId="0" applyFont="1" applyFill="1" applyAlignment="1">
      <alignment horizontal="center" wrapText="1"/>
    </xf>
    <xf numFmtId="169" fontId="9" fillId="16" borderId="0" xfId="0" applyNumberFormat="1" applyFont="1" applyFill="1" applyAlignment="1">
      <alignment horizontal="right"/>
    </xf>
    <xf numFmtId="174" fontId="7" fillId="16" borderId="0" xfId="0" applyNumberFormat="1" applyFont="1" applyFill="1" applyAlignment="1">
      <alignment horizontal="right"/>
    </xf>
    <xf numFmtId="164" fontId="7" fillId="16" borderId="0" xfId="0" applyNumberFormat="1" applyFont="1" applyFill="1"/>
    <xf numFmtId="167" fontId="7" fillId="16" borderId="0" xfId="0" applyNumberFormat="1" applyFont="1" applyFill="1" applyAlignment="1">
      <alignment horizontal="right"/>
    </xf>
    <xf numFmtId="169" fontId="4" fillId="8" borderId="0" xfId="0" applyNumberFormat="1" applyFont="1" applyFill="1" applyAlignment="1">
      <alignment horizontal="right"/>
    </xf>
    <xf numFmtId="169" fontId="7" fillId="8" borderId="0" xfId="0" applyNumberFormat="1" applyFont="1" applyFill="1" applyAlignment="1">
      <alignment horizontal="right"/>
    </xf>
    <xf numFmtId="0" fontId="16" fillId="8" borderId="0" xfId="0" applyFont="1" applyFill="1" applyAlignment="1">
      <alignment indent="2"/>
    </xf>
    <xf numFmtId="0" fontId="7" fillId="6" borderId="0" xfId="0" applyFont="1" applyFill="1" applyAlignment="1">
      <alignment horizontal="center"/>
    </xf>
    <xf numFmtId="167" fontId="7" fillId="2" borderId="0" xfId="0" applyNumberFormat="1" applyFont="1" applyFill="1" applyAlignment="1">
      <alignment horizontal="right"/>
    </xf>
    <xf numFmtId="0" fontId="6" fillId="4" borderId="0" xfId="0" applyFont="1" applyFill="1"/>
    <xf numFmtId="0" fontId="16" fillId="15" borderId="0" xfId="0" applyFont="1" applyFill="1" applyAlignment="1">
      <alignment indent="1"/>
    </xf>
    <xf numFmtId="0" fontId="7" fillId="16" borderId="0" xfId="0" applyFont="1" applyFill="1" applyAlignment="1">
      <alignment horizontal="center"/>
    </xf>
    <xf numFmtId="0" fontId="6" fillId="8" borderId="0" xfId="0" applyFont="1" applyFill="1"/>
    <xf numFmtId="167" fontId="7" fillId="16" borderId="0" xfId="0" applyNumberFormat="1" applyFont="1" applyFill="1"/>
    <xf numFmtId="169" fontId="5" fillId="13" borderId="2" xfId="0" applyNumberFormat="1" applyFont="1" applyFill="1" applyBorder="1" applyAlignment="1">
      <alignment horizontal="right"/>
    </xf>
    <xf numFmtId="177" fontId="4" fillId="16" borderId="0" xfId="0" applyNumberFormat="1" applyFont="1" applyFill="1" applyAlignment="1">
      <alignment horizontal="right"/>
    </xf>
    <xf numFmtId="177" fontId="4" fillId="6" borderId="0" xfId="0" applyNumberFormat="1" applyFont="1" applyFill="1" applyAlignment="1">
      <alignment horizontal="right"/>
    </xf>
    <xf numFmtId="178" fontId="4" fillId="16" borderId="0" xfId="0" applyNumberFormat="1" applyFont="1" applyFill="1" applyAlignment="1">
      <alignment horizontal="right"/>
    </xf>
    <xf numFmtId="178" fontId="4" fillId="6" borderId="0" xfId="0" applyNumberFormat="1" applyFont="1" applyFill="1" applyAlignment="1">
      <alignment horizontal="right"/>
    </xf>
    <xf numFmtId="166" fontId="9" fillId="16" borderId="0" xfId="0" applyNumberFormat="1" applyFont="1" applyFill="1" applyAlignment="1">
      <alignment horizontal="right"/>
    </xf>
    <xf numFmtId="166" fontId="9" fillId="16" borderId="0" xfId="0" applyNumberFormat="1" applyFont="1" applyFill="1" applyAlignment="1">
      <alignment horizontal="center"/>
    </xf>
    <xf numFmtId="166" fontId="9" fillId="6" borderId="0" xfId="0" applyNumberFormat="1" applyFont="1" applyFill="1" applyAlignment="1">
      <alignment horizontal="right"/>
    </xf>
    <xf numFmtId="179" fontId="4" fillId="6" borderId="0" xfId="0" applyNumberFormat="1" applyFont="1" applyFill="1" applyAlignment="1">
      <alignment horizontal="right"/>
    </xf>
    <xf numFmtId="179" fontId="8" fillId="13" borderId="2" xfId="0" applyNumberFormat="1" applyFont="1" applyFill="1" applyBorder="1" applyAlignment="1">
      <alignment horizontal="right"/>
    </xf>
    <xf numFmtId="179" fontId="4" fillId="16" borderId="0" xfId="0" applyNumberFormat="1" applyFont="1" applyFill="1" applyAlignment="1">
      <alignment horizontal="right"/>
    </xf>
    <xf numFmtId="179" fontId="8" fillId="13" borderId="1" xfId="0" applyNumberFormat="1" applyFont="1" applyFill="1" applyBorder="1" applyAlignment="1">
      <alignment horizontal="right"/>
    </xf>
    <xf numFmtId="179" fontId="5" fillId="13" borderId="2" xfId="0" applyNumberFormat="1" applyFont="1" applyFill="1" applyBorder="1" applyAlignment="1">
      <alignment horizontal="right"/>
    </xf>
    <xf numFmtId="177" fontId="7" fillId="16" borderId="0" xfId="0" applyNumberFormat="1" applyFont="1" applyFill="1" applyAlignment="1">
      <alignment horizontal="right"/>
    </xf>
    <xf numFmtId="177" fontId="7" fillId="6" borderId="0" xfId="0" applyNumberFormat="1" applyFont="1" applyFill="1" applyAlignment="1">
      <alignment horizontal="right"/>
    </xf>
    <xf numFmtId="179" fontId="7" fillId="13" borderId="2" xfId="0" applyNumberFormat="1" applyFont="1" applyFill="1" applyBorder="1" applyAlignment="1">
      <alignment horizontal="right"/>
    </xf>
    <xf numFmtId="179" fontId="7" fillId="13" borderId="1" xfId="0" applyNumberFormat="1" applyFont="1" applyFill="1" applyBorder="1" applyAlignment="1">
      <alignment horizontal="right"/>
    </xf>
    <xf numFmtId="179" fontId="4" fillId="13" borderId="2" xfId="0" applyNumberFormat="1" applyFont="1" applyFill="1" applyBorder="1" applyAlignment="1">
      <alignment horizontal="right"/>
    </xf>
    <xf numFmtId="179" fontId="9" fillId="6" borderId="0" xfId="0" applyNumberFormat="1" applyFont="1" applyFill="1" applyAlignment="1">
      <alignment horizontal="right"/>
    </xf>
    <xf numFmtId="179" fontId="7" fillId="16" borderId="0" xfId="0" applyNumberFormat="1" applyFont="1" applyFill="1" applyAlignment="1">
      <alignment horizontal="right"/>
    </xf>
    <xf numFmtId="179" fontId="9" fillId="16" borderId="0" xfId="0" applyNumberFormat="1" applyFont="1" applyFill="1" applyAlignment="1">
      <alignment horizontal="right"/>
    </xf>
    <xf numFmtId="0" fontId="14" fillId="5" borderId="0" xfId="0" applyFont="1" applyFill="1"/>
    <xf numFmtId="49" fontId="4" fillId="6" borderId="0" xfId="0" applyNumberFormat="1" applyFont="1" applyFill="1" applyAlignment="1">
      <alignment horizontal="center"/>
    </xf>
    <xf numFmtId="0" fontId="30" fillId="6" borderId="0" xfId="0" applyFont="1" applyFill="1" applyAlignment="1">
      <alignment horizontal="left"/>
    </xf>
    <xf numFmtId="0" fontId="31" fillId="6" borderId="0" xfId="0" applyFont="1" applyFill="1" applyAlignment="1">
      <alignment horizontal="center"/>
    </xf>
    <xf numFmtId="165" fontId="4" fillId="7" borderId="0" xfId="0" applyNumberFormat="1" applyFont="1" applyFill="1" applyAlignment="1">
      <alignment horizontal="center"/>
    </xf>
    <xf numFmtId="172" fontId="7" fillId="6" borderId="0" xfId="0" applyNumberFormat="1" applyFont="1" applyFill="1" applyAlignment="1">
      <alignment horizontal="center"/>
    </xf>
    <xf numFmtId="174" fontId="7" fillId="7" borderId="0" xfId="0" applyNumberFormat="1" applyFont="1" applyFill="1" applyAlignment="1">
      <alignment horizontal="center"/>
    </xf>
    <xf numFmtId="174" fontId="7" fillId="6" borderId="0" xfId="0" applyNumberFormat="1" applyFont="1" applyFill="1" applyAlignment="1">
      <alignment horizontal="center"/>
    </xf>
    <xf numFmtId="173" fontId="4" fillId="7" borderId="0" xfId="0" applyNumberFormat="1" applyFont="1" applyFill="1" applyAlignment="1">
      <alignment horizontal="center"/>
    </xf>
    <xf numFmtId="173" fontId="4" fillId="6" borderId="0" xfId="0" applyNumberFormat="1" applyFont="1" applyFill="1" applyAlignment="1">
      <alignment horizontal="center"/>
    </xf>
    <xf numFmtId="165" fontId="4" fillId="6" borderId="0" xfId="0" applyNumberFormat="1" applyFont="1" applyFill="1" applyAlignment="1">
      <alignment horizontal="center"/>
    </xf>
    <xf numFmtId="172" fontId="32" fillId="9" borderId="0" xfId="0" applyNumberFormat="1" applyFont="1" applyFill="1"/>
    <xf numFmtId="0" fontId="14" fillId="5" borderId="0" xfId="0" applyFont="1" applyFill="1" applyAlignment="1">
      <alignment horizontal="right"/>
    </xf>
    <xf numFmtId="0" fontId="33" fillId="16" borderId="0" xfId="0" applyFont="1" applyFill="1" applyAlignment="1">
      <alignment indent="2"/>
    </xf>
    <xf numFmtId="9" fontId="15" fillId="16" borderId="0" xfId="1" applyFont="1" applyFill="1" applyAlignment="1">
      <alignment horizontal="right"/>
    </xf>
    <xf numFmtId="0" fontId="33" fillId="6" borderId="0" xfId="0" applyFont="1" applyFill="1" applyAlignment="1">
      <alignment indent="2"/>
    </xf>
    <xf numFmtId="9" fontId="4" fillId="6" borderId="0" xfId="1" applyFont="1" applyFill="1" applyAlignment="1">
      <alignment horizontal="right"/>
    </xf>
    <xf numFmtId="9" fontId="15" fillId="6" borderId="0" xfId="1" applyFont="1" applyFill="1" applyAlignment="1">
      <alignment horizontal="right"/>
    </xf>
    <xf numFmtId="179" fontId="14" fillId="13" borderId="2" xfId="0" applyNumberFormat="1" applyFont="1" applyFill="1" applyBorder="1" applyAlignment="1">
      <alignment horizontal="right"/>
    </xf>
    <xf numFmtId="179" fontId="15" fillId="6" borderId="0" xfId="0" applyNumberFormat="1" applyFont="1" applyFill="1" applyAlignment="1">
      <alignment horizontal="right"/>
    </xf>
    <xf numFmtId="169" fontId="15" fillId="6" borderId="0" xfId="0" applyNumberFormat="1" applyFont="1" applyFill="1" applyAlignment="1">
      <alignment horizontal="right"/>
    </xf>
    <xf numFmtId="179" fontId="15" fillId="16" borderId="0" xfId="0" applyNumberFormat="1" applyFont="1" applyFill="1" applyAlignment="1">
      <alignment horizontal="right"/>
    </xf>
    <xf numFmtId="169" fontId="15" fillId="16" borderId="0" xfId="0" applyNumberFormat="1" applyFont="1" applyFill="1" applyAlignment="1">
      <alignment horizontal="right"/>
    </xf>
    <xf numFmtId="169" fontId="14" fillId="13" borderId="2" xfId="0" applyNumberFormat="1" applyFont="1" applyFill="1" applyBorder="1" applyAlignment="1">
      <alignment horizontal="right"/>
    </xf>
    <xf numFmtId="2" fontId="15" fillId="16" borderId="0" xfId="0" applyNumberFormat="1" applyFont="1" applyFill="1" applyAlignment="1">
      <alignment horizontal="right"/>
    </xf>
    <xf numFmtId="172" fontId="15" fillId="6" borderId="0" xfId="1" applyNumberFormat="1" applyFont="1" applyFill="1" applyAlignment="1">
      <alignment horizontal="right"/>
    </xf>
    <xf numFmtId="2" fontId="15" fillId="6" borderId="0" xfId="1" applyNumberFormat="1" applyFont="1" applyFill="1" applyAlignment="1">
      <alignment horizontal="right"/>
    </xf>
    <xf numFmtId="165" fontId="15" fillId="6" borderId="0" xfId="1" applyNumberFormat="1" applyFont="1" applyFill="1" applyAlignment="1">
      <alignment horizontal="right"/>
    </xf>
    <xf numFmtId="179" fontId="15" fillId="2" borderId="0" xfId="0" applyNumberFormat="1" applyFont="1" applyFill="1" applyAlignment="1">
      <alignment horizontal="right"/>
    </xf>
    <xf numFmtId="169" fontId="15" fillId="2" borderId="0" xfId="0" applyNumberFormat="1" applyFont="1" applyFill="1" applyAlignment="1">
      <alignment horizontal="right"/>
    </xf>
    <xf numFmtId="9" fontId="15" fillId="2" borderId="0" xfId="1" applyFont="1" applyFill="1" applyAlignment="1">
      <alignment horizontal="right"/>
    </xf>
    <xf numFmtId="172" fontId="4" fillId="16" borderId="0" xfId="1" applyNumberFormat="1" applyFont="1" applyFill="1" applyAlignment="1">
      <alignment horizontal="right"/>
    </xf>
    <xf numFmtId="172" fontId="15" fillId="16" borderId="0" xfId="1" applyNumberFormat="1" applyFont="1" applyFill="1" applyAlignment="1">
      <alignment horizontal="right"/>
    </xf>
    <xf numFmtId="177" fontId="15" fillId="16" borderId="0" xfId="0" applyNumberFormat="1" applyFont="1" applyFill="1" applyAlignment="1">
      <alignment horizontal="right"/>
    </xf>
    <xf numFmtId="177" fontId="15" fillId="6" borderId="0" xfId="0" applyNumberFormat="1" applyFont="1" applyFill="1" applyAlignment="1">
      <alignment horizontal="right"/>
    </xf>
    <xf numFmtId="169" fontId="0" fillId="2" borderId="0" xfId="0" applyNumberFormat="1" applyFill="1"/>
    <xf numFmtId="0" fontId="16" fillId="15" borderId="0" xfId="0" applyFont="1" applyFill="1" applyAlignment="1">
      <alignment horizontal="right"/>
    </xf>
    <xf numFmtId="0" fontId="15" fillId="16" borderId="0" xfId="0" applyFont="1" applyFill="1" applyAlignment="1">
      <alignment horizontal="right"/>
    </xf>
    <xf numFmtId="164" fontId="14" fillId="11" borderId="0" xfId="0" applyNumberFormat="1" applyFont="1" applyFill="1" applyAlignment="1">
      <alignment horizontal="right"/>
    </xf>
    <xf numFmtId="0" fontId="13" fillId="4" borderId="0" xfId="0" applyFont="1" applyFill="1" applyAlignment="1">
      <alignment indent="1"/>
    </xf>
    <xf numFmtId="0" fontId="4" fillId="6" borderId="0" xfId="0" applyFont="1" applyFill="1" applyAlignment="1">
      <alignment horizontal="right"/>
    </xf>
    <xf numFmtId="49" fontId="35" fillId="6" borderId="0" xfId="0" applyNumberFormat="1" applyFont="1" applyFill="1" applyAlignment="1">
      <alignment horizontal="right"/>
    </xf>
    <xf numFmtId="49" fontId="35" fillId="7" borderId="0" xfId="0" applyNumberFormat="1" applyFont="1" applyFill="1" applyAlignment="1">
      <alignment horizontal="right"/>
    </xf>
    <xf numFmtId="172" fontId="35" fillId="7" borderId="0" xfId="0" applyNumberFormat="1" applyFont="1" applyFill="1" applyAlignment="1">
      <alignment horizontal="right"/>
    </xf>
    <xf numFmtId="173" fontId="36" fillId="7" borderId="0" xfId="0" applyNumberFormat="1" applyFont="1" applyFill="1" applyAlignment="1">
      <alignment horizontal="right"/>
    </xf>
    <xf numFmtId="173" fontId="36" fillId="6" borderId="0" xfId="0" applyNumberFormat="1" applyFont="1" applyFill="1" applyAlignment="1">
      <alignment horizontal="right"/>
    </xf>
    <xf numFmtId="0" fontId="8" fillId="16" borderId="0" xfId="0" applyFont="1" applyFill="1"/>
    <xf numFmtId="49" fontId="4" fillId="16" borderId="0" xfId="0" applyNumberFormat="1" applyFont="1" applyFill="1" applyAlignment="1">
      <alignment horizontal="center"/>
    </xf>
    <xf numFmtId="173" fontId="4" fillId="16" borderId="0" xfId="0" applyNumberFormat="1" applyFont="1" applyFill="1" applyAlignment="1">
      <alignment horizontal="center"/>
    </xf>
    <xf numFmtId="173" fontId="7" fillId="16" borderId="0" xfId="0" applyNumberFormat="1" applyFont="1" applyFill="1" applyAlignment="1">
      <alignment horizontal="center"/>
    </xf>
    <xf numFmtId="180" fontId="7" fillId="16" borderId="0" xfId="0" applyNumberFormat="1" applyFont="1" applyFill="1" applyAlignment="1">
      <alignment horizontal="center"/>
    </xf>
    <xf numFmtId="180" fontId="4" fillId="16" borderId="0" xfId="0" applyNumberFormat="1" applyFont="1" applyFill="1" applyAlignment="1">
      <alignment horizontal="center"/>
    </xf>
    <xf numFmtId="172" fontId="4" fillId="16" borderId="0" xfId="0" applyNumberFormat="1" applyFont="1" applyFill="1" applyAlignment="1">
      <alignment horizontal="center"/>
    </xf>
    <xf numFmtId="0" fontId="8" fillId="6" borderId="0" xfId="0" applyFont="1" applyFill="1"/>
    <xf numFmtId="173" fontId="7" fillId="6" borderId="0" xfId="0" applyNumberFormat="1" applyFont="1" applyFill="1" applyAlignment="1">
      <alignment horizontal="center"/>
    </xf>
    <xf numFmtId="180" fontId="7" fillId="6" borderId="0" xfId="0" applyNumberFormat="1" applyFont="1" applyFill="1" applyAlignment="1">
      <alignment horizontal="center"/>
    </xf>
    <xf numFmtId="180" fontId="4" fillId="6" borderId="0" xfId="0" applyNumberFormat="1" applyFont="1" applyFill="1" applyAlignment="1">
      <alignment horizontal="center"/>
    </xf>
    <xf numFmtId="172" fontId="4" fillId="6" borderId="0" xfId="0" applyNumberFormat="1" applyFont="1" applyFill="1" applyAlignment="1">
      <alignment horizontal="center"/>
    </xf>
    <xf numFmtId="0" fontId="39" fillId="6" borderId="0" xfId="0" applyFont="1" applyFill="1"/>
    <xf numFmtId="49" fontId="35" fillId="6" borderId="0" xfId="0" applyNumberFormat="1" applyFont="1" applyFill="1" applyAlignment="1">
      <alignment horizontal="center"/>
    </xf>
    <xf numFmtId="173" fontId="35" fillId="6" borderId="0" xfId="0" applyNumberFormat="1" applyFont="1" applyFill="1" applyAlignment="1">
      <alignment horizontal="center"/>
    </xf>
    <xf numFmtId="180" fontId="35" fillId="6" borderId="0" xfId="0" applyNumberFormat="1" applyFont="1" applyFill="1" applyAlignment="1">
      <alignment horizontal="center"/>
    </xf>
    <xf numFmtId="172" fontId="35" fillId="6" borderId="0" xfId="0" applyNumberFormat="1" applyFont="1" applyFill="1" applyAlignment="1">
      <alignment horizontal="center"/>
    </xf>
    <xf numFmtId="173" fontId="15" fillId="7" borderId="0" xfId="0" applyNumberFormat="1" applyFont="1" applyFill="1" applyAlignment="1">
      <alignment horizontal="right"/>
    </xf>
    <xf numFmtId="0" fontId="16" fillId="8" borderId="0" xfId="0" applyFont="1" applyFill="1" applyAlignment="1">
      <alignment indent="1"/>
    </xf>
    <xf numFmtId="0" fontId="13" fillId="4" borderId="0" xfId="0" applyFont="1" applyFill="1" applyAlignment="1">
      <alignment horizontal="left" indent="1"/>
    </xf>
    <xf numFmtId="49" fontId="8" fillId="9" borderId="0" xfId="0" applyNumberFormat="1" applyFont="1" applyFill="1" applyAlignment="1">
      <alignment horizontal="right"/>
    </xf>
    <xf numFmtId="0" fontId="3" fillId="4" borderId="0" xfId="0" applyFont="1" applyFill="1" applyAlignment="1">
      <alignment horizontal="center"/>
    </xf>
    <xf numFmtId="173" fontId="7" fillId="7" borderId="0" xfId="0" applyNumberFormat="1" applyFont="1" applyFill="1" applyAlignment="1">
      <alignment horizontal="right"/>
    </xf>
    <xf numFmtId="0" fontId="29" fillId="7" borderId="0" xfId="0" applyFont="1" applyFill="1"/>
    <xf numFmtId="0" fontId="29" fillId="6" borderId="0" xfId="0" applyFont="1" applyFill="1"/>
    <xf numFmtId="15" fontId="30" fillId="7" borderId="0" xfId="0" applyNumberFormat="1" applyFont="1" applyFill="1" applyAlignment="1">
      <alignment horizontal="left"/>
    </xf>
    <xf numFmtId="0" fontId="30" fillId="7" borderId="0" xfId="0" applyFont="1" applyFill="1" applyAlignment="1">
      <alignment horizontal="left"/>
    </xf>
    <xf numFmtId="0" fontId="14" fillId="5" borderId="0" xfId="0" applyFont="1" applyFill="1" applyAlignment="1">
      <alignment horizontal="center"/>
    </xf>
    <xf numFmtId="15" fontId="30" fillId="6" borderId="0" xfId="0" applyNumberFormat="1" applyFont="1" applyFill="1" applyAlignment="1">
      <alignment horizontal="left"/>
    </xf>
    <xf numFmtId="0" fontId="30" fillId="6" borderId="0" xfId="0" applyFont="1" applyFill="1" applyAlignment="1">
      <alignment horizontal="left"/>
    </xf>
    <xf numFmtId="16" fontId="30" fillId="7" borderId="0" xfId="0" applyNumberFormat="1" applyFont="1" applyFill="1" applyAlignment="1">
      <alignment horizontal="left"/>
    </xf>
    <xf numFmtId="16" fontId="30" fillId="6" borderId="0" xfId="0" applyNumberFormat="1" applyFont="1" applyFill="1" applyAlignment="1">
      <alignment horizontal="left"/>
    </xf>
    <xf numFmtId="0" fontId="18" fillId="4" borderId="0" xfId="0" applyFont="1" applyFill="1" applyAlignment="1">
      <alignment horizontal="center"/>
    </xf>
    <xf numFmtId="0" fontId="20" fillId="14" borderId="0" xfId="0" applyFont="1" applyFill="1" applyAlignment="1">
      <alignment horizontal="center"/>
    </xf>
    <xf numFmtId="0" fontId="0" fillId="14" borderId="0" xfId="0" applyFill="1"/>
    <xf numFmtId="0" fontId="20" fillId="15" borderId="0" xfId="0" applyFont="1" applyFill="1" applyAlignment="1">
      <alignment horizontal="center"/>
    </xf>
    <xf numFmtId="0" fontId="0" fillId="15" borderId="0" xfId="0" applyFill="1"/>
    <xf numFmtId="0" fontId="13" fillId="12" borderId="0" xfId="0" applyFont="1" applyFill="1" applyAlignment="1">
      <alignment horizontal="left" indent="1"/>
    </xf>
    <xf numFmtId="0" fontId="6" fillId="4" borderId="0" xfId="0" applyFont="1" applyFill="1"/>
    <xf numFmtId="0" fontId="13" fillId="4" borderId="0" xfId="0" applyFont="1" applyFill="1" applyAlignment="1">
      <alignment indent="1"/>
    </xf>
    <xf numFmtId="0" fontId="0" fillId="4" borderId="0" xfId="0" applyFill="1"/>
    <xf numFmtId="0" fontId="26" fillId="16" borderId="0" xfId="0" applyFont="1" applyFill="1"/>
    <xf numFmtId="0" fontId="26" fillId="13" borderId="0" xfId="0" applyFont="1" applyFill="1"/>
    <xf numFmtId="0" fontId="6" fillId="13" borderId="0" xfId="0" applyFont="1" applyFill="1"/>
    <xf numFmtId="0" fontId="26" fillId="10" borderId="0" xfId="0" applyFont="1" applyFill="1"/>
    <xf numFmtId="0" fontId="26" fillId="6" borderId="0" xfId="0" applyFont="1" applyFill="1"/>
    <xf numFmtId="0" fontId="6" fillId="6" borderId="0" xfId="0" applyFont="1" applyFill="1"/>
    <xf numFmtId="0" fontId="16" fillId="15" borderId="0" xfId="0" applyFont="1" applyFill="1" applyAlignment="1">
      <alignment horizontal="center" wrapText="1"/>
    </xf>
    <xf numFmtId="0" fontId="6" fillId="16" borderId="0" xfId="0" applyFont="1" applyFill="1"/>
    <xf numFmtId="0" fontId="2" fillId="4" borderId="0" xfId="0" applyFont="1" applyFill="1"/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0" fontId="7" fillId="6" borderId="0" xfId="0" applyFont="1" applyFill="1" applyAlignment="1">
      <alignment horizontal="left" wrapText="1" indent="2"/>
    </xf>
    <xf numFmtId="169" fontId="8" fillId="6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left"/>
    </xf>
    <xf numFmtId="0" fontId="40" fillId="4" borderId="0" xfId="0" applyFont="1" applyFill="1" applyAlignment="1">
      <alignment horizontal="right"/>
    </xf>
    <xf numFmtId="167" fontId="41" fillId="2" borderId="0" xfId="0" applyNumberFormat="1" applyFont="1" applyFill="1" applyAlignment="1">
      <alignment horizontal="right"/>
    </xf>
    <xf numFmtId="169" fontId="41" fillId="2" borderId="0" xfId="0" applyNumberFormat="1" applyFont="1" applyFill="1" applyAlignment="1">
      <alignment horizontal="right"/>
    </xf>
    <xf numFmtId="0" fontId="34" fillId="2" borderId="0" xfId="0" applyFont="1" applyFill="1"/>
    <xf numFmtId="0" fontId="8" fillId="10" borderId="0" xfId="0" applyFont="1" applyFill="1" applyAlignment="1">
      <alignment horizontal="right"/>
    </xf>
    <xf numFmtId="0" fontId="16" fillId="17" borderId="0" xfId="0" applyFont="1" applyFill="1" applyAlignment="1">
      <alignment horizontal="center" wrapText="1"/>
    </xf>
    <xf numFmtId="0" fontId="23" fillId="5" borderId="0" xfId="0" applyFont="1" applyFill="1" applyAlignment="1">
      <alignment horizontal="center" wrapText="1"/>
    </xf>
    <xf numFmtId="0" fontId="16" fillId="17" borderId="0" xfId="0" applyFont="1" applyFill="1" applyAlignment="1">
      <alignment horizontal="left" wrapText="1"/>
    </xf>
    <xf numFmtId="0" fontId="7" fillId="6" borderId="0" xfId="0" applyFont="1" applyFill="1" applyAlignment="1">
      <alignment horizontal="left" indent="2"/>
    </xf>
    <xf numFmtId="0" fontId="7" fillId="10" borderId="0" xfId="0" applyFont="1" applyFill="1" applyAlignment="1">
      <alignment horizontal="left" indent="2"/>
    </xf>
    <xf numFmtId="0" fontId="42" fillId="6" borderId="0" xfId="0" applyFont="1" applyFill="1" applyAlignment="1">
      <alignment horizontal="left" indent="2"/>
    </xf>
    <xf numFmtId="0" fontId="6" fillId="16" borderId="0" xfId="0" applyFont="1" applyFill="1" applyAlignment="1">
      <alignment horizontal="left"/>
    </xf>
    <xf numFmtId="0" fontId="23" fillId="5" borderId="0" xfId="0" applyFont="1" applyFill="1" applyAlignment="1">
      <alignment horizontal="left" indent="1"/>
    </xf>
    <xf numFmtId="0" fontId="16" fillId="17" borderId="0" xfId="0" applyFont="1" applyFill="1" applyAlignment="1">
      <alignment horizontal="left" indent="2"/>
    </xf>
    <xf numFmtId="0" fontId="8" fillId="6" borderId="0" xfId="0" applyFont="1" applyFill="1" applyAlignment="1">
      <alignment horizontal="left" indent="2"/>
    </xf>
    <xf numFmtId="0" fontId="16" fillId="17" borderId="0" xfId="0" applyFont="1" applyFill="1" applyAlignment="1">
      <alignment horizontal="center"/>
    </xf>
    <xf numFmtId="0" fontId="2" fillId="17" borderId="0" xfId="0" applyFont="1" applyFill="1" applyAlignment="1">
      <alignment horizontal="center"/>
    </xf>
    <xf numFmtId="182" fontId="7" fillId="6" borderId="0" xfId="0" applyNumberFormat="1" applyFont="1" applyFill="1" applyAlignment="1">
      <alignment horizontal="center"/>
    </xf>
    <xf numFmtId="0" fontId="6" fillId="6" borderId="0" xfId="0" applyFont="1" applyFill="1" applyAlignment="1">
      <alignment horizontal="center"/>
    </xf>
    <xf numFmtId="165" fontId="7" fillId="10" borderId="0" xfId="0" applyNumberFormat="1" applyFont="1" applyFill="1" applyAlignment="1">
      <alignment horizontal="center"/>
    </xf>
    <xf numFmtId="0" fontId="6" fillId="10" borderId="0" xfId="0" applyFont="1" applyFill="1" applyAlignment="1">
      <alignment horizontal="center"/>
    </xf>
    <xf numFmtId="164" fontId="42" fillId="6" borderId="0" xfId="0" applyNumberFormat="1" applyFont="1" applyFill="1" applyAlignment="1">
      <alignment horizontal="center"/>
    </xf>
    <xf numFmtId="0" fontId="43" fillId="6" borderId="0" xfId="0" applyFont="1" applyFill="1" applyAlignment="1">
      <alignment horizontal="center"/>
    </xf>
    <xf numFmtId="0" fontId="17" fillId="6" borderId="0" xfId="0" applyFont="1" applyFill="1" applyAlignment="1">
      <alignment horizontal="center"/>
    </xf>
    <xf numFmtId="0" fontId="6" fillId="16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44" fillId="5" borderId="0" xfId="0" applyFont="1" applyFill="1" applyAlignment="1">
      <alignment horizontal="center"/>
    </xf>
    <xf numFmtId="0" fontId="23" fillId="5" borderId="0" xfId="0" applyFont="1" applyFill="1" applyAlignment="1">
      <alignment horizontal="center"/>
    </xf>
    <xf numFmtId="169" fontId="7" fillId="6" borderId="0" xfId="0" applyNumberFormat="1" applyFont="1" applyFill="1" applyAlignment="1">
      <alignment horizontal="center"/>
    </xf>
    <xf numFmtId="165" fontId="16" fillId="17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5" fontId="8" fillId="6" borderId="0" xfId="0" applyNumberFormat="1" applyFont="1" applyFill="1" applyAlignment="1">
      <alignment horizontal="center"/>
    </xf>
    <xf numFmtId="172" fontId="8" fillId="6" borderId="0" xfId="0" applyNumberFormat="1" applyFont="1" applyFill="1" applyAlignment="1">
      <alignment horizontal="center"/>
    </xf>
    <xf numFmtId="182" fontId="7" fillId="10" borderId="0" xfId="0" applyNumberFormat="1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182" fontId="8" fillId="6" borderId="0" xfId="0" applyNumberFormat="1" applyFont="1" applyFill="1" applyAlignment="1">
      <alignment horizontal="center"/>
    </xf>
    <xf numFmtId="0" fontId="16" fillId="17" borderId="0" xfId="0" applyFont="1" applyFill="1" applyAlignment="1">
      <alignment horizontal="center" indent="1"/>
    </xf>
    <xf numFmtId="164" fontId="45" fillId="5" borderId="0" xfId="0" applyNumberFormat="1" applyFont="1" applyFill="1" applyAlignment="1">
      <alignment horizontal="center" indent="2"/>
    </xf>
    <xf numFmtId="166" fontId="7" fillId="6" borderId="0" xfId="0" applyNumberFormat="1" applyFont="1" applyFill="1" applyAlignment="1">
      <alignment horizontal="center"/>
    </xf>
    <xf numFmtId="0" fontId="45" fillId="5" borderId="0" xfId="0" applyFont="1" applyFill="1" applyAlignment="1">
      <alignment horizontal="center" indent="2"/>
    </xf>
    <xf numFmtId="165" fontId="8" fillId="10" borderId="0" xfId="0" applyNumberFormat="1" applyFont="1" applyFill="1" applyAlignment="1">
      <alignment horizontal="center"/>
    </xf>
    <xf numFmtId="0" fontId="27" fillId="6" borderId="3" xfId="0" applyFont="1" applyFill="1" applyBorder="1" applyAlignment="1">
      <alignment horizontal="left" indent="2"/>
    </xf>
    <xf numFmtId="164" fontId="8" fillId="6" borderId="3" xfId="0" applyNumberFormat="1" applyFont="1" applyFill="1" applyBorder="1" applyAlignment="1">
      <alignment horizontal="center"/>
    </xf>
    <xf numFmtId="0" fontId="17" fillId="6" borderId="3" xfId="0" applyFont="1" applyFill="1" applyBorder="1" applyAlignment="1">
      <alignment horizontal="center"/>
    </xf>
    <xf numFmtId="0" fontId="23" fillId="5" borderId="3" xfId="0" applyFont="1" applyFill="1" applyBorder="1" applyAlignment="1">
      <alignment horizontal="left" indent="2"/>
    </xf>
    <xf numFmtId="182" fontId="23" fillId="5" borderId="3" xfId="0" applyNumberFormat="1" applyFont="1" applyFill="1" applyBorder="1" applyAlignment="1">
      <alignment horizontal="center"/>
    </xf>
    <xf numFmtId="0" fontId="44" fillId="5" borderId="3" xfId="0" applyFont="1" applyFill="1" applyBorder="1" applyAlignment="1">
      <alignment horizontal="center"/>
    </xf>
    <xf numFmtId="0" fontId="8" fillId="10" borderId="3" xfId="0" applyFont="1" applyFill="1" applyBorder="1" applyAlignment="1">
      <alignment horizontal="left" indent="2"/>
    </xf>
    <xf numFmtId="182" fontId="8" fillId="10" borderId="3" xfId="0" applyNumberFormat="1" applyFont="1" applyFill="1" applyBorder="1" applyAlignment="1">
      <alignment horizontal="center"/>
    </xf>
    <xf numFmtId="0" fontId="17" fillId="10" borderId="3" xfId="0" applyFont="1" applyFill="1" applyBorder="1" applyAlignment="1">
      <alignment horizontal="center"/>
    </xf>
    <xf numFmtId="0" fontId="8" fillId="6" borderId="3" xfId="0" applyFont="1" applyFill="1" applyBorder="1" applyAlignment="1">
      <alignment horizontal="left" indent="2"/>
    </xf>
    <xf numFmtId="172" fontId="8" fillId="6" borderId="3" xfId="0" applyNumberFormat="1" applyFont="1" applyFill="1" applyBorder="1" applyAlignment="1">
      <alignment horizontal="center"/>
    </xf>
    <xf numFmtId="0" fontId="13" fillId="4" borderId="4" xfId="0" applyFont="1" applyFill="1" applyBorder="1" applyAlignment="1">
      <alignment indent="1"/>
    </xf>
    <xf numFmtId="0" fontId="2" fillId="4" borderId="4" xfId="0" applyFont="1" applyFill="1" applyBorder="1"/>
    <xf numFmtId="0" fontId="2" fillId="4" borderId="4" xfId="0" applyFont="1" applyFill="1" applyBorder="1"/>
    <xf numFmtId="0" fontId="2" fillId="4" borderId="4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left" indent="1"/>
    </xf>
    <xf numFmtId="0" fontId="13" fillId="4" borderId="4" xfId="0" applyFont="1" applyFill="1" applyBorder="1" applyAlignment="1">
      <alignment horizontal="center" indent="1"/>
    </xf>
    <xf numFmtId="173" fontId="8" fillId="6" borderId="0" xfId="0" applyNumberFormat="1" applyFont="1" applyFill="1" applyAlignment="1">
      <alignment horizontal="center" wrapText="1"/>
    </xf>
    <xf numFmtId="0" fontId="13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17" fillId="2" borderId="0" xfId="0" applyFont="1" applyFill="1" applyAlignment="1">
      <alignment horizontal="center"/>
    </xf>
    <xf numFmtId="0" fontId="17" fillId="2" borderId="0" xfId="0" applyFont="1" applyFill="1"/>
    <xf numFmtId="0" fontId="2" fillId="2" borderId="0" xfId="0" applyFont="1" applyFill="1" applyAlignment="1">
      <alignment horizontal="center"/>
    </xf>
    <xf numFmtId="173" fontId="23" fillId="2" borderId="0" xfId="0" applyNumberFormat="1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0" fillId="18" borderId="0" xfId="0" applyFill="1"/>
    <xf numFmtId="0" fontId="0" fillId="19" borderId="0" xfId="0" applyFill="1"/>
    <xf numFmtId="0" fontId="0" fillId="20" borderId="0" xfId="0" applyFill="1"/>
    <xf numFmtId="0" fontId="46" fillId="6" borderId="0" xfId="0" applyFont="1" applyFill="1"/>
    <xf numFmtId="0" fontId="47" fillId="6" borderId="0" xfId="0" applyFont="1" applyFill="1"/>
    <xf numFmtId="0" fontId="0" fillId="0" borderId="0" xfId="0"/>
    <xf numFmtId="0" fontId="48" fillId="0" borderId="0" xfId="0" applyFont="1" applyAlignment="1"/>
    <xf numFmtId="0" fontId="49" fillId="0" borderId="0" xfId="0" applyFont="1" applyAlignment="1">
      <alignment vertical="top"/>
    </xf>
    <xf numFmtId="0" fontId="50" fillId="0" borderId="0" xfId="0" applyFont="1"/>
    <xf numFmtId="0" fontId="51" fillId="0" borderId="0" xfId="0" applyFont="1" applyAlignment="1">
      <alignment vertical="top" wrapText="1"/>
    </xf>
    <xf numFmtId="0" fontId="0" fillId="21" borderId="5" xfId="0" applyFill="1" applyBorder="1"/>
    <xf numFmtId="0" fontId="0" fillId="0" borderId="6" xfId="0" applyBorder="1"/>
    <xf numFmtId="0" fontId="52" fillId="0" borderId="6" xfId="0" applyFont="1" applyBorder="1" applyAlignment="1">
      <alignment horizontal="center" vertical="center"/>
    </xf>
    <xf numFmtId="0" fontId="0" fillId="0" borderId="0" xfId="0" applyBorder="1"/>
    <xf numFmtId="10" fontId="52" fillId="0" borderId="0" xfId="0" applyNumberFormat="1" applyFont="1" applyBorder="1" applyAlignment="1">
      <alignment horizontal="center" vertical="center"/>
    </xf>
    <xf numFmtId="0" fontId="52" fillId="0" borderId="0" xfId="0" applyFont="1" applyBorder="1" applyAlignment="1">
      <alignment horizontal="center" vertical="center"/>
    </xf>
    <xf numFmtId="0" fontId="47" fillId="0" borderId="0" xfId="0" applyFont="1" applyBorder="1" applyAlignment="1">
      <alignment horizontal="center"/>
    </xf>
    <xf numFmtId="0" fontId="0" fillId="0" borderId="7" xfId="0" applyBorder="1"/>
    <xf numFmtId="0" fontId="0" fillId="18" borderId="7" xfId="0" applyFill="1" applyBorder="1"/>
    <xf numFmtId="0" fontId="47" fillId="0" borderId="8" xfId="0" applyFont="1" applyBorder="1" applyAlignment="1">
      <alignment horizontal="center"/>
    </xf>
    <xf numFmtId="0" fontId="0" fillId="0" borderId="8" xfId="0" applyBorder="1"/>
    <xf numFmtId="0" fontId="46" fillId="0" borderId="9" xfId="0" applyFont="1" applyBorder="1" applyAlignment="1">
      <alignment horizontal="left" vertical="center" indent="1"/>
    </xf>
    <xf numFmtId="8" fontId="52" fillId="0" borderId="10" xfId="0" applyNumberFormat="1" applyFont="1" applyBorder="1" applyAlignment="1">
      <alignment horizontal="center" vertical="center"/>
    </xf>
    <xf numFmtId="0" fontId="47" fillId="0" borderId="10" xfId="0" applyFont="1" applyBorder="1" applyAlignment="1">
      <alignment horizontal="center"/>
    </xf>
    <xf numFmtId="0" fontId="0" fillId="21" borderId="11" xfId="0" applyFill="1" applyBorder="1"/>
    <xf numFmtId="0" fontId="52" fillId="0" borderId="12" xfId="0" applyFont="1" applyBorder="1" applyAlignment="1">
      <alignment horizontal="center" vertical="center"/>
    </xf>
    <xf numFmtId="0" fontId="47" fillId="0" borderId="13" xfId="0" applyFont="1" applyBorder="1" applyAlignment="1">
      <alignment horizontal="center"/>
    </xf>
    <xf numFmtId="0" fontId="0" fillId="18" borderId="14" xfId="0" applyFill="1" applyBorder="1"/>
    <xf numFmtId="0" fontId="0" fillId="21" borderId="15" xfId="0" applyFill="1" applyBorder="1"/>
    <xf numFmtId="0" fontId="0" fillId="21" borderId="16" xfId="0" applyFill="1" applyBorder="1"/>
    <xf numFmtId="0" fontId="0" fillId="21" borderId="17" xfId="0" applyFill="1" applyBorder="1"/>
    <xf numFmtId="0" fontId="54" fillId="19" borderId="0" xfId="0" applyFont="1" applyFill="1" applyAlignment="1">
      <alignment horizontal="center" vertical="center"/>
    </xf>
    <xf numFmtId="0" fontId="55" fillId="19" borderId="0" xfId="0" applyFont="1" applyFill="1" applyAlignment="1">
      <alignment horizontal="center" vertical="center"/>
    </xf>
    <xf numFmtId="0" fontId="56" fillId="19" borderId="0" xfId="0" applyFont="1" applyFill="1" applyAlignment="1">
      <alignment horizontal="center"/>
    </xf>
    <xf numFmtId="0" fontId="57" fillId="20" borderId="0" xfId="0" applyFont="1" applyFill="1" applyAlignment="1">
      <alignment vertical="center"/>
    </xf>
    <xf numFmtId="0" fontId="57" fillId="20" borderId="0" xfId="0" applyFont="1" applyFill="1" applyAlignment="1">
      <alignment horizontal="left" vertical="center"/>
    </xf>
    <xf numFmtId="0" fontId="62" fillId="6" borderId="0" xfId="0" applyFont="1" applyFill="1" applyBorder="1" applyAlignment="1">
      <alignment horizontal="left" vertical="center" indent="1"/>
    </xf>
    <xf numFmtId="0" fontId="60" fillId="6" borderId="0" xfId="0" applyFont="1" applyFill="1" applyBorder="1" applyAlignment="1">
      <alignment horizontal="left" vertical="center" indent="1"/>
    </xf>
    <xf numFmtId="0" fontId="62" fillId="21" borderId="19" xfId="0" applyFont="1" applyFill="1" applyBorder="1" applyAlignment="1">
      <alignment horizontal="left" vertical="center" indent="1"/>
    </xf>
    <xf numFmtId="0" fontId="60" fillId="21" borderId="19" xfId="0" applyFont="1" applyFill="1" applyBorder="1" applyAlignment="1">
      <alignment horizontal="left" vertical="center" indent="1"/>
    </xf>
    <xf numFmtId="0" fontId="62" fillId="21" borderId="20" xfId="0" applyFont="1" applyFill="1" applyBorder="1" applyAlignment="1">
      <alignment horizontal="left" vertical="center" indent="1"/>
    </xf>
    <xf numFmtId="0" fontId="60" fillId="21" borderId="20" xfId="0" applyFont="1" applyFill="1" applyBorder="1" applyAlignment="1">
      <alignment horizontal="left" vertical="center" indent="1"/>
    </xf>
    <xf numFmtId="0" fontId="62" fillId="6" borderId="20" xfId="0" applyFont="1" applyFill="1" applyBorder="1" applyAlignment="1">
      <alignment horizontal="left" vertical="center" indent="1"/>
    </xf>
    <xf numFmtId="0" fontId="60" fillId="6" borderId="20" xfId="0" applyFont="1" applyFill="1" applyBorder="1" applyAlignment="1">
      <alignment horizontal="left" vertical="center" indent="1"/>
    </xf>
    <xf numFmtId="0" fontId="46" fillId="18" borderId="7" xfId="0" applyFont="1" applyFill="1" applyBorder="1" applyAlignment="1">
      <alignment horizontal="left" vertical="center" indent="1"/>
    </xf>
    <xf numFmtId="0" fontId="46" fillId="18" borderId="9" xfId="0" applyFont="1" applyFill="1" applyBorder="1" applyAlignment="1">
      <alignment horizontal="center" vertical="center"/>
    </xf>
    <xf numFmtId="0" fontId="55" fillId="6" borderId="10" xfId="0" applyFont="1" applyFill="1" applyBorder="1" applyAlignment="1">
      <alignment horizontal="center" vertical="center"/>
    </xf>
    <xf numFmtId="0" fontId="55" fillId="21" borderId="22" xfId="0" applyFont="1" applyFill="1" applyBorder="1" applyAlignment="1">
      <alignment horizontal="center" vertical="center"/>
    </xf>
    <xf numFmtId="0" fontId="55" fillId="6" borderId="22" xfId="0" applyFont="1" applyFill="1" applyBorder="1" applyAlignment="1">
      <alignment horizontal="center" vertical="center"/>
    </xf>
    <xf numFmtId="0" fontId="46" fillId="18" borderId="14" xfId="0" applyFont="1" applyFill="1" applyBorder="1" applyAlignment="1">
      <alignment horizontal="center" vertical="center"/>
    </xf>
    <xf numFmtId="0" fontId="63" fillId="6" borderId="15" xfId="0" applyFont="1" applyFill="1" applyBorder="1" applyAlignment="1">
      <alignment horizontal="center" vertical="center"/>
    </xf>
    <xf numFmtId="0" fontId="63" fillId="21" borderId="24" xfId="0" applyFont="1" applyFill="1" applyBorder="1" applyAlignment="1">
      <alignment horizontal="center" vertical="center"/>
    </xf>
    <xf numFmtId="0" fontId="63" fillId="6" borderId="24" xfId="0" applyFont="1" applyFill="1" applyBorder="1" applyAlignment="1">
      <alignment horizontal="center" vertical="center"/>
    </xf>
    <xf numFmtId="0" fontId="64" fillId="19" borderId="0" xfId="0" applyFont="1" applyFill="1" applyAlignment="1">
      <alignment horizontal="center" vertical="center"/>
    </xf>
    <xf numFmtId="0" fontId="55" fillId="21" borderId="26" xfId="0" applyFont="1" applyFill="1" applyBorder="1" applyAlignment="1">
      <alignment horizontal="center" vertical="center"/>
    </xf>
    <xf numFmtId="0" fontId="63" fillId="21" borderId="27" xfId="0" applyFont="1" applyFill="1" applyBorder="1" applyAlignment="1">
      <alignment horizontal="center" vertical="center"/>
    </xf>
    <xf numFmtId="0" fontId="58" fillId="2" borderId="0" xfId="0" applyFont="1" applyFill="1" applyAlignment="1">
      <alignment vertical="center"/>
    </xf>
    <xf numFmtId="0" fontId="0" fillId="2" borderId="0" xfId="0" applyFill="1"/>
    <xf numFmtId="0" fontId="59" fillId="2" borderId="0" xfId="0" applyFont="1" applyFill="1" applyAlignment="1">
      <alignment vertical="top"/>
    </xf>
    <xf numFmtId="0" fontId="61" fillId="2" borderId="0" xfId="0" applyFont="1" applyFill="1" applyAlignment="1">
      <alignment vertical="center"/>
    </xf>
    <xf numFmtId="0" fontId="65" fillId="2" borderId="0" xfId="0" applyFont="1" applyFill="1" applyAlignment="1"/>
    <xf numFmtId="17" fontId="66" fillId="2" borderId="0" xfId="0" applyNumberFormat="1" applyFont="1" applyFill="1" applyAlignment="1">
      <alignment horizontal="right"/>
    </xf>
    <xf numFmtId="0" fontId="0" fillId="6" borderId="0" xfId="0" applyFill="1" applyBorder="1"/>
    <xf numFmtId="173" fontId="60" fillId="6" borderId="0" xfId="0" applyNumberFormat="1" applyFont="1" applyFill="1" applyBorder="1" applyAlignment="1">
      <alignment horizontal="center"/>
    </xf>
    <xf numFmtId="173" fontId="70" fillId="6" borderId="0" xfId="0" applyNumberFormat="1" applyFont="1" applyFill="1" applyBorder="1" applyAlignment="1">
      <alignment horizontal="center"/>
    </xf>
    <xf numFmtId="0" fontId="0" fillId="21" borderId="20" xfId="0" applyFill="1" applyBorder="1"/>
    <xf numFmtId="173" fontId="60" fillId="21" borderId="20" xfId="0" applyNumberFormat="1" applyFont="1" applyFill="1" applyBorder="1" applyAlignment="1">
      <alignment horizontal="center"/>
    </xf>
    <xf numFmtId="173" fontId="70" fillId="21" borderId="20" xfId="0" applyNumberFormat="1" applyFont="1" applyFill="1" applyBorder="1" applyAlignment="1">
      <alignment horizontal="center"/>
    </xf>
    <xf numFmtId="0" fontId="0" fillId="6" borderId="20" xfId="0" applyFill="1" applyBorder="1"/>
    <xf numFmtId="172" fontId="60" fillId="6" borderId="20" xfId="0" applyNumberFormat="1" applyFont="1" applyFill="1" applyBorder="1" applyAlignment="1">
      <alignment horizontal="center"/>
    </xf>
    <xf numFmtId="172" fontId="70" fillId="6" borderId="20" xfId="0" applyNumberFormat="1" applyFont="1" applyFill="1" applyBorder="1" applyAlignment="1">
      <alignment horizontal="center"/>
    </xf>
    <xf numFmtId="0" fontId="68" fillId="22" borderId="7" xfId="0" applyFont="1" applyFill="1" applyBorder="1" applyAlignment="1">
      <alignment horizontal="center" vertical="center"/>
    </xf>
    <xf numFmtId="0" fontId="68" fillId="22" borderId="9" xfId="0" applyFont="1" applyFill="1" applyBorder="1" applyAlignment="1">
      <alignment horizontal="left" vertical="center" indent="1"/>
    </xf>
    <xf numFmtId="0" fontId="71" fillId="6" borderId="10" xfId="0" applyFont="1" applyFill="1" applyBorder="1" applyAlignment="1">
      <alignment indent="1"/>
    </xf>
    <xf numFmtId="0" fontId="71" fillId="21" borderId="22" xfId="0" applyFont="1" applyFill="1" applyBorder="1" applyAlignment="1">
      <alignment indent="1"/>
    </xf>
    <xf numFmtId="0" fontId="71" fillId="6" borderId="22" xfId="0" applyFont="1" applyFill="1" applyBorder="1" applyAlignment="1">
      <alignment indent="1"/>
    </xf>
    <xf numFmtId="0" fontId="68" fillId="22" borderId="14" xfId="0" applyFont="1" applyFill="1" applyBorder="1" applyAlignment="1">
      <alignment horizontal="center" vertical="center"/>
    </xf>
    <xf numFmtId="0" fontId="0" fillId="6" borderId="15" xfId="0" applyFill="1" applyBorder="1"/>
    <xf numFmtId="0" fontId="0" fillId="21" borderId="24" xfId="0" applyFill="1" applyBorder="1"/>
    <xf numFmtId="0" fontId="0" fillId="6" borderId="24" xfId="0" applyFill="1" applyBorder="1"/>
    <xf numFmtId="165" fontId="53" fillId="6" borderId="7" xfId="0" applyNumberFormat="1" applyFont="1" applyFill="1" applyBorder="1" applyAlignment="1">
      <alignment horizontal="center"/>
    </xf>
    <xf numFmtId="165" fontId="69" fillId="21" borderId="20" xfId="0" applyNumberFormat="1" applyFont="1" applyFill="1" applyBorder="1" applyAlignment="1">
      <alignment horizontal="center"/>
    </xf>
    <xf numFmtId="173" fontId="53" fillId="6" borderId="7" xfId="0" applyNumberFormat="1" applyFont="1" applyFill="1" applyBorder="1" applyAlignment="1">
      <alignment horizontal="center"/>
    </xf>
    <xf numFmtId="173" fontId="53" fillId="21" borderId="20" xfId="0" applyNumberFormat="1" applyFont="1" applyFill="1" applyBorder="1" applyAlignment="1">
      <alignment horizontal="center"/>
    </xf>
    <xf numFmtId="173" fontId="69" fillId="6" borderId="20" xfId="0" applyNumberFormat="1" applyFont="1" applyFill="1" applyBorder="1" applyAlignment="1">
      <alignment horizontal="center"/>
    </xf>
    <xf numFmtId="180" fontId="69" fillId="6" borderId="20" xfId="0" applyNumberFormat="1" applyFont="1" applyFill="1" applyBorder="1" applyAlignment="1">
      <alignment horizontal="center"/>
    </xf>
    <xf numFmtId="0" fontId="55" fillId="18" borderId="22" xfId="0" applyFont="1" applyFill="1" applyBorder="1" applyAlignment="1">
      <alignment vertical="center" indent="1"/>
    </xf>
    <xf numFmtId="165" fontId="68" fillId="22" borderId="7" xfId="0" applyNumberFormat="1" applyFont="1" applyFill="1" applyBorder="1" applyAlignment="1">
      <alignment horizontal="center" vertical="center"/>
    </xf>
    <xf numFmtId="0" fontId="71" fillId="6" borderId="9" xfId="0" applyFont="1" applyFill="1" applyBorder="1" applyAlignment="1">
      <alignment indent="1"/>
    </xf>
    <xf numFmtId="0" fontId="70" fillId="21" borderId="22" xfId="0" applyFont="1" applyFill="1" applyBorder="1" applyAlignment="1">
      <alignment indent="1"/>
    </xf>
    <xf numFmtId="0" fontId="70" fillId="6" borderId="22" xfId="0" applyFont="1" applyFill="1" applyBorder="1" applyAlignment="1">
      <alignment indent="1"/>
    </xf>
    <xf numFmtId="165" fontId="68" fillId="22" borderId="14" xfId="0" applyNumberFormat="1" applyFont="1" applyFill="1" applyBorder="1" applyAlignment="1">
      <alignment horizontal="center" vertical="center"/>
    </xf>
    <xf numFmtId="165" fontId="53" fillId="6" borderId="14" xfId="0" applyNumberFormat="1" applyFont="1" applyFill="1" applyBorder="1" applyAlignment="1">
      <alignment horizontal="center"/>
    </xf>
    <xf numFmtId="165" fontId="69" fillId="21" borderId="24" xfId="0" applyNumberFormat="1" applyFont="1" applyFill="1" applyBorder="1" applyAlignment="1">
      <alignment horizontal="center"/>
    </xf>
    <xf numFmtId="0" fontId="0" fillId="22" borderId="14" xfId="0" applyFill="1" applyBorder="1"/>
    <xf numFmtId="0" fontId="0" fillId="6" borderId="21" xfId="0" applyFill="1" applyBorder="1"/>
    <xf numFmtId="165" fontId="68" fillId="22" borderId="9" xfId="0" applyNumberFormat="1" applyFont="1" applyFill="1" applyBorder="1" applyAlignment="1">
      <alignment horizontal="left" vertical="center" indent="1"/>
    </xf>
    <xf numFmtId="0" fontId="48" fillId="2" borderId="0" xfId="0" applyFont="1" applyFill="1" applyAlignment="1">
      <alignment vertical="center"/>
    </xf>
    <xf numFmtId="0" fontId="67" fillId="2" borderId="0" xfId="0" applyFont="1" applyFill="1"/>
    <xf numFmtId="0" fontId="60" fillId="2" borderId="0" xfId="0" applyFont="1" applyFill="1"/>
    <xf numFmtId="0" fontId="0" fillId="2" borderId="0" xfId="0" applyFill="1" applyBorder="1"/>
    <xf numFmtId="0" fontId="0" fillId="2" borderId="15" xfId="0" applyFill="1" applyBorder="1"/>
    <xf numFmtId="0" fontId="0" fillId="2" borderId="14" xfId="0" applyFill="1" applyBorder="1"/>
    <xf numFmtId="0" fontId="0" fillId="2" borderId="10" xfId="0" applyFill="1" applyBorder="1"/>
    <xf numFmtId="0" fontId="72" fillId="2" borderId="0" xfId="0" applyFont="1" applyFill="1"/>
    <xf numFmtId="0" fontId="55" fillId="18" borderId="0" xfId="0" applyFont="1" applyFill="1" applyAlignment="1">
      <alignment vertical="center"/>
    </xf>
    <xf numFmtId="0" fontId="0" fillId="18" borderId="0" xfId="0" applyFill="1"/>
    <xf numFmtId="0" fontId="70" fillId="6" borderId="0" xfId="0" applyFont="1" applyFill="1" applyBorder="1"/>
    <xf numFmtId="0" fontId="0" fillId="6" borderId="0" xfId="0" applyFill="1" applyBorder="1"/>
    <xf numFmtId="0" fontId="0" fillId="2" borderId="7" xfId="0" applyFill="1" applyBorder="1"/>
    <xf numFmtId="0" fontId="68" fillId="2" borderId="9" xfId="0" applyFont="1" applyFill="1" applyBorder="1"/>
    <xf numFmtId="0" fontId="60" fillId="6" borderId="10" xfId="0" applyFont="1" applyFill="1" applyBorder="1"/>
    <xf numFmtId="0" fontId="60" fillId="6" borderId="18" xfId="0" applyFont="1" applyFill="1" applyBorder="1"/>
    <xf numFmtId="0" fontId="60" fillId="21" borderId="19" xfId="0" applyFont="1" applyFill="1" applyBorder="1"/>
    <xf numFmtId="0" fontId="60" fillId="21" borderId="22" xfId="0" applyFont="1" applyFill="1" applyBorder="1"/>
    <xf numFmtId="0" fontId="70" fillId="21" borderId="20" xfId="0" applyFont="1" applyFill="1" applyBorder="1"/>
    <xf numFmtId="0" fontId="0" fillId="21" borderId="20" xfId="0" applyFill="1" applyBorder="1"/>
    <xf numFmtId="0" fontId="60" fillId="6" borderId="26" xfId="0" applyFont="1" applyFill="1" applyBorder="1"/>
    <xf numFmtId="0" fontId="70" fillId="6" borderId="19" xfId="0" applyFont="1" applyFill="1" applyBorder="1"/>
    <xf numFmtId="0" fontId="0" fillId="6" borderId="27" xfId="0" applyFill="1" applyBorder="1"/>
    <xf numFmtId="0" fontId="60" fillId="6" borderId="19" xfId="0" applyFont="1" applyFill="1" applyBorder="1"/>
    <xf numFmtId="0" fontId="60" fillId="6" borderId="22" xfId="0" applyFont="1" applyFill="1" applyBorder="1"/>
    <xf numFmtId="0" fontId="70" fillId="6" borderId="20" xfId="0" applyFont="1" applyFill="1" applyBorder="1"/>
    <xf numFmtId="0" fontId="0" fillId="6" borderId="20" xfId="0" applyFill="1" applyBorder="1"/>
    <xf numFmtId="0" fontId="60" fillId="21" borderId="27" xfId="0" applyFont="1" applyFill="1" applyBorder="1"/>
    <xf numFmtId="0" fontId="60" fillId="6" borderId="27" xfId="0" applyFont="1" applyFill="1" applyBorder="1"/>
    <xf numFmtId="0" fontId="73" fillId="21" borderId="20" xfId="0" applyFont="1" applyFill="1" applyBorder="1" applyAlignment="1">
      <alignment horizontal="center"/>
    </xf>
    <xf numFmtId="0" fontId="73" fillId="6" borderId="20" xfId="0" applyFont="1" applyFill="1" applyBorder="1" applyAlignment="1">
      <alignment horizontal="center"/>
    </xf>
    <xf numFmtId="0" fontId="68" fillId="6" borderId="7" xfId="0" applyFont="1" applyFill="1" applyBorder="1" applyAlignment="1">
      <alignment horizontal="center" vertical="center"/>
    </xf>
    <xf numFmtId="0" fontId="68" fillId="22" borderId="9" xfId="0" applyFont="1" applyFill="1" applyBorder="1" applyAlignment="1">
      <alignment horizontal="center" vertical="center"/>
    </xf>
    <xf numFmtId="173" fontId="70" fillId="6" borderId="10" xfId="0" applyNumberFormat="1" applyFont="1" applyFill="1" applyBorder="1" applyAlignment="1">
      <alignment horizontal="center"/>
    </xf>
    <xf numFmtId="173" fontId="70" fillId="21" borderId="22" xfId="0" applyNumberFormat="1" applyFont="1" applyFill="1" applyBorder="1" applyAlignment="1">
      <alignment horizontal="center"/>
    </xf>
    <xf numFmtId="172" fontId="70" fillId="6" borderId="22" xfId="0" applyNumberFormat="1" applyFont="1" applyFill="1" applyBorder="1" applyAlignment="1">
      <alignment horizontal="center"/>
    </xf>
    <xf numFmtId="0" fontId="53" fillId="6" borderId="14" xfId="0" applyFont="1" applyFill="1" applyBorder="1" applyAlignment="1">
      <alignment horizontal="center"/>
    </xf>
    <xf numFmtId="0" fontId="70" fillId="6" borderId="10" xfId="0" applyFont="1" applyFill="1" applyBorder="1" applyAlignment="1">
      <alignment indent="1"/>
    </xf>
    <xf numFmtId="0" fontId="70" fillId="6" borderId="26" xfId="0" applyFont="1" applyFill="1" applyBorder="1" applyAlignment="1">
      <alignment indent="1"/>
    </xf>
    <xf numFmtId="0" fontId="53" fillId="21" borderId="24" xfId="0" applyFont="1" applyFill="1" applyBorder="1" applyAlignment="1">
      <alignment horizontal="center"/>
    </xf>
    <xf numFmtId="165" fontId="74" fillId="6" borderId="20" xfId="0" applyNumberFormat="1" applyFont="1" applyFill="1" applyBorder="1" applyAlignment="1">
      <alignment horizontal="center"/>
    </xf>
    <xf numFmtId="165" fontId="74" fillId="6" borderId="24" xfId="0" applyNumberFormat="1" applyFont="1" applyFill="1" applyBorder="1" applyAlignment="1">
      <alignment horizontal="center"/>
    </xf>
    <xf numFmtId="0" fontId="69" fillId="6" borderId="24" xfId="0" applyFont="1" applyFill="1" applyBorder="1" applyAlignment="1">
      <alignment horizontal="center"/>
    </xf>
    <xf numFmtId="173" fontId="69" fillId="21" borderId="20" xfId="0" applyNumberFormat="1" applyFont="1" applyFill="1" applyBorder="1" applyAlignment="1">
      <alignment horizontal="center"/>
    </xf>
    <xf numFmtId="0" fontId="69" fillId="21" borderId="24" xfId="0" applyFont="1" applyFill="1" applyBorder="1" applyAlignment="1">
      <alignment horizontal="center"/>
    </xf>
    <xf numFmtId="0" fontId="70" fillId="21" borderId="23" xfId="0" applyFont="1" applyFill="1" applyBorder="1" applyAlignment="1">
      <alignment indent="1"/>
    </xf>
    <xf numFmtId="172" fontId="74" fillId="21" borderId="21" xfId="0" applyNumberFormat="1" applyFont="1" applyFill="1" applyBorder="1" applyAlignment="1">
      <alignment horizontal="center"/>
    </xf>
    <xf numFmtId="172" fontId="74" fillId="21" borderId="25" xfId="0" applyNumberFormat="1" applyFont="1" applyFill="1" applyBorder="1" applyAlignment="1">
      <alignment horizontal="center"/>
    </xf>
    <xf numFmtId="0" fontId="0" fillId="2" borderId="32" xfId="0" applyFill="1" applyBorder="1"/>
    <xf numFmtId="0" fontId="70" fillId="21" borderId="29" xfId="0" applyFont="1" applyFill="1" applyBorder="1" applyAlignment="1">
      <alignment indent="1"/>
    </xf>
    <xf numFmtId="180" fontId="69" fillId="21" borderId="30" xfId="0" applyNumberFormat="1" applyFont="1" applyFill="1" applyBorder="1" applyAlignment="1">
      <alignment horizontal="center"/>
    </xf>
    <xf numFmtId="0" fontId="0" fillId="21" borderId="31" xfId="0" applyFill="1" applyBorder="1"/>
    <xf numFmtId="0" fontId="60" fillId="6" borderId="28" xfId="0" applyFont="1" applyFill="1" applyBorder="1"/>
    <xf numFmtId="0" fontId="60" fillId="6" borderId="18" xfId="0" applyFont="1" applyFill="1" applyBorder="1" applyAlignment="1">
      <alignment vertical="center"/>
    </xf>
    <xf numFmtId="0" fontId="60" fillId="21" borderId="19" xfId="0" applyFont="1" applyFill="1" applyBorder="1" applyAlignment="1">
      <alignment vertical="center"/>
    </xf>
    <xf numFmtId="0" fontId="60" fillId="6" borderId="19" xfId="0" applyFont="1" applyFill="1" applyBorder="1" applyAlignment="1">
      <alignment vertical="center"/>
    </xf>
    <xf numFmtId="0" fontId="55" fillId="18" borderId="8" xfId="0" applyFont="1" applyFill="1" applyBorder="1" applyAlignment="1">
      <alignment vertical="center"/>
    </xf>
    <xf numFmtId="0" fontId="70" fillId="6" borderId="20" xfId="0" applyFont="1" applyFill="1" applyBorder="1" applyAlignment="1">
      <alignment vertical="center" indent="1"/>
    </xf>
    <xf numFmtId="0" fontId="70" fillId="6" borderId="24" xfId="0" applyFont="1" applyFill="1" applyBorder="1" applyAlignment="1">
      <alignment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5C5C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rgbClr val="0D1F3C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Pro Forma Revenue &amp; EBITDA ($mm)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rgbClr val="0D1F3C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Summary'!$N$19</c:f>
              <c:strCache>
                <c:ptCount val="1"/>
                <c:pt idx="0">
                  <c:v>Revenue ($mm)</c:v>
                </c:pt>
              </c:strCache>
            </c:strRef>
          </c:tx>
          <c:spPr>
            <a:solidFill>
              <a:srgbClr val="2E74B5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rgbClr val="0D1F3C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'Executive Summary'!$M$20:$M$23</c:f>
              <c:strCache>
                <c:ptCount val="4"/>
                <c:pt idx="0">
                  <c:v>HPE Standalone</c:v>
                </c:pt>
                <c:pt idx="1">
                  <c:v>JNPR Standalone</c:v>
                </c:pt>
                <c:pt idx="2">
                  <c:v>Pro Forma</c:v>
                </c:pt>
                <c:pt idx="3">
                  <c:v>PF + Synergies</c:v>
                </c:pt>
              </c:strCache>
            </c:strRef>
          </c:cat>
          <c:val>
            <c:numRef>
              <c:f>'Executive Summary'!$N$20:$N$23</c:f>
              <c:numCache>
                <c:formatCode>General</c:formatCode>
                <c:ptCount val="4"/>
                <c:pt idx="0">
                  <c:v>30432.575941369007</c:v>
                </c:pt>
                <c:pt idx="1">
                  <c:v>5731.4350000000004</c:v>
                </c:pt>
                <c:pt idx="2">
                  <c:v>31389.1</c:v>
                </c:pt>
                <c:pt idx="3">
                  <c:v>31890.391554730097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7-FE46-A92D-F3A41BED05C2}"/>
            </c:ext>
          </c:extLst>
        </c:ser>
        <c:ser>
          <c:idx val="1"/>
          <c:order val="1"/>
          <c:tx>
            <c:strRef>
              <c:f>'Executive Summary'!$O$19</c:f>
              <c:strCache>
                <c:ptCount val="1"/>
                <c:pt idx="0">
                  <c:v>EBITDA ($mm)</c:v>
                </c:pt>
              </c:strCache>
            </c:strRef>
          </c:tx>
          <c:spPr>
            <a:solidFill>
              <a:srgbClr val="C8A951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rgbClr val="0D1F3C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'Executive Summary'!$M$20:$M$23</c:f>
              <c:strCache>
                <c:ptCount val="4"/>
                <c:pt idx="0">
                  <c:v>HPE Standalone</c:v>
                </c:pt>
                <c:pt idx="1">
                  <c:v>JNPR Standalone</c:v>
                </c:pt>
                <c:pt idx="2">
                  <c:v>Pro Forma</c:v>
                </c:pt>
                <c:pt idx="3">
                  <c:v>PF + Synergies</c:v>
                </c:pt>
              </c:strCache>
            </c:strRef>
          </c:cat>
          <c:val>
            <c:numRef>
              <c:f>'Executive Summary'!$O$20:$O$23</c:f>
              <c:numCache>
                <c:formatCode>General</c:formatCode>
                <c:ptCount val="4"/>
                <c:pt idx="0">
                  <c:v>4918.3824544582576</c:v>
                </c:pt>
                <c:pt idx="1">
                  <c:v>941.9804584970318</c:v>
                </c:pt>
                <c:pt idx="2">
                  <c:v>4298.8866095238072</c:v>
                </c:pt>
                <c:pt idx="3">
                  <c:v>4800.1781642539063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C7-FE46-A92D-F3A41BED0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5635327"/>
        <c:axId val="1455634879"/>
      </c:barChart>
      <c:catAx>
        <c:axId val="145563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0D5DD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rgbClr val="8899AA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5634879"/>
        <c:crosses val="autoZero"/>
        <c:auto val="1"/>
        <c:lblAlgn val="ctr"/>
        <c:lblOffset val="100"/>
        <c:noMultiLvlLbl val="0"/>
      </c:catAx>
      <c:valAx>
        <c:axId val="145563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0E4EA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D0D5DD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rgbClr val="8899AA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5635327"/>
        <c:crosses val="autoZero"/>
        <c:crossBetween val="between"/>
      </c:valAx>
      <c:spPr>
        <a:solidFill>
          <a:srgbClr val="F4F6F9"/>
        </a:solidFill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50" b="0" i="0" u="none" strike="noStrike" kern="1200" baseline="0">
              <a:solidFill>
                <a:srgbClr val="8899AA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rgbClr val="0D1F3C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Synergy Ramp — Gross vs. Net ($mm)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rgbClr val="0D1F3C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Summary'!$N$11</c:f>
              <c:strCache>
                <c:ptCount val="1"/>
                <c:pt idx="0">
                  <c:v>Gross Synergies</c:v>
                </c:pt>
              </c:strCache>
            </c:strRef>
          </c:tx>
          <c:spPr>
            <a:solidFill>
              <a:srgbClr val="0D1F3C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rgbClr val="0D1F3C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'Executive Summary'!$M$12:$M$16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Steady State</c:v>
                </c:pt>
              </c:strCache>
            </c:strRef>
          </c:cat>
          <c:val>
            <c:numRef>
              <c:f>'Executive Summary'!$N$12:$N$16</c:f>
              <c:numCache>
                <c:formatCode>General</c:formatCode>
                <c:ptCount val="5"/>
                <c:pt idx="0">
                  <c:v>125.32288868252469</c:v>
                </c:pt>
                <c:pt idx="1">
                  <c:v>250.64577736504938</c:v>
                </c:pt>
                <c:pt idx="2">
                  <c:v>401.03324378407905</c:v>
                </c:pt>
                <c:pt idx="3">
                  <c:v>501.29155473009877</c:v>
                </c:pt>
                <c:pt idx="4">
                  <c:v>501.29155473009877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ED-4A44-9DDD-4A153800837D}"/>
            </c:ext>
          </c:extLst>
        </c:ser>
        <c:ser>
          <c:idx val="1"/>
          <c:order val="1"/>
          <c:tx>
            <c:strRef>
              <c:f>'Executive Summary'!$O$11</c:f>
              <c:strCache>
                <c:ptCount val="1"/>
                <c:pt idx="0">
                  <c:v>Net Synergies</c:v>
                </c:pt>
              </c:strCache>
            </c:strRef>
          </c:tx>
          <c:spPr>
            <a:solidFill>
              <a:srgbClr val="2E74B5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rgbClr val="0D1F3C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'Executive Summary'!$M$12:$M$16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Steady State</c:v>
                </c:pt>
              </c:strCache>
            </c:strRef>
          </c:cat>
          <c:val>
            <c:numRef>
              <c:f>'Executive Summary'!$O$12:$O$16</c:f>
              <c:numCache>
                <c:formatCode>General</c:formatCode>
                <c:ptCount val="5"/>
                <c:pt idx="0">
                  <c:v>-41.774296227508231</c:v>
                </c:pt>
                <c:pt idx="1">
                  <c:v>83.548592455016461</c:v>
                </c:pt>
                <c:pt idx="2">
                  <c:v>401.03324378407905</c:v>
                </c:pt>
                <c:pt idx="3">
                  <c:v>501.29155473009877</c:v>
                </c:pt>
                <c:pt idx="4">
                  <c:v>167.09718491003292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ED-4A44-9DDD-4A1538008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4785535"/>
        <c:axId val="1469709631"/>
      </c:barChart>
      <c:catAx>
        <c:axId val="147478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rgbClr val="8899AA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709631"/>
        <c:crosses val="autoZero"/>
        <c:auto val="1"/>
        <c:lblAlgn val="ctr"/>
        <c:lblOffset val="100"/>
        <c:noMultiLvlLbl val="0"/>
      </c:catAx>
      <c:valAx>
        <c:axId val="146970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0E4EA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rgbClr val="8899AA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785535"/>
        <c:crosses val="autoZero"/>
        <c:crossBetween val="between"/>
      </c:valAx>
      <c:spPr>
        <a:solidFill>
          <a:srgbClr val="F4F6F9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50" b="0" i="0" u="none" strike="noStrike" kern="1200" baseline="0">
              <a:solidFill>
                <a:srgbClr val="8899AA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rgbClr val="0D1F3C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EPS Accretion / (Dilution) Bridge — Year 1E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rgbClr val="0D1F3C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Summary'!$N$2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FFFFFF"/>
            </a:solidFill>
            <a:ln>
              <a:noFill/>
            </a:ln>
            <a:effectLst/>
          </c:spPr>
          <c:invertIfNegative val="0"/>
          <c:cat>
            <c:strRef>
              <c:f>'Executive Summary'!$M$3:$M$8</c:f>
              <c:strCache>
                <c:ptCount val="6"/>
                <c:pt idx="0">
                  <c:v>SA EPS</c:v>
                </c:pt>
                <c:pt idx="1">
                  <c:v>#NAME?</c:v>
                </c:pt>
                <c:pt idx="2">
                  <c:v>– PPA Amort</c:v>
                </c:pt>
                <c:pt idx="3">
                  <c:v>– Interest</c:v>
                </c:pt>
                <c:pt idx="4">
                  <c:v>#NAME?</c:v>
                </c:pt>
                <c:pt idx="5">
                  <c:v>PF EPS</c:v>
                </c:pt>
              </c:strCache>
            </c:strRef>
          </c:cat>
          <c:val>
            <c:numRef>
              <c:f>'Executive Summary'!$N$3:$N$8</c:f>
              <c:numCache>
                <c:formatCode>General</c:formatCode>
                <c:ptCount val="6"/>
                <c:pt idx="0">
                  <c:v>0</c:v>
                </c:pt>
                <c:pt idx="1">
                  <c:v>1.133693343759403</c:v>
                </c:pt>
                <c:pt idx="2">
                  <c:v>1.639648975702503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4C-994A-9AEB-C351F6D7E586}"/>
            </c:ext>
          </c:extLst>
        </c:ser>
        <c:ser>
          <c:idx val="1"/>
          <c:order val="1"/>
          <c:tx>
            <c:strRef>
              <c:f>'Executive Summary'!$O$2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2E74B5"/>
            </a:solidFill>
            <a:ln>
              <a:noFill/>
            </a:ln>
            <a:effectLst/>
          </c:spPr>
          <c:invertIfNegative val="0"/>
          <c:dLbls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rgbClr val="0D1F3C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'Executive Summary'!$M$3:$M$8</c:f>
              <c:strCache>
                <c:ptCount val="6"/>
                <c:pt idx="0">
                  <c:v>SA EPS</c:v>
                </c:pt>
                <c:pt idx="1">
                  <c:v>#NAME?</c:v>
                </c:pt>
                <c:pt idx="2">
                  <c:v>– PPA Amort</c:v>
                </c:pt>
                <c:pt idx="3">
                  <c:v>– Interest</c:v>
                </c:pt>
                <c:pt idx="4">
                  <c:v>#NAME?</c:v>
                </c:pt>
                <c:pt idx="5">
                  <c:v>PF EPS</c:v>
                </c:pt>
              </c:strCache>
            </c:strRef>
          </c:cat>
          <c:val>
            <c:numRef>
              <c:f>'Executive Summary'!$O$3:$O$8</c:f>
              <c:numCache>
                <c:formatCode>General</c:formatCode>
                <c:ptCount val="6"/>
                <c:pt idx="0">
                  <c:v>1.133693343759403</c:v>
                </c:pt>
                <c:pt idx="1">
                  <c:v>0.50595563194310011</c:v>
                </c:pt>
                <c:pt idx="2">
                  <c:v>-0.24906247329570128</c:v>
                </c:pt>
                <c:pt idx="3">
                  <c:v>-0.34817629179331311</c:v>
                </c:pt>
                <c:pt idx="4">
                  <c:v>-2.5077275090981385E-2</c:v>
                </c:pt>
                <c:pt idx="5">
                  <c:v>0.48280283549430103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4C-994A-9AEB-C351F6D7E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6293631"/>
        <c:axId val="1456299455"/>
      </c:barChart>
      <c:catAx>
        <c:axId val="1456293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rgbClr val="8899AA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299455"/>
        <c:crosses val="autoZero"/>
        <c:auto val="1"/>
        <c:lblAlgn val="ctr"/>
        <c:lblOffset val="100"/>
        <c:noMultiLvlLbl val="0"/>
      </c:catAx>
      <c:valAx>
        <c:axId val="145629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0E4EA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rgbClr val="8899AA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293631"/>
        <c:crosses val="autoZero"/>
        <c:crossBetween val="between"/>
      </c:valAx>
      <c:spPr>
        <a:solidFill>
          <a:srgbClr val="F4F6F9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50" b="0" i="0" u="none" strike="noStrike" kern="1200" baseline="0">
              <a:solidFill>
                <a:srgbClr val="8899AA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SHARE</a:t>
            </a:r>
            <a:r>
              <a:rPr lang="en-US" baseline="0"/>
              <a:t>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6.3888888888888842E-2"/>
                  <c:y val="-1.851851851851868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364-1849-8B58-1D85FA682CF1}"/>
                </c:ext>
              </c:extLst>
            </c:dLbl>
            <c:dLbl>
              <c:idx val="1"/>
              <c:layout>
                <c:manualLayout>
                  <c:x val="5.5555555555555552E-2"/>
                  <c:y val="-1.388888888888897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364-1849-8B58-1D85FA682CF1}"/>
                </c:ext>
              </c:extLst>
            </c:dLbl>
            <c:dLbl>
              <c:idx val="2"/>
              <c:layout>
                <c:manualLayout>
                  <c:x val="6.944444444444442E-2"/>
                  <c:y val="-1.388888888888888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364-1849-8B58-1D85FA682C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Valuation!$F$111:$F$113</c:f>
              <c:numCache>
                <c:formatCode>"$"#,##0.00;\("$"#,##0.00\);"-"</c:formatCode>
                <c:ptCount val="3"/>
                <c:pt idx="0">
                  <c:v>32.147072259732155</c:v>
                </c:pt>
                <c:pt idx="1">
                  <c:v>31.283954701677608</c:v>
                </c:pt>
                <c:pt idx="2">
                  <c:v>31.951363212400697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64-1849-8B58-1D85FA682CF1}"/>
            </c:ext>
          </c:extLst>
        </c:ser>
        <c:ser>
          <c:idx val="1"/>
          <c:order val="1"/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Valuation!$G$111:$G$113</c:f>
              <c:numCache>
                <c:formatCode>"$"#,##0.00;\("$"#,##0.00\);"-"</c:formatCode>
                <c:ptCount val="3"/>
                <c:pt idx="0">
                  <c:v>35.718969177480169</c:v>
                </c:pt>
                <c:pt idx="1">
                  <c:v>34.759949668530673</c:v>
                </c:pt>
                <c:pt idx="2">
                  <c:v>34.46024845171587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64-1849-8B58-1D85FA682CF1}"/>
            </c:ext>
          </c:extLst>
        </c:ser>
        <c:ser>
          <c:idx val="2"/>
          <c:order val="2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1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364-1849-8B58-1D85FA682CF1}"/>
                </c:ext>
              </c:extLst>
            </c:dLbl>
            <c:dLbl>
              <c:idx val="1"/>
              <c:layout>
                <c:manualLayout>
                  <c:x val="-9.7222222222222224E-2"/>
                  <c:y val="-9.2592592592592587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364-1849-8B58-1D85FA682CF1}"/>
                </c:ext>
              </c:extLst>
            </c:dLbl>
            <c:dLbl>
              <c:idx val="2"/>
              <c:layout>
                <c:manualLayout>
                  <c:x val="-0.10555555555555556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364-1849-8B58-1D85FA682C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Valuation!$H$111:$H$113</c:f>
              <c:numCache>
                <c:formatCode>"$"#,##0.00;\("$"#,##0.00\);"-"</c:formatCode>
                <c:ptCount val="3"/>
                <c:pt idx="0">
                  <c:v>39.290866095228189</c:v>
                </c:pt>
                <c:pt idx="1">
                  <c:v>38.235944635383753</c:v>
                </c:pt>
                <c:pt idx="2">
                  <c:v>39.653275247744361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64-1849-8B58-1D85FA682CF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456248511"/>
        <c:axId val="1456253439"/>
      </c:barChart>
      <c:catAx>
        <c:axId val="1456248511"/>
        <c:scaling>
          <c:orientation val="minMax"/>
        </c:scaling>
        <c:delete val="1"/>
        <c:axPos val="l"/>
        <c:majorTickMark val="none"/>
        <c:minorTickMark val="none"/>
        <c:tickLblPos val="nextTo"/>
        <c:crossAx val="1456253439"/>
        <c:crosses val="autoZero"/>
        <c:auto val="1"/>
        <c:lblAlgn val="ctr"/>
        <c:lblOffset val="100"/>
        <c:noMultiLvlLbl val="0"/>
      </c:catAx>
      <c:valAx>
        <c:axId val="1456253439"/>
        <c:scaling>
          <c:orientation val="minMax"/>
        </c:scaling>
        <c:delete val="1"/>
        <c:axPos val="b"/>
        <c:numFmt formatCode="&quot;$&quot;#,##0.00;\(&quot;$&quot;#,##0.00\);&quot;-&quot;" sourceLinked="1"/>
        <c:majorTickMark val="none"/>
        <c:minorTickMark val="none"/>
        <c:tickLblPos val="nextTo"/>
        <c:crossAx val="1456248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20</xdr:row>
      <xdr:rowOff>0</xdr:rowOff>
    </xdr:from>
    <xdr:to>
      <xdr:col>10</xdr:col>
      <xdr:colOff>889000</xdr:colOff>
      <xdr:row>33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C6EA28-482E-1A25-FA98-679BD6FA91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787400</xdr:colOff>
      <xdr:row>20</xdr:row>
      <xdr:rowOff>0</xdr:rowOff>
    </xdr:from>
    <xdr:to>
      <xdr:col>8</xdr:col>
      <xdr:colOff>101600</xdr:colOff>
      <xdr:row>33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B31856-2586-384A-C560-B8F305DE14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20</xdr:row>
      <xdr:rowOff>0</xdr:rowOff>
    </xdr:from>
    <xdr:to>
      <xdr:col>4</xdr:col>
      <xdr:colOff>635000</xdr:colOff>
      <xdr:row>33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F98F12-0946-69FA-9C05-DF284DEBFF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158512</xdr:colOff>
      <xdr:row>109</xdr:row>
      <xdr:rowOff>151444</xdr:rowOff>
    </xdr:from>
    <xdr:to>
      <xdr:col>13</xdr:col>
      <xdr:colOff>624497</xdr:colOff>
      <xdr:row>122</xdr:row>
      <xdr:rowOff>135020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0A5C446-0E4B-C850-F140-3D7417BD62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534737</xdr:colOff>
      <xdr:row>111</xdr:row>
      <xdr:rowOff>190978</xdr:rowOff>
    </xdr:from>
    <xdr:to>
      <xdr:col>9</xdr:col>
      <xdr:colOff>534738</xdr:colOff>
      <xdr:row>122</xdr:row>
      <xdr:rowOff>66842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36943447-0B7B-111D-11C6-8ADCBBFFFE06}"/>
            </a:ext>
          </a:extLst>
        </xdr:cNvPr>
        <xdr:cNvCxnSpPr/>
      </xdr:nvCxnSpPr>
      <xdr:spPr>
        <a:xfrm flipH="1">
          <a:off x="10322331" y="22869549"/>
          <a:ext cx="1" cy="208165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553834</xdr:colOff>
      <xdr:row>121</xdr:row>
      <xdr:rowOff>76390</xdr:rowOff>
    </xdr:from>
    <xdr:to>
      <xdr:col>10</xdr:col>
      <xdr:colOff>582481</xdr:colOff>
      <xdr:row>122</xdr:row>
      <xdr:rowOff>105037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E2A3710-B488-A541-D2C4-7FEE31645082}"/>
            </a:ext>
          </a:extLst>
        </xdr:cNvPr>
        <xdr:cNvSpPr txBox="1"/>
      </xdr:nvSpPr>
      <xdr:spPr>
        <a:xfrm>
          <a:off x="10341428" y="24760225"/>
          <a:ext cx="849850" cy="2291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00"/>
              </a:solidFill>
            </a:rPr>
            <a:t>$30.30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DA0A2E2-7AF9-0745-BF47-DD0B9414FEF1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34687-E5FA-3545-8EA3-F06B5928FE93}">
  <dimension ref="A1:L38"/>
  <sheetViews>
    <sheetView workbookViewId="0">
      <selection activeCell="P27" sqref="P27"/>
    </sheetView>
  </sheetViews>
  <sheetFormatPr baseColWidth="10" defaultRowHeight="16" x14ac:dyDescent="0.2"/>
  <cols>
    <col min="1" max="1" width="1.33203125" style="1" customWidth="1"/>
    <col min="2" max="2" width="11.1640625" style="1" customWidth="1"/>
    <col min="3" max="3" width="3.33203125" style="1" customWidth="1"/>
    <col min="4" max="4" width="2.6640625" style="1" customWidth="1"/>
    <col min="5" max="10" width="18.33203125" style="1" customWidth="1"/>
    <col min="11" max="11" width="6.6640625" style="1" customWidth="1"/>
    <col min="12" max="12" width="1.33203125" style="1" customWidth="1"/>
    <col min="13" max="16384" width="10.83203125" style="1"/>
  </cols>
  <sheetData>
    <row r="1" spans="1:12" ht="18" customHeight="1" x14ac:dyDescent="0.2">
      <c r="A1" s="348"/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</row>
    <row r="2" spans="1:12" ht="18" customHeight="1" x14ac:dyDescent="0.2">
      <c r="A2" s="348"/>
      <c r="B2" s="348"/>
      <c r="C2" s="348"/>
      <c r="D2" s="348"/>
      <c r="E2" s="348"/>
      <c r="F2" s="348"/>
      <c r="G2" s="348"/>
      <c r="H2" s="348"/>
      <c r="I2" s="348"/>
      <c r="J2" s="348"/>
      <c r="K2" s="348"/>
      <c r="L2" s="348"/>
    </row>
    <row r="3" spans="1:12" ht="18" customHeight="1" x14ac:dyDescent="0.2">
      <c r="A3" s="348"/>
      <c r="B3" s="348"/>
      <c r="C3" s="348"/>
      <c r="D3" s="348"/>
      <c r="E3" s="348"/>
      <c r="F3" s="348"/>
      <c r="G3" s="348"/>
      <c r="H3" s="348"/>
      <c r="I3" s="348"/>
      <c r="J3" s="348"/>
      <c r="K3" s="348"/>
      <c r="L3" s="348"/>
    </row>
    <row r="4" spans="1:12" ht="14" customHeight="1" x14ac:dyDescent="0.2">
      <c r="A4" s="4"/>
      <c r="B4" s="349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14" customHeight="1" x14ac:dyDescent="0.2">
      <c r="A5" s="4"/>
      <c r="B5" s="349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14" customHeight="1" x14ac:dyDescent="0.2">
      <c r="A6" s="4"/>
      <c r="B6" s="349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28" customHeight="1" x14ac:dyDescent="0.2">
      <c r="A7" s="4"/>
      <c r="B7" s="381" t="s">
        <v>666</v>
      </c>
      <c r="C7" s="4"/>
      <c r="D7" s="4"/>
      <c r="E7" s="351" t="s">
        <v>630</v>
      </c>
      <c r="F7" s="4"/>
      <c r="G7" s="4"/>
      <c r="H7" s="4"/>
      <c r="I7" s="4"/>
      <c r="J7" s="4"/>
      <c r="K7" s="4"/>
      <c r="L7" s="4"/>
    </row>
    <row r="8" spans="1:12" ht="14" customHeight="1" x14ac:dyDescent="0.2">
      <c r="A8" s="4"/>
      <c r="B8" s="349"/>
      <c r="C8" s="4"/>
      <c r="D8" s="4"/>
      <c r="E8" s="352" t="s">
        <v>631</v>
      </c>
      <c r="F8" s="4"/>
      <c r="G8" s="4"/>
      <c r="H8" s="4"/>
      <c r="I8" s="4"/>
      <c r="J8" s="4"/>
      <c r="K8" s="4"/>
      <c r="L8" s="4"/>
    </row>
    <row r="9" spans="1:12" ht="14" customHeight="1" x14ac:dyDescent="0.2">
      <c r="A9" s="4"/>
      <c r="B9" s="349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41" customHeight="1" x14ac:dyDescent="0.45">
      <c r="A10" s="4"/>
      <c r="B10" s="379" t="s">
        <v>659</v>
      </c>
      <c r="C10" s="4"/>
      <c r="D10" s="4"/>
      <c r="E10" s="354" t="s">
        <v>632</v>
      </c>
      <c r="F10" s="353"/>
      <c r="G10" s="353"/>
      <c r="H10" s="353"/>
      <c r="I10" s="353"/>
      <c r="J10" s="353"/>
      <c r="K10" s="353"/>
      <c r="L10" s="4"/>
    </row>
    <row r="11" spans="1:12" ht="33" customHeight="1" x14ac:dyDescent="0.2">
      <c r="A11" s="4"/>
      <c r="B11" s="379" t="s">
        <v>660</v>
      </c>
      <c r="C11" s="4"/>
      <c r="D11" s="4"/>
      <c r="E11" s="355" t="s">
        <v>633</v>
      </c>
      <c r="F11" s="353"/>
      <c r="G11" s="353"/>
      <c r="H11" s="353"/>
      <c r="I11" s="353"/>
      <c r="J11" s="353"/>
      <c r="K11" s="353"/>
      <c r="L11" s="4"/>
    </row>
    <row r="12" spans="1:12" ht="20" customHeight="1" x14ac:dyDescent="0.2">
      <c r="A12" s="4"/>
      <c r="B12" s="379" t="s">
        <v>661</v>
      </c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22" customHeight="1" x14ac:dyDescent="0.2">
      <c r="A13" s="4"/>
      <c r="B13" s="349"/>
      <c r="C13" s="4"/>
      <c r="D13" s="4"/>
      <c r="E13" s="356" t="s">
        <v>634</v>
      </c>
      <c r="F13" s="353"/>
      <c r="G13" s="353"/>
      <c r="H13" s="353"/>
      <c r="I13" s="353"/>
      <c r="J13" s="353"/>
      <c r="K13" s="353"/>
      <c r="L13" s="4"/>
    </row>
    <row r="14" spans="1:12" ht="14" customHeight="1" x14ac:dyDescent="0.2">
      <c r="A14" s="4"/>
      <c r="B14" s="380" t="s">
        <v>662</v>
      </c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4" customHeight="1" x14ac:dyDescent="0.2">
      <c r="A15" s="4"/>
      <c r="B15" s="349"/>
      <c r="C15" s="4"/>
      <c r="D15" s="4"/>
      <c r="E15" s="350"/>
      <c r="F15" s="350"/>
      <c r="G15" s="350"/>
      <c r="H15" s="350"/>
      <c r="I15" s="350"/>
      <c r="J15" s="350"/>
      <c r="K15" s="350"/>
      <c r="L15" s="4"/>
    </row>
    <row r="16" spans="1:12" ht="14" customHeight="1" x14ac:dyDescent="0.2">
      <c r="A16" s="4"/>
      <c r="B16" s="379" t="s">
        <v>663</v>
      </c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8" customHeight="1" x14ac:dyDescent="0.2">
      <c r="A17" s="4"/>
      <c r="B17" s="379" t="s">
        <v>664</v>
      </c>
      <c r="C17" s="4"/>
      <c r="D17" s="4"/>
      <c r="E17" s="357" t="s">
        <v>635</v>
      </c>
      <c r="F17" s="353"/>
      <c r="G17" s="353"/>
      <c r="H17" s="353"/>
      <c r="I17" s="353"/>
      <c r="J17" s="353"/>
      <c r="K17" s="353"/>
      <c r="L17" s="4"/>
    </row>
    <row r="18" spans="1:12" ht="18" customHeight="1" x14ac:dyDescent="0.2">
      <c r="A18" s="4"/>
      <c r="B18" s="379" t="s">
        <v>660</v>
      </c>
      <c r="C18" s="4"/>
      <c r="D18" s="4"/>
      <c r="E18" s="353"/>
      <c r="F18" s="353"/>
      <c r="G18" s="353"/>
      <c r="H18" s="353"/>
      <c r="I18" s="353"/>
      <c r="J18" s="353"/>
      <c r="K18" s="353"/>
      <c r="L18" s="4"/>
    </row>
    <row r="19" spans="1:12" ht="18" customHeight="1" x14ac:dyDescent="0.2">
      <c r="A19" s="4"/>
      <c r="B19" s="379" t="s">
        <v>665</v>
      </c>
      <c r="C19" s="4"/>
      <c r="D19" s="4"/>
      <c r="E19" s="353"/>
      <c r="F19" s="353"/>
      <c r="G19" s="353"/>
      <c r="H19" s="353"/>
      <c r="I19" s="353"/>
      <c r="J19" s="353"/>
      <c r="K19" s="353"/>
      <c r="L19" s="4"/>
    </row>
    <row r="20" spans="1:12" ht="14" customHeight="1" x14ac:dyDescent="0.2">
      <c r="A20" s="4"/>
      <c r="B20" s="349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14" customHeight="1" thickBot="1" x14ac:dyDescent="0.25">
      <c r="A21" s="4"/>
      <c r="B21" s="349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20" customHeight="1" x14ac:dyDescent="0.2">
      <c r="A22" s="4"/>
      <c r="B22" s="350"/>
      <c r="C22" s="4"/>
      <c r="D22" s="4"/>
      <c r="E22" s="369" t="s">
        <v>636</v>
      </c>
      <c r="F22" s="365"/>
      <c r="G22" s="366"/>
      <c r="H22" s="366"/>
      <c r="I22" s="366"/>
      <c r="J22" s="366"/>
      <c r="K22" s="375"/>
      <c r="L22" s="4"/>
    </row>
    <row r="23" spans="1:12" ht="28" customHeight="1" x14ac:dyDescent="0.2">
      <c r="A23" s="4"/>
      <c r="B23" s="350"/>
      <c r="C23" s="4"/>
      <c r="D23" s="4"/>
      <c r="E23" s="370">
        <v>40</v>
      </c>
      <c r="F23" s="361"/>
      <c r="G23" s="362">
        <v>0.32400000000000001</v>
      </c>
      <c r="H23" s="361"/>
      <c r="I23" s="363" t="s">
        <v>639</v>
      </c>
      <c r="J23" s="361"/>
      <c r="K23" s="376"/>
      <c r="L23" s="4"/>
    </row>
    <row r="24" spans="1:12" ht="16" customHeight="1" x14ac:dyDescent="0.2">
      <c r="A24" s="4"/>
      <c r="B24" s="350"/>
      <c r="C24" s="4"/>
      <c r="D24" s="4"/>
      <c r="E24" s="371" t="s">
        <v>637</v>
      </c>
      <c r="F24" s="361"/>
      <c r="G24" s="364" t="s">
        <v>638</v>
      </c>
      <c r="H24" s="361"/>
      <c r="I24" s="364" t="s">
        <v>346</v>
      </c>
      <c r="J24" s="361"/>
      <c r="K24" s="376"/>
      <c r="L24" s="4"/>
    </row>
    <row r="25" spans="1:12" ht="12" customHeight="1" x14ac:dyDescent="0.2">
      <c r="A25" s="4"/>
      <c r="B25" s="350"/>
      <c r="C25" s="4"/>
      <c r="D25" s="4"/>
      <c r="E25" s="372"/>
      <c r="F25" s="358"/>
      <c r="G25" s="358"/>
      <c r="H25" s="358"/>
      <c r="I25" s="358"/>
      <c r="J25" s="358"/>
      <c r="K25" s="377"/>
      <c r="L25" s="4"/>
    </row>
    <row r="26" spans="1:12" ht="28" customHeight="1" x14ac:dyDescent="0.2">
      <c r="A26" s="4"/>
      <c r="B26" s="350"/>
      <c r="C26" s="4"/>
      <c r="D26" s="4"/>
      <c r="E26" s="373" t="s">
        <v>640</v>
      </c>
      <c r="F26" s="359"/>
      <c r="G26" s="360" t="s">
        <v>642</v>
      </c>
      <c r="H26" s="359"/>
      <c r="I26" s="360" t="s">
        <v>644</v>
      </c>
      <c r="J26" s="359"/>
      <c r="K26" s="376"/>
      <c r="L26" s="4"/>
    </row>
    <row r="27" spans="1:12" ht="16" customHeight="1" x14ac:dyDescent="0.2">
      <c r="A27" s="4"/>
      <c r="B27" s="350"/>
      <c r="C27" s="4"/>
      <c r="D27" s="4"/>
      <c r="E27" s="371" t="s">
        <v>641</v>
      </c>
      <c r="F27" s="361"/>
      <c r="G27" s="364" t="s">
        <v>643</v>
      </c>
      <c r="H27" s="361"/>
      <c r="I27" s="364" t="s">
        <v>645</v>
      </c>
      <c r="J27" s="361"/>
      <c r="K27" s="376"/>
      <c r="L27" s="4"/>
    </row>
    <row r="28" spans="1:12" ht="12" customHeight="1" x14ac:dyDescent="0.2">
      <c r="A28" s="4"/>
      <c r="B28" s="350"/>
      <c r="C28" s="4"/>
      <c r="D28" s="4"/>
      <c r="E28" s="372"/>
      <c r="F28" s="358"/>
      <c r="G28" s="358"/>
      <c r="H28" s="358"/>
      <c r="I28" s="358"/>
      <c r="J28" s="358"/>
      <c r="K28" s="377"/>
      <c r="L28" s="4"/>
    </row>
    <row r="29" spans="1:12" ht="28" customHeight="1" x14ac:dyDescent="0.2">
      <c r="A29" s="4"/>
      <c r="B29" s="350"/>
      <c r="C29" s="4"/>
      <c r="D29" s="4"/>
      <c r="E29" s="373" t="s">
        <v>554</v>
      </c>
      <c r="F29" s="359"/>
      <c r="G29" s="360" t="s">
        <v>647</v>
      </c>
      <c r="H29" s="359"/>
      <c r="I29" s="360" t="s">
        <v>649</v>
      </c>
      <c r="J29" s="359"/>
      <c r="K29" s="376"/>
      <c r="L29" s="4"/>
    </row>
    <row r="30" spans="1:12" ht="16" customHeight="1" thickBot="1" x14ac:dyDescent="0.25">
      <c r="A30" s="4"/>
      <c r="B30" s="350"/>
      <c r="C30" s="4"/>
      <c r="D30" s="4"/>
      <c r="E30" s="374" t="s">
        <v>646</v>
      </c>
      <c r="F30" s="368"/>
      <c r="G30" s="367" t="s">
        <v>648</v>
      </c>
      <c r="H30" s="368"/>
      <c r="I30" s="367" t="s">
        <v>650</v>
      </c>
      <c r="J30" s="368"/>
      <c r="K30" s="378"/>
      <c r="L30" s="4"/>
    </row>
    <row r="31" spans="1:12" ht="4" customHeight="1" x14ac:dyDescent="0.2">
      <c r="A31" s="4"/>
      <c r="B31" s="349"/>
      <c r="C31" s="4"/>
      <c r="D31" s="4"/>
      <c r="E31" s="350"/>
      <c r="F31" s="350"/>
      <c r="G31" s="350"/>
      <c r="H31" s="350"/>
      <c r="I31" s="350"/>
      <c r="J31" s="350"/>
      <c r="K31" s="350"/>
      <c r="L31" s="4"/>
    </row>
    <row r="32" spans="1:12" ht="14" customHeight="1" x14ac:dyDescent="0.2">
      <c r="A32" s="4"/>
      <c r="B32" s="349"/>
      <c r="C32" s="4"/>
    </row>
    <row r="33" spans="1:3" ht="18" customHeight="1" x14ac:dyDescent="0.2">
      <c r="A33" s="4"/>
      <c r="B33" s="349"/>
      <c r="C33" s="4"/>
    </row>
    <row r="34" spans="1:3" ht="17" customHeight="1" x14ac:dyDescent="0.2">
      <c r="A34" s="4"/>
      <c r="B34" s="349"/>
      <c r="C34" s="4"/>
    </row>
    <row r="35" spans="1:3" ht="17" customHeight="1" x14ac:dyDescent="0.2">
      <c r="A35" s="4"/>
      <c r="B35" s="349"/>
      <c r="C35" s="4"/>
    </row>
    <row r="36" spans="1:3" ht="17" customHeight="1" x14ac:dyDescent="0.2">
      <c r="A36" s="4"/>
      <c r="B36" s="349"/>
      <c r="C36" s="4"/>
    </row>
    <row r="37" spans="1:3" ht="17" customHeight="1" x14ac:dyDescent="0.2">
      <c r="A37" s="4"/>
      <c r="B37" s="349"/>
      <c r="C37" s="4"/>
    </row>
    <row r="38" spans="1:3" ht="17" customHeight="1" x14ac:dyDescent="0.2">
      <c r="A38" s="4"/>
      <c r="B38" s="349"/>
      <c r="C38" s="4"/>
    </row>
  </sheetData>
  <mergeCells count="23">
    <mergeCell ref="E30:F30"/>
    <mergeCell ref="G29:H29"/>
    <mergeCell ref="G30:H30"/>
    <mergeCell ref="I29:J29"/>
    <mergeCell ref="I30:J30"/>
    <mergeCell ref="E27:F27"/>
    <mergeCell ref="G26:H26"/>
    <mergeCell ref="G27:H27"/>
    <mergeCell ref="I26:J26"/>
    <mergeCell ref="I27:J27"/>
    <mergeCell ref="E29:F29"/>
    <mergeCell ref="E24:F24"/>
    <mergeCell ref="G23:H23"/>
    <mergeCell ref="G24:H24"/>
    <mergeCell ref="I23:J23"/>
    <mergeCell ref="I24:J24"/>
    <mergeCell ref="E26:F26"/>
    <mergeCell ref="E10:K10"/>
    <mergeCell ref="E11:K11"/>
    <mergeCell ref="E13:K13"/>
    <mergeCell ref="E17:K19"/>
    <mergeCell ref="E22:F22"/>
    <mergeCell ref="E23:F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C565B-001D-0F4C-A532-8D9016867E17}">
  <dimension ref="A1:G26"/>
  <sheetViews>
    <sheetView workbookViewId="0">
      <selection activeCell="K16" sqref="K16"/>
    </sheetView>
  </sheetViews>
  <sheetFormatPr baseColWidth="10" defaultRowHeight="16" x14ac:dyDescent="0.2"/>
  <cols>
    <col min="1" max="1" width="4.6640625" style="1" customWidth="1"/>
    <col min="2" max="2" width="3" style="1" customWidth="1"/>
    <col min="3" max="3" width="6.6640625" style="1" customWidth="1"/>
    <col min="4" max="4" width="30.83203125" style="1" customWidth="1"/>
    <col min="5" max="5" width="53.33203125" style="1" customWidth="1"/>
    <col min="6" max="6" width="8.33203125" style="1" customWidth="1"/>
    <col min="7" max="7" width="1.33203125" style="1" customWidth="1"/>
    <col min="8" max="16384" width="10.83203125" style="1"/>
  </cols>
  <sheetData>
    <row r="1" spans="1:7" ht="16" customHeight="1" x14ac:dyDescent="0.2">
      <c r="A1" s="349"/>
      <c r="B1" s="348"/>
      <c r="C1" s="348"/>
      <c r="D1" s="348"/>
      <c r="E1" s="348"/>
      <c r="F1" s="348"/>
      <c r="G1" s="348"/>
    </row>
    <row r="2" spans="1:7" ht="16" customHeight="1" x14ac:dyDescent="0.2">
      <c r="A2" s="349"/>
      <c r="B2" s="348"/>
      <c r="C2" s="348"/>
      <c r="D2" s="348"/>
      <c r="E2" s="348"/>
      <c r="F2" s="348"/>
      <c r="G2" s="348"/>
    </row>
    <row r="3" spans="1:7" ht="16" customHeight="1" x14ac:dyDescent="0.2">
      <c r="A3" s="349"/>
      <c r="B3" s="348"/>
      <c r="C3" s="348"/>
      <c r="D3" s="348"/>
      <c r="E3" s="348"/>
      <c r="F3" s="348"/>
      <c r="G3" s="348"/>
    </row>
    <row r="4" spans="1:7" ht="20" customHeight="1" x14ac:dyDescent="0.2">
      <c r="A4" s="349"/>
      <c r="B4" s="350"/>
      <c r="C4" s="383" t="s">
        <v>667</v>
      </c>
      <c r="D4" s="350"/>
      <c r="E4" s="350"/>
      <c r="F4" s="350"/>
      <c r="G4" s="350"/>
    </row>
    <row r="5" spans="1:7" ht="8" customHeight="1" x14ac:dyDescent="0.2">
      <c r="A5" s="349"/>
    </row>
    <row r="6" spans="1:7" ht="10" customHeight="1" x14ac:dyDescent="0.2">
      <c r="A6" s="349"/>
    </row>
    <row r="7" spans="1:7" ht="38" customHeight="1" x14ac:dyDescent="0.2">
      <c r="A7" s="349"/>
      <c r="C7" s="404" t="s">
        <v>668</v>
      </c>
      <c r="D7" s="405"/>
      <c r="E7" s="405"/>
      <c r="F7" s="405"/>
    </row>
    <row r="8" spans="1:7" ht="30" customHeight="1" x14ac:dyDescent="0.2">
      <c r="A8" s="349"/>
      <c r="C8" s="406" t="s">
        <v>669</v>
      </c>
      <c r="D8" s="405"/>
      <c r="E8" s="405"/>
      <c r="F8" s="405"/>
    </row>
    <row r="9" spans="1:7" ht="22" customHeight="1" x14ac:dyDescent="0.2">
      <c r="A9" s="349"/>
      <c r="C9" s="407" t="s">
        <v>670</v>
      </c>
      <c r="D9" s="405"/>
      <c r="E9" s="405"/>
      <c r="F9" s="405"/>
    </row>
    <row r="10" spans="1:7" ht="6" customHeight="1" x14ac:dyDescent="0.2">
      <c r="A10" s="349"/>
      <c r="C10" s="350"/>
      <c r="D10" s="350"/>
      <c r="E10" s="350"/>
      <c r="F10" s="350"/>
    </row>
    <row r="11" spans="1:7" ht="16" customHeight="1" thickBot="1" x14ac:dyDescent="0.25">
      <c r="A11" s="349"/>
    </row>
    <row r="12" spans="1:7" ht="26" customHeight="1" x14ac:dyDescent="0.2">
      <c r="A12" s="349"/>
      <c r="C12" s="393" t="s">
        <v>671</v>
      </c>
      <c r="D12" s="392" t="s">
        <v>672</v>
      </c>
      <c r="E12" s="392" t="s">
        <v>673</v>
      </c>
      <c r="F12" s="397" t="s">
        <v>674</v>
      </c>
    </row>
    <row r="13" spans="1:7" ht="26" customHeight="1" x14ac:dyDescent="0.2">
      <c r="A13" s="401"/>
      <c r="C13" s="394">
        <v>1</v>
      </c>
      <c r="D13" s="384" t="s">
        <v>651</v>
      </c>
      <c r="E13" s="385" t="s">
        <v>675</v>
      </c>
      <c r="F13" s="398" t="s">
        <v>676</v>
      </c>
    </row>
    <row r="14" spans="1:7" ht="26" customHeight="1" x14ac:dyDescent="0.2">
      <c r="A14" s="401"/>
      <c r="C14" s="395">
        <v>2</v>
      </c>
      <c r="D14" s="388" t="s">
        <v>79</v>
      </c>
      <c r="E14" s="389" t="s">
        <v>677</v>
      </c>
      <c r="F14" s="399" t="s">
        <v>678</v>
      </c>
    </row>
    <row r="15" spans="1:7" ht="26" customHeight="1" x14ac:dyDescent="0.2">
      <c r="A15" s="349"/>
      <c r="C15" s="396">
        <v>3</v>
      </c>
      <c r="D15" s="390" t="s">
        <v>652</v>
      </c>
      <c r="E15" s="391" t="s">
        <v>679</v>
      </c>
      <c r="F15" s="400" t="s">
        <v>680</v>
      </c>
    </row>
    <row r="16" spans="1:7" ht="26" customHeight="1" x14ac:dyDescent="0.2">
      <c r="A16" s="401"/>
      <c r="C16" s="395">
        <v>4</v>
      </c>
      <c r="D16" s="388" t="s">
        <v>653</v>
      </c>
      <c r="E16" s="389" t="s">
        <v>681</v>
      </c>
      <c r="F16" s="399" t="s">
        <v>682</v>
      </c>
    </row>
    <row r="17" spans="1:6" ht="26" customHeight="1" x14ac:dyDescent="0.2">
      <c r="A17" s="349"/>
      <c r="C17" s="396">
        <v>5</v>
      </c>
      <c r="D17" s="390" t="s">
        <v>654</v>
      </c>
      <c r="E17" s="391" t="s">
        <v>683</v>
      </c>
      <c r="F17" s="400" t="s">
        <v>684</v>
      </c>
    </row>
    <row r="18" spans="1:6" ht="26" customHeight="1" x14ac:dyDescent="0.2">
      <c r="A18" s="401"/>
      <c r="C18" s="395">
        <v>6</v>
      </c>
      <c r="D18" s="388" t="s">
        <v>100</v>
      </c>
      <c r="E18" s="389" t="s">
        <v>685</v>
      </c>
      <c r="F18" s="399" t="s">
        <v>469</v>
      </c>
    </row>
    <row r="19" spans="1:6" ht="26" customHeight="1" x14ac:dyDescent="0.2">
      <c r="A19" s="401"/>
      <c r="C19" s="396">
        <v>7</v>
      </c>
      <c r="D19" s="390" t="s">
        <v>655</v>
      </c>
      <c r="E19" s="391" t="s">
        <v>686</v>
      </c>
      <c r="F19" s="400" t="s">
        <v>687</v>
      </c>
    </row>
    <row r="20" spans="1:6" ht="26" customHeight="1" x14ac:dyDescent="0.2">
      <c r="A20" s="349"/>
      <c r="C20" s="395">
        <v>8</v>
      </c>
      <c r="D20" s="388" t="s">
        <v>656</v>
      </c>
      <c r="E20" s="389" t="s">
        <v>688</v>
      </c>
      <c r="F20" s="399" t="s">
        <v>689</v>
      </c>
    </row>
    <row r="21" spans="1:6" ht="26" customHeight="1" x14ac:dyDescent="0.2">
      <c r="A21" s="349"/>
      <c r="C21" s="396">
        <v>9</v>
      </c>
      <c r="D21" s="390" t="s">
        <v>657</v>
      </c>
      <c r="E21" s="391" t="s">
        <v>690</v>
      </c>
      <c r="F21" s="400" t="s">
        <v>691</v>
      </c>
    </row>
    <row r="22" spans="1:6" ht="26" customHeight="1" x14ac:dyDescent="0.2">
      <c r="A22" s="401"/>
      <c r="C22" s="402">
        <v>10</v>
      </c>
      <c r="D22" s="386" t="s">
        <v>658</v>
      </c>
      <c r="E22" s="387" t="s">
        <v>692</v>
      </c>
      <c r="F22" s="403" t="s">
        <v>658</v>
      </c>
    </row>
    <row r="23" spans="1:6" ht="4" customHeight="1" x14ac:dyDescent="0.2">
      <c r="A23" s="349"/>
      <c r="C23" s="350"/>
      <c r="D23" s="350"/>
      <c r="E23" s="350"/>
      <c r="F23" s="350"/>
    </row>
    <row r="24" spans="1:6" ht="14" customHeight="1" x14ac:dyDescent="0.2">
      <c r="A24" s="349"/>
      <c r="C24" s="408" t="s">
        <v>693</v>
      </c>
      <c r="D24" s="405"/>
      <c r="E24" s="405"/>
      <c r="F24" s="405"/>
    </row>
    <row r="25" spans="1:6" ht="14" customHeight="1" x14ac:dyDescent="0.2">
      <c r="A25" s="349"/>
      <c r="F25" s="409">
        <v>45292</v>
      </c>
    </row>
    <row r="26" spans="1:6" ht="14" customHeight="1" x14ac:dyDescent="0.2">
      <c r="A26" s="349"/>
    </row>
  </sheetData>
  <mergeCells count="4">
    <mergeCell ref="C7:F7"/>
    <mergeCell ref="C8:F8"/>
    <mergeCell ref="C9:F9"/>
    <mergeCell ref="C24:F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2F8B8-2A18-9D42-BBD1-A4F03A4F4559}">
  <dimension ref="A1:R52"/>
  <sheetViews>
    <sheetView workbookViewId="0">
      <selection activeCell="Q14" sqref="Q14"/>
    </sheetView>
  </sheetViews>
  <sheetFormatPr baseColWidth="10" defaultRowHeight="16" x14ac:dyDescent="0.2"/>
  <cols>
    <col min="1" max="1" width="4.6640625" style="1" customWidth="1"/>
    <col min="2" max="2" width="2.33203125" style="1" customWidth="1"/>
    <col min="3" max="3" width="18.33203125" style="1" customWidth="1"/>
    <col min="4" max="6" width="15.83203125" style="1" customWidth="1"/>
    <col min="7" max="7" width="2.33203125" style="1" customWidth="1"/>
    <col min="8" max="8" width="18.33203125" style="1" customWidth="1"/>
    <col min="9" max="11" width="15.83203125" style="1" customWidth="1"/>
    <col min="12" max="12" width="1.33203125" style="1" customWidth="1"/>
    <col min="13" max="14" width="2.33203125" style="1" customWidth="1"/>
    <col min="15" max="15" width="1.33203125" style="1" customWidth="1"/>
    <col min="16" max="16384" width="10.83203125" style="1"/>
  </cols>
  <sheetData>
    <row r="1" spans="1:18" ht="16" customHeight="1" x14ac:dyDescent="0.2">
      <c r="A1" s="349"/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281" t="s">
        <v>734</v>
      </c>
      <c r="N1" s="281"/>
      <c r="O1" s="281"/>
      <c r="P1" s="281"/>
      <c r="Q1" s="281"/>
      <c r="R1" s="281"/>
    </row>
    <row r="2" spans="1:18" ht="16" customHeight="1" x14ac:dyDescent="0.2">
      <c r="A2" s="349"/>
      <c r="B2" s="348"/>
      <c r="C2" s="348"/>
      <c r="D2" s="348"/>
      <c r="E2" s="348"/>
      <c r="F2" s="348"/>
      <c r="G2" s="348"/>
      <c r="H2" s="348"/>
      <c r="I2" s="348"/>
      <c r="J2" s="348"/>
      <c r="K2" s="348"/>
      <c r="L2" s="348"/>
      <c r="M2" s="281" t="s">
        <v>1</v>
      </c>
      <c r="N2" s="281" t="s">
        <v>735</v>
      </c>
      <c r="O2" s="281" t="s">
        <v>129</v>
      </c>
      <c r="P2" s="281"/>
      <c r="Q2" s="281"/>
      <c r="R2" s="281"/>
    </row>
    <row r="3" spans="1:18" ht="16" customHeight="1" x14ac:dyDescent="0.2">
      <c r="A3" s="349"/>
      <c r="B3" s="348"/>
      <c r="C3" s="348"/>
      <c r="D3" s="348"/>
      <c r="E3" s="348"/>
      <c r="F3" s="348"/>
      <c r="G3" s="348"/>
      <c r="H3" s="348"/>
      <c r="I3" s="348"/>
      <c r="J3" s="348"/>
      <c r="K3" s="348"/>
      <c r="L3" s="348"/>
      <c r="M3" s="281" t="s">
        <v>736</v>
      </c>
      <c r="N3" s="281">
        <v>0</v>
      </c>
      <c r="O3" s="281">
        <f ca="1">'Accretion-Dilution Analysis'!C34</f>
        <v>1.133693343759403</v>
      </c>
      <c r="P3" s="281"/>
      <c r="Q3" s="281"/>
      <c r="R3" s="281"/>
    </row>
    <row r="4" spans="1:18" ht="20" customHeight="1" x14ac:dyDescent="0.2">
      <c r="A4" s="349"/>
      <c r="B4" s="350"/>
      <c r="C4" s="382" t="s">
        <v>667</v>
      </c>
      <c r="D4" s="350"/>
      <c r="E4" s="350"/>
      <c r="F4" s="350"/>
      <c r="G4" s="350"/>
      <c r="H4" s="350"/>
      <c r="I4" s="350"/>
      <c r="J4" s="350"/>
      <c r="K4" s="350"/>
      <c r="L4" s="350"/>
      <c r="M4" s="281" t="e" cm="1">
        <f t="array" ref="M4">+ JNPR NI</f>
        <v>#NAME?</v>
      </c>
      <c r="N4" s="281">
        <f ca="1">'Accretion-Dilution Analysis'!C34</f>
        <v>1.133693343759403</v>
      </c>
      <c r="O4" s="281">
        <f ca="1">'Target Standalone'!G31/'Accretion-Dilution Analysis'!C32</f>
        <v>0.50595563194310011</v>
      </c>
      <c r="P4" s="281"/>
      <c r="Q4" s="281"/>
      <c r="R4" s="281"/>
    </row>
    <row r="5" spans="1:18" ht="8" customHeight="1" x14ac:dyDescent="0.2">
      <c r="A5" s="349"/>
      <c r="M5" s="281" t="s">
        <v>747</v>
      </c>
      <c r="N5" s="281">
        <f ca="1">'Accretion-Dilution Analysis'!C34+'Target Standalone'!G31/'Accretion-Dilution Analysis'!C32</f>
        <v>1.639648975702503</v>
      </c>
      <c r="O5" s="281">
        <f>'Accretion-Dilution Analysis'!C22/'Accretion-Dilution Analysis'!C32</f>
        <v>-0.24906247329570128</v>
      </c>
      <c r="P5" s="281"/>
      <c r="Q5" s="281"/>
      <c r="R5" s="281"/>
    </row>
    <row r="6" spans="1:18" ht="8" customHeight="1" x14ac:dyDescent="0.2">
      <c r="A6" s="349"/>
      <c r="M6" s="281" t="s">
        <v>737</v>
      </c>
      <c r="N6" s="281">
        <v>0</v>
      </c>
      <c r="O6" s="281">
        <f>'Accretion-Dilution Analysis'!C24/'Accretion-Dilution Analysis'!C32</f>
        <v>-0.34817629179331311</v>
      </c>
      <c r="P6" s="281"/>
      <c r="Q6" s="281"/>
      <c r="R6" s="281"/>
    </row>
    <row r="7" spans="1:18" ht="36" customHeight="1" x14ac:dyDescent="0.2">
      <c r="A7" s="349"/>
      <c r="C7" s="445" t="s">
        <v>651</v>
      </c>
      <c r="D7" s="405"/>
      <c r="E7" s="405"/>
      <c r="F7" s="405"/>
      <c r="G7" s="405"/>
      <c r="H7" s="405"/>
      <c r="I7" s="405"/>
      <c r="J7" s="405"/>
      <c r="K7" s="405"/>
      <c r="M7" s="281" t="e" cm="1">
        <f t="array" ref="M7">+ Synergies</f>
        <v>#NAME?</v>
      </c>
      <c r="N7" s="281">
        <v>0</v>
      </c>
      <c r="O7" s="281">
        <f>('Accretion-Dilution Analysis'!C25+'Accretion-Dilution Analysis'!C26+'Accretion-Dilution Analysis'!C27)/'Accretion-Dilution Analysis'!C32</f>
        <v>-2.5077275090981385E-2</v>
      </c>
      <c r="P7" s="281"/>
      <c r="Q7" s="281"/>
      <c r="R7" s="281"/>
    </row>
    <row r="8" spans="1:18" ht="26" customHeight="1" x14ac:dyDescent="0.2">
      <c r="A8" s="349"/>
      <c r="C8" s="446" t="s">
        <v>694</v>
      </c>
      <c r="D8" s="405"/>
      <c r="E8" s="405"/>
      <c r="F8" s="405"/>
      <c r="G8" s="405"/>
      <c r="H8" s="405"/>
      <c r="I8" s="405"/>
      <c r="J8" s="405"/>
      <c r="K8" s="405"/>
      <c r="M8" s="281" t="s">
        <v>738</v>
      </c>
      <c r="N8" s="281">
        <v>0</v>
      </c>
      <c r="O8" s="281">
        <f ca="1">'Accretion-Dilution Analysis'!C33</f>
        <v>0.48280283549430103</v>
      </c>
      <c r="P8" s="281"/>
      <c r="Q8" s="281"/>
      <c r="R8" s="281"/>
    </row>
    <row r="9" spans="1:18" ht="20" customHeight="1" x14ac:dyDescent="0.2">
      <c r="A9" s="349"/>
      <c r="C9" s="447" t="s">
        <v>695</v>
      </c>
      <c r="D9" s="405"/>
      <c r="E9" s="405"/>
      <c r="F9" s="405"/>
      <c r="G9" s="405"/>
      <c r="H9" s="405"/>
      <c r="I9" s="405"/>
      <c r="J9" s="405"/>
      <c r="K9" s="405"/>
      <c r="M9" s="281"/>
      <c r="N9" s="281"/>
      <c r="O9" s="281"/>
      <c r="P9" s="281"/>
      <c r="Q9" s="281"/>
      <c r="R9" s="281"/>
    </row>
    <row r="10" spans="1:18" ht="6" customHeight="1" x14ac:dyDescent="0.2">
      <c r="A10" s="349"/>
      <c r="C10" s="350"/>
      <c r="D10" s="350"/>
      <c r="E10" s="350"/>
      <c r="F10" s="350"/>
      <c r="G10" s="350"/>
      <c r="H10" s="350"/>
      <c r="I10" s="350"/>
      <c r="J10" s="350"/>
      <c r="K10" s="350"/>
      <c r="M10" s="281" t="s">
        <v>739</v>
      </c>
      <c r="N10" s="281"/>
      <c r="O10" s="281"/>
      <c r="P10" s="281"/>
      <c r="Q10" s="281"/>
      <c r="R10" s="281"/>
    </row>
    <row r="11" spans="1:18" ht="14" customHeight="1" x14ac:dyDescent="0.2">
      <c r="A11" s="349"/>
      <c r="M11" s="281" t="s">
        <v>740</v>
      </c>
      <c r="N11" s="281" t="s">
        <v>741</v>
      </c>
      <c r="O11" s="281" t="s">
        <v>125</v>
      </c>
      <c r="P11" s="281"/>
      <c r="Q11" s="281"/>
      <c r="R11" s="281"/>
    </row>
    <row r="12" spans="1:18" ht="22" customHeight="1" thickBot="1" x14ac:dyDescent="0.25">
      <c r="A12" s="349"/>
      <c r="C12" s="453" t="s">
        <v>696</v>
      </c>
      <c r="D12" s="454"/>
      <c r="E12" s="454"/>
      <c r="F12" s="454"/>
      <c r="G12" s="454"/>
      <c r="H12" s="454"/>
      <c r="I12" s="454"/>
      <c r="J12" s="454"/>
      <c r="K12" s="454"/>
      <c r="M12" s="281" t="s">
        <v>44</v>
      </c>
      <c r="N12" s="281">
        <f>'Synergy Assumptions'!C20</f>
        <v>125.32288868252469</v>
      </c>
      <c r="O12" s="281">
        <f>'Synergy Assumptions'!C35</f>
        <v>-41.774296227508231</v>
      </c>
      <c r="P12" s="281"/>
      <c r="Q12" s="281"/>
      <c r="R12" s="281"/>
    </row>
    <row r="13" spans="1:18" ht="18" customHeight="1" x14ac:dyDescent="0.2">
      <c r="A13" s="349"/>
      <c r="C13" s="458" t="s">
        <v>697</v>
      </c>
      <c r="D13" s="457"/>
      <c r="E13" s="457"/>
      <c r="F13" s="450"/>
      <c r="H13" s="458" t="s">
        <v>702</v>
      </c>
      <c r="I13" s="457"/>
      <c r="J13" s="457"/>
      <c r="K13" s="450"/>
      <c r="M13" s="281" t="s">
        <v>45</v>
      </c>
      <c r="N13" s="281">
        <f>'Synergy Assumptions'!D20</f>
        <v>250.64577736504938</v>
      </c>
      <c r="O13" s="281">
        <f>'Synergy Assumptions'!D35</f>
        <v>83.548592455016461</v>
      </c>
      <c r="P13" s="281"/>
      <c r="Q13" s="281"/>
      <c r="R13" s="281"/>
    </row>
    <row r="14" spans="1:18" ht="18" customHeight="1" x14ac:dyDescent="0.2">
      <c r="A14" s="349"/>
      <c r="C14" s="459" t="s">
        <v>2</v>
      </c>
      <c r="D14" s="455" t="s">
        <v>698</v>
      </c>
      <c r="E14" s="456"/>
      <c r="F14" s="425"/>
      <c r="H14" s="482" t="s">
        <v>703</v>
      </c>
      <c r="I14" s="498" t="s">
        <v>704</v>
      </c>
      <c r="J14" s="460"/>
      <c r="K14" s="497"/>
      <c r="M14" s="281" t="s">
        <v>46</v>
      </c>
      <c r="N14" s="281">
        <f>'Synergy Assumptions'!E20</f>
        <v>401.03324378407905</v>
      </c>
      <c r="O14" s="281">
        <f>'Synergy Assumptions'!E35</f>
        <v>401.03324378407905</v>
      </c>
      <c r="P14" s="281"/>
      <c r="Q14" s="281"/>
      <c r="R14" s="281"/>
    </row>
    <row r="15" spans="1:18" ht="18" customHeight="1" x14ac:dyDescent="0.2">
      <c r="A15" s="349"/>
      <c r="C15" s="462" t="s">
        <v>3</v>
      </c>
      <c r="D15" s="463" t="s">
        <v>699</v>
      </c>
      <c r="E15" s="464"/>
      <c r="F15" s="426"/>
      <c r="H15" s="437" t="s">
        <v>705</v>
      </c>
      <c r="I15" s="499" t="s">
        <v>706</v>
      </c>
      <c r="J15" s="461"/>
      <c r="K15" s="472"/>
      <c r="M15" s="281" t="s">
        <v>102</v>
      </c>
      <c r="N15" s="281">
        <f>'Synergy Assumptions'!F20</f>
        <v>501.29155473009877</v>
      </c>
      <c r="O15" s="281">
        <f>'Synergy Assumptions'!F35</f>
        <v>501.29155473009877</v>
      </c>
      <c r="P15" s="281"/>
      <c r="Q15" s="281"/>
      <c r="R15" s="281"/>
    </row>
    <row r="16" spans="1:18" ht="18" customHeight="1" x14ac:dyDescent="0.2">
      <c r="A16" s="349"/>
      <c r="C16" s="469" t="s">
        <v>4</v>
      </c>
      <c r="D16" s="470" t="s">
        <v>700</v>
      </c>
      <c r="E16" s="471"/>
      <c r="F16" s="427"/>
      <c r="H16" s="438" t="s">
        <v>707</v>
      </c>
      <c r="I16" s="500" t="s">
        <v>708</v>
      </c>
      <c r="J16" s="468"/>
      <c r="K16" s="473"/>
      <c r="M16" s="281" t="s">
        <v>47</v>
      </c>
      <c r="N16" s="281">
        <f>'Synergy Assumptions'!G20</f>
        <v>501.29155473009877</v>
      </c>
      <c r="O16" s="281">
        <f>'Synergy Assumptions'!G35</f>
        <v>167.09718491003292</v>
      </c>
      <c r="P16" s="281"/>
      <c r="Q16" s="281"/>
      <c r="R16" s="281"/>
    </row>
    <row r="17" spans="1:18" ht="18" customHeight="1" x14ac:dyDescent="0.2">
      <c r="A17" s="349"/>
      <c r="C17" s="462" t="s">
        <v>13</v>
      </c>
      <c r="D17" s="463" t="s">
        <v>701</v>
      </c>
      <c r="E17" s="463"/>
      <c r="F17" s="426"/>
      <c r="H17" s="437" t="s">
        <v>709</v>
      </c>
      <c r="I17" s="499" t="s">
        <v>710</v>
      </c>
      <c r="J17" s="461"/>
      <c r="K17" s="472"/>
      <c r="M17" s="281"/>
      <c r="N17" s="281"/>
      <c r="O17" s="281"/>
      <c r="P17" s="281"/>
      <c r="Q17" s="281"/>
      <c r="R17" s="281"/>
    </row>
    <row r="18" spans="1:18" ht="18" customHeight="1" x14ac:dyDescent="0.2">
      <c r="A18" s="349"/>
      <c r="C18" s="465" t="s">
        <v>346</v>
      </c>
      <c r="D18" s="466" t="s">
        <v>639</v>
      </c>
      <c r="E18" s="466"/>
      <c r="F18" s="467"/>
      <c r="H18" s="483" t="s">
        <v>711</v>
      </c>
      <c r="I18" s="500" t="s">
        <v>712</v>
      </c>
      <c r="J18" s="468"/>
      <c r="K18" s="473"/>
      <c r="M18" s="281" t="s">
        <v>742</v>
      </c>
      <c r="N18" s="281"/>
      <c r="O18" s="281"/>
      <c r="P18" s="281"/>
      <c r="Q18" s="281"/>
      <c r="R18" s="281"/>
    </row>
    <row r="19" spans="1:18" ht="8" customHeight="1" x14ac:dyDescent="0.2">
      <c r="A19" s="349"/>
      <c r="M19" s="281" t="s">
        <v>743</v>
      </c>
      <c r="N19" s="281" t="s">
        <v>30</v>
      </c>
      <c r="O19" s="281" t="s">
        <v>31</v>
      </c>
      <c r="P19" s="281"/>
      <c r="Q19" s="281"/>
      <c r="R19" s="281"/>
    </row>
    <row r="20" spans="1:18" ht="22" customHeight="1" x14ac:dyDescent="0.2">
      <c r="A20" s="350"/>
      <c r="C20" s="453" t="s">
        <v>713</v>
      </c>
      <c r="D20" s="454"/>
      <c r="E20" s="454"/>
      <c r="F20" s="454"/>
      <c r="G20" s="454"/>
      <c r="H20" s="454"/>
      <c r="I20" s="454"/>
      <c r="J20" s="454"/>
      <c r="K20" s="454"/>
      <c r="M20" s="281" t="s">
        <v>744</v>
      </c>
      <c r="N20" s="281">
        <f>'Acquirer Standalone'!G8</f>
        <v>30432.575941369007</v>
      </c>
      <c r="O20" s="281">
        <f>'Acquirer Standalone'!G22</f>
        <v>4918.3824544582576</v>
      </c>
      <c r="P20" s="281"/>
      <c r="Q20" s="281"/>
      <c r="R20" s="281"/>
    </row>
    <row r="21" spans="1:18" ht="16" customHeight="1" x14ac:dyDescent="0.2">
      <c r="A21" s="350"/>
      <c r="M21" s="281" t="s">
        <v>745</v>
      </c>
      <c r="N21" s="281">
        <f>'Target Standalone'!G8</f>
        <v>5731.4350000000004</v>
      </c>
      <c r="O21" s="281">
        <f>'Target Standalone'!G22</f>
        <v>941.9804584970318</v>
      </c>
      <c r="P21" s="281"/>
      <c r="Q21" s="281"/>
      <c r="R21" s="281"/>
    </row>
    <row r="22" spans="1:18" ht="16" customHeight="1" x14ac:dyDescent="0.2">
      <c r="A22" s="350"/>
      <c r="M22" s="281" t="s">
        <v>488</v>
      </c>
      <c r="N22" s="281">
        <f>'Pro forma Financials'!H8</f>
        <v>31389.1</v>
      </c>
      <c r="O22" s="281">
        <f>'Pro forma Financials'!H21</f>
        <v>4298.8866095238072</v>
      </c>
      <c r="P22" s="281"/>
      <c r="Q22" s="281"/>
      <c r="R22" s="281"/>
    </row>
    <row r="23" spans="1:18" ht="16" customHeight="1" x14ac:dyDescent="0.2">
      <c r="A23" s="350"/>
      <c r="M23" s="281" t="s">
        <v>746</v>
      </c>
      <c r="N23" s="281">
        <f>'Pro forma Financials'!D87</f>
        <v>31890.391554730097</v>
      </c>
      <c r="O23" s="281">
        <f>'Pro forma Financials'!D88</f>
        <v>4800.1781642539063</v>
      </c>
      <c r="P23" s="281"/>
      <c r="Q23" s="281"/>
      <c r="R23" s="281"/>
    </row>
    <row r="24" spans="1:18" ht="16" customHeight="1" x14ac:dyDescent="0.2">
      <c r="A24" s="350"/>
      <c r="M24" s="281"/>
      <c r="N24" s="281"/>
      <c r="O24" s="281"/>
      <c r="P24" s="281"/>
      <c r="Q24" s="281"/>
      <c r="R24" s="281"/>
    </row>
    <row r="25" spans="1:18" ht="16" customHeight="1" x14ac:dyDescent="0.2">
      <c r="A25" s="350"/>
      <c r="M25" s="281"/>
      <c r="N25" s="281"/>
      <c r="O25" s="281"/>
      <c r="P25" s="281"/>
      <c r="Q25" s="281"/>
      <c r="R25" s="281"/>
    </row>
    <row r="26" spans="1:18" ht="16" customHeight="1" x14ac:dyDescent="0.2">
      <c r="A26" s="350"/>
      <c r="M26" s="281"/>
      <c r="N26" s="281"/>
      <c r="O26" s="281"/>
      <c r="P26" s="281"/>
      <c r="Q26" s="281"/>
      <c r="R26" s="281"/>
    </row>
    <row r="27" spans="1:18" ht="16" customHeight="1" x14ac:dyDescent="0.2">
      <c r="A27" s="350"/>
      <c r="M27" s="281"/>
      <c r="N27" s="281"/>
      <c r="O27" s="281"/>
      <c r="P27" s="281"/>
      <c r="Q27" s="281"/>
      <c r="R27" s="281"/>
    </row>
    <row r="28" spans="1:18" ht="16" customHeight="1" x14ac:dyDescent="0.2">
      <c r="A28" s="350"/>
    </row>
    <row r="29" spans="1:18" ht="16" customHeight="1" x14ac:dyDescent="0.2">
      <c r="A29" s="350"/>
    </row>
    <row r="30" spans="1:18" ht="16" customHeight="1" x14ac:dyDescent="0.2">
      <c r="A30" s="350"/>
    </row>
    <row r="31" spans="1:18" ht="16" customHeight="1" x14ac:dyDescent="0.2">
      <c r="A31" s="350"/>
    </row>
    <row r="32" spans="1:18" ht="16" customHeight="1" x14ac:dyDescent="0.2">
      <c r="A32" s="350"/>
    </row>
    <row r="33" spans="1:11" ht="16" customHeight="1" x14ac:dyDescent="0.2">
      <c r="A33" s="350"/>
    </row>
    <row r="34" spans="1:11" ht="16" customHeight="1" x14ac:dyDescent="0.2">
      <c r="A34" s="350"/>
    </row>
    <row r="35" spans="1:11" ht="8" customHeight="1" x14ac:dyDescent="0.2">
      <c r="A35" s="349"/>
    </row>
    <row r="36" spans="1:11" ht="22" customHeight="1" thickBot="1" x14ac:dyDescent="0.25">
      <c r="A36" s="349"/>
      <c r="C36" s="501" t="s">
        <v>714</v>
      </c>
      <c r="D36" s="501"/>
      <c r="E36" s="501"/>
      <c r="F36" s="501"/>
      <c r="G36" s="501"/>
      <c r="H36" s="501"/>
      <c r="I36" s="501"/>
      <c r="J36" s="501"/>
      <c r="K36" s="501"/>
    </row>
    <row r="37" spans="1:11" ht="18" customHeight="1" x14ac:dyDescent="0.2">
      <c r="A37" s="349"/>
      <c r="C37" s="420" t="s">
        <v>715</v>
      </c>
      <c r="D37" s="419"/>
      <c r="E37" s="419" t="s">
        <v>716</v>
      </c>
      <c r="F37" s="419" t="s">
        <v>717</v>
      </c>
      <c r="G37" s="476"/>
      <c r="H37" s="477" t="s">
        <v>718</v>
      </c>
      <c r="I37" s="419" t="s">
        <v>719</v>
      </c>
      <c r="J37" s="419"/>
      <c r="K37" s="424"/>
    </row>
    <row r="38" spans="1:11" ht="20" customHeight="1" x14ac:dyDescent="0.2">
      <c r="A38" s="349"/>
      <c r="C38" s="421" t="s">
        <v>30</v>
      </c>
      <c r="D38" s="410"/>
      <c r="E38" s="411">
        <f>'Acquirer Standalone'!G8</f>
        <v>30432.575941369007</v>
      </c>
      <c r="F38" s="411">
        <f>'Target Standalone'!G8</f>
        <v>5731.4350000000004</v>
      </c>
      <c r="G38" s="410"/>
      <c r="H38" s="478">
        <f>'Pro forma Financials'!H8</f>
        <v>31389.1</v>
      </c>
      <c r="I38" s="412">
        <f>'Pro forma Financials'!D87</f>
        <v>31890.391554730097</v>
      </c>
      <c r="J38" s="410"/>
      <c r="K38" s="425"/>
    </row>
    <row r="39" spans="1:11" ht="20" customHeight="1" x14ac:dyDescent="0.2">
      <c r="A39" s="349"/>
      <c r="C39" s="422" t="s">
        <v>720</v>
      </c>
      <c r="D39" s="413"/>
      <c r="E39" s="414">
        <f>'Acquirer Standalone'!G11</f>
        <v>10374.908134338979</v>
      </c>
      <c r="F39" s="414">
        <f>'Target Standalone'!G11</f>
        <v>3497.5403955236552</v>
      </c>
      <c r="G39" s="416"/>
      <c r="H39" s="479">
        <f>'Pro forma Financials'!H11</f>
        <v>10869.599999999999</v>
      </c>
      <c r="I39" s="474"/>
      <c r="J39" s="413"/>
      <c r="K39" s="426"/>
    </row>
    <row r="40" spans="1:11" ht="20" customHeight="1" x14ac:dyDescent="0.2">
      <c r="A40" s="349"/>
      <c r="C40" s="423" t="s">
        <v>280</v>
      </c>
      <c r="D40" s="416"/>
      <c r="E40" s="417">
        <f>'Acquirer Standalone'!G12</f>
        <v>0.34091455663586079</v>
      </c>
      <c r="F40" s="417">
        <f>'Target Standalone'!G12</f>
        <v>0.61023816819411802</v>
      </c>
      <c r="G40" s="416"/>
      <c r="H40" s="480">
        <f>'Pro forma Financials'!H12</f>
        <v>0.34628581259099495</v>
      </c>
      <c r="I40" s="475"/>
      <c r="J40" s="416"/>
      <c r="K40" s="427"/>
    </row>
    <row r="41" spans="1:11" ht="20" customHeight="1" x14ac:dyDescent="0.2">
      <c r="A41" s="349"/>
      <c r="C41" s="422" t="s">
        <v>31</v>
      </c>
      <c r="D41" s="413"/>
      <c r="E41" s="414">
        <f>'Acquirer Standalone'!G22</f>
        <v>4918.3824544582576</v>
      </c>
      <c r="F41" s="414">
        <f>'Target Standalone'!G22</f>
        <v>941.9804584970318</v>
      </c>
      <c r="G41" s="416"/>
      <c r="H41" s="479">
        <f>'Pro forma Financials'!H21</f>
        <v>4298.8866095238072</v>
      </c>
      <c r="I41" s="415">
        <f>'Pro forma Financials'!D88</f>
        <v>4800.1781642539063</v>
      </c>
      <c r="J41" s="413"/>
      <c r="K41" s="426"/>
    </row>
    <row r="42" spans="1:11" ht="20" customHeight="1" x14ac:dyDescent="0.2">
      <c r="A42" s="349"/>
      <c r="C42" s="423" t="s">
        <v>281</v>
      </c>
      <c r="D42" s="416"/>
      <c r="E42" s="417">
        <f>'Acquirer Standalone'!G23</f>
        <v>0.16161571284448439</v>
      </c>
      <c r="F42" s="417">
        <f>'Target Standalone'!G23</f>
        <v>0.16435333533347787</v>
      </c>
      <c r="G42" s="416"/>
      <c r="H42" s="480">
        <f>'Pro forma Financials'!H22</f>
        <v>0.13695475848379876</v>
      </c>
      <c r="I42" s="418">
        <f>IFERROR('Pro forma Financials'!D88/'Pro forma Financials'!D87,"-")</f>
        <v>0.15052114226994892</v>
      </c>
      <c r="J42" s="416"/>
      <c r="K42" s="427"/>
    </row>
    <row r="43" spans="1:11" ht="20" customHeight="1" x14ac:dyDescent="0.2">
      <c r="A43" s="349"/>
      <c r="C43" s="422" t="s">
        <v>32</v>
      </c>
      <c r="D43" s="413"/>
      <c r="E43" s="414">
        <f>'Acquirer Standalone'!G19</f>
        <v>2171.9371396043862</v>
      </c>
      <c r="F43" s="414">
        <f>'Target Standalone'!G19</f>
        <v>751.46850896709611</v>
      </c>
      <c r="G43" s="416"/>
      <c r="H43" s="479">
        <f>'Pro forma Financials'!H18</f>
        <v>1052.1926666666641</v>
      </c>
      <c r="I43" s="474"/>
      <c r="J43" s="413"/>
      <c r="K43" s="426"/>
    </row>
    <row r="44" spans="1:11" ht="20" customHeight="1" thickBot="1" x14ac:dyDescent="0.25">
      <c r="A44" s="349"/>
      <c r="C44" s="434" t="s">
        <v>721</v>
      </c>
      <c r="D44" s="502"/>
      <c r="E44" s="502"/>
      <c r="F44" s="502"/>
      <c r="G44" s="502"/>
      <c r="H44" s="502"/>
      <c r="I44" s="502"/>
      <c r="J44" s="502"/>
      <c r="K44" s="503"/>
    </row>
    <row r="45" spans="1:11" ht="20" customHeight="1" thickBot="1" x14ac:dyDescent="0.25">
      <c r="A45" s="349"/>
      <c r="C45" s="420" t="s">
        <v>722</v>
      </c>
      <c r="D45" s="419" t="s">
        <v>723</v>
      </c>
      <c r="E45" s="435" t="s">
        <v>724</v>
      </c>
      <c r="F45" s="439" t="s">
        <v>725</v>
      </c>
      <c r="G45" s="443"/>
      <c r="H45" s="444" t="s">
        <v>728</v>
      </c>
      <c r="I45" s="419" t="s">
        <v>729</v>
      </c>
      <c r="J45" s="419" t="s">
        <v>730</v>
      </c>
      <c r="K45" s="442"/>
    </row>
    <row r="46" spans="1:11" ht="18" customHeight="1" x14ac:dyDescent="0.2">
      <c r="A46" s="349"/>
      <c r="C46" s="436" t="s">
        <v>536</v>
      </c>
      <c r="D46" s="428">
        <f ca="1">'Accretion-Dilution Analysis'!C34</f>
        <v>1.133693343759403</v>
      </c>
      <c r="E46" s="428">
        <f ca="1">'Accretion-Dilution Analysis'!D34</f>
        <v>1.2240752600451865</v>
      </c>
      <c r="F46" s="440">
        <f ca="1">'Accretion-Dilution Analysis'!E34</f>
        <v>1.3231460502664163</v>
      </c>
      <c r="H46" s="436" t="s">
        <v>503</v>
      </c>
      <c r="I46" s="430">
        <f>'Pro forma Financials'!C93</f>
        <v>25566.1</v>
      </c>
      <c r="J46" s="430">
        <f>'Pro forma Financials'!C93</f>
        <v>25566.1</v>
      </c>
      <c r="K46" s="481"/>
    </row>
    <row r="47" spans="1:11" ht="18" customHeight="1" x14ac:dyDescent="0.2">
      <c r="A47" s="349"/>
      <c r="C47" s="437" t="s">
        <v>535</v>
      </c>
      <c r="D47" s="429">
        <f ca="1">'Accretion-Dilution Analysis'!C33</f>
        <v>0.48280283549430103</v>
      </c>
      <c r="E47" s="429">
        <f ca="1">'Accretion-Dilution Analysis'!D33</f>
        <v>0.70556551322324135</v>
      </c>
      <c r="F47" s="441">
        <f ca="1">'Accretion-Dilution Analysis'!E33</f>
        <v>0.99522359413592953</v>
      </c>
      <c r="H47" s="422" t="s">
        <v>731</v>
      </c>
      <c r="I47" s="431">
        <f>'Pro forma Financials'!C94</f>
        <v>3168.2</v>
      </c>
      <c r="J47" s="431">
        <f>'Pro forma Financials'!D94</f>
        <v>3168.2</v>
      </c>
      <c r="K47" s="484"/>
    </row>
    <row r="48" spans="1:11" ht="18" customHeight="1" x14ac:dyDescent="0.2">
      <c r="A48" s="349"/>
      <c r="C48" s="438" t="s">
        <v>726</v>
      </c>
      <c r="D48" s="485">
        <f ca="1">'Accretion-Dilution Analysis'!C40</f>
        <v>-0.65089050826510197</v>
      </c>
      <c r="E48" s="485">
        <f ca="1">'Accretion-Dilution Analysis'!D40</f>
        <v>-0.51850974682194517</v>
      </c>
      <c r="F48" s="486">
        <f ca="1">'Accretion-Dilution Analysis'!E40</f>
        <v>-0.32792245613048676</v>
      </c>
      <c r="H48" s="438" t="s">
        <v>287</v>
      </c>
      <c r="I48" s="432">
        <f>'Pro forma Financials'!C95</f>
        <v>22397.899999999998</v>
      </c>
      <c r="J48" s="432">
        <f>'Pro forma Financials'!D95</f>
        <v>22397.899999999998</v>
      </c>
      <c r="K48" s="487"/>
    </row>
    <row r="49" spans="1:11" ht="21" customHeight="1" thickBot="1" x14ac:dyDescent="0.25">
      <c r="A49" s="349"/>
      <c r="C49" s="490" t="s">
        <v>727</v>
      </c>
      <c r="D49" s="491">
        <f ca="1">'Accretion-Dilution Analysis'!C41</f>
        <v>-0.57413277748170022</v>
      </c>
      <c r="E49" s="491">
        <f ca="1">'Accretion-Dilution Analysis'!D41</f>
        <v>-0.42359302875119337</v>
      </c>
      <c r="F49" s="492">
        <f ca="1">'Accretion-Dilution Analysis'!E41</f>
        <v>-0.24783541927549069</v>
      </c>
      <c r="H49" s="437" t="s">
        <v>31</v>
      </c>
      <c r="I49" s="488">
        <f>'Pro forma Financials'!C88</f>
        <v>4298.8866095238072</v>
      </c>
      <c r="J49" s="488">
        <f>'Pro forma Financials'!D88</f>
        <v>4800.1781642539063</v>
      </c>
      <c r="K49" s="489"/>
    </row>
    <row r="50" spans="1:11" ht="14" customHeight="1" x14ac:dyDescent="0.2">
      <c r="A50" s="349"/>
      <c r="C50" s="451"/>
      <c r="D50" s="448"/>
      <c r="E50" s="448"/>
      <c r="F50" s="449"/>
      <c r="H50" s="438" t="s">
        <v>732</v>
      </c>
      <c r="I50" s="433">
        <f>'Pro forma Financials'!C96</f>
        <v>5.9471445335079416</v>
      </c>
      <c r="J50" s="433">
        <f>'Pro forma Financials'!D96</f>
        <v>5.3260731425317314</v>
      </c>
      <c r="K50" s="427"/>
    </row>
    <row r="51" spans="1:11" ht="14" customHeight="1" x14ac:dyDescent="0.2">
      <c r="A51" s="349"/>
      <c r="C51" s="493"/>
      <c r="D51" s="493"/>
      <c r="E51" s="493"/>
      <c r="F51" s="493"/>
      <c r="G51" s="493"/>
      <c r="H51" s="494" t="s">
        <v>288</v>
      </c>
      <c r="I51" s="495">
        <f>'Pro forma Financials'!C97</f>
        <v>5.210163010668718</v>
      </c>
      <c r="J51" s="495">
        <f>'Pro forma Financials'!D97</f>
        <v>4.6660559740872269</v>
      </c>
      <c r="K51" s="496"/>
    </row>
    <row r="52" spans="1:11" ht="14" customHeight="1" x14ac:dyDescent="0.2">
      <c r="A52" s="349"/>
      <c r="C52" s="452" t="s">
        <v>733</v>
      </c>
      <c r="D52" s="405"/>
      <c r="E52" s="405"/>
      <c r="F52" s="405"/>
      <c r="G52" s="405"/>
      <c r="H52" s="405"/>
      <c r="I52" s="405"/>
      <c r="J52" s="405"/>
      <c r="K52" s="405"/>
    </row>
  </sheetData>
  <mergeCells count="18">
    <mergeCell ref="C20:K20"/>
    <mergeCell ref="C36:K36"/>
    <mergeCell ref="C44:K44"/>
    <mergeCell ref="C52:K52"/>
    <mergeCell ref="D16:E16"/>
    <mergeCell ref="D17:E17"/>
    <mergeCell ref="D18:E18"/>
    <mergeCell ref="I14:K14"/>
    <mergeCell ref="I15:K15"/>
    <mergeCell ref="I16:K16"/>
    <mergeCell ref="I17:K17"/>
    <mergeCell ref="I18:K18"/>
    <mergeCell ref="C7:K7"/>
    <mergeCell ref="C8:K8"/>
    <mergeCell ref="C9:K9"/>
    <mergeCell ref="C12:K12"/>
    <mergeCell ref="D14:E14"/>
    <mergeCell ref="D15:E1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DAFBC-9C75-8440-B564-682149907ADC}">
  <dimension ref="A1:J49"/>
  <sheetViews>
    <sheetView tabSelected="1" zoomScale="135" workbookViewId="0">
      <pane ySplit="3" topLeftCell="A4" activePane="bottomLeft" state="frozen"/>
      <selection pane="bottomLeft" activeCell="G27" sqref="G27"/>
    </sheetView>
  </sheetViews>
  <sheetFormatPr baseColWidth="10" defaultRowHeight="16" x14ac:dyDescent="0.2"/>
  <cols>
    <col min="1" max="1" width="10.83203125" style="1"/>
    <col min="2" max="2" width="25.6640625" style="1" customWidth="1"/>
    <col min="3" max="3" width="20.33203125" style="1" customWidth="1"/>
    <col min="4" max="4" width="10.83203125" style="1"/>
    <col min="5" max="5" width="13.6640625" style="1" customWidth="1"/>
    <col min="6" max="6" width="10.83203125" style="1"/>
    <col min="7" max="7" width="31.1640625" style="1" customWidth="1"/>
    <col min="8" max="8" width="18.5" style="1" customWidth="1"/>
    <col min="9" max="9" width="15.5" style="1" customWidth="1"/>
    <col min="10" max="10" width="32" style="1" customWidth="1"/>
    <col min="11" max="16384" width="10.83203125" style="1"/>
  </cols>
  <sheetData>
    <row r="1" spans="1:10" x14ac:dyDescent="0.2">
      <c r="A1" s="2"/>
      <c r="B1" s="33" t="s">
        <v>77</v>
      </c>
      <c r="C1" s="2"/>
      <c r="D1" s="34" t="s">
        <v>78</v>
      </c>
      <c r="E1" s="2"/>
      <c r="F1" s="2"/>
      <c r="G1" s="2"/>
      <c r="H1" s="2"/>
      <c r="I1" s="2"/>
      <c r="J1" s="2"/>
    </row>
    <row r="2" spans="1:10" ht="20" x14ac:dyDescent="0.25">
      <c r="A2" s="244" t="s">
        <v>79</v>
      </c>
      <c r="B2" s="244"/>
      <c r="C2" s="244"/>
      <c r="D2" s="244"/>
      <c r="E2" s="244"/>
      <c r="F2" s="244"/>
      <c r="G2" s="244"/>
      <c r="H2" s="244"/>
      <c r="I2" s="244"/>
      <c r="J2" s="244"/>
    </row>
    <row r="4" spans="1:10" x14ac:dyDescent="0.2">
      <c r="A4" s="242" t="s">
        <v>0</v>
      </c>
      <c r="B4" s="242"/>
      <c r="C4" s="242"/>
      <c r="D4" s="242"/>
      <c r="E4" s="242"/>
      <c r="G4" s="242" t="s">
        <v>83</v>
      </c>
      <c r="H4" s="242"/>
      <c r="I4" s="242"/>
      <c r="J4" s="242"/>
    </row>
    <row r="5" spans="1:10" x14ac:dyDescent="0.2">
      <c r="B5" s="13" t="s">
        <v>1</v>
      </c>
      <c r="C5" s="177"/>
      <c r="D5" s="250" t="s">
        <v>80</v>
      </c>
      <c r="E5" s="250"/>
      <c r="G5" s="13" t="s">
        <v>1</v>
      </c>
      <c r="H5" s="189" t="s">
        <v>38</v>
      </c>
      <c r="I5" s="189" t="s">
        <v>51</v>
      </c>
      <c r="J5" s="189" t="s">
        <v>84</v>
      </c>
    </row>
    <row r="6" spans="1:10" x14ac:dyDescent="0.2">
      <c r="B6" s="7" t="s">
        <v>2</v>
      </c>
      <c r="C6" s="178"/>
      <c r="D6" s="179" t="s">
        <v>552</v>
      </c>
      <c r="E6" s="180"/>
      <c r="G6" s="241" t="s">
        <v>74</v>
      </c>
      <c r="H6" s="241"/>
      <c r="I6" s="241"/>
      <c r="J6" s="241"/>
    </row>
    <row r="7" spans="1:10" x14ac:dyDescent="0.2">
      <c r="B7" s="9" t="s">
        <v>3</v>
      </c>
      <c r="C7" s="36"/>
      <c r="D7" s="249" t="s">
        <v>553</v>
      </c>
      <c r="E7" s="249"/>
      <c r="G7" s="14" t="s">
        <v>53</v>
      </c>
      <c r="H7" s="44">
        <v>3036</v>
      </c>
      <c r="I7" s="51">
        <f>IF(H18=0,0,H7/H18)</f>
        <v>0.23289352562135623</v>
      </c>
      <c r="J7" s="36" t="s">
        <v>558</v>
      </c>
    </row>
    <row r="8" spans="1:10" x14ac:dyDescent="0.2">
      <c r="B8" s="7" t="s">
        <v>4</v>
      </c>
      <c r="C8" s="35"/>
      <c r="D8" s="252" t="s">
        <v>554</v>
      </c>
      <c r="E8" s="252"/>
      <c r="G8" s="15" t="s">
        <v>58</v>
      </c>
      <c r="H8" s="45">
        <v>0</v>
      </c>
      <c r="I8" s="38">
        <f>IF(H18=0,0,H8/H18)</f>
        <v>0</v>
      </c>
      <c r="J8" s="35" t="s">
        <v>559</v>
      </c>
    </row>
    <row r="9" spans="1:10" x14ac:dyDescent="0.2">
      <c r="B9" s="9" t="s">
        <v>5</v>
      </c>
      <c r="C9" s="36"/>
      <c r="D9" s="248">
        <v>45300</v>
      </c>
      <c r="E9" s="249"/>
      <c r="G9" s="23" t="s">
        <v>54</v>
      </c>
      <c r="H9" s="47">
        <f>H7+H8</f>
        <v>3036</v>
      </c>
      <c r="I9" s="55">
        <f>IF(H18=0,0,H9/H18)</f>
        <v>0.23289352562135623</v>
      </c>
      <c r="J9" s="58" t="s">
        <v>543</v>
      </c>
    </row>
    <row r="10" spans="1:10" x14ac:dyDescent="0.2">
      <c r="B10" s="7" t="s">
        <v>6</v>
      </c>
      <c r="C10" s="35"/>
      <c r="D10" s="251">
        <v>45363</v>
      </c>
      <c r="E10" s="252"/>
      <c r="G10" s="241" t="s">
        <v>55</v>
      </c>
      <c r="H10" s="241"/>
      <c r="I10" s="241"/>
      <c r="J10" s="241"/>
    </row>
    <row r="11" spans="1:10" x14ac:dyDescent="0.2">
      <c r="B11" s="9" t="s">
        <v>7</v>
      </c>
      <c r="C11" s="36"/>
      <c r="D11" s="253">
        <v>46326</v>
      </c>
      <c r="E11" s="249"/>
      <c r="G11" s="14" t="s">
        <v>56</v>
      </c>
      <c r="H11" s="44">
        <v>0</v>
      </c>
      <c r="I11" s="51">
        <f>IF(H18=0,0,H11/H18)</f>
        <v>0</v>
      </c>
      <c r="J11" s="36" t="s">
        <v>560</v>
      </c>
    </row>
    <row r="12" spans="1:10" x14ac:dyDescent="0.2">
      <c r="B12" s="7" t="s">
        <v>8</v>
      </c>
      <c r="C12" s="35"/>
      <c r="D12" s="254">
        <v>46387</v>
      </c>
      <c r="E12" s="252"/>
      <c r="G12" s="15" t="s">
        <v>59</v>
      </c>
      <c r="H12" s="45">
        <v>4000</v>
      </c>
      <c r="I12" s="38">
        <f>IF(H18=0,0,H12/H18)</f>
        <v>0.30684258975145751</v>
      </c>
      <c r="J12" s="35" t="s">
        <v>561</v>
      </c>
    </row>
    <row r="13" spans="1:10" x14ac:dyDescent="0.2">
      <c r="G13" s="14" t="s">
        <v>60</v>
      </c>
      <c r="H13" s="44">
        <v>0</v>
      </c>
      <c r="I13" s="51">
        <f>IF(H18=0,0,H13/H18)</f>
        <v>0</v>
      </c>
      <c r="J13" s="36" t="s">
        <v>562</v>
      </c>
    </row>
    <row r="14" spans="1:10" x14ac:dyDescent="0.2">
      <c r="A14" s="242" t="s">
        <v>9</v>
      </c>
      <c r="B14" s="242"/>
      <c r="C14" s="242"/>
      <c r="D14" s="242"/>
      <c r="E14" s="242"/>
      <c r="G14" s="15" t="s">
        <v>85</v>
      </c>
      <c r="H14" s="45">
        <v>3000</v>
      </c>
      <c r="I14" s="38">
        <f>IF(H18=0,0,H14/H18)</f>
        <v>0.23013194231359313</v>
      </c>
      <c r="J14" s="35" t="s">
        <v>563</v>
      </c>
    </row>
    <row r="15" spans="1:10" x14ac:dyDescent="0.2">
      <c r="B15" s="241" t="s">
        <v>10</v>
      </c>
      <c r="C15" s="241"/>
      <c r="D15" s="241"/>
      <c r="E15" s="241"/>
      <c r="G15" s="14" t="s">
        <v>86</v>
      </c>
      <c r="H15" s="44">
        <v>3000</v>
      </c>
      <c r="I15" s="51">
        <f>IF(H18=0,0,H15/H18)</f>
        <v>0.23013194231359313</v>
      </c>
      <c r="J15" s="36" t="s">
        <v>564</v>
      </c>
    </row>
    <row r="16" spans="1:10" x14ac:dyDescent="0.2">
      <c r="B16" s="13" t="s">
        <v>81</v>
      </c>
      <c r="C16" s="13" t="s">
        <v>11</v>
      </c>
      <c r="D16" s="13" t="s">
        <v>12</v>
      </c>
      <c r="E16" s="13" t="s">
        <v>13</v>
      </c>
      <c r="G16" s="23" t="s">
        <v>57</v>
      </c>
      <c r="H16" s="47">
        <f>SUM(H11:H15)</f>
        <v>10000</v>
      </c>
      <c r="I16" s="188">
        <f>1-I9</f>
        <v>0.76710647437864377</v>
      </c>
      <c r="J16" s="25"/>
    </row>
    <row r="17" spans="1:10" x14ac:dyDescent="0.2">
      <c r="B17" s="14" t="s">
        <v>14</v>
      </c>
      <c r="C17" s="181">
        <v>36.840000000000003</v>
      </c>
      <c r="D17" s="181">
        <v>30.3</v>
      </c>
      <c r="E17" s="181">
        <v>40</v>
      </c>
    </row>
    <row r="18" spans="1:10" x14ac:dyDescent="0.2">
      <c r="B18" s="15" t="s">
        <v>15</v>
      </c>
      <c r="C18" s="149" t="s">
        <v>16</v>
      </c>
      <c r="D18" s="182">
        <f>IF(D17=0,0,E17/D17-1)</f>
        <v>0.32013201320132012</v>
      </c>
      <c r="E18" s="182">
        <f>IF(C17=0,0,E17/C17-1)</f>
        <v>8.5776330076004159E-2</v>
      </c>
      <c r="G18" s="27" t="s">
        <v>87</v>
      </c>
      <c r="H18" s="47">
        <f>H9+H16</f>
        <v>13036</v>
      </c>
      <c r="I18" s="53">
        <v>1</v>
      </c>
      <c r="J18" s="24"/>
    </row>
    <row r="19" spans="1:10" x14ac:dyDescent="0.2">
      <c r="B19" s="241" t="s">
        <v>17</v>
      </c>
      <c r="C19" s="241"/>
      <c r="D19" s="241"/>
      <c r="E19" s="241"/>
    </row>
    <row r="20" spans="1:10" x14ac:dyDescent="0.2">
      <c r="B20" s="15" t="s">
        <v>555</v>
      </c>
      <c r="C20" s="39">
        <f>'Target Standalone'!F35</f>
        <v>320</v>
      </c>
      <c r="D20" s="4"/>
      <c r="E20" s="4"/>
      <c r="G20" s="241" t="s">
        <v>88</v>
      </c>
      <c r="H20" s="241"/>
      <c r="I20" s="241"/>
      <c r="J20" s="241"/>
    </row>
    <row r="21" spans="1:10" x14ac:dyDescent="0.2">
      <c r="B21" s="14" t="s">
        <v>556</v>
      </c>
      <c r="C21" s="40">
        <f>'Target Standalone'!F36-C20</f>
        <v>5.8999999999999773</v>
      </c>
      <c r="D21" s="8"/>
      <c r="E21" s="8"/>
      <c r="G21" s="14" t="s">
        <v>89</v>
      </c>
      <c r="H21" s="37">
        <v>15.91</v>
      </c>
      <c r="I21" s="8"/>
      <c r="J21" s="8"/>
    </row>
    <row r="22" spans="1:10" x14ac:dyDescent="0.2">
      <c r="B22" s="15" t="s">
        <v>19</v>
      </c>
      <c r="C22" s="41">
        <f>C20+C21</f>
        <v>325.89999999999998</v>
      </c>
      <c r="D22" s="4"/>
      <c r="E22" s="4"/>
      <c r="G22" s="15" t="s">
        <v>90</v>
      </c>
      <c r="H22" s="41">
        <f>IF(H21=0,0,H8/H21)</f>
        <v>0</v>
      </c>
      <c r="I22" s="4"/>
      <c r="J22" s="4"/>
    </row>
    <row r="23" spans="1:10" x14ac:dyDescent="0.2">
      <c r="B23" s="14" t="s">
        <v>20</v>
      </c>
      <c r="C23" s="37">
        <f>E17</f>
        <v>40</v>
      </c>
      <c r="D23" s="8"/>
      <c r="E23" s="8"/>
      <c r="G23" s="14" t="s">
        <v>91</v>
      </c>
      <c r="H23" s="29">
        <f>IF(H8=0,0,C23/H21)</f>
        <v>0</v>
      </c>
      <c r="I23" s="8"/>
      <c r="J23" s="8"/>
    </row>
    <row r="24" spans="1:10" x14ac:dyDescent="0.2">
      <c r="B24" s="21" t="s">
        <v>21</v>
      </c>
      <c r="C24" s="43">
        <f>C22*C23</f>
        <v>13036</v>
      </c>
      <c r="D24" s="4"/>
      <c r="E24" s="4"/>
      <c r="G24" s="15" t="s">
        <v>92</v>
      </c>
      <c r="H24" s="39">
        <v>1322.3</v>
      </c>
      <c r="I24" s="4"/>
      <c r="J24" s="4"/>
    </row>
    <row r="25" spans="1:10" x14ac:dyDescent="0.2">
      <c r="B25" s="14" t="s">
        <v>22</v>
      </c>
      <c r="C25" s="44">
        <f>'Target Standalone'!F55+'Target Standalone'!F60</f>
        <v>1746.1000000000001</v>
      </c>
      <c r="D25" s="8"/>
      <c r="E25" s="8"/>
      <c r="G25" s="14" t="s">
        <v>93</v>
      </c>
      <c r="H25" s="51">
        <f>IF(H24+H22=0,0,H22/(H24+H22))</f>
        <v>0</v>
      </c>
      <c r="I25" s="8"/>
      <c r="J25" s="8"/>
    </row>
    <row r="26" spans="1:10" x14ac:dyDescent="0.2">
      <c r="B26" s="15" t="s">
        <v>23</v>
      </c>
      <c r="C26" s="45">
        <f>'Target Standalone'!F40</f>
        <v>1221.3</v>
      </c>
      <c r="D26" s="4"/>
      <c r="E26" s="4"/>
    </row>
    <row r="27" spans="1:10" x14ac:dyDescent="0.2">
      <c r="B27" s="23" t="s">
        <v>24</v>
      </c>
      <c r="C27" s="47">
        <f>C24+C25-C26</f>
        <v>13560.800000000001</v>
      </c>
      <c r="D27" s="25"/>
      <c r="E27" s="25"/>
    </row>
    <row r="29" spans="1:10" x14ac:dyDescent="0.2">
      <c r="A29" s="242" t="s">
        <v>25</v>
      </c>
      <c r="B29" s="242"/>
      <c r="C29" s="242"/>
      <c r="D29" s="242"/>
      <c r="E29" s="242"/>
    </row>
    <row r="30" spans="1:10" x14ac:dyDescent="0.2">
      <c r="B30" s="13" t="s">
        <v>29</v>
      </c>
      <c r="C30" s="13" t="s">
        <v>26</v>
      </c>
      <c r="D30" s="13" t="s">
        <v>27</v>
      </c>
      <c r="E30" s="13" t="s">
        <v>82</v>
      </c>
    </row>
    <row r="31" spans="1:10" x14ac:dyDescent="0.2">
      <c r="B31" s="14" t="s">
        <v>30</v>
      </c>
      <c r="C31" s="185">
        <f>'Target Standalone'!F8</f>
        <v>5564.5</v>
      </c>
      <c r="D31" s="185">
        <f>'Target Standalone'!G8</f>
        <v>5731.4350000000004</v>
      </c>
      <c r="E31" s="44"/>
    </row>
    <row r="32" spans="1:10" x14ac:dyDescent="0.2">
      <c r="B32" s="15" t="s">
        <v>31</v>
      </c>
      <c r="C32" s="186">
        <f>'Target Standalone'!F22</f>
        <v>952.49999999999977</v>
      </c>
      <c r="D32" s="186">
        <f>'Target Standalone'!G22</f>
        <v>941.9804584970318</v>
      </c>
      <c r="E32" s="45"/>
    </row>
    <row r="33" spans="1:10" x14ac:dyDescent="0.2">
      <c r="B33" s="14" t="s">
        <v>32</v>
      </c>
      <c r="C33" s="185">
        <f>'Target Standalone'!F19</f>
        <v>760.29999999999973</v>
      </c>
      <c r="D33" s="185">
        <f>'Target Standalone'!G19</f>
        <v>751.46850896709611</v>
      </c>
      <c r="E33" s="44"/>
    </row>
    <row r="34" spans="1:10" x14ac:dyDescent="0.2">
      <c r="B34" s="15" t="s">
        <v>33</v>
      </c>
      <c r="C34" s="187">
        <f>'Target Standalone'!F34</f>
        <v>0.98128260202516115</v>
      </c>
      <c r="D34" s="187">
        <f ca="1">'Target Standalone'!G34</f>
        <v>2.0430733710865905</v>
      </c>
      <c r="E34" s="48"/>
    </row>
    <row r="35" spans="1:10" x14ac:dyDescent="0.2">
      <c r="B35" s="14" t="s">
        <v>34</v>
      </c>
      <c r="C35" s="183">
        <f>IF(C31=0,0,C27/C31)</f>
        <v>2.4370203971605715</v>
      </c>
      <c r="D35" s="183">
        <f>IF(D31=0,0,C27/D31)</f>
        <v>2.366039220544244</v>
      </c>
      <c r="E35" s="183">
        <f>IF(E31=0,0,C27/E31)</f>
        <v>0</v>
      </c>
    </row>
    <row r="36" spans="1:10" x14ac:dyDescent="0.2">
      <c r="B36" s="15" t="s">
        <v>35</v>
      </c>
      <c r="C36" s="184">
        <f>IF(C32=0,0,C27/C32)</f>
        <v>14.237060367454072</v>
      </c>
      <c r="D36" s="184">
        <f>IF(D32=0,0,C27/D32)</f>
        <v>14.396052357218545</v>
      </c>
      <c r="E36" s="184">
        <f>IF(E32=0,0,C27/E32)</f>
        <v>0</v>
      </c>
    </row>
    <row r="37" spans="1:10" x14ac:dyDescent="0.2">
      <c r="B37" s="14" t="s">
        <v>36</v>
      </c>
      <c r="C37" s="183">
        <f>IF(C33=0,0,C27/C33)</f>
        <v>17.8361173221097</v>
      </c>
      <c r="D37" s="183">
        <f>IF(D33=0,0,C27/D33)</f>
        <v>18.045732905879859</v>
      </c>
      <c r="E37" s="183">
        <f>IF(E33=0,0,C27/E33)</f>
        <v>0</v>
      </c>
    </row>
    <row r="38" spans="1:10" x14ac:dyDescent="0.2">
      <c r="B38" s="15" t="s">
        <v>37</v>
      </c>
      <c r="C38" s="184">
        <f>IF(C34=0,0,C23/C34)</f>
        <v>40.762976860537833</v>
      </c>
      <c r="D38" s="184">
        <f ca="1">IF(D34=0,0,C23/D34)</f>
        <v>19.57834729093765</v>
      </c>
      <c r="E38" s="184">
        <f>IF(E34=0,0,C23/E34)</f>
        <v>0</v>
      </c>
    </row>
    <row r="40" spans="1:10" x14ac:dyDescent="0.2">
      <c r="A40" s="242" t="s">
        <v>75</v>
      </c>
      <c r="B40" s="242"/>
      <c r="C40" s="242"/>
      <c r="D40" s="242"/>
      <c r="E40" s="242"/>
      <c r="G40" s="242" t="s">
        <v>76</v>
      </c>
      <c r="H40" s="242"/>
      <c r="I40" s="242"/>
      <c r="J40" s="242"/>
    </row>
    <row r="41" spans="1:10" x14ac:dyDescent="0.2">
      <c r="B41" s="13" t="s">
        <v>1</v>
      </c>
      <c r="C41" s="250" t="s">
        <v>38</v>
      </c>
      <c r="D41" s="250"/>
      <c r="E41" s="250"/>
      <c r="G41" s="31" t="s">
        <v>70</v>
      </c>
      <c r="H41" s="246" t="s">
        <v>565</v>
      </c>
      <c r="I41" s="246"/>
      <c r="J41" s="246"/>
    </row>
    <row r="42" spans="1:10" x14ac:dyDescent="0.2">
      <c r="B42" s="15" t="s">
        <v>94</v>
      </c>
      <c r="C42" s="45">
        <v>65</v>
      </c>
      <c r="D42" s="4"/>
      <c r="E42" s="4"/>
      <c r="G42" s="32" t="s">
        <v>97</v>
      </c>
      <c r="H42" s="247" t="s">
        <v>570</v>
      </c>
      <c r="I42" s="247"/>
      <c r="J42" s="247"/>
    </row>
    <row r="43" spans="1:10" x14ac:dyDescent="0.2">
      <c r="B43" s="14" t="s">
        <v>39</v>
      </c>
      <c r="C43" s="44">
        <v>40</v>
      </c>
      <c r="D43" s="8"/>
      <c r="E43" s="8"/>
      <c r="G43" s="31" t="s">
        <v>71</v>
      </c>
      <c r="H43" s="246" t="s">
        <v>571</v>
      </c>
      <c r="I43" s="246"/>
      <c r="J43" s="246"/>
    </row>
    <row r="44" spans="1:10" x14ac:dyDescent="0.2">
      <c r="B44" s="15" t="s">
        <v>40</v>
      </c>
      <c r="C44" s="45">
        <v>30</v>
      </c>
      <c r="D44" s="4"/>
      <c r="E44" s="4"/>
      <c r="G44" s="32" t="s">
        <v>98</v>
      </c>
      <c r="H44" s="247" t="s">
        <v>566</v>
      </c>
      <c r="I44" s="247"/>
      <c r="J44" s="247"/>
    </row>
    <row r="45" spans="1:10" x14ac:dyDescent="0.2">
      <c r="B45" s="23" t="s">
        <v>41</v>
      </c>
      <c r="C45" s="47">
        <f>SUM(C42:C44)</f>
        <v>135</v>
      </c>
      <c r="D45" s="24"/>
      <c r="E45" s="24"/>
      <c r="G45" s="31" t="s">
        <v>72</v>
      </c>
      <c r="H45" s="246" t="s">
        <v>567</v>
      </c>
      <c r="I45" s="246"/>
      <c r="J45" s="246"/>
    </row>
    <row r="46" spans="1:10" x14ac:dyDescent="0.2">
      <c r="B46" s="15" t="s">
        <v>42</v>
      </c>
      <c r="C46" s="45">
        <v>75</v>
      </c>
      <c r="D46" s="4"/>
      <c r="E46" s="4"/>
      <c r="G46" s="32" t="s">
        <v>73</v>
      </c>
      <c r="H46" s="247" t="s">
        <v>568</v>
      </c>
      <c r="I46" s="247"/>
      <c r="J46" s="247"/>
    </row>
    <row r="47" spans="1:10" x14ac:dyDescent="0.2">
      <c r="B47" s="14" t="s">
        <v>43</v>
      </c>
      <c r="C47" s="44">
        <v>0</v>
      </c>
      <c r="D47" s="8"/>
      <c r="E47" s="8"/>
      <c r="G47" s="31" t="s">
        <v>99</v>
      </c>
      <c r="H47" s="246" t="s">
        <v>569</v>
      </c>
      <c r="I47" s="246"/>
      <c r="J47" s="246"/>
    </row>
    <row r="48" spans="1:10" x14ac:dyDescent="0.2">
      <c r="B48" s="15" t="s">
        <v>95</v>
      </c>
      <c r="C48" s="45"/>
      <c r="D48" s="4"/>
      <c r="E48" s="4"/>
    </row>
    <row r="49" spans="2:5" x14ac:dyDescent="0.2">
      <c r="B49" s="23" t="s">
        <v>96</v>
      </c>
      <c r="C49" s="47">
        <f>C27-(C25-C26+C48+C47)</f>
        <v>13036</v>
      </c>
      <c r="D49" s="24"/>
      <c r="E49" s="24"/>
    </row>
  </sheetData>
  <mergeCells count="27">
    <mergeCell ref="H42:J42"/>
    <mergeCell ref="A2:J2"/>
    <mergeCell ref="A4:E4"/>
    <mergeCell ref="A14:E14"/>
    <mergeCell ref="B15:E15"/>
    <mergeCell ref="B19:E19"/>
    <mergeCell ref="A29:E29"/>
    <mergeCell ref="G4:J4"/>
    <mergeCell ref="G6:J6"/>
    <mergeCell ref="G10:J10"/>
    <mergeCell ref="D5:E5"/>
    <mergeCell ref="D7:E7"/>
    <mergeCell ref="D8:E8"/>
    <mergeCell ref="D9:E9"/>
    <mergeCell ref="G20:J20"/>
    <mergeCell ref="A40:E40"/>
    <mergeCell ref="C41:E41"/>
    <mergeCell ref="G40:J40"/>
    <mergeCell ref="H41:J41"/>
    <mergeCell ref="D10:E10"/>
    <mergeCell ref="D11:E11"/>
    <mergeCell ref="D12:E12"/>
    <mergeCell ref="H43:J43"/>
    <mergeCell ref="H44:J44"/>
    <mergeCell ref="H45:J45"/>
    <mergeCell ref="H46:J46"/>
    <mergeCell ref="H47:J4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FC857-2BB8-2842-8BB9-56359CF80DF7}">
  <dimension ref="A1:K36"/>
  <sheetViews>
    <sheetView zoomScale="156" workbookViewId="0">
      <pane ySplit="3" topLeftCell="A4" activePane="bottomLeft" state="frozen"/>
      <selection pane="bottomLeft" activeCell="J24" sqref="J24"/>
    </sheetView>
  </sheetViews>
  <sheetFormatPr baseColWidth="10" defaultRowHeight="16" x14ac:dyDescent="0.2"/>
  <cols>
    <col min="1" max="1" width="10.83203125" style="1"/>
    <col min="2" max="2" width="24.5" style="1" customWidth="1"/>
    <col min="3" max="8" width="10.83203125" style="1"/>
    <col min="9" max="9" width="26.5" style="1" customWidth="1"/>
    <col min="10" max="10" width="26.33203125" style="1" customWidth="1"/>
    <col min="11" max="16384" width="10.83203125" style="1"/>
  </cols>
  <sheetData>
    <row r="1" spans="1:11" x14ac:dyDescent="0.2">
      <c r="A1" s="2"/>
      <c r="B1" s="33" t="s">
        <v>77</v>
      </c>
      <c r="C1" s="2"/>
      <c r="D1" s="34" t="s">
        <v>78</v>
      </c>
      <c r="E1" s="2"/>
      <c r="F1" s="2"/>
      <c r="G1" s="2"/>
      <c r="H1" s="2"/>
      <c r="I1" s="2"/>
      <c r="J1" s="2"/>
      <c r="K1" s="2"/>
    </row>
    <row r="2" spans="1:11" ht="20" x14ac:dyDescent="0.25">
      <c r="A2" s="244" t="s">
        <v>100</v>
      </c>
      <c r="B2" s="244"/>
      <c r="C2" s="244"/>
      <c r="D2" s="244"/>
      <c r="E2" s="244"/>
      <c r="F2" s="244"/>
      <c r="G2" s="244"/>
      <c r="H2" s="244"/>
      <c r="I2" s="244"/>
      <c r="J2" s="244"/>
      <c r="K2" s="244"/>
    </row>
    <row r="4" spans="1:11" x14ac:dyDescent="0.2">
      <c r="A4" s="242" t="s">
        <v>101</v>
      </c>
      <c r="B4" s="242"/>
      <c r="C4" s="242"/>
      <c r="D4" s="242"/>
      <c r="E4" s="242"/>
      <c r="F4" s="242"/>
      <c r="G4" s="242"/>
      <c r="I4" s="242" t="s">
        <v>127</v>
      </c>
      <c r="J4" s="242"/>
      <c r="K4" s="242"/>
    </row>
    <row r="5" spans="1:11" x14ac:dyDescent="0.2">
      <c r="B5" s="13" t="s">
        <v>48</v>
      </c>
      <c r="C5" s="189" t="s">
        <v>44</v>
      </c>
      <c r="D5" s="189" t="s">
        <v>45</v>
      </c>
      <c r="E5" s="189" t="s">
        <v>46</v>
      </c>
      <c r="F5" s="189" t="s">
        <v>102</v>
      </c>
      <c r="G5" s="13" t="s">
        <v>47</v>
      </c>
      <c r="I5" s="13" t="s">
        <v>128</v>
      </c>
      <c r="J5" s="13" t="s">
        <v>129</v>
      </c>
      <c r="K5" s="13" t="s">
        <v>63</v>
      </c>
    </row>
    <row r="6" spans="1:11" x14ac:dyDescent="0.2">
      <c r="B6" s="241" t="s">
        <v>103</v>
      </c>
      <c r="C6" s="241"/>
      <c r="D6" s="241"/>
      <c r="E6" s="241"/>
      <c r="F6" s="241"/>
      <c r="G6" s="241"/>
      <c r="I6" s="7" t="s">
        <v>130</v>
      </c>
      <c r="J6" s="218" t="s">
        <v>612</v>
      </c>
      <c r="K6" s="35"/>
    </row>
    <row r="7" spans="1:11" x14ac:dyDescent="0.2">
      <c r="B7" s="14" t="s">
        <v>104</v>
      </c>
      <c r="C7" s="44">
        <v>0</v>
      </c>
      <c r="D7" s="44">
        <v>0</v>
      </c>
      <c r="E7" s="44">
        <f>D7</f>
        <v>0</v>
      </c>
      <c r="F7" s="44">
        <f t="shared" ref="F7:G7" si="0">E7</f>
        <v>0</v>
      </c>
      <c r="G7" s="44">
        <f t="shared" si="0"/>
        <v>0</v>
      </c>
      <c r="I7" s="9" t="s">
        <v>131</v>
      </c>
      <c r="J7" s="219" t="s">
        <v>610</v>
      </c>
      <c r="K7" s="36"/>
    </row>
    <row r="8" spans="1:11" x14ac:dyDescent="0.2">
      <c r="B8" s="15" t="s">
        <v>105</v>
      </c>
      <c r="C8" s="45">
        <v>0</v>
      </c>
      <c r="D8" s="45">
        <v>0</v>
      </c>
      <c r="E8" s="45">
        <f>D8</f>
        <v>0</v>
      </c>
      <c r="F8" s="45">
        <f t="shared" ref="F8:G8" si="1">E8</f>
        <v>0</v>
      </c>
      <c r="G8" s="45">
        <f t="shared" si="1"/>
        <v>0</v>
      </c>
      <c r="I8" s="7" t="s">
        <v>132</v>
      </c>
      <c r="J8" s="217">
        <v>2028</v>
      </c>
      <c r="K8" s="35"/>
    </row>
    <row r="9" spans="1:11" x14ac:dyDescent="0.2">
      <c r="B9" s="14" t="s">
        <v>106</v>
      </c>
      <c r="C9" s="44">
        <v>0</v>
      </c>
      <c r="D9" s="44">
        <f>0</f>
        <v>0</v>
      </c>
      <c r="E9" s="44">
        <f>D9</f>
        <v>0</v>
      </c>
      <c r="F9" s="44">
        <f t="shared" ref="F9:G9" si="2">E9</f>
        <v>0</v>
      </c>
      <c r="G9" s="44">
        <f t="shared" si="2"/>
        <v>0</v>
      </c>
      <c r="I9" s="9" t="s">
        <v>133</v>
      </c>
      <c r="J9" s="220">
        <f>10%</f>
        <v>0.1</v>
      </c>
      <c r="K9" s="36"/>
    </row>
    <row r="10" spans="1:11" x14ac:dyDescent="0.2">
      <c r="B10" s="23" t="s">
        <v>107</v>
      </c>
      <c r="C10" s="47">
        <f>SUM(C7:C9)</f>
        <v>0</v>
      </c>
      <c r="D10" s="47">
        <v>0</v>
      </c>
      <c r="E10" s="47">
        <f>D10</f>
        <v>0</v>
      </c>
      <c r="F10" s="47">
        <f t="shared" ref="F10:G10" si="3">E10</f>
        <v>0</v>
      </c>
      <c r="G10" s="47">
        <f t="shared" si="3"/>
        <v>0</v>
      </c>
      <c r="I10" s="7" t="s">
        <v>134</v>
      </c>
      <c r="J10" s="42">
        <f>IF(J9=0,0,(C20/(1+J9)^1 + D20/(1+J9)^2 + E20/(1+J9)^3 + F20/(1+J9)^4 + G20/J9/(1+J9)^4))</f>
        <v>4388.655027417336</v>
      </c>
      <c r="K10" s="35"/>
    </row>
    <row r="11" spans="1:11" x14ac:dyDescent="0.2">
      <c r="I11" s="9" t="s">
        <v>135</v>
      </c>
      <c r="J11" s="221">
        <f>'Acquirer Standalone'!K8+'Target Standalone'!K8</f>
        <v>44003.862229021572</v>
      </c>
      <c r="K11" s="36"/>
    </row>
    <row r="12" spans="1:11" x14ac:dyDescent="0.2">
      <c r="B12" s="241" t="s">
        <v>108</v>
      </c>
      <c r="C12" s="241"/>
      <c r="D12" s="241"/>
      <c r="E12" s="241"/>
      <c r="F12" s="241"/>
      <c r="G12" s="241"/>
      <c r="I12" s="7" t="s">
        <v>136</v>
      </c>
      <c r="J12" s="38">
        <f>IF(J11=0,0,G20/J11)</f>
        <v>1.1391989914909908E-2</v>
      </c>
      <c r="K12" s="35"/>
    </row>
    <row r="13" spans="1:11" x14ac:dyDescent="0.2">
      <c r="B13" s="14" t="s">
        <v>109</v>
      </c>
      <c r="C13" s="44">
        <f>25%*G13</f>
        <v>32.28160110001371</v>
      </c>
      <c r="D13" s="44">
        <f>50%*G13</f>
        <v>64.563202200027419</v>
      </c>
      <c r="E13" s="44">
        <f>80%*G13</f>
        <v>103.30112352004387</v>
      </c>
      <c r="F13" s="44">
        <f>100%*(G13)</f>
        <v>129.12640440005484</v>
      </c>
      <c r="G13" s="44">
        <f>1%*('Acquirer Standalone'!K13+'Acquirer Standalone'!K15+'Target Standalone'!K13+'Target Standalone'!K15)</f>
        <v>129.12640440005484</v>
      </c>
      <c r="I13" s="9" t="s">
        <v>137</v>
      </c>
      <c r="J13" s="220" t="s">
        <v>611</v>
      </c>
      <c r="K13" s="36"/>
    </row>
    <row r="14" spans="1:11" x14ac:dyDescent="0.2">
      <c r="B14" s="15" t="s">
        <v>110</v>
      </c>
      <c r="C14" s="45">
        <f>25%*G14</f>
        <v>33.00289667176618</v>
      </c>
      <c r="D14" s="45">
        <f>50%*G14</f>
        <v>66.00579334353236</v>
      </c>
      <c r="E14" s="45">
        <f>80%*G14</f>
        <v>105.60926934965178</v>
      </c>
      <c r="F14" s="45">
        <f>100%*G14</f>
        <v>132.01158668706472</v>
      </c>
      <c r="G14" s="45">
        <f>0.3%*('Acquirer Standalone'!K8+'Target Standalone'!K8)</f>
        <v>132.01158668706472</v>
      </c>
    </row>
    <row r="15" spans="1:11" x14ac:dyDescent="0.2">
      <c r="B15" s="14" t="s">
        <v>111</v>
      </c>
      <c r="C15" s="44">
        <f>25%*G15</f>
        <v>27.035494238978629</v>
      </c>
      <c r="D15" s="44">
        <f>50%*G15</f>
        <v>54.070988477957258</v>
      </c>
      <c r="E15" s="44">
        <f>80%*G15</f>
        <v>86.513581564731624</v>
      </c>
      <c r="F15" s="44">
        <f>100%*G15</f>
        <v>108.14197695591452</v>
      </c>
      <c r="G15" s="44">
        <f>0.4%*('Acquirer Standalone'!K10+'Target Standalone'!K10)</f>
        <v>108.14197695591452</v>
      </c>
      <c r="I15" s="241" t="s">
        <v>138</v>
      </c>
      <c r="J15" s="241"/>
      <c r="K15" s="241"/>
    </row>
    <row r="16" spans="1:11" x14ac:dyDescent="0.2">
      <c r="B16" s="15" t="s">
        <v>112</v>
      </c>
      <c r="C16" s="45">
        <f>25%*G16</f>
        <v>11.000965557255393</v>
      </c>
      <c r="D16" s="45">
        <f>50%*G16</f>
        <v>22.001931114510786</v>
      </c>
      <c r="E16" s="45">
        <f>80%*G16</f>
        <v>35.203089783217258</v>
      </c>
      <c r="F16" s="45">
        <f>100%*G16</f>
        <v>44.003862229021571</v>
      </c>
      <c r="G16" s="45">
        <f>0.1%*('Acquirer Standalone'!K8+'Target Standalone'!K8)</f>
        <v>44.003862229021571</v>
      </c>
      <c r="I16" s="15" t="s">
        <v>69</v>
      </c>
      <c r="J16" s="42">
        <f>G20</f>
        <v>501.29155473009877</v>
      </c>
      <c r="K16" s="4"/>
    </row>
    <row r="17" spans="1:11" x14ac:dyDescent="0.2">
      <c r="B17" s="14" t="s">
        <v>113</v>
      </c>
      <c r="C17" s="44">
        <f>25%*G17</f>
        <v>22.001931114510786</v>
      </c>
      <c r="D17" s="44">
        <f>50%*G17</f>
        <v>44.003862229021571</v>
      </c>
      <c r="E17" s="44">
        <f>80%*G17</f>
        <v>70.406179566434517</v>
      </c>
      <c r="F17" s="44">
        <f>100%*G17</f>
        <v>88.007724458043143</v>
      </c>
      <c r="G17" s="44">
        <f>0.2%*('Acquirer Standalone'!K8+'Target Standalone'!K8)</f>
        <v>88.007724458043143</v>
      </c>
      <c r="I17" s="14" t="s">
        <v>139</v>
      </c>
      <c r="J17" s="46">
        <f>IF(J9=0,0,G20/J9)</f>
        <v>5012.9155473009878</v>
      </c>
      <c r="K17" s="8"/>
    </row>
    <row r="18" spans="1:11" x14ac:dyDescent="0.2">
      <c r="B18" s="23" t="s">
        <v>114</v>
      </c>
      <c r="C18" s="47">
        <f>SUM(C13:C17)</f>
        <v>125.32288868252469</v>
      </c>
      <c r="D18" s="47">
        <f>SUM(D13:D17)</f>
        <v>250.64577736504938</v>
      </c>
      <c r="E18" s="47">
        <f>SUM(E13:E17)</f>
        <v>401.03324378407905</v>
      </c>
      <c r="F18" s="47">
        <f>SUM(F13:F17)</f>
        <v>501.29155473009877</v>
      </c>
      <c r="G18" s="47">
        <f>SUM(G13:G17)</f>
        <v>501.29155473009877</v>
      </c>
      <c r="I18" s="15" t="s">
        <v>140</v>
      </c>
      <c r="J18" s="222">
        <f>'Transaction Assumptions'!C24*('Transaction Assumptions'!D18)</f>
        <v>4173.2409240924089</v>
      </c>
      <c r="K18" s="4"/>
    </row>
    <row r="19" spans="1:11" x14ac:dyDescent="0.2">
      <c r="I19" s="14" t="s">
        <v>141</v>
      </c>
      <c r="J19" s="51">
        <f>IF(J17=0,0,J18/J17)</f>
        <v>0.83249775199969822</v>
      </c>
      <c r="K19" s="8"/>
    </row>
    <row r="20" spans="1:11" x14ac:dyDescent="0.2">
      <c r="B20" s="27" t="s">
        <v>49</v>
      </c>
      <c r="C20" s="47">
        <f>C10+C18</f>
        <v>125.32288868252469</v>
      </c>
      <c r="D20" s="47">
        <f>D10+D18</f>
        <v>250.64577736504938</v>
      </c>
      <c r="E20" s="47">
        <f>E10+E18</f>
        <v>401.03324378407905</v>
      </c>
      <c r="F20" s="47">
        <f>F10+F18</f>
        <v>501.29155473009877</v>
      </c>
      <c r="G20" s="47">
        <f>G10+G18</f>
        <v>501.29155473009877</v>
      </c>
    </row>
    <row r="22" spans="1:11" x14ac:dyDescent="0.2">
      <c r="A22" s="242" t="s">
        <v>115</v>
      </c>
      <c r="B22" s="242"/>
      <c r="C22" s="242"/>
      <c r="D22" s="242"/>
      <c r="E22" s="242"/>
      <c r="F22" s="242"/>
      <c r="G22" s="242"/>
    </row>
    <row r="23" spans="1:11" x14ac:dyDescent="0.2">
      <c r="B23" s="13" t="s">
        <v>116</v>
      </c>
      <c r="C23" s="189" t="s">
        <v>44</v>
      </c>
      <c r="D23" s="189" t="s">
        <v>45</v>
      </c>
      <c r="E23" s="189" t="s">
        <v>46</v>
      </c>
      <c r="F23" s="189" t="s">
        <v>102</v>
      </c>
      <c r="G23" s="189" t="s">
        <v>117</v>
      </c>
    </row>
    <row r="24" spans="1:11" x14ac:dyDescent="0.2">
      <c r="B24" s="15" t="s">
        <v>118</v>
      </c>
      <c r="C24" s="42">
        <f>ROUND(C29*0.45,0)</f>
        <v>75</v>
      </c>
      <c r="D24" s="42">
        <v>0</v>
      </c>
      <c r="E24" s="42">
        <v>0</v>
      </c>
      <c r="F24" s="42">
        <v>0</v>
      </c>
      <c r="G24" s="42"/>
    </row>
    <row r="25" spans="1:11" x14ac:dyDescent="0.2">
      <c r="B25" s="14" t="s">
        <v>119</v>
      </c>
      <c r="C25" s="46">
        <f>ROUND(C29*0.2,0)</f>
        <v>33</v>
      </c>
      <c r="D25" s="46">
        <v>0</v>
      </c>
      <c r="E25" s="46">
        <v>0</v>
      </c>
      <c r="F25" s="46">
        <v>0</v>
      </c>
      <c r="G25" s="46"/>
    </row>
    <row r="26" spans="1:11" x14ac:dyDescent="0.2">
      <c r="B26" s="15" t="s">
        <v>112</v>
      </c>
      <c r="C26" s="42">
        <f>ROUND(C29*0.15,0)</f>
        <v>25</v>
      </c>
      <c r="D26" s="42">
        <v>0</v>
      </c>
      <c r="E26" s="42">
        <v>0</v>
      </c>
      <c r="F26" s="42">
        <v>0</v>
      </c>
      <c r="G26" s="42"/>
    </row>
    <row r="27" spans="1:11" x14ac:dyDescent="0.2">
      <c r="B27" s="14" t="s">
        <v>120</v>
      </c>
      <c r="C27" s="46">
        <f>ROUND(C29*0.15,0)</f>
        <v>25</v>
      </c>
      <c r="D27" s="46">
        <v>0</v>
      </c>
      <c r="E27" s="46">
        <v>0</v>
      </c>
      <c r="F27" s="46">
        <v>0</v>
      </c>
      <c r="G27" s="46"/>
    </row>
    <row r="28" spans="1:11" x14ac:dyDescent="0.2">
      <c r="B28" s="15" t="s">
        <v>121</v>
      </c>
      <c r="C28" s="42">
        <f>C29-C24-C25-C26-C27</f>
        <v>9.0971849100329223</v>
      </c>
      <c r="D28" s="42">
        <v>0</v>
      </c>
      <c r="E28" s="42">
        <v>0</v>
      </c>
      <c r="F28" s="42">
        <v>0</v>
      </c>
      <c r="G28" s="42"/>
    </row>
    <row r="29" spans="1:11" x14ac:dyDescent="0.2">
      <c r="B29" s="23" t="s">
        <v>122</v>
      </c>
      <c r="C29" s="47">
        <f>(G20/1.5)*(1/2)</f>
        <v>167.09718491003292</v>
      </c>
      <c r="D29" s="47">
        <f>C29</f>
        <v>167.09718491003292</v>
      </c>
      <c r="E29" s="47">
        <v>0</v>
      </c>
      <c r="F29" s="47">
        <v>0</v>
      </c>
      <c r="G29" s="47">
        <f>SUM(C29:F29)</f>
        <v>334.19436982006584</v>
      </c>
    </row>
    <row r="31" spans="1:11" x14ac:dyDescent="0.2">
      <c r="A31" s="242" t="s">
        <v>123</v>
      </c>
      <c r="B31" s="242"/>
      <c r="C31" s="242"/>
      <c r="D31" s="242"/>
      <c r="E31" s="242"/>
      <c r="F31" s="242"/>
      <c r="G31" s="242"/>
    </row>
    <row r="32" spans="1:11" x14ac:dyDescent="0.2">
      <c r="B32" s="13" t="s">
        <v>124</v>
      </c>
      <c r="C32" s="189" t="s">
        <v>44</v>
      </c>
      <c r="D32" s="189" t="s">
        <v>45</v>
      </c>
      <c r="E32" s="189" t="s">
        <v>46</v>
      </c>
      <c r="F32" s="189" t="s">
        <v>102</v>
      </c>
      <c r="G32" s="189" t="s">
        <v>47</v>
      </c>
    </row>
    <row r="33" spans="2:7" x14ac:dyDescent="0.2">
      <c r="B33" s="14" t="s">
        <v>49</v>
      </c>
      <c r="C33" s="46">
        <f>C20</f>
        <v>125.32288868252469</v>
      </c>
      <c r="D33" s="46">
        <f>D20</f>
        <v>250.64577736504938</v>
      </c>
      <c r="E33" s="46">
        <f>E20</f>
        <v>401.03324378407905</v>
      </c>
      <c r="F33" s="46">
        <f>F20</f>
        <v>501.29155473009877</v>
      </c>
      <c r="G33" s="46">
        <f>G20</f>
        <v>501.29155473009877</v>
      </c>
    </row>
    <row r="34" spans="2:7" x14ac:dyDescent="0.2">
      <c r="B34" s="15" t="s">
        <v>50</v>
      </c>
      <c r="C34" s="42">
        <f>C29</f>
        <v>167.09718491003292</v>
      </c>
      <c r="D34" s="42">
        <f>D29</f>
        <v>167.09718491003292</v>
      </c>
      <c r="E34" s="42">
        <f>E29</f>
        <v>0</v>
      </c>
      <c r="F34" s="42">
        <f>F29</f>
        <v>0</v>
      </c>
      <c r="G34" s="42">
        <f>G29</f>
        <v>334.19436982006584</v>
      </c>
    </row>
    <row r="35" spans="2:7" x14ac:dyDescent="0.2">
      <c r="B35" s="23" t="s">
        <v>125</v>
      </c>
      <c r="C35" s="47">
        <f>C33-C34</f>
        <v>-41.774296227508231</v>
      </c>
      <c r="D35" s="47">
        <f>D33-D34</f>
        <v>83.548592455016461</v>
      </c>
      <c r="E35" s="47">
        <f>E33-E34</f>
        <v>401.03324378407905</v>
      </c>
      <c r="F35" s="47">
        <f>F33-F34</f>
        <v>501.29155473009877</v>
      </c>
      <c r="G35" s="47">
        <f>G33-G34</f>
        <v>167.09718491003292</v>
      </c>
    </row>
    <row r="36" spans="2:7" x14ac:dyDescent="0.2">
      <c r="B36" s="23" t="s">
        <v>126</v>
      </c>
      <c r="C36" s="52">
        <f>C35</f>
        <v>-41.774296227508231</v>
      </c>
      <c r="D36" s="52">
        <f>C36+D35</f>
        <v>41.774296227508231</v>
      </c>
      <c r="E36" s="52">
        <f>D36+E35</f>
        <v>442.80754001158726</v>
      </c>
      <c r="F36" s="52">
        <f>E36+F35</f>
        <v>944.09909474168603</v>
      </c>
      <c r="G36" s="52">
        <f>F36+G35</f>
        <v>1111.1962796517189</v>
      </c>
    </row>
  </sheetData>
  <mergeCells count="8">
    <mergeCell ref="A31:G31"/>
    <mergeCell ref="I4:K4"/>
    <mergeCell ref="I15:K15"/>
    <mergeCell ref="A2:K2"/>
    <mergeCell ref="A4:G4"/>
    <mergeCell ref="B6:G6"/>
    <mergeCell ref="B12:G12"/>
    <mergeCell ref="A22:G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CD1B2-EC02-0847-B537-24E73DF7B804}">
  <dimension ref="A1:K170"/>
  <sheetViews>
    <sheetView zoomScale="161" workbookViewId="0">
      <pane ySplit="5" topLeftCell="A6" activePane="bottomLeft" state="frozen"/>
      <selection pane="bottomLeft" activeCell="G25" sqref="G25:K25"/>
    </sheetView>
  </sheetViews>
  <sheetFormatPr baseColWidth="10" defaultRowHeight="16" x14ac:dyDescent="0.2"/>
  <cols>
    <col min="1" max="1" width="10.83203125" style="1"/>
    <col min="2" max="2" width="27.5" style="1" customWidth="1"/>
    <col min="3" max="16384" width="10.83203125" style="1"/>
  </cols>
  <sheetData>
    <row r="1" spans="1:11" x14ac:dyDescent="0.2">
      <c r="A1" s="82"/>
      <c r="B1" s="83" t="s">
        <v>181</v>
      </c>
      <c r="C1" s="82"/>
      <c r="D1" s="82"/>
      <c r="E1" s="82"/>
      <c r="F1" s="84" t="s">
        <v>78</v>
      </c>
      <c r="G1" s="82"/>
      <c r="H1" s="82"/>
      <c r="I1" s="82"/>
      <c r="J1" s="82"/>
      <c r="K1" s="82"/>
    </row>
    <row r="2" spans="1:11" ht="19" x14ac:dyDescent="0.25">
      <c r="A2" s="255" t="s">
        <v>182</v>
      </c>
      <c r="B2" s="255"/>
      <c r="C2" s="255"/>
      <c r="D2" s="255"/>
      <c r="E2" s="255"/>
      <c r="F2" s="255"/>
      <c r="G2" s="255"/>
      <c r="H2" s="255"/>
      <c r="I2" s="255"/>
      <c r="J2" s="255"/>
      <c r="K2" s="255"/>
    </row>
    <row r="4" spans="1:11" x14ac:dyDescent="0.2">
      <c r="B4" s="79" t="s">
        <v>183</v>
      </c>
      <c r="C4" s="256" t="s">
        <v>184</v>
      </c>
      <c r="D4" s="257"/>
      <c r="E4" s="257"/>
      <c r="F4" s="257"/>
      <c r="G4" s="258" t="s">
        <v>185</v>
      </c>
      <c r="H4" s="259"/>
      <c r="I4" s="259"/>
      <c r="J4" s="259"/>
      <c r="K4" s="259"/>
    </row>
    <row r="5" spans="1:11" x14ac:dyDescent="0.2">
      <c r="B5" s="87" t="s">
        <v>194</v>
      </c>
      <c r="C5" s="85" t="s">
        <v>186</v>
      </c>
      <c r="D5" s="85" t="s">
        <v>187</v>
      </c>
      <c r="E5" s="85" t="s">
        <v>188</v>
      </c>
      <c r="F5" s="85" t="s">
        <v>189</v>
      </c>
      <c r="G5" s="86" t="s">
        <v>28</v>
      </c>
      <c r="H5" s="86" t="s">
        <v>190</v>
      </c>
      <c r="I5" s="86" t="s">
        <v>191</v>
      </c>
      <c r="J5" s="86" t="s">
        <v>192</v>
      </c>
      <c r="K5" s="86" t="s">
        <v>193</v>
      </c>
    </row>
    <row r="6" spans="1:11" x14ac:dyDescent="0.2">
      <c r="B6" s="59"/>
      <c r="C6" s="59"/>
      <c r="D6" s="59"/>
      <c r="E6" s="59"/>
      <c r="F6" s="59"/>
      <c r="G6" s="59"/>
      <c r="H6" s="59"/>
      <c r="I6" s="59"/>
      <c r="J6" s="59"/>
      <c r="K6" s="59"/>
    </row>
    <row r="7" spans="1:11" x14ac:dyDescent="0.2">
      <c r="A7" s="242" t="s">
        <v>195</v>
      </c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1" x14ac:dyDescent="0.2">
      <c r="B8" s="7" t="s">
        <v>196</v>
      </c>
      <c r="C8" s="22">
        <v>26944</v>
      </c>
      <c r="D8" s="22">
        <v>27865</v>
      </c>
      <c r="E8" s="22">
        <v>28108</v>
      </c>
      <c r="F8" s="22">
        <v>29107</v>
      </c>
      <c r="G8" s="22">
        <f>F8*(1+G9)</f>
        <v>30432.575941369007</v>
      </c>
      <c r="H8" s="22">
        <f t="shared" ref="H8:K8" si="0">G8*(1+H9)</f>
        <v>32122.846336154395</v>
      </c>
      <c r="I8" s="22">
        <f t="shared" si="0"/>
        <v>34228.225318448305</v>
      </c>
      <c r="J8" s="22">
        <f t="shared" si="0"/>
        <v>35787.029454837924</v>
      </c>
      <c r="K8" s="22">
        <f t="shared" si="0"/>
        <v>36701.083253977573</v>
      </c>
    </row>
    <row r="9" spans="1:11" x14ac:dyDescent="0.2">
      <c r="B9" s="91" t="s">
        <v>197</v>
      </c>
      <c r="C9" s="89" t="s">
        <v>16</v>
      </c>
      <c r="D9" s="90">
        <f>(D8/C8)-1</f>
        <v>3.4182007125890701E-2</v>
      </c>
      <c r="E9" s="90">
        <f>(E8/D8)-1</f>
        <v>8.7206172617979583E-3</v>
      </c>
      <c r="F9" s="90">
        <f>(F8/E8)-1</f>
        <v>3.5541482851857209E-2</v>
      </c>
      <c r="G9" s="90">
        <f>F9+1%</f>
        <v>4.5541482851857211E-2</v>
      </c>
      <c r="H9" s="90">
        <f t="shared" ref="H9:I9" si="1">G9+1%</f>
        <v>5.5541482851857213E-2</v>
      </c>
      <c r="I9" s="90">
        <f t="shared" si="1"/>
        <v>6.5541482851857208E-2</v>
      </c>
      <c r="J9" s="90">
        <f>I9-2%</f>
        <v>4.5541482851857204E-2</v>
      </c>
      <c r="K9" s="90">
        <f>J9-2%</f>
        <v>2.5541482851857204E-2</v>
      </c>
    </row>
    <row r="10" spans="1:11" x14ac:dyDescent="0.2">
      <c r="B10" s="15" t="s">
        <v>198</v>
      </c>
      <c r="C10" s="22">
        <v>18892</v>
      </c>
      <c r="D10" s="22">
        <v>18762</v>
      </c>
      <c r="E10" s="22">
        <v>19283</v>
      </c>
      <c r="F10" s="22">
        <v>19184</v>
      </c>
      <c r="G10" s="22">
        <f>G8-G11</f>
        <v>20057.667807030026</v>
      </c>
      <c r="H10" s="22">
        <f t="shared" ref="H10:K10" si="2">H8-H11</f>
        <v>21171.700419582434</v>
      </c>
      <c r="I10" s="22">
        <f t="shared" si="2"/>
        <v>22559.325059577157</v>
      </c>
      <c r="J10" s="22">
        <f t="shared" si="2"/>
        <v>23586.710174927364</v>
      </c>
      <c r="K10" s="22">
        <f t="shared" si="2"/>
        <v>24189.149728391996</v>
      </c>
    </row>
    <row r="11" spans="1:11" x14ac:dyDescent="0.2">
      <c r="B11" s="96" t="s">
        <v>199</v>
      </c>
      <c r="C11" s="97">
        <f t="shared" ref="C11:F11" si="3">C8-C10</f>
        <v>8052</v>
      </c>
      <c r="D11" s="97">
        <f t="shared" si="3"/>
        <v>9103</v>
      </c>
      <c r="E11" s="97">
        <f t="shared" si="3"/>
        <v>8825</v>
      </c>
      <c r="F11" s="97">
        <f t="shared" si="3"/>
        <v>9923</v>
      </c>
      <c r="G11" s="97">
        <f>G8*G12</f>
        <v>10374.908134338979</v>
      </c>
      <c r="H11" s="97">
        <f t="shared" ref="H11:K11" si="4">H8*H12</f>
        <v>10951.145916571961</v>
      </c>
      <c r="I11" s="97">
        <f t="shared" si="4"/>
        <v>11668.900258871148</v>
      </c>
      <c r="J11" s="97">
        <f t="shared" si="4"/>
        <v>12200.319279910562</v>
      </c>
      <c r="K11" s="97">
        <f t="shared" si="4"/>
        <v>12511.933525585579</v>
      </c>
    </row>
    <row r="12" spans="1:11" x14ac:dyDescent="0.2">
      <c r="B12" s="98" t="s">
        <v>200</v>
      </c>
      <c r="C12" s="17">
        <f>C11/C8</f>
        <v>0.29884204275534443</v>
      </c>
      <c r="D12" s="17">
        <f>D11/D8</f>
        <v>0.32668221783599499</v>
      </c>
      <c r="E12" s="17">
        <f>E11/E8</f>
        <v>0.31396755372136048</v>
      </c>
      <c r="F12" s="17">
        <f>F11/F8</f>
        <v>0.34091455663586079</v>
      </c>
      <c r="G12" s="17">
        <f>F12</f>
        <v>0.34091455663586079</v>
      </c>
      <c r="H12" s="17">
        <f t="shared" ref="H12:K12" si="5">G12</f>
        <v>0.34091455663586079</v>
      </c>
      <c r="I12" s="17">
        <f t="shared" si="5"/>
        <v>0.34091455663586079</v>
      </c>
      <c r="J12" s="17">
        <f t="shared" si="5"/>
        <v>0.34091455663586079</v>
      </c>
      <c r="K12" s="17">
        <f t="shared" si="5"/>
        <v>0.34091455663586079</v>
      </c>
    </row>
    <row r="13" spans="1:11" x14ac:dyDescent="0.2">
      <c r="B13" s="88" t="s">
        <v>201</v>
      </c>
      <c r="C13" s="99">
        <v>1874</v>
      </c>
      <c r="D13" s="99">
        <v>1979</v>
      </c>
      <c r="E13" s="99">
        <v>2045</v>
      </c>
      <c r="F13" s="99">
        <v>2349</v>
      </c>
      <c r="G13" s="99">
        <f>G8*G14</f>
        <v>2455.9769432190124</v>
      </c>
      <c r="H13" s="99">
        <f t="shared" ref="H13:K13" si="6">H8*H14</f>
        <v>2592.3855444953679</v>
      </c>
      <c r="I13" s="99">
        <f t="shared" si="6"/>
        <v>2762.2943372053137</v>
      </c>
      <c r="J13" s="99">
        <f t="shared" si="6"/>
        <v>2888.0933173949315</v>
      </c>
      <c r="K13" s="99">
        <f t="shared" si="6"/>
        <v>2961.8595033357374</v>
      </c>
    </row>
    <row r="14" spans="1:11" x14ac:dyDescent="0.2">
      <c r="B14" s="190" t="s">
        <v>572</v>
      </c>
      <c r="C14" s="208">
        <f>C13/C8</f>
        <v>6.9551662707838482E-2</v>
      </c>
      <c r="D14" s="208">
        <f t="shared" ref="D14:F14" si="7">D13/D8</f>
        <v>7.1020994078593219E-2</v>
      </c>
      <c r="E14" s="208">
        <f t="shared" si="7"/>
        <v>7.2755087519567385E-2</v>
      </c>
      <c r="F14" s="208">
        <f t="shared" si="7"/>
        <v>8.0702236575394229E-2</v>
      </c>
      <c r="G14" s="209">
        <f>F14</f>
        <v>8.0702236575394229E-2</v>
      </c>
      <c r="H14" s="209">
        <f t="shared" ref="H14:K14" si="8">G14</f>
        <v>8.0702236575394229E-2</v>
      </c>
      <c r="I14" s="209">
        <f t="shared" si="8"/>
        <v>8.0702236575394229E-2</v>
      </c>
      <c r="J14" s="209">
        <f t="shared" si="8"/>
        <v>8.0702236575394229E-2</v>
      </c>
      <c r="K14" s="209">
        <f t="shared" si="8"/>
        <v>8.0702236575394229E-2</v>
      </c>
    </row>
    <row r="15" spans="1:11" x14ac:dyDescent="0.2">
      <c r="B15" s="15" t="s">
        <v>202</v>
      </c>
      <c r="C15" s="22">
        <v>4624</v>
      </c>
      <c r="D15" s="22">
        <v>4929</v>
      </c>
      <c r="E15" s="22">
        <v>4941</v>
      </c>
      <c r="F15" s="22">
        <v>5160</v>
      </c>
      <c r="G15" s="22">
        <f>G16*G8</f>
        <v>5394.9940515155831</v>
      </c>
      <c r="H15" s="22">
        <f t="shared" ref="H15:K15" si="9">H16*H8</f>
        <v>5694.640021113707</v>
      </c>
      <c r="I15" s="22">
        <f t="shared" si="9"/>
        <v>6067.8751724050317</v>
      </c>
      <c r="J15" s="22">
        <f t="shared" si="9"/>
        <v>6344.215205516326</v>
      </c>
      <c r="K15" s="22">
        <f t="shared" si="9"/>
        <v>6506.255869396512</v>
      </c>
    </row>
    <row r="16" spans="1:11" x14ac:dyDescent="0.2">
      <c r="B16" s="192" t="s">
        <v>572</v>
      </c>
      <c r="C16" s="193">
        <f>C15/C8</f>
        <v>0.17161520190023752</v>
      </c>
      <c r="D16" s="193">
        <f t="shared" ref="D16:F16" si="10">D15/D8</f>
        <v>0.17688856989054369</v>
      </c>
      <c r="E16" s="193">
        <f t="shared" si="10"/>
        <v>0.1757862530240501</v>
      </c>
      <c r="F16" s="193">
        <f t="shared" si="10"/>
        <v>0.17727694369052119</v>
      </c>
      <c r="G16" s="194">
        <f>F16</f>
        <v>0.17727694369052119</v>
      </c>
      <c r="H16" s="194">
        <f t="shared" ref="H16:K16" si="11">G16</f>
        <v>0.17727694369052119</v>
      </c>
      <c r="I16" s="194">
        <f t="shared" si="11"/>
        <v>0.17727694369052119</v>
      </c>
      <c r="J16" s="194">
        <f t="shared" si="11"/>
        <v>0.17727694369052119</v>
      </c>
      <c r="K16" s="194">
        <f t="shared" si="11"/>
        <v>0.17727694369052119</v>
      </c>
    </row>
    <row r="17" spans="2:11" x14ac:dyDescent="0.2">
      <c r="B17" s="88" t="s">
        <v>203</v>
      </c>
      <c r="C17" s="99">
        <v>1030</v>
      </c>
      <c r="D17" s="99">
        <v>966</v>
      </c>
      <c r="E17" s="99">
        <v>492</v>
      </c>
      <c r="F17" s="99">
        <v>352</v>
      </c>
      <c r="G17" s="99">
        <f>F17</f>
        <v>352</v>
      </c>
      <c r="H17" s="99">
        <f t="shared" ref="H17:K17" si="12">G17</f>
        <v>352</v>
      </c>
      <c r="I17" s="99">
        <f t="shared" si="12"/>
        <v>352</v>
      </c>
      <c r="J17" s="99">
        <f t="shared" si="12"/>
        <v>352</v>
      </c>
      <c r="K17" s="99">
        <f t="shared" si="12"/>
        <v>352</v>
      </c>
    </row>
    <row r="18" spans="2:11" x14ac:dyDescent="0.2">
      <c r="B18" s="94" t="s">
        <v>204</v>
      </c>
      <c r="C18" s="95">
        <f>C13+C15+C17+C10</f>
        <v>26420</v>
      </c>
      <c r="D18" s="95">
        <f t="shared" ref="D18:F18" si="13">D13+D15+D17+D10</f>
        <v>26636</v>
      </c>
      <c r="E18" s="95">
        <f t="shared" si="13"/>
        <v>26761</v>
      </c>
      <c r="F18" s="95">
        <f t="shared" si="13"/>
        <v>27045</v>
      </c>
      <c r="G18" s="95">
        <f>G13+G15+G17+G10</f>
        <v>28260.63880176462</v>
      </c>
      <c r="H18" s="95">
        <f t="shared" ref="H18:K18" si="14">H13+H15+H17+H10</f>
        <v>29810.725985191508</v>
      </c>
      <c r="I18" s="95">
        <f t="shared" si="14"/>
        <v>31741.494569187504</v>
      </c>
      <c r="J18" s="95">
        <f t="shared" si="14"/>
        <v>33171.018697838619</v>
      </c>
      <c r="K18" s="95">
        <f t="shared" si="14"/>
        <v>34009.265101124241</v>
      </c>
    </row>
    <row r="19" spans="2:11" x14ac:dyDescent="0.2">
      <c r="B19" s="96" t="s">
        <v>205</v>
      </c>
      <c r="C19" s="97">
        <f>C8-C18</f>
        <v>524</v>
      </c>
      <c r="D19" s="97">
        <f>D8-D18</f>
        <v>1229</v>
      </c>
      <c r="E19" s="97">
        <f>E8-E18</f>
        <v>1347</v>
      </c>
      <c r="F19" s="97">
        <f>F8-F18</f>
        <v>2062</v>
      </c>
      <c r="G19" s="97">
        <f t="shared" ref="G19:K19" si="15">G8-G18</f>
        <v>2171.9371396043862</v>
      </c>
      <c r="H19" s="97">
        <f t="shared" si="15"/>
        <v>2312.1203509628867</v>
      </c>
      <c r="I19" s="97">
        <f t="shared" si="15"/>
        <v>2486.7307492608015</v>
      </c>
      <c r="J19" s="97">
        <f t="shared" si="15"/>
        <v>2616.0107569993052</v>
      </c>
      <c r="K19" s="97">
        <f t="shared" si="15"/>
        <v>2691.8181528533314</v>
      </c>
    </row>
    <row r="20" spans="2:11" x14ac:dyDescent="0.2">
      <c r="B20" s="98" t="s">
        <v>206</v>
      </c>
      <c r="C20" s="17">
        <f>C19/C8</f>
        <v>1.9447743467933491E-2</v>
      </c>
      <c r="D20" s="17">
        <f>D19/D8</f>
        <v>4.4105508702673601E-2</v>
      </c>
      <c r="E20" s="17">
        <f>E19/E8</f>
        <v>4.79222997011527E-2</v>
      </c>
      <c r="F20" s="17">
        <f>F19/F8</f>
        <v>7.084206548252997E-2</v>
      </c>
      <c r="G20" s="17">
        <f t="shared" ref="G20:K20" si="16">G19/G8</f>
        <v>7.1368823453815122E-2</v>
      </c>
      <c r="H20" s="17">
        <f t="shared" si="16"/>
        <v>7.1977443305221239E-2</v>
      </c>
      <c r="I20" s="17">
        <f t="shared" si="16"/>
        <v>7.2651466037898987E-2</v>
      </c>
      <c r="J20" s="17">
        <f t="shared" si="16"/>
        <v>7.3099410508509127E-2</v>
      </c>
      <c r="K20" s="17">
        <f t="shared" si="16"/>
        <v>7.3344378808263069E-2</v>
      </c>
    </row>
    <row r="21" spans="2:11" x14ac:dyDescent="0.2">
      <c r="B21" s="88" t="s">
        <v>207</v>
      </c>
      <c r="C21" s="99">
        <v>2625</v>
      </c>
      <c r="D21" s="99">
        <v>2597</v>
      </c>
      <c r="E21" s="99">
        <v>2480</v>
      </c>
      <c r="F21" s="99">
        <v>2616</v>
      </c>
      <c r="G21" s="99">
        <f>-G140</f>
        <v>2746.4453148538714</v>
      </c>
      <c r="H21" s="99">
        <f t="shared" ref="H21:K21" si="17">-H140</f>
        <v>2832.4066620790409</v>
      </c>
      <c r="I21" s="99">
        <f t="shared" si="17"/>
        <v>2993.1388500956919</v>
      </c>
      <c r="J21" s="99">
        <f t="shared" si="17"/>
        <v>3237.6239450077014</v>
      </c>
      <c r="K21" s="99">
        <f t="shared" si="17"/>
        <v>3580.8432124976539</v>
      </c>
    </row>
    <row r="22" spans="2:11" x14ac:dyDescent="0.2">
      <c r="B22" s="96" t="s">
        <v>208</v>
      </c>
      <c r="C22" s="97">
        <f t="shared" ref="C22:F22" si="18">C19+C21</f>
        <v>3149</v>
      </c>
      <c r="D22" s="97">
        <f t="shared" si="18"/>
        <v>3826</v>
      </c>
      <c r="E22" s="97">
        <f t="shared" si="18"/>
        <v>3827</v>
      </c>
      <c r="F22" s="97">
        <f t="shared" si="18"/>
        <v>4678</v>
      </c>
      <c r="G22" s="97">
        <f>G19+G21</f>
        <v>4918.3824544582576</v>
      </c>
      <c r="H22" s="97">
        <f t="shared" ref="H22:K22" si="19">H19+H21</f>
        <v>5144.5270130419276</v>
      </c>
      <c r="I22" s="97">
        <f t="shared" si="19"/>
        <v>5479.8695993564934</v>
      </c>
      <c r="J22" s="97">
        <f t="shared" si="19"/>
        <v>5853.6347020070061</v>
      </c>
      <c r="K22" s="97">
        <f t="shared" si="19"/>
        <v>6272.6613653509849</v>
      </c>
    </row>
    <row r="23" spans="2:11" x14ac:dyDescent="0.2">
      <c r="B23" s="91" t="s">
        <v>209</v>
      </c>
      <c r="C23" s="90">
        <f>C22/C8</f>
        <v>0.11687203087885986</v>
      </c>
      <c r="D23" s="90">
        <f>D22/D8</f>
        <v>0.13730486273102457</v>
      </c>
      <c r="E23" s="90">
        <f>E22/E8</f>
        <v>0.13615340828233954</v>
      </c>
      <c r="F23" s="90">
        <f>F22/F8</f>
        <v>0.16071735321400352</v>
      </c>
      <c r="G23" s="90">
        <f t="shared" ref="G23:K23" si="20">G22/G8</f>
        <v>0.16161571284448439</v>
      </c>
      <c r="H23" s="90">
        <f t="shared" si="20"/>
        <v>0.16015165528005348</v>
      </c>
      <c r="I23" s="90">
        <f t="shared" si="20"/>
        <v>0.16009797611104765</v>
      </c>
      <c r="J23" s="90">
        <f t="shared" si="20"/>
        <v>0.16356861106323742</v>
      </c>
      <c r="K23" s="90">
        <f t="shared" si="20"/>
        <v>0.17091215869414889</v>
      </c>
    </row>
    <row r="24" spans="2:11" x14ac:dyDescent="0.2">
      <c r="B24" s="15" t="s">
        <v>210</v>
      </c>
      <c r="C24" s="22">
        <v>256</v>
      </c>
      <c r="D24" s="22">
        <v>138</v>
      </c>
      <c r="E24" s="22">
        <v>1045</v>
      </c>
      <c r="F24" s="22">
        <v>0</v>
      </c>
      <c r="G24" s="22">
        <f ca="1">G170</f>
        <v>528.96075340001812</v>
      </c>
      <c r="H24" s="22">
        <f t="shared" ref="H24:K24" ca="1" si="21">H170</f>
        <v>538.1602600249073</v>
      </c>
      <c r="I24" s="22">
        <f t="shared" ca="1" si="21"/>
        <v>569.19482294186491</v>
      </c>
      <c r="J24" s="22">
        <f t="shared" ca="1" si="21"/>
        <v>621.1200148367451</v>
      </c>
      <c r="K24" s="22">
        <f t="shared" ca="1" si="21"/>
        <v>702.80864547318595</v>
      </c>
    </row>
    <row r="25" spans="2:11" x14ac:dyDescent="0.2">
      <c r="B25" s="88" t="s">
        <v>211</v>
      </c>
      <c r="C25" s="99">
        <v>0</v>
      </c>
      <c r="D25" s="99">
        <v>0</v>
      </c>
      <c r="E25" s="99">
        <v>0</v>
      </c>
      <c r="F25" s="99">
        <v>0</v>
      </c>
      <c r="G25" s="99">
        <f>0</f>
        <v>0</v>
      </c>
      <c r="H25" s="99">
        <f>0</f>
        <v>0</v>
      </c>
      <c r="I25" s="99">
        <f>0</f>
        <v>0</v>
      </c>
      <c r="J25" s="99">
        <f>0</f>
        <v>0</v>
      </c>
      <c r="K25" s="99">
        <f>0</f>
        <v>0</v>
      </c>
    </row>
    <row r="26" spans="2:11" x14ac:dyDescent="0.2">
      <c r="B26" s="15" t="s">
        <v>212</v>
      </c>
      <c r="C26" s="22">
        <v>56</v>
      </c>
      <c r="D26" s="22">
        <v>-21</v>
      </c>
      <c r="E26" s="22">
        <v>1045</v>
      </c>
      <c r="F26" s="22">
        <v>-64</v>
      </c>
      <c r="G26" s="22">
        <f>0</f>
        <v>0</v>
      </c>
      <c r="H26" s="22">
        <f>0</f>
        <v>0</v>
      </c>
      <c r="I26" s="22">
        <f>0</f>
        <v>0</v>
      </c>
      <c r="J26" s="22">
        <f>0</f>
        <v>0</v>
      </c>
      <c r="K26" s="22">
        <f>0</f>
        <v>0</v>
      </c>
    </row>
    <row r="27" spans="2:11" x14ac:dyDescent="0.2">
      <c r="B27" s="96" t="s">
        <v>213</v>
      </c>
      <c r="C27" s="200">
        <v>-442</v>
      </c>
      <c r="D27" s="200">
        <v>3587</v>
      </c>
      <c r="E27" s="200">
        <v>876</v>
      </c>
      <c r="F27" s="200">
        <v>2230</v>
      </c>
      <c r="G27" s="97">
        <f ca="1">G19-G24+G25-G26</f>
        <v>1642.9763862043681</v>
      </c>
      <c r="H27" s="97">
        <f t="shared" ref="H27:K27" ca="1" si="22">H19-H24+H25-H26</f>
        <v>1773.9600909379794</v>
      </c>
      <c r="I27" s="97">
        <f t="shared" ca="1" si="22"/>
        <v>1917.5359263189366</v>
      </c>
      <c r="J27" s="97">
        <f t="shared" ca="1" si="22"/>
        <v>1994.8907421625599</v>
      </c>
      <c r="K27" s="97">
        <f t="shared" ca="1" si="22"/>
        <v>1989.0095073801454</v>
      </c>
    </row>
    <row r="28" spans="2:11" x14ac:dyDescent="0.2">
      <c r="B28" s="98" t="s">
        <v>214</v>
      </c>
      <c r="C28" s="17">
        <f>C27/C8</f>
        <v>-1.640439429928741E-2</v>
      </c>
      <c r="D28" s="17">
        <f>D27/D8</f>
        <v>0.12872779472456486</v>
      </c>
      <c r="E28" s="17">
        <f>E27/E8</f>
        <v>3.116550448270955E-2</v>
      </c>
      <c r="F28" s="17">
        <f>F27/F8</f>
        <v>7.6613872951523693E-2</v>
      </c>
      <c r="G28" s="17">
        <f t="shared" ref="G28:K28" ca="1" si="23">G27/G8</f>
        <v>5.39874241789359E-2</v>
      </c>
      <c r="H28" s="17">
        <f t="shared" ca="1" si="23"/>
        <v>5.5224249818154506E-2</v>
      </c>
      <c r="I28" s="17">
        <f t="shared" ca="1" si="23"/>
        <v>5.6022066831651493E-2</v>
      </c>
      <c r="J28" s="17">
        <f t="shared" ca="1" si="23"/>
        <v>5.5743401242063069E-2</v>
      </c>
      <c r="K28" s="17">
        <f t="shared" ca="1" si="23"/>
        <v>5.4194844702971576E-2</v>
      </c>
    </row>
    <row r="29" spans="2:11" x14ac:dyDescent="0.2">
      <c r="B29" s="88" t="s">
        <v>215</v>
      </c>
      <c r="C29" s="99">
        <v>-120</v>
      </c>
      <c r="D29" s="99">
        <v>160</v>
      </c>
      <c r="E29" s="99">
        <v>8</v>
      </c>
      <c r="F29" s="99">
        <v>205</v>
      </c>
      <c r="G29" s="99">
        <f ca="1">G27*G30</f>
        <v>151.03594581699349</v>
      </c>
      <c r="H29" s="99">
        <f t="shared" ref="H29:K29" ca="1" si="24">H27*H30</f>
        <v>163.07704871851379</v>
      </c>
      <c r="I29" s="99">
        <f t="shared" ca="1" si="24"/>
        <v>176.27572416833274</v>
      </c>
      <c r="J29" s="99">
        <f t="shared" ca="1" si="24"/>
        <v>183.38681710462996</v>
      </c>
      <c r="K29" s="99">
        <f t="shared" ca="1" si="24"/>
        <v>182.84616547665013</v>
      </c>
    </row>
    <row r="30" spans="2:11" x14ac:dyDescent="0.2">
      <c r="B30" s="98" t="s">
        <v>216</v>
      </c>
      <c r="C30" s="17">
        <f t="shared" ref="C30:F30" si="25">IF(C27=0,0,C29/C27)</f>
        <v>0.27149321266968324</v>
      </c>
      <c r="D30" s="17">
        <f t="shared" si="25"/>
        <v>4.4605519933091718E-2</v>
      </c>
      <c r="E30" s="17">
        <f t="shared" si="25"/>
        <v>9.1324200913242004E-3</v>
      </c>
      <c r="F30" s="17">
        <f t="shared" si="25"/>
        <v>9.1928251121076235E-2</v>
      </c>
      <c r="G30" s="17">
        <f>F30</f>
        <v>9.1928251121076235E-2</v>
      </c>
      <c r="H30" s="17">
        <f t="shared" ref="H30:K30" si="26">G30</f>
        <v>9.1928251121076235E-2</v>
      </c>
      <c r="I30" s="17">
        <f t="shared" si="26"/>
        <v>9.1928251121076235E-2</v>
      </c>
      <c r="J30" s="17">
        <f t="shared" si="26"/>
        <v>9.1928251121076235E-2</v>
      </c>
      <c r="K30" s="17">
        <f t="shared" si="26"/>
        <v>9.1928251121076235E-2</v>
      </c>
    </row>
    <row r="31" spans="2:11" x14ac:dyDescent="0.2">
      <c r="B31" s="96" t="s">
        <v>217</v>
      </c>
      <c r="C31" s="97">
        <f t="shared" ref="C31:F31" si="27">C27-C29</f>
        <v>-322</v>
      </c>
      <c r="D31" s="97">
        <f t="shared" si="27"/>
        <v>3427</v>
      </c>
      <c r="E31" s="97">
        <f t="shared" si="27"/>
        <v>868</v>
      </c>
      <c r="F31" s="97">
        <f t="shared" si="27"/>
        <v>2025</v>
      </c>
      <c r="G31" s="97">
        <f ca="1">G27-G29</f>
        <v>1491.9404403873746</v>
      </c>
      <c r="H31" s="97">
        <f t="shared" ref="H31:K31" ca="1" si="28">H27-H29</f>
        <v>1610.8830422194656</v>
      </c>
      <c r="I31" s="97">
        <f t="shared" ca="1" si="28"/>
        <v>1741.2602021506038</v>
      </c>
      <c r="J31" s="97">
        <f t="shared" ca="1" si="28"/>
        <v>1811.50392505793</v>
      </c>
      <c r="K31" s="97">
        <f t="shared" ca="1" si="28"/>
        <v>1806.1633419034952</v>
      </c>
    </row>
    <row r="32" spans="2:11" x14ac:dyDescent="0.2">
      <c r="B32" s="98" t="s">
        <v>218</v>
      </c>
      <c r="C32" s="17">
        <f>C31/C8</f>
        <v>-1.1950712589073634E-2</v>
      </c>
      <c r="D32" s="17">
        <f>D31/D8</f>
        <v>0.12298582451103535</v>
      </c>
      <c r="E32" s="17">
        <f>E31/E8</f>
        <v>3.0880888003415399E-2</v>
      </c>
      <c r="F32" s="17">
        <f>F31/F8</f>
        <v>6.9570893599477795E-2</v>
      </c>
      <c r="G32" s="17">
        <f t="shared" ref="G32:K32" ca="1" si="29">G31/G8</f>
        <v>4.902445469163462E-2</v>
      </c>
      <c r="H32" s="17">
        <f t="shared" ca="1" si="29"/>
        <v>5.0147581112898146E-2</v>
      </c>
      <c r="I32" s="17">
        <f t="shared" ca="1" si="29"/>
        <v>5.0872056203629716E-2</v>
      </c>
      <c r="J32" s="17">
        <f t="shared" ca="1" si="29"/>
        <v>5.061900785433978E-2</v>
      </c>
      <c r="K32" s="17">
        <f t="shared" ca="1" si="29"/>
        <v>4.9212807409649076E-2</v>
      </c>
    </row>
    <row r="33" spans="1:11" x14ac:dyDescent="0.2">
      <c r="B33" s="88" t="s">
        <v>219</v>
      </c>
      <c r="C33" s="157">
        <v>-0.24879999999999999</v>
      </c>
      <c r="D33" s="157">
        <v>2.6179999999999999</v>
      </c>
      <c r="E33" s="157">
        <v>0.66620000000000001</v>
      </c>
      <c r="F33" s="157">
        <v>1.5589</v>
      </c>
      <c r="G33" s="210">
        <f ca="1">G31/G35</f>
        <v>1.1485299772035216</v>
      </c>
      <c r="H33" s="210">
        <f t="shared" ref="H33:K33" ca="1" si="30">H31/H35</f>
        <v>1.2400947207232222</v>
      </c>
      <c r="I33" s="210">
        <f t="shared" ca="1" si="30"/>
        <v>1.3404620493846064</v>
      </c>
      <c r="J33" s="210">
        <f t="shared" ca="1" si="30"/>
        <v>1.3945372787205004</v>
      </c>
      <c r="K33" s="210">
        <f t="shared" ca="1" si="30"/>
        <v>1.3904259752913743</v>
      </c>
    </row>
    <row r="34" spans="1:11" x14ac:dyDescent="0.2">
      <c r="B34" s="15" t="s">
        <v>220</v>
      </c>
      <c r="C34" s="158">
        <v>-0.24879999999999999</v>
      </c>
      <c r="D34" s="158">
        <v>2.5767000000000002</v>
      </c>
      <c r="E34" s="158">
        <v>0.65659999999999996</v>
      </c>
      <c r="F34" s="158">
        <v>1.5387999999999999</v>
      </c>
      <c r="G34" s="211">
        <f ca="1">G31/G36</f>
        <v>1.1336933437594032</v>
      </c>
      <c r="H34" s="211">
        <f t="shared" ref="H34:K34" ca="1" si="31">H31/H36</f>
        <v>1.2240752600451865</v>
      </c>
      <c r="I34" s="211">
        <f t="shared" ca="1" si="31"/>
        <v>1.3231460502664163</v>
      </c>
      <c r="J34" s="211">
        <f t="shared" ca="1" si="31"/>
        <v>1.376522739405722</v>
      </c>
      <c r="K34" s="211">
        <f t="shared" ca="1" si="31"/>
        <v>1.3724645455193731</v>
      </c>
    </row>
    <row r="35" spans="1:11" x14ac:dyDescent="0.2">
      <c r="B35" s="88" t="s">
        <v>18</v>
      </c>
      <c r="C35" s="159">
        <v>1294</v>
      </c>
      <c r="D35" s="159">
        <v>1309</v>
      </c>
      <c r="E35" s="159">
        <v>1303</v>
      </c>
      <c r="F35" s="159">
        <v>1299</v>
      </c>
      <c r="G35" s="101">
        <f>F35</f>
        <v>1299</v>
      </c>
      <c r="H35" s="101">
        <f t="shared" ref="H35:K35" si="32">G35</f>
        <v>1299</v>
      </c>
      <c r="I35" s="101">
        <f t="shared" si="32"/>
        <v>1299</v>
      </c>
      <c r="J35" s="101">
        <f t="shared" si="32"/>
        <v>1299</v>
      </c>
      <c r="K35" s="101">
        <f t="shared" si="32"/>
        <v>1299</v>
      </c>
    </row>
    <row r="36" spans="1:11" x14ac:dyDescent="0.2">
      <c r="B36" s="15" t="s">
        <v>221</v>
      </c>
      <c r="C36" s="160">
        <v>1294</v>
      </c>
      <c r="D36" s="160">
        <v>1330</v>
      </c>
      <c r="E36" s="160">
        <v>1322</v>
      </c>
      <c r="F36" s="160">
        <v>1316</v>
      </c>
      <c r="G36" s="18">
        <f>F36</f>
        <v>1316</v>
      </c>
      <c r="H36" s="18">
        <f t="shared" ref="H36:K36" si="33">G36</f>
        <v>1316</v>
      </c>
      <c r="I36" s="18">
        <f t="shared" si="33"/>
        <v>1316</v>
      </c>
      <c r="J36" s="18">
        <f t="shared" si="33"/>
        <v>1316</v>
      </c>
      <c r="K36" s="18">
        <f t="shared" si="33"/>
        <v>1316</v>
      </c>
    </row>
    <row r="38" spans="1:11" x14ac:dyDescent="0.2">
      <c r="A38" s="242" t="s">
        <v>222</v>
      </c>
      <c r="B38" s="242"/>
      <c r="C38" s="242"/>
      <c r="D38" s="242"/>
      <c r="E38" s="242"/>
      <c r="F38" s="242"/>
      <c r="G38" s="242"/>
      <c r="H38" s="242"/>
      <c r="I38" s="242"/>
      <c r="J38" s="242"/>
      <c r="K38" s="242"/>
    </row>
    <row r="39" spans="1:11" x14ac:dyDescent="0.2">
      <c r="B39" s="241" t="s">
        <v>223</v>
      </c>
      <c r="C39" s="241"/>
      <c r="D39" s="241"/>
      <c r="E39" s="241"/>
      <c r="F39" s="241"/>
      <c r="G39" s="241"/>
      <c r="H39" s="241"/>
      <c r="I39" s="241"/>
      <c r="J39" s="241"/>
      <c r="K39" s="241"/>
    </row>
    <row r="40" spans="1:11" x14ac:dyDescent="0.2">
      <c r="B40" s="15" t="s">
        <v>224</v>
      </c>
      <c r="C40" s="22">
        <v>4621</v>
      </c>
      <c r="D40" s="22">
        <v>4332</v>
      </c>
      <c r="E40" s="22">
        <v>4763</v>
      </c>
      <c r="F40" s="22">
        <v>3676</v>
      </c>
      <c r="G40" s="22">
        <f ca="1">F40+G93</f>
        <v>3910.9874433330306</v>
      </c>
      <c r="H40" s="22">
        <f t="shared" ref="H40:K40" ca="1" si="34">G40+H93</f>
        <v>3757.6623329182107</v>
      </c>
      <c r="I40" s="22">
        <f t="shared" ca="1" si="34"/>
        <v>3240.4196176355817</v>
      </c>
      <c r="J40" s="22">
        <f t="shared" ca="1" si="34"/>
        <v>2374.999752720913</v>
      </c>
      <c r="K40" s="22">
        <f t="shared" ca="1" si="34"/>
        <v>1013.5225754468995</v>
      </c>
    </row>
    <row r="41" spans="1:11" x14ac:dyDescent="0.2">
      <c r="B41" s="88" t="s">
        <v>225</v>
      </c>
      <c r="C41" s="99">
        <v>7688</v>
      </c>
      <c r="D41" s="99">
        <v>7911</v>
      </c>
      <c r="E41" s="99">
        <v>7623</v>
      </c>
      <c r="F41" s="99">
        <v>7024</v>
      </c>
      <c r="G41" s="99">
        <f>G119</f>
        <v>7343.8833755514461</v>
      </c>
      <c r="H41" s="99">
        <f t="shared" ref="H41:K41" si="35">H119</f>
        <v>7751.7735481206755</v>
      </c>
      <c r="I41" s="99">
        <f t="shared" si="35"/>
        <v>8259.836281196307</v>
      </c>
      <c r="J41" s="99">
        <f t="shared" si="35"/>
        <v>8636.0014735555578</v>
      </c>
      <c r="K41" s="99">
        <f t="shared" si="35"/>
        <v>8856.5777571009894</v>
      </c>
    </row>
    <row r="42" spans="1:11" x14ac:dyDescent="0.2">
      <c r="B42" s="15" t="s">
        <v>226</v>
      </c>
      <c r="C42" s="22">
        <v>2387</v>
      </c>
      <c r="D42" s="22">
        <v>4511</v>
      </c>
      <c r="E42" s="22">
        <v>5161</v>
      </c>
      <c r="F42" s="22">
        <v>4607</v>
      </c>
      <c r="G42" s="22">
        <f>G127</f>
        <v>4816.8096114985055</v>
      </c>
      <c r="H42" s="22">
        <f t="shared" ref="H42:K42" si="36">H127</f>
        <v>5084.3423599362113</v>
      </c>
      <c r="I42" s="22">
        <f t="shared" si="36"/>
        <v>5417.5776975329427</v>
      </c>
      <c r="J42" s="22">
        <f t="shared" si="36"/>
        <v>5664.3022193437428</v>
      </c>
      <c r="K42" s="22">
        <f t="shared" si="36"/>
        <v>5808.9768973468472</v>
      </c>
    </row>
    <row r="43" spans="1:11" x14ac:dyDescent="0.2">
      <c r="B43" s="88" t="s">
        <v>227</v>
      </c>
      <c r="C43" s="99">
        <v>992</v>
      </c>
      <c r="D43" s="99">
        <v>2060</v>
      </c>
      <c r="E43" s="99">
        <v>2883</v>
      </c>
      <c r="F43" s="99">
        <v>2650</v>
      </c>
      <c r="G43" s="99">
        <f>G134</f>
        <v>2946.0567887961943</v>
      </c>
      <c r="H43" s="99">
        <f t="shared" ref="H43:K43" si="37">H134</f>
        <v>3109.6851514117152</v>
      </c>
      <c r="I43" s="99">
        <f t="shared" si="37"/>
        <v>3313.4985274376418</v>
      </c>
      <c r="J43" s="99">
        <f t="shared" si="37"/>
        <v>3464.400163804597</v>
      </c>
      <c r="K43" s="99">
        <f t="shared" si="37"/>
        <v>3552.8860811803834</v>
      </c>
    </row>
    <row r="44" spans="1:11" x14ac:dyDescent="0.2">
      <c r="B44" s="104" t="s">
        <v>228</v>
      </c>
      <c r="C44" s="97">
        <f>C40+C41+C42+C43</f>
        <v>15688</v>
      </c>
      <c r="D44" s="97">
        <f>D40+D41+D42+D43</f>
        <v>18814</v>
      </c>
      <c r="E44" s="97">
        <f>E40+E41+E42+E43</f>
        <v>20430</v>
      </c>
      <c r="F44" s="97">
        <f>F40+F41+F42+F43</f>
        <v>17957</v>
      </c>
      <c r="G44" s="97">
        <f ca="1">SUM(G40:G43)</f>
        <v>19017.737219179176</v>
      </c>
      <c r="H44" s="97">
        <f ca="1">SUM(H40:H43)</f>
        <v>19703.463392386813</v>
      </c>
      <c r="I44" s="97">
        <f ca="1">SUM(I40:I43)</f>
        <v>20231.332123802473</v>
      </c>
      <c r="J44" s="97">
        <f ca="1">SUM(J40:J43)</f>
        <v>20139.703609424811</v>
      </c>
      <c r="K44" s="97">
        <f ca="1">SUM(K40:K43)</f>
        <v>19231.96331107512</v>
      </c>
    </row>
    <row r="45" spans="1:11" x14ac:dyDescent="0.2">
      <c r="B45" s="241" t="s">
        <v>229</v>
      </c>
      <c r="C45" s="241"/>
      <c r="D45" s="241"/>
      <c r="E45" s="241"/>
      <c r="F45" s="241"/>
      <c r="G45" s="241"/>
      <c r="H45" s="241"/>
      <c r="I45" s="241"/>
      <c r="J45" s="241"/>
      <c r="K45" s="241"/>
    </row>
    <row r="46" spans="1:11" x14ac:dyDescent="0.2">
      <c r="B46" s="15" t="s">
        <v>230</v>
      </c>
      <c r="C46" s="22">
        <v>6054</v>
      </c>
      <c r="D46" s="22">
        <v>6497</v>
      </c>
      <c r="E46" s="22">
        <v>6638</v>
      </c>
      <c r="F46" s="22">
        <v>6969</v>
      </c>
      <c r="G46" s="22">
        <f>G145</f>
        <v>7571.3645974133296</v>
      </c>
      <c r="H46" s="22">
        <f t="shared" ref="H46:K46" si="38">H145</f>
        <v>8452.9354374149989</v>
      </c>
      <c r="I46" s="22">
        <f t="shared" si="38"/>
        <v>9690.7399252210053</v>
      </c>
      <c r="J46" s="22">
        <f t="shared" si="38"/>
        <v>11400.524347977627</v>
      </c>
      <c r="K46" s="22">
        <f t="shared" si="38"/>
        <v>13753.990090680618</v>
      </c>
    </row>
    <row r="47" spans="1:11" x14ac:dyDescent="0.2">
      <c r="B47" s="88" t="s">
        <v>231</v>
      </c>
      <c r="C47" s="99">
        <v>18306</v>
      </c>
      <c r="D47" s="99">
        <v>18017</v>
      </c>
      <c r="E47" s="99">
        <v>18306</v>
      </c>
      <c r="F47" s="99">
        <v>17988</v>
      </c>
      <c r="G47" s="99">
        <f>F47</f>
        <v>17988</v>
      </c>
      <c r="H47" s="99">
        <f t="shared" ref="H47:K47" si="39">G47</f>
        <v>17988</v>
      </c>
      <c r="I47" s="99">
        <f t="shared" si="39"/>
        <v>17988</v>
      </c>
      <c r="J47" s="99">
        <f t="shared" si="39"/>
        <v>17988</v>
      </c>
      <c r="K47" s="99">
        <f t="shared" si="39"/>
        <v>17988</v>
      </c>
    </row>
    <row r="48" spans="1:11" x14ac:dyDescent="0.2">
      <c r="B48" s="15" t="s">
        <v>232</v>
      </c>
      <c r="C48" s="22">
        <v>1128</v>
      </c>
      <c r="D48" s="22">
        <v>1103</v>
      </c>
      <c r="E48" s="22">
        <v>1022</v>
      </c>
      <c r="F48" s="22">
        <v>733</v>
      </c>
      <c r="G48" s="22">
        <f>F48</f>
        <v>733</v>
      </c>
      <c r="H48" s="22">
        <f t="shared" ref="H48:K48" si="40">G48</f>
        <v>733</v>
      </c>
      <c r="I48" s="22">
        <f t="shared" si="40"/>
        <v>733</v>
      </c>
      <c r="J48" s="22">
        <f t="shared" si="40"/>
        <v>733</v>
      </c>
      <c r="K48" s="22">
        <f t="shared" si="40"/>
        <v>733</v>
      </c>
    </row>
    <row r="49" spans="2:11" x14ac:dyDescent="0.2">
      <c r="B49" s="88" t="s">
        <v>233</v>
      </c>
      <c r="C49" s="99">
        <v>7848</v>
      </c>
      <c r="D49" s="99">
        <v>7706</v>
      </c>
      <c r="E49" s="99">
        <v>7171</v>
      </c>
      <c r="F49" s="99">
        <v>7523</v>
      </c>
      <c r="G49" s="99">
        <f>F49</f>
        <v>7523</v>
      </c>
      <c r="H49" s="99">
        <f t="shared" ref="H49:K49" si="41">G49</f>
        <v>7523</v>
      </c>
      <c r="I49" s="99">
        <f t="shared" si="41"/>
        <v>7523</v>
      </c>
      <c r="J49" s="99">
        <f t="shared" si="41"/>
        <v>7523</v>
      </c>
      <c r="K49" s="99">
        <f t="shared" si="41"/>
        <v>7523</v>
      </c>
    </row>
    <row r="50" spans="2:11" x14ac:dyDescent="0.2">
      <c r="B50" s="15" t="s">
        <v>234</v>
      </c>
      <c r="C50" s="22">
        <v>3324</v>
      </c>
      <c r="D50" s="22">
        <v>4200</v>
      </c>
      <c r="E50" s="22">
        <v>5354</v>
      </c>
      <c r="F50" s="22">
        <v>5157</v>
      </c>
      <c r="G50" s="22">
        <f>F50</f>
        <v>5157</v>
      </c>
      <c r="H50" s="22">
        <f t="shared" ref="H50:K50" si="42">G50</f>
        <v>5157</v>
      </c>
      <c r="I50" s="22">
        <f t="shared" si="42"/>
        <v>5157</v>
      </c>
      <c r="J50" s="22">
        <f t="shared" si="42"/>
        <v>5157</v>
      </c>
      <c r="K50" s="22">
        <f t="shared" si="42"/>
        <v>5157</v>
      </c>
    </row>
    <row r="51" spans="2:11" x14ac:dyDescent="0.2">
      <c r="B51" s="103" t="s">
        <v>235</v>
      </c>
      <c r="C51" s="95">
        <f>C46+C47+C48+C49+C50</f>
        <v>36660</v>
      </c>
      <c r="D51" s="95">
        <f>D46+D47+D48+D49+D50</f>
        <v>37523</v>
      </c>
      <c r="E51" s="95">
        <f>E46+E47+E48+E49+E50</f>
        <v>38491</v>
      </c>
      <c r="F51" s="95">
        <f>F46+F47+F48+F49+F50</f>
        <v>38370</v>
      </c>
      <c r="G51" s="95">
        <f>SUM(G46:G50)</f>
        <v>38972.364597413325</v>
      </c>
      <c r="H51" s="95">
        <f>SUM(H46:H50)</f>
        <v>39853.935437414999</v>
      </c>
      <c r="I51" s="95">
        <f>SUM(I46:I50)</f>
        <v>41091.739925221002</v>
      </c>
      <c r="J51" s="95">
        <f>SUM(J46:J50)</f>
        <v>42801.524347977625</v>
      </c>
      <c r="K51" s="95">
        <f>SUM(K46:K50)</f>
        <v>45154.990090680614</v>
      </c>
    </row>
    <row r="52" spans="2:11" x14ac:dyDescent="0.2">
      <c r="B52" s="104" t="s">
        <v>236</v>
      </c>
      <c r="C52" s="156">
        <v>51803</v>
      </c>
      <c r="D52" s="156">
        <v>54015</v>
      </c>
      <c r="E52" s="156">
        <v>57699</v>
      </c>
      <c r="F52" s="156">
        <v>57153</v>
      </c>
      <c r="G52" s="97">
        <f ca="1">G44+G51</f>
        <v>57990.101816592505</v>
      </c>
      <c r="H52" s="97">
        <f ca="1">H44+H51</f>
        <v>59557.398829801808</v>
      </c>
      <c r="I52" s="97">
        <f ca="1">I44+I51</f>
        <v>61323.072049023474</v>
      </c>
      <c r="J52" s="97">
        <f ca="1">J44+J51</f>
        <v>62941.227957402436</v>
      </c>
      <c r="K52" s="97">
        <f ca="1">K44+K51</f>
        <v>64386.953401755731</v>
      </c>
    </row>
    <row r="53" spans="2:11" x14ac:dyDescent="0.2">
      <c r="B53" s="241" t="s">
        <v>237</v>
      </c>
      <c r="C53" s="241"/>
      <c r="D53" s="241"/>
      <c r="E53" s="241"/>
      <c r="F53" s="241"/>
      <c r="G53" s="241"/>
      <c r="H53" s="241"/>
      <c r="I53" s="241"/>
      <c r="J53" s="241"/>
      <c r="K53" s="241"/>
    </row>
    <row r="54" spans="2:11" x14ac:dyDescent="0.2">
      <c r="B54" s="15" t="s">
        <v>238</v>
      </c>
      <c r="C54" s="22">
        <v>5595</v>
      </c>
      <c r="D54" s="22">
        <v>5383</v>
      </c>
      <c r="E54" s="22">
        <v>7004</v>
      </c>
      <c r="F54" s="22">
        <v>7136</v>
      </c>
      <c r="G54" s="22">
        <f>G153</f>
        <v>7763.2162565013214</v>
      </c>
      <c r="H54" s="22">
        <f t="shared" ref="H54:K54" si="43">H153</f>
        <v>8212.043364841209</v>
      </c>
      <c r="I54" s="22">
        <f t="shared" si="43"/>
        <v>8768.7230807425058</v>
      </c>
      <c r="J54" s="22">
        <f t="shared" si="43"/>
        <v>9129.1137947355637</v>
      </c>
      <c r="K54" s="22">
        <f t="shared" si="43"/>
        <v>9320.7821236733998</v>
      </c>
    </row>
    <row r="55" spans="2:11" x14ac:dyDescent="0.2">
      <c r="B55" s="88" t="s">
        <v>239</v>
      </c>
      <c r="C55" s="99">
        <v>4425</v>
      </c>
      <c r="D55" s="99">
        <v>3943</v>
      </c>
      <c r="E55" s="99">
        <v>3744</v>
      </c>
      <c r="F55" s="99">
        <v>4274</v>
      </c>
      <c r="G55" s="99">
        <f>F55</f>
        <v>4274</v>
      </c>
      <c r="H55" s="99">
        <f t="shared" ref="H55:K55" si="44">G55</f>
        <v>4274</v>
      </c>
      <c r="I55" s="99">
        <f t="shared" si="44"/>
        <v>4274</v>
      </c>
      <c r="J55" s="99">
        <f t="shared" si="44"/>
        <v>4274</v>
      </c>
      <c r="K55" s="99">
        <f t="shared" si="44"/>
        <v>4274</v>
      </c>
    </row>
    <row r="56" spans="2:11" x14ac:dyDescent="0.2">
      <c r="B56" s="15" t="s">
        <v>240</v>
      </c>
      <c r="C56" s="22">
        <v>1522</v>
      </c>
      <c r="D56" s="22">
        <v>1391</v>
      </c>
      <c r="E56" s="22">
        <v>1778</v>
      </c>
      <c r="F56" s="22">
        <v>1724</v>
      </c>
      <c r="G56" s="22">
        <f>F56</f>
        <v>1724</v>
      </c>
      <c r="H56" s="22">
        <f t="shared" ref="H56:K56" si="45">G56</f>
        <v>1724</v>
      </c>
      <c r="I56" s="22">
        <f t="shared" si="45"/>
        <v>1724</v>
      </c>
      <c r="J56" s="22">
        <f t="shared" si="45"/>
        <v>1724</v>
      </c>
      <c r="K56" s="22">
        <f t="shared" si="45"/>
        <v>1724</v>
      </c>
    </row>
    <row r="57" spans="2:11" x14ac:dyDescent="0.2">
      <c r="B57" s="88" t="s">
        <v>241</v>
      </c>
      <c r="C57" s="99">
        <v>7431</v>
      </c>
      <c r="D57" s="99">
        <v>7873</v>
      </c>
      <c r="E57" s="99">
        <v>7992</v>
      </c>
      <c r="F57" s="99">
        <v>7805</v>
      </c>
      <c r="G57" s="99">
        <f>F57</f>
        <v>7805</v>
      </c>
      <c r="H57" s="99">
        <f t="shared" ref="H57:K57" si="46">G57</f>
        <v>7805</v>
      </c>
      <c r="I57" s="99">
        <f t="shared" si="46"/>
        <v>7805</v>
      </c>
      <c r="J57" s="99">
        <f t="shared" si="46"/>
        <v>7805</v>
      </c>
      <c r="K57" s="99">
        <f t="shared" si="46"/>
        <v>7805</v>
      </c>
    </row>
    <row r="58" spans="2:11" x14ac:dyDescent="0.2">
      <c r="B58" s="104" t="s">
        <v>242</v>
      </c>
      <c r="C58" s="156">
        <v>19159</v>
      </c>
      <c r="D58" s="156">
        <v>18738</v>
      </c>
      <c r="E58" s="156">
        <v>20687</v>
      </c>
      <c r="F58" s="156">
        <v>21882</v>
      </c>
      <c r="G58" s="97">
        <f>SUM(G54:G57)</f>
        <v>21566.21625650132</v>
      </c>
      <c r="H58" s="97">
        <f>SUM(H54:H57)</f>
        <v>22015.043364841207</v>
      </c>
      <c r="I58" s="97">
        <f>SUM(I54:I57)</f>
        <v>22571.723080742508</v>
      </c>
      <c r="J58" s="97">
        <f>SUM(J54:J57)</f>
        <v>22932.113794735564</v>
      </c>
      <c r="K58" s="97">
        <f>SUM(K54:K57)</f>
        <v>23123.782123673402</v>
      </c>
    </row>
    <row r="59" spans="2:11" x14ac:dyDescent="0.2">
      <c r="B59" s="241" t="s">
        <v>243</v>
      </c>
      <c r="C59" s="241"/>
      <c r="D59" s="241"/>
      <c r="E59" s="241"/>
      <c r="F59" s="241"/>
      <c r="G59" s="241"/>
      <c r="H59" s="241"/>
      <c r="I59" s="241"/>
      <c r="J59" s="241"/>
      <c r="K59" s="241"/>
    </row>
    <row r="60" spans="2:11" x14ac:dyDescent="0.2">
      <c r="B60" s="15" t="s">
        <v>244</v>
      </c>
      <c r="C60" s="22">
        <v>9395</v>
      </c>
      <c r="D60" s="22">
        <v>13084</v>
      </c>
      <c r="E60" s="22">
        <v>10834</v>
      </c>
      <c r="F60" s="22">
        <v>8453</v>
      </c>
      <c r="G60" s="22">
        <f>F60</f>
        <v>8453</v>
      </c>
      <c r="H60" s="22">
        <f t="shared" ref="H60:K60" si="47">G60</f>
        <v>8453</v>
      </c>
      <c r="I60" s="22">
        <f t="shared" si="47"/>
        <v>8453</v>
      </c>
      <c r="J60" s="22">
        <f t="shared" si="47"/>
        <v>8453</v>
      </c>
      <c r="K60" s="22">
        <f t="shared" si="47"/>
        <v>8453</v>
      </c>
    </row>
    <row r="61" spans="2:11" x14ac:dyDescent="0.2">
      <c r="B61" s="88" t="s">
        <v>245</v>
      </c>
      <c r="C61" s="99">
        <v>311</v>
      </c>
      <c r="D61" s="99">
        <v>0</v>
      </c>
      <c r="E61" s="99">
        <v>494</v>
      </c>
      <c r="F61" s="99">
        <v>326</v>
      </c>
      <c r="G61" s="99">
        <f>F61</f>
        <v>326</v>
      </c>
      <c r="H61" s="99">
        <f t="shared" ref="H61:K61" si="48">G61</f>
        <v>326</v>
      </c>
      <c r="I61" s="99">
        <f t="shared" si="48"/>
        <v>326</v>
      </c>
      <c r="J61" s="99">
        <f t="shared" si="48"/>
        <v>326</v>
      </c>
      <c r="K61" s="99">
        <f t="shared" si="48"/>
        <v>326</v>
      </c>
    </row>
    <row r="62" spans="2:11" x14ac:dyDescent="0.2">
      <c r="B62" s="15" t="s">
        <v>246</v>
      </c>
      <c r="C62" s="22">
        <v>5789</v>
      </c>
      <c r="D62" s="22">
        <v>6097</v>
      </c>
      <c r="E62" s="22">
        <v>5667</v>
      </c>
      <c r="F62" s="22">
        <v>5371</v>
      </c>
      <c r="G62" s="22">
        <f>F62</f>
        <v>5371</v>
      </c>
      <c r="H62" s="22">
        <f t="shared" ref="H62:K62" si="49">G62</f>
        <v>5371</v>
      </c>
      <c r="I62" s="22">
        <f t="shared" si="49"/>
        <v>5371</v>
      </c>
      <c r="J62" s="22">
        <f t="shared" si="49"/>
        <v>5371</v>
      </c>
      <c r="K62" s="22">
        <f t="shared" si="49"/>
        <v>5371</v>
      </c>
    </row>
    <row r="63" spans="2:11" x14ac:dyDescent="0.2">
      <c r="B63" s="103" t="s">
        <v>247</v>
      </c>
      <c r="C63" s="95">
        <f>C60+C61+C62</f>
        <v>15495</v>
      </c>
      <c r="D63" s="95">
        <f>D60+D61+D62</f>
        <v>19181</v>
      </c>
      <c r="E63" s="95">
        <f>E60+E61+E62</f>
        <v>16995</v>
      </c>
      <c r="F63" s="95">
        <f>F60+F61+F62</f>
        <v>14150</v>
      </c>
      <c r="G63" s="95">
        <f>SUM(G60:G62)</f>
        <v>14150</v>
      </c>
      <c r="H63" s="95">
        <f>SUM(H60:H62)</f>
        <v>14150</v>
      </c>
      <c r="I63" s="95">
        <f>SUM(I60:I62)</f>
        <v>14150</v>
      </c>
      <c r="J63" s="95">
        <f>SUM(J60:J62)</f>
        <v>14150</v>
      </c>
      <c r="K63" s="95">
        <f>SUM(K60:K62)</f>
        <v>14150</v>
      </c>
    </row>
    <row r="64" spans="2:11" x14ac:dyDescent="0.2">
      <c r="B64" s="104" t="s">
        <v>248</v>
      </c>
      <c r="C64" s="156">
        <v>34654</v>
      </c>
      <c r="D64" s="156">
        <v>37919</v>
      </c>
      <c r="E64" s="156">
        <v>37682</v>
      </c>
      <c r="F64" s="156">
        <v>35915</v>
      </c>
      <c r="G64" s="97">
        <f>G58+G63</f>
        <v>35716.21625650132</v>
      </c>
      <c r="H64" s="97">
        <f>H58+H63</f>
        <v>36165.043364841207</v>
      </c>
      <c r="I64" s="97">
        <f>I58+I63</f>
        <v>36721.723080742508</v>
      </c>
      <c r="J64" s="97">
        <f>J58+J63</f>
        <v>37082.11379473556</v>
      </c>
      <c r="K64" s="97">
        <f>K58+K63</f>
        <v>37273.782123673402</v>
      </c>
    </row>
    <row r="65" spans="1:11" x14ac:dyDescent="0.2">
      <c r="B65" s="241" t="s">
        <v>249</v>
      </c>
      <c r="C65" s="241"/>
      <c r="D65" s="241"/>
      <c r="E65" s="241"/>
      <c r="F65" s="241"/>
      <c r="G65" s="241"/>
      <c r="H65" s="241"/>
      <c r="I65" s="241"/>
      <c r="J65" s="241"/>
      <c r="K65" s="241"/>
    </row>
    <row r="66" spans="1:11" x14ac:dyDescent="0.2">
      <c r="B66" s="15" t="s">
        <v>250</v>
      </c>
      <c r="C66" s="22">
        <v>28457</v>
      </c>
      <c r="D66" s="22">
        <v>28363</v>
      </c>
      <c r="E66" s="22">
        <v>28483</v>
      </c>
      <c r="F66" s="22">
        <v>28212</v>
      </c>
      <c r="G66" s="22"/>
      <c r="H66" s="22"/>
      <c r="I66" s="22"/>
      <c r="J66" s="22"/>
      <c r="K66" s="22"/>
    </row>
    <row r="67" spans="1:11" x14ac:dyDescent="0.2">
      <c r="B67" s="88" t="s">
        <v>251</v>
      </c>
      <c r="C67" s="99">
        <v>-7632</v>
      </c>
      <c r="D67" s="99">
        <v>-8375</v>
      </c>
      <c r="E67" s="99">
        <v>-5597</v>
      </c>
      <c r="F67" s="99">
        <v>-5350</v>
      </c>
      <c r="G67" s="99"/>
      <c r="H67" s="99"/>
      <c r="I67" s="99"/>
      <c r="J67" s="99"/>
      <c r="K67" s="99"/>
    </row>
    <row r="68" spans="1:11" x14ac:dyDescent="0.2">
      <c r="B68" s="15" t="s">
        <v>252</v>
      </c>
      <c r="C68" s="22">
        <v>-437</v>
      </c>
      <c r="D68" s="22">
        <v>-477</v>
      </c>
      <c r="E68" s="22">
        <v>-466</v>
      </c>
      <c r="F68" s="22">
        <v>-638</v>
      </c>
      <c r="G68" s="22"/>
      <c r="H68" s="22"/>
      <c r="I68" s="22"/>
      <c r="J68" s="22"/>
      <c r="K68" s="22"/>
    </row>
    <row r="69" spans="1:11" x14ac:dyDescent="0.2">
      <c r="B69" s="88" t="s">
        <v>253</v>
      </c>
      <c r="C69" s="99">
        <v>-3313</v>
      </c>
      <c r="D69" s="99">
        <v>-3480</v>
      </c>
      <c r="E69" s="99">
        <v>-2464</v>
      </c>
      <c r="F69" s="99">
        <v>-2487</v>
      </c>
      <c r="G69" s="99"/>
      <c r="H69" s="99"/>
      <c r="I69" s="99"/>
      <c r="J69" s="99"/>
      <c r="K69" s="99"/>
    </row>
    <row r="70" spans="1:11" x14ac:dyDescent="0.2">
      <c r="B70" s="103" t="s">
        <v>254</v>
      </c>
      <c r="C70" s="95">
        <f>C52-C64</f>
        <v>17149</v>
      </c>
      <c r="D70" s="95">
        <f>D52-D64</f>
        <v>16096</v>
      </c>
      <c r="E70" s="95">
        <f>E52-E64</f>
        <v>20017</v>
      </c>
      <c r="F70" s="95">
        <f>F52-F64</f>
        <v>21238</v>
      </c>
      <c r="G70" s="95">
        <f ca="1">G163</f>
        <v>22273.885560091185</v>
      </c>
      <c r="H70" s="95">
        <f t="shared" ref="H70:K70" ca="1" si="50">H163</f>
        <v>23392.355464960601</v>
      </c>
      <c r="I70" s="95">
        <f t="shared" ca="1" si="50"/>
        <v>24601.34896828097</v>
      </c>
      <c r="J70" s="95">
        <f t="shared" ca="1" si="50"/>
        <v>25859.114162666869</v>
      </c>
      <c r="K70" s="95">
        <f t="shared" ca="1" si="50"/>
        <v>27113.171278082333</v>
      </c>
    </row>
    <row r="71" spans="1:11" x14ac:dyDescent="0.2">
      <c r="B71" s="104" t="s">
        <v>255</v>
      </c>
      <c r="C71" s="97">
        <f t="shared" ref="C71:K71" si="51">C64+C70</f>
        <v>51803</v>
      </c>
      <c r="D71" s="97">
        <f t="shared" si="51"/>
        <v>54015</v>
      </c>
      <c r="E71" s="97">
        <f t="shared" si="51"/>
        <v>57699</v>
      </c>
      <c r="F71" s="97">
        <f t="shared" si="51"/>
        <v>57153</v>
      </c>
      <c r="G71" s="97">
        <f t="shared" ca="1" si="51"/>
        <v>57990.101816592505</v>
      </c>
      <c r="H71" s="97">
        <f t="shared" ca="1" si="51"/>
        <v>59557.398829801808</v>
      </c>
      <c r="I71" s="97">
        <f t="shared" ca="1" si="51"/>
        <v>61323.072049023482</v>
      </c>
      <c r="J71" s="97">
        <f t="shared" ca="1" si="51"/>
        <v>62941.227957402429</v>
      </c>
      <c r="K71" s="97">
        <f t="shared" ca="1" si="51"/>
        <v>64386.953401755731</v>
      </c>
    </row>
    <row r="72" spans="1:11" x14ac:dyDescent="0.2">
      <c r="B72" s="106" t="s">
        <v>256</v>
      </c>
      <c r="C72" s="105" t="str">
        <f>IF(ABS(C52-C71)&lt;1,"✓","✗ " &amp; TEXT(C52-C71,"$#,##0"))</f>
        <v>✓</v>
      </c>
      <c r="D72" s="105" t="str">
        <f>IF(ABS(D52-D71)&lt;1,"✓","✗ " &amp; TEXT(D52-D71,"$#,##0"))</f>
        <v>✓</v>
      </c>
      <c r="E72" s="105" t="str">
        <f>IF(ABS(E52-E71)&lt;1,"✓","✗ " &amp; TEXT(E52-E71,"$#,##0"))</f>
        <v>✓</v>
      </c>
      <c r="F72" s="105" t="str">
        <f>IF(ABS(F52-F71)&lt;1,"✓","✗ " &amp; TEXT(F52-F71,"$#,##0"))</f>
        <v>✓</v>
      </c>
      <c r="G72" s="105" t="str">
        <f ca="1">IF(ABS(G52-G71)&lt;1,"✓","✗ MISMATCH")</f>
        <v>✓</v>
      </c>
      <c r="H72" s="105" t="str">
        <f ca="1">IF(ABS(H52-H71)&lt;1,"✓","✗ MISMATCH")</f>
        <v>✓</v>
      </c>
      <c r="I72" s="105" t="str">
        <f ca="1">IF(ABS(I52-I71)&lt;1,"✓","✗ MISMATCH")</f>
        <v>✓</v>
      </c>
      <c r="J72" s="105" t="str">
        <f ca="1">IF(ABS(J52-J71)&lt;1,"✓","✗ MISMATCH")</f>
        <v>✓</v>
      </c>
      <c r="K72" s="105" t="str">
        <f ca="1">IF(ABS(K52-K71)&lt;1,"✓","✗ MISMATCH")</f>
        <v>✓</v>
      </c>
    </row>
    <row r="73" spans="1:11" x14ac:dyDescent="0.2">
      <c r="G73" s="212"/>
      <c r="H73" s="212"/>
      <c r="I73" s="212"/>
      <c r="J73" s="212"/>
      <c r="K73" s="212"/>
    </row>
    <row r="74" spans="1:11" x14ac:dyDescent="0.2">
      <c r="A74" s="242" t="s">
        <v>257</v>
      </c>
      <c r="B74" s="242"/>
      <c r="C74" s="242"/>
      <c r="D74" s="242"/>
      <c r="E74" s="242"/>
      <c r="F74" s="242"/>
      <c r="G74" s="242"/>
      <c r="H74" s="242"/>
      <c r="I74" s="242"/>
      <c r="J74" s="242"/>
      <c r="K74" s="242"/>
    </row>
    <row r="75" spans="1:11" x14ac:dyDescent="0.2">
      <c r="B75" s="241" t="s">
        <v>258</v>
      </c>
      <c r="C75" s="241"/>
      <c r="D75" s="241"/>
      <c r="E75" s="241"/>
      <c r="F75" s="241"/>
      <c r="G75" s="241"/>
      <c r="H75" s="241"/>
      <c r="I75" s="241"/>
      <c r="J75" s="241"/>
      <c r="K75" s="241"/>
    </row>
    <row r="76" spans="1:11" x14ac:dyDescent="0.2">
      <c r="B76" s="15" t="s">
        <v>217</v>
      </c>
      <c r="C76" s="28">
        <f t="shared" ref="C76:F76" si="52">C31</f>
        <v>-322</v>
      </c>
      <c r="D76" s="28">
        <f t="shared" si="52"/>
        <v>3427</v>
      </c>
      <c r="E76" s="28">
        <f t="shared" si="52"/>
        <v>868</v>
      </c>
      <c r="F76" s="28">
        <f t="shared" si="52"/>
        <v>2025</v>
      </c>
      <c r="G76" s="30">
        <f ca="1">G31</f>
        <v>1491.9404403873746</v>
      </c>
      <c r="H76" s="30">
        <f t="shared" ref="H76:K76" ca="1" si="53">H31</f>
        <v>1610.8830422194656</v>
      </c>
      <c r="I76" s="30">
        <f t="shared" ca="1" si="53"/>
        <v>1741.2602021506038</v>
      </c>
      <c r="J76" s="30">
        <f t="shared" ca="1" si="53"/>
        <v>1811.50392505793</v>
      </c>
      <c r="K76" s="30">
        <f t="shared" ca="1" si="53"/>
        <v>1806.1633419034952</v>
      </c>
    </row>
    <row r="77" spans="1:11" x14ac:dyDescent="0.2">
      <c r="B77" s="88" t="s">
        <v>259</v>
      </c>
      <c r="C77" s="142">
        <f t="shared" ref="C77:F77" si="54">C21</f>
        <v>2625</v>
      </c>
      <c r="D77" s="142">
        <f t="shared" si="54"/>
        <v>2597</v>
      </c>
      <c r="E77" s="142">
        <f t="shared" si="54"/>
        <v>2480</v>
      </c>
      <c r="F77" s="142">
        <f t="shared" si="54"/>
        <v>2616</v>
      </c>
      <c r="G77" s="107">
        <f>-G140</f>
        <v>2746.4453148538714</v>
      </c>
      <c r="H77" s="107">
        <f t="shared" ref="H77:K77" si="55">-H140</f>
        <v>2832.4066620790409</v>
      </c>
      <c r="I77" s="107">
        <f t="shared" si="55"/>
        <v>2993.1388500956919</v>
      </c>
      <c r="J77" s="107">
        <f t="shared" si="55"/>
        <v>3237.6239450077014</v>
      </c>
      <c r="K77" s="107">
        <f t="shared" si="55"/>
        <v>3580.8432124976539</v>
      </c>
    </row>
    <row r="78" spans="1:11" x14ac:dyDescent="0.2">
      <c r="B78" s="15" t="s">
        <v>260</v>
      </c>
      <c r="C78" s="22">
        <v>-2246</v>
      </c>
      <c r="D78" s="22">
        <v>-1370</v>
      </c>
      <c r="E78" s="22">
        <v>-570</v>
      </c>
      <c r="F78" s="22">
        <v>-1032</v>
      </c>
      <c r="G78" s="197">
        <f>-(G41-F41)-(G42-F42)-(G43-F43)+(G54-F54)</f>
        <v>-198.53351934482453</v>
      </c>
      <c r="H78" s="197">
        <f t="shared" ref="H78:K78" si="56">-(H41-G41)-(H42-G42)-(H43-G43)+(H54-G54)</f>
        <v>-390.22417528256847</v>
      </c>
      <c r="I78" s="197">
        <f t="shared" si="56"/>
        <v>-488.43173079699272</v>
      </c>
      <c r="J78" s="197">
        <f t="shared" si="56"/>
        <v>-413.40063654394817</v>
      </c>
      <c r="K78" s="197">
        <f t="shared" si="56"/>
        <v>-262.06854998648623</v>
      </c>
    </row>
    <row r="79" spans="1:11" x14ac:dyDescent="0.2">
      <c r="B79" s="88" t="s">
        <v>261</v>
      </c>
      <c r="C79" s="99">
        <v>2183</v>
      </c>
      <c r="D79" s="99">
        <v>1217</v>
      </c>
      <c r="E79" s="99">
        <v>1815</v>
      </c>
      <c r="F79" s="99">
        <v>819</v>
      </c>
      <c r="G79" s="99"/>
      <c r="H79" s="99"/>
      <c r="I79" s="99"/>
      <c r="J79" s="99"/>
      <c r="K79" s="99"/>
    </row>
    <row r="80" spans="1:11" x14ac:dyDescent="0.2">
      <c r="B80" s="104" t="s">
        <v>262</v>
      </c>
      <c r="C80" s="97">
        <f>C76+C77+C78+C79</f>
        <v>2240</v>
      </c>
      <c r="D80" s="97">
        <f>D76+D77+D78+D79</f>
        <v>5871</v>
      </c>
      <c r="E80" s="97">
        <f>E76+E77+E78+E79</f>
        <v>4593</v>
      </c>
      <c r="F80" s="97">
        <f>F76+F77+F78+F79</f>
        <v>4428</v>
      </c>
      <c r="G80" s="97">
        <f ca="1">SUM(G76:G79)</f>
        <v>4039.8522358964219</v>
      </c>
      <c r="H80" s="97">
        <f t="shared" ref="H80:K80" ca="1" si="57">SUM(H76:H79)</f>
        <v>4053.0655290159375</v>
      </c>
      <c r="I80" s="97">
        <f t="shared" ca="1" si="57"/>
        <v>4245.9673214493032</v>
      </c>
      <c r="J80" s="97">
        <f t="shared" ca="1" si="57"/>
        <v>4635.727233521683</v>
      </c>
      <c r="K80" s="97">
        <f t="shared" ca="1" si="57"/>
        <v>5124.9380044146619</v>
      </c>
    </row>
    <row r="81" spans="2:11" x14ac:dyDescent="0.2">
      <c r="B81" s="241" t="s">
        <v>263</v>
      </c>
      <c r="C81" s="241"/>
      <c r="D81" s="241"/>
      <c r="E81" s="241"/>
      <c r="F81" s="241"/>
      <c r="G81" s="241"/>
      <c r="H81" s="241"/>
      <c r="I81" s="241"/>
      <c r="J81" s="241"/>
      <c r="K81" s="241"/>
    </row>
    <row r="82" spans="2:11" x14ac:dyDescent="0.2">
      <c r="B82" s="15" t="s">
        <v>264</v>
      </c>
      <c r="C82" s="22">
        <v>-2383</v>
      </c>
      <c r="D82" s="22">
        <v>-2502</v>
      </c>
      <c r="E82" s="22">
        <v>-3122</v>
      </c>
      <c r="F82" s="22">
        <v>-2828</v>
      </c>
      <c r="G82" s="22">
        <f>-G139</f>
        <v>-3348.8099122672006</v>
      </c>
      <c r="H82" s="22">
        <f t="shared" ref="H82:K82" si="58">-H139</f>
        <v>-3713.9775020807083</v>
      </c>
      <c r="I82" s="22">
        <f t="shared" si="58"/>
        <v>-4230.9433379016982</v>
      </c>
      <c r="J82" s="22">
        <f t="shared" si="58"/>
        <v>-4947.408367764323</v>
      </c>
      <c r="K82" s="22">
        <f t="shared" si="58"/>
        <v>-5934.308955200644</v>
      </c>
    </row>
    <row r="83" spans="2:11" x14ac:dyDescent="0.2">
      <c r="B83" s="88" t="s">
        <v>265</v>
      </c>
      <c r="C83" s="99">
        <v>-866</v>
      </c>
      <c r="D83" s="99">
        <v>-505</v>
      </c>
      <c r="E83" s="99">
        <v>0</v>
      </c>
      <c r="F83" s="99">
        <v>-761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</row>
    <row r="84" spans="2:11" x14ac:dyDescent="0.2">
      <c r="B84" s="15" t="s">
        <v>266</v>
      </c>
      <c r="C84" s="22">
        <v>-53</v>
      </c>
      <c r="D84" s="22">
        <v>-45</v>
      </c>
      <c r="E84" s="22">
        <v>207</v>
      </c>
      <c r="F84" s="22">
        <v>-6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</row>
    <row r="85" spans="2:11" x14ac:dyDescent="0.2">
      <c r="B85" s="88" t="s">
        <v>267</v>
      </c>
      <c r="C85" s="99">
        <v>724</v>
      </c>
      <c r="D85" s="99">
        <v>256</v>
      </c>
      <c r="E85" s="99">
        <v>828</v>
      </c>
      <c r="F85" s="99">
        <v>311</v>
      </c>
      <c r="G85" s="99">
        <v>0</v>
      </c>
      <c r="H85" s="99">
        <v>0</v>
      </c>
      <c r="I85" s="99">
        <v>0</v>
      </c>
      <c r="J85" s="99">
        <v>0</v>
      </c>
      <c r="K85" s="99">
        <v>0</v>
      </c>
    </row>
    <row r="86" spans="2:11" x14ac:dyDescent="0.2">
      <c r="B86" s="104" t="s">
        <v>268</v>
      </c>
      <c r="C86" s="97">
        <f>C82+C83+C84+C85</f>
        <v>-2578</v>
      </c>
      <c r="D86" s="97">
        <f>D82+D83+D84+D85</f>
        <v>-2796</v>
      </c>
      <c r="E86" s="97">
        <f>E82+E83+E84+E85</f>
        <v>-2087</v>
      </c>
      <c r="F86" s="97">
        <f>F82+F83+F84+F85</f>
        <v>-3284</v>
      </c>
      <c r="G86" s="97">
        <f>SUM(G82:G85)</f>
        <v>-3348.8099122672006</v>
      </c>
      <c r="H86" s="97">
        <f>SUM(H82:H85)</f>
        <v>-3713.9775020807083</v>
      </c>
      <c r="I86" s="97">
        <f>SUM(I82:I85)</f>
        <v>-4230.9433379016982</v>
      </c>
      <c r="J86" s="97">
        <f>SUM(J82:J85)</f>
        <v>-4947.408367764323</v>
      </c>
      <c r="K86" s="97">
        <f>SUM(K82:K85)</f>
        <v>-5934.308955200644</v>
      </c>
    </row>
    <row r="87" spans="2:11" x14ac:dyDescent="0.2">
      <c r="B87" s="241" t="s">
        <v>269</v>
      </c>
      <c r="C87" s="241"/>
      <c r="D87" s="241"/>
      <c r="E87" s="241"/>
      <c r="F87" s="241"/>
      <c r="G87" s="241"/>
      <c r="H87" s="241"/>
      <c r="I87" s="241"/>
      <c r="J87" s="241"/>
      <c r="K87" s="241"/>
    </row>
    <row r="88" spans="2:11" x14ac:dyDescent="0.2">
      <c r="B88" s="15" t="s">
        <v>270</v>
      </c>
      <c r="C88" s="22">
        <v>1908</v>
      </c>
      <c r="D88" s="22">
        <v>-2443</v>
      </c>
      <c r="E88" s="22">
        <v>-696</v>
      </c>
      <c r="F88" s="22">
        <v>-162</v>
      </c>
      <c r="G88" s="22">
        <v>0</v>
      </c>
      <c r="H88" s="22"/>
      <c r="I88" s="22"/>
      <c r="J88" s="22"/>
      <c r="K88" s="22"/>
    </row>
    <row r="89" spans="2:11" x14ac:dyDescent="0.2">
      <c r="B89" s="88" t="s">
        <v>271</v>
      </c>
      <c r="C89" s="99">
        <v>-355</v>
      </c>
      <c r="D89" s="99">
        <v>-213</v>
      </c>
      <c r="E89" s="99">
        <v>-512</v>
      </c>
      <c r="F89" s="99">
        <v>-421</v>
      </c>
      <c r="G89" s="99">
        <v>0</v>
      </c>
      <c r="H89" s="99"/>
      <c r="I89" s="99"/>
      <c r="J89" s="99"/>
      <c r="K89" s="99"/>
    </row>
    <row r="90" spans="2:11" x14ac:dyDescent="0.2">
      <c r="B90" s="15" t="s">
        <v>272</v>
      </c>
      <c r="C90" s="22">
        <v>-618</v>
      </c>
      <c r="D90" s="22">
        <v>-625</v>
      </c>
      <c r="E90" s="22">
        <v>-621</v>
      </c>
      <c r="F90" s="22">
        <v>-619</v>
      </c>
      <c r="G90" s="22">
        <f ca="1">G159</f>
        <v>-456.05488029618999</v>
      </c>
      <c r="H90" s="22">
        <f t="shared" ref="H90:K90" ca="1" si="59">H159</f>
        <v>-492.413137350049</v>
      </c>
      <c r="I90" s="22">
        <f t="shared" ca="1" si="59"/>
        <v>-532.26669883023396</v>
      </c>
      <c r="J90" s="22">
        <f t="shared" ca="1" si="59"/>
        <v>-553.73873067202896</v>
      </c>
      <c r="K90" s="22">
        <f t="shared" ca="1" si="59"/>
        <v>-552.10622648803133</v>
      </c>
    </row>
    <row r="91" spans="2:11" x14ac:dyDescent="0.2">
      <c r="B91" s="88" t="s">
        <v>273</v>
      </c>
      <c r="C91" s="99">
        <v>-43</v>
      </c>
      <c r="D91" s="99">
        <v>-47</v>
      </c>
      <c r="E91" s="99">
        <v>-67</v>
      </c>
      <c r="F91" s="99">
        <v>-113</v>
      </c>
      <c r="G91" s="99"/>
      <c r="H91" s="99"/>
      <c r="I91" s="99"/>
      <c r="J91" s="99"/>
      <c r="K91" s="99"/>
    </row>
    <row r="92" spans="2:11" x14ac:dyDescent="0.2">
      <c r="B92" s="103" t="s">
        <v>274</v>
      </c>
      <c r="C92" s="95">
        <f>C88+C89+C90+C91</f>
        <v>892</v>
      </c>
      <c r="D92" s="95">
        <f>D88+D89+D90+D91</f>
        <v>-3328</v>
      </c>
      <c r="E92" s="95">
        <f>E88+E89+E90+E91</f>
        <v>-1896</v>
      </c>
      <c r="F92" s="95">
        <f>F88+F89+F90+F91</f>
        <v>-1315</v>
      </c>
      <c r="G92" s="95">
        <f ca="1">SUM(G88:G91)</f>
        <v>-456.05488029618999</v>
      </c>
      <c r="H92" s="95">
        <f ca="1">SUM(H88:H91)</f>
        <v>-492.413137350049</v>
      </c>
      <c r="I92" s="95">
        <f ca="1">SUM(I88:I91)</f>
        <v>-532.26669883023396</v>
      </c>
      <c r="J92" s="95">
        <f ca="1">SUM(J88:J91)</f>
        <v>-553.73873067202896</v>
      </c>
      <c r="K92" s="95">
        <f ca="1">SUM(K88:K91)</f>
        <v>-552.10622648803133</v>
      </c>
    </row>
    <row r="93" spans="2:11" x14ac:dyDescent="0.2">
      <c r="B93" s="96" t="s">
        <v>275</v>
      </c>
      <c r="C93" s="97">
        <f t="shared" ref="C93:K93" si="60">C80+C86+C92</f>
        <v>554</v>
      </c>
      <c r="D93" s="97">
        <f t="shared" si="60"/>
        <v>-253</v>
      </c>
      <c r="E93" s="97">
        <f t="shared" si="60"/>
        <v>610</v>
      </c>
      <c r="F93" s="97">
        <f t="shared" si="60"/>
        <v>-171</v>
      </c>
      <c r="G93" s="97">
        <f t="shared" ca="1" si="60"/>
        <v>234.98744333303131</v>
      </c>
      <c r="H93" s="97">
        <f t="shared" ca="1" si="60"/>
        <v>-153.32511041481979</v>
      </c>
      <c r="I93" s="97">
        <f t="shared" ca="1" si="60"/>
        <v>-517.24271528262898</v>
      </c>
      <c r="J93" s="97">
        <f t="shared" ca="1" si="60"/>
        <v>-865.41986491466889</v>
      </c>
      <c r="K93" s="97">
        <f t="shared" ca="1" si="60"/>
        <v>-1361.4771772740135</v>
      </c>
    </row>
    <row r="94" spans="2:11" x14ac:dyDescent="0.2">
      <c r="B94" s="15" t="s">
        <v>276</v>
      </c>
      <c r="C94" s="22">
        <v>4076</v>
      </c>
      <c r="D94" s="28">
        <f>C95</f>
        <v>4630</v>
      </c>
      <c r="E94" s="28">
        <f>D95</f>
        <v>4377</v>
      </c>
      <c r="F94" s="28">
        <f>E95</f>
        <v>4987</v>
      </c>
      <c r="G94" s="22">
        <f>F95</f>
        <v>4816</v>
      </c>
      <c r="H94" s="22">
        <f t="shared" ref="H94:K94" ca="1" si="61">G95</f>
        <v>5050.9874433330306</v>
      </c>
      <c r="I94" s="22">
        <f t="shared" ca="1" si="61"/>
        <v>4897.6623329182121</v>
      </c>
      <c r="J94" s="22">
        <f t="shared" ca="1" si="61"/>
        <v>4380.4196176355817</v>
      </c>
      <c r="K94" s="22">
        <f t="shared" ca="1" si="61"/>
        <v>3514.9997527209148</v>
      </c>
    </row>
    <row r="95" spans="2:11" x14ac:dyDescent="0.2">
      <c r="B95" s="96" t="s">
        <v>277</v>
      </c>
      <c r="C95" s="97">
        <f>C94+C93</f>
        <v>4630</v>
      </c>
      <c r="D95" s="97">
        <f>D94+D93</f>
        <v>4377</v>
      </c>
      <c r="E95" s="97">
        <f>E94+E93</f>
        <v>4987</v>
      </c>
      <c r="F95" s="97">
        <f>F94+F93</f>
        <v>4816</v>
      </c>
      <c r="G95" s="97">
        <f ca="1">G93+G94</f>
        <v>5050.9874433330315</v>
      </c>
      <c r="H95" s="97">
        <f ca="1">H93+H94</f>
        <v>4897.6623329182112</v>
      </c>
      <c r="I95" s="97">
        <f ca="1">I93+I94</f>
        <v>4380.4196176355836</v>
      </c>
      <c r="J95" s="97">
        <f ca="1">J93+J94</f>
        <v>3514.999752720913</v>
      </c>
      <c r="K95" s="97">
        <f ca="1">K93+K94</f>
        <v>2153.5225754469011</v>
      </c>
    </row>
    <row r="97" spans="1:11" x14ac:dyDescent="0.2">
      <c r="A97" s="242" t="s">
        <v>278</v>
      </c>
      <c r="B97" s="242"/>
      <c r="C97" s="242"/>
      <c r="D97" s="242"/>
      <c r="E97" s="242"/>
      <c r="F97" s="242"/>
      <c r="G97" s="242"/>
      <c r="H97" s="242"/>
      <c r="I97" s="242"/>
      <c r="J97" s="242"/>
      <c r="K97" s="242"/>
    </row>
    <row r="98" spans="1:11" x14ac:dyDescent="0.2">
      <c r="B98" s="108" t="s">
        <v>29</v>
      </c>
      <c r="C98" s="85" t="s">
        <v>186</v>
      </c>
      <c r="D98" s="85" t="s">
        <v>187</v>
      </c>
      <c r="E98" s="85" t="s">
        <v>188</v>
      </c>
      <c r="F98" s="85" t="s">
        <v>189</v>
      </c>
      <c r="G98" s="86" t="s">
        <v>28</v>
      </c>
      <c r="H98" s="86" t="s">
        <v>190</v>
      </c>
      <c r="I98" s="86" t="s">
        <v>191</v>
      </c>
      <c r="J98" s="86" t="s">
        <v>192</v>
      </c>
      <c r="K98" s="86" t="s">
        <v>193</v>
      </c>
    </row>
    <row r="99" spans="1:11" x14ac:dyDescent="0.2">
      <c r="B99" s="88" t="s">
        <v>279</v>
      </c>
      <c r="C99" s="162" t="str">
        <f>C9</f>
        <v>—</v>
      </c>
      <c r="D99" s="161">
        <f>D9</f>
        <v>3.4182007125890701E-2</v>
      </c>
      <c r="E99" s="161">
        <f>E9</f>
        <v>8.7206172617979583E-3</v>
      </c>
      <c r="F99" s="161">
        <f>F9</f>
        <v>3.5541482851857209E-2</v>
      </c>
      <c r="G99" s="90">
        <f>IF(C8=0,0,G8/F8-1)</f>
        <v>4.5541482851857218E-2</v>
      </c>
      <c r="H99" s="90">
        <f>IF(C8=0,0,H8/G8-1)</f>
        <v>5.5541482851857227E-2</v>
      </c>
      <c r="I99" s="90">
        <f>IF(C8=0,0,I8/H8-1)</f>
        <v>6.5541482851857236E-2</v>
      </c>
      <c r="J99" s="90">
        <f>IF(C8=0,0,J8/I8-1)</f>
        <v>4.5541482851857218E-2</v>
      </c>
      <c r="K99" s="90">
        <f>IF(C8=0,0,K8/J8-1)</f>
        <v>2.55414828518572E-2</v>
      </c>
    </row>
    <row r="100" spans="1:11" x14ac:dyDescent="0.2">
      <c r="B100" s="15" t="s">
        <v>280</v>
      </c>
      <c r="C100" s="163">
        <f t="shared" ref="C100:K100" si="62">C12</f>
        <v>0.29884204275534443</v>
      </c>
      <c r="D100" s="163">
        <f t="shared" si="62"/>
        <v>0.32668221783599499</v>
      </c>
      <c r="E100" s="163">
        <f t="shared" si="62"/>
        <v>0.31396755372136048</v>
      </c>
      <c r="F100" s="163">
        <f t="shared" si="62"/>
        <v>0.34091455663586079</v>
      </c>
      <c r="G100" s="17">
        <f t="shared" si="62"/>
        <v>0.34091455663586079</v>
      </c>
      <c r="H100" s="17">
        <f t="shared" si="62"/>
        <v>0.34091455663586079</v>
      </c>
      <c r="I100" s="17">
        <f t="shared" si="62"/>
        <v>0.34091455663586079</v>
      </c>
      <c r="J100" s="17">
        <f t="shared" si="62"/>
        <v>0.34091455663586079</v>
      </c>
      <c r="K100" s="17">
        <f t="shared" si="62"/>
        <v>0.34091455663586079</v>
      </c>
    </row>
    <row r="101" spans="1:11" x14ac:dyDescent="0.2">
      <c r="B101" s="88" t="s">
        <v>281</v>
      </c>
      <c r="C101" s="161">
        <f t="shared" ref="C101:K101" si="63">C23</f>
        <v>0.11687203087885986</v>
      </c>
      <c r="D101" s="161">
        <f t="shared" si="63"/>
        <v>0.13730486273102457</v>
      </c>
      <c r="E101" s="161">
        <f t="shared" si="63"/>
        <v>0.13615340828233954</v>
      </c>
      <c r="F101" s="161">
        <f t="shared" si="63"/>
        <v>0.16071735321400352</v>
      </c>
      <c r="G101" s="90">
        <f t="shared" si="63"/>
        <v>0.16161571284448439</v>
      </c>
      <c r="H101" s="90">
        <f t="shared" si="63"/>
        <v>0.16015165528005348</v>
      </c>
      <c r="I101" s="90">
        <f t="shared" si="63"/>
        <v>0.16009797611104765</v>
      </c>
      <c r="J101" s="90">
        <f t="shared" si="63"/>
        <v>0.16356861106323742</v>
      </c>
      <c r="K101" s="90">
        <f t="shared" si="63"/>
        <v>0.17091215869414889</v>
      </c>
    </row>
    <row r="102" spans="1:11" x14ac:dyDescent="0.2">
      <c r="B102" s="15" t="s">
        <v>282</v>
      </c>
      <c r="C102" s="163">
        <f t="shared" ref="C102:K102" si="64">C20</f>
        <v>1.9447743467933491E-2</v>
      </c>
      <c r="D102" s="163">
        <f t="shared" si="64"/>
        <v>4.4105508702673601E-2</v>
      </c>
      <c r="E102" s="163">
        <f t="shared" si="64"/>
        <v>4.79222997011527E-2</v>
      </c>
      <c r="F102" s="163">
        <f t="shared" si="64"/>
        <v>7.084206548252997E-2</v>
      </c>
      <c r="G102" s="17">
        <f t="shared" si="64"/>
        <v>7.1368823453815122E-2</v>
      </c>
      <c r="H102" s="17">
        <f t="shared" si="64"/>
        <v>7.1977443305221239E-2</v>
      </c>
      <c r="I102" s="17">
        <f t="shared" si="64"/>
        <v>7.2651466037898987E-2</v>
      </c>
      <c r="J102" s="17">
        <f t="shared" si="64"/>
        <v>7.3099410508509127E-2</v>
      </c>
      <c r="K102" s="17">
        <f t="shared" si="64"/>
        <v>7.3344378808263069E-2</v>
      </c>
    </row>
    <row r="103" spans="1:11" x14ac:dyDescent="0.2">
      <c r="B103" s="88" t="s">
        <v>283</v>
      </c>
      <c r="C103" s="161">
        <f t="shared" ref="C103:K103" si="65">C32</f>
        <v>-1.1950712589073634E-2</v>
      </c>
      <c r="D103" s="161">
        <f t="shared" si="65"/>
        <v>0.12298582451103535</v>
      </c>
      <c r="E103" s="161">
        <f t="shared" si="65"/>
        <v>3.0880888003415399E-2</v>
      </c>
      <c r="F103" s="161">
        <f t="shared" si="65"/>
        <v>6.9570893599477795E-2</v>
      </c>
      <c r="G103" s="90">
        <f t="shared" ca="1" si="65"/>
        <v>4.902445469163462E-2</v>
      </c>
      <c r="H103" s="90">
        <f t="shared" ca="1" si="65"/>
        <v>5.0147581112898146E-2</v>
      </c>
      <c r="I103" s="90">
        <f t="shared" ca="1" si="65"/>
        <v>5.0872056203629716E-2</v>
      </c>
      <c r="J103" s="90">
        <f t="shared" ca="1" si="65"/>
        <v>5.061900785433978E-2</v>
      </c>
      <c r="K103" s="90">
        <f t="shared" ca="1" si="65"/>
        <v>4.9212807409649076E-2</v>
      </c>
    </row>
    <row r="104" spans="1:11" x14ac:dyDescent="0.2">
      <c r="B104" s="15" t="s">
        <v>284</v>
      </c>
      <c r="C104" s="17">
        <f>ABS(C82)/C8</f>
        <v>8.8442695961995249E-2</v>
      </c>
      <c r="D104" s="17">
        <f>ABS(D82)/D8</f>
        <v>8.9790059214067824E-2</v>
      </c>
      <c r="E104" s="17">
        <f>ABS(E82)/E8</f>
        <v>0.11107158104454248</v>
      </c>
      <c r="F104" s="17">
        <f>ABS(F82)/F8</f>
        <v>9.7158759061394165E-2</v>
      </c>
      <c r="G104" s="17">
        <f>IF(G8=0,0,ABS(G82)/G8)</f>
        <v>0.11004030413721708</v>
      </c>
      <c r="H104" s="17">
        <f>IF(H8=0,0,ABS(H82)/H8)</f>
        <v>0.11561794565821558</v>
      </c>
      <c r="I104" s="17">
        <f>IF(I8=0,0,ABS(I82)/I8)</f>
        <v>0.12360977814474382</v>
      </c>
      <c r="J104" s="17">
        <f>IF(J8=0,0,ABS(J82)/J8)</f>
        <v>0.13824585172702844</v>
      </c>
      <c r="K104" s="17">
        <f>IF(K8=0,0,ABS(K82)/K8)</f>
        <v>0.16169301908977027</v>
      </c>
    </row>
    <row r="105" spans="1:11" x14ac:dyDescent="0.2">
      <c r="B105" s="104" t="s">
        <v>285</v>
      </c>
      <c r="C105" s="97">
        <f t="shared" ref="C105:K105" si="66">C80+C82</f>
        <v>-143</v>
      </c>
      <c r="D105" s="97">
        <f t="shared" si="66"/>
        <v>3369</v>
      </c>
      <c r="E105" s="97">
        <f t="shared" si="66"/>
        <v>1471</v>
      </c>
      <c r="F105" s="97">
        <f t="shared" si="66"/>
        <v>1600</v>
      </c>
      <c r="G105" s="97">
        <f t="shared" ca="1" si="66"/>
        <v>691.0423236292213</v>
      </c>
      <c r="H105" s="97">
        <f t="shared" ca="1" si="66"/>
        <v>339.08802693522921</v>
      </c>
      <c r="I105" s="97">
        <f t="shared" ca="1" si="66"/>
        <v>15.023983547604985</v>
      </c>
      <c r="J105" s="97">
        <f t="shared" ca="1" si="66"/>
        <v>-311.68113424263993</v>
      </c>
      <c r="K105" s="97">
        <f t="shared" ca="1" si="66"/>
        <v>-809.37095078598213</v>
      </c>
    </row>
    <row r="106" spans="1:11" x14ac:dyDescent="0.2">
      <c r="B106" s="15" t="s">
        <v>286</v>
      </c>
      <c r="C106" s="17">
        <f>C105/C8</f>
        <v>-5.3073040380047509E-3</v>
      </c>
      <c r="D106" s="17">
        <f>D105/D8</f>
        <v>0.1209043603086309</v>
      </c>
      <c r="E106" s="17">
        <f>E105/E8</f>
        <v>5.2333855130212041E-2</v>
      </c>
      <c r="F106" s="17">
        <f>F105/F8</f>
        <v>5.4969594942797267E-2</v>
      </c>
      <c r="G106" s="17">
        <f ca="1">IF(G8=0,0,(G80+G82)/G8)</f>
        <v>2.2707322737338245E-2</v>
      </c>
      <c r="H106" s="17">
        <f ca="1">IF(H8=0,0,(H80+H82)/H8)</f>
        <v>1.0555976994902355E-2</v>
      </c>
      <c r="I106" s="17">
        <f ca="1">IF(I8=0,0,(I80+I82)/I8)</f>
        <v>4.3893551032303649E-4</v>
      </c>
      <c r="J106" s="17">
        <f ca="1">IF(J8=0,0,(J80+J82)/J8)</f>
        <v>-8.7093323751827861E-3</v>
      </c>
      <c r="K106" s="17">
        <f ca="1">IF(K8=0,0,(K80+K82)/K8)</f>
        <v>-2.2053053453082058E-2</v>
      </c>
    </row>
    <row r="107" spans="1:11" x14ac:dyDescent="0.2">
      <c r="B107" s="88" t="s">
        <v>287</v>
      </c>
      <c r="C107" s="107">
        <f>(C55+C60)-C40</f>
        <v>9199</v>
      </c>
      <c r="D107" s="107">
        <f>(D55+D60)-D40</f>
        <v>12695</v>
      </c>
      <c r="E107" s="107">
        <f>(E55+E60)-E40</f>
        <v>9815</v>
      </c>
      <c r="F107" s="107">
        <f>(F55+F60)-F40</f>
        <v>9051</v>
      </c>
      <c r="G107" s="107">
        <f ca="1">G60-G40</f>
        <v>4542.0125566669694</v>
      </c>
      <c r="H107" s="107">
        <f ca="1">H60-H40</f>
        <v>4695.3376670817888</v>
      </c>
      <c r="I107" s="107">
        <f ca="1">I60-I40</f>
        <v>5212.5803823644183</v>
      </c>
      <c r="J107" s="107">
        <f ca="1">J60-J40</f>
        <v>6078.0002472790875</v>
      </c>
      <c r="K107" s="107">
        <f ca="1">K60-K40</f>
        <v>7439.4774245531007</v>
      </c>
    </row>
    <row r="108" spans="1:11" x14ac:dyDescent="0.2">
      <c r="B108" s="15" t="s">
        <v>288</v>
      </c>
      <c r="C108" s="26">
        <f>IF(C22=0,0,C107/C22)</f>
        <v>2.9212448396316293</v>
      </c>
      <c r="D108" s="26">
        <f>IF(D22=0,0,D107/D22)</f>
        <v>3.3180867746994251</v>
      </c>
      <c r="E108" s="26">
        <f>IF(E22=0,0,E107/E22)</f>
        <v>2.5646720668931278</v>
      </c>
      <c r="F108" s="26">
        <f>IF(F22=0,0,F107/F22)</f>
        <v>1.9348011970927748</v>
      </c>
      <c r="G108" s="50">
        <f ca="1">IF(G22=0,0,(G60-G40)/G22)</f>
        <v>0.92347689483762518</v>
      </c>
      <c r="H108" s="50">
        <f ca="1">IF(H22=0,0,(H60-H40)/H22)</f>
        <v>0.91268597777377869</v>
      </c>
      <c r="I108" s="50">
        <f ca="1">IF(I22=0,0,(I60-I40)/I22)</f>
        <v>0.95122343476504201</v>
      </c>
      <c r="J108" s="50">
        <f ca="1">IF(J22=0,0,(J60-J40)/J22)</f>
        <v>1.0383292700508207</v>
      </c>
      <c r="K108" s="50">
        <f ca="1">IF(K22=0,0,(K60-K40)/K22)</f>
        <v>1.1860161088317935</v>
      </c>
    </row>
    <row r="112" spans="1:11" x14ac:dyDescent="0.2">
      <c r="A112" s="242" t="s">
        <v>573</v>
      </c>
      <c r="B112" s="242"/>
      <c r="C112" s="242"/>
      <c r="D112" s="242"/>
      <c r="E112" s="242"/>
      <c r="F112" s="242"/>
      <c r="G112" s="242"/>
      <c r="H112" s="242"/>
      <c r="I112" s="242"/>
      <c r="J112" s="242"/>
      <c r="K112" s="242"/>
    </row>
    <row r="114" spans="2:11" x14ac:dyDescent="0.2">
      <c r="B114" s="139" t="s">
        <v>574</v>
      </c>
      <c r="C114" s="85" t="s">
        <v>186</v>
      </c>
      <c r="D114" s="85" t="s">
        <v>187</v>
      </c>
      <c r="E114" s="85" t="s">
        <v>188</v>
      </c>
      <c r="F114" s="85" t="s">
        <v>189</v>
      </c>
      <c r="G114" s="86" t="s">
        <v>28</v>
      </c>
      <c r="H114" s="86" t="s">
        <v>190</v>
      </c>
      <c r="I114" s="86" t="s">
        <v>191</v>
      </c>
      <c r="J114" s="86" t="s">
        <v>192</v>
      </c>
      <c r="K114" s="86" t="s">
        <v>193</v>
      </c>
    </row>
    <row r="115" spans="2:11" x14ac:dyDescent="0.2">
      <c r="B115" s="15" t="s">
        <v>576</v>
      </c>
      <c r="C115" s="196">
        <f>C41</f>
        <v>7688</v>
      </c>
      <c r="D115" s="196">
        <f t="shared" ref="D115:F115" si="67">D41</f>
        <v>7911</v>
      </c>
      <c r="E115" s="196">
        <f t="shared" si="67"/>
        <v>7623</v>
      </c>
      <c r="F115" s="196">
        <f t="shared" si="67"/>
        <v>7024</v>
      </c>
      <c r="G115" s="196">
        <f>G118*G117</f>
        <v>7343.8833755514461</v>
      </c>
      <c r="H115" s="196">
        <f t="shared" ref="H115:K115" si="68">H118*H117</f>
        <v>7751.7735481206755</v>
      </c>
      <c r="I115" s="196">
        <f t="shared" si="68"/>
        <v>8259.836281196307</v>
      </c>
      <c r="J115" s="196">
        <f t="shared" si="68"/>
        <v>8636.0014735555578</v>
      </c>
      <c r="K115" s="196">
        <f t="shared" si="68"/>
        <v>8856.5777571009894</v>
      </c>
    </row>
    <row r="116" spans="2:11" x14ac:dyDescent="0.2">
      <c r="B116" s="88" t="s">
        <v>196</v>
      </c>
      <c r="C116" s="198">
        <f>C8</f>
        <v>26944</v>
      </c>
      <c r="D116" s="198">
        <f t="shared" ref="D116:K116" si="69">D8</f>
        <v>27865</v>
      </c>
      <c r="E116" s="198">
        <f t="shared" si="69"/>
        <v>28108</v>
      </c>
      <c r="F116" s="198">
        <f t="shared" si="69"/>
        <v>29107</v>
      </c>
      <c r="G116" s="198">
        <f t="shared" si="69"/>
        <v>30432.575941369007</v>
      </c>
      <c r="H116" s="198">
        <f t="shared" si="69"/>
        <v>32122.846336154395</v>
      </c>
      <c r="I116" s="198">
        <f t="shared" si="69"/>
        <v>34228.225318448305</v>
      </c>
      <c r="J116" s="198">
        <f t="shared" si="69"/>
        <v>35787.029454837924</v>
      </c>
      <c r="K116" s="198">
        <f t="shared" si="69"/>
        <v>36701.083253977573</v>
      </c>
    </row>
    <row r="117" spans="2:11" x14ac:dyDescent="0.2">
      <c r="B117" s="15" t="s">
        <v>575</v>
      </c>
      <c r="C117" s="196">
        <f>C116/365</f>
        <v>73.819178082191783</v>
      </c>
      <c r="D117" s="196">
        <f t="shared" ref="D117:K117" si="70">D116/365</f>
        <v>76.342465753424662</v>
      </c>
      <c r="E117" s="196">
        <f t="shared" si="70"/>
        <v>77.008219178082186</v>
      </c>
      <c r="F117" s="196">
        <f t="shared" si="70"/>
        <v>79.745205479452054</v>
      </c>
      <c r="G117" s="196">
        <f t="shared" si="70"/>
        <v>83.376920387312353</v>
      </c>
      <c r="H117" s="196">
        <f t="shared" si="70"/>
        <v>88.007798181244922</v>
      </c>
      <c r="I117" s="196">
        <f t="shared" si="70"/>
        <v>93.775959776570701</v>
      </c>
      <c r="J117" s="196">
        <f t="shared" si="70"/>
        <v>98.046656040651854</v>
      </c>
      <c r="K117" s="196">
        <f t="shared" si="70"/>
        <v>100.55091302459608</v>
      </c>
    </row>
    <row r="118" spans="2:11" x14ac:dyDescent="0.2">
      <c r="B118" s="88" t="s">
        <v>577</v>
      </c>
      <c r="C118" s="201">
        <f>C115/C117</f>
        <v>104.14637767220903</v>
      </c>
      <c r="D118" s="201">
        <f t="shared" ref="D118:F118" si="71">D115/D117</f>
        <v>103.62515700699802</v>
      </c>
      <c r="E118" s="201">
        <f t="shared" si="71"/>
        <v>98.989433613206216</v>
      </c>
      <c r="F118" s="201">
        <f t="shared" si="71"/>
        <v>88.080530456591205</v>
      </c>
      <c r="G118" s="201">
        <f>F118</f>
        <v>88.080530456591205</v>
      </c>
      <c r="H118" s="201">
        <f t="shared" ref="H118:K118" si="72">G118</f>
        <v>88.080530456591205</v>
      </c>
      <c r="I118" s="201">
        <f t="shared" si="72"/>
        <v>88.080530456591205</v>
      </c>
      <c r="J118" s="201">
        <f t="shared" si="72"/>
        <v>88.080530456591205</v>
      </c>
      <c r="K118" s="201">
        <f t="shared" si="72"/>
        <v>88.080530456591205</v>
      </c>
    </row>
    <row r="119" spans="2:11" x14ac:dyDescent="0.2">
      <c r="B119" s="104" t="s">
        <v>576</v>
      </c>
      <c r="C119" s="195"/>
      <c r="D119" s="195"/>
      <c r="E119" s="195"/>
      <c r="F119" s="195"/>
      <c r="G119" s="195">
        <f>G115</f>
        <v>7343.8833755514461</v>
      </c>
      <c r="H119" s="195">
        <f t="shared" ref="H119:K119" si="73">H115</f>
        <v>7751.7735481206755</v>
      </c>
      <c r="I119" s="195">
        <f t="shared" si="73"/>
        <v>8259.836281196307</v>
      </c>
      <c r="J119" s="195">
        <f t="shared" si="73"/>
        <v>8636.0014735555578</v>
      </c>
      <c r="K119" s="195">
        <f t="shared" si="73"/>
        <v>8856.5777571009894</v>
      </c>
    </row>
    <row r="122" spans="2:11" x14ac:dyDescent="0.2">
      <c r="B122" s="139" t="s">
        <v>578</v>
      </c>
      <c r="C122" s="85" t="s">
        <v>186</v>
      </c>
      <c r="D122" s="85" t="s">
        <v>187</v>
      </c>
      <c r="E122" s="85" t="s">
        <v>188</v>
      </c>
      <c r="F122" s="85" t="s">
        <v>189</v>
      </c>
      <c r="G122" s="86" t="s">
        <v>28</v>
      </c>
      <c r="H122" s="86" t="s">
        <v>190</v>
      </c>
      <c r="I122" s="86" t="s">
        <v>191</v>
      </c>
      <c r="J122" s="86" t="s">
        <v>192</v>
      </c>
      <c r="K122" s="86" t="s">
        <v>193</v>
      </c>
    </row>
    <row r="123" spans="2:11" x14ac:dyDescent="0.2">
      <c r="B123" s="15" t="s">
        <v>579</v>
      </c>
      <c r="C123" s="196">
        <f>C42</f>
        <v>2387</v>
      </c>
      <c r="D123" s="196">
        <f t="shared" ref="D123:F123" si="74">D42</f>
        <v>4511</v>
      </c>
      <c r="E123" s="196">
        <f t="shared" si="74"/>
        <v>5161</v>
      </c>
      <c r="F123" s="196">
        <f t="shared" si="74"/>
        <v>4607</v>
      </c>
      <c r="G123" s="196">
        <f>G126*G125</f>
        <v>4816.8096114985055</v>
      </c>
      <c r="H123" s="196">
        <f t="shared" ref="H123:K123" si="75">H126*H125</f>
        <v>5084.3423599362113</v>
      </c>
      <c r="I123" s="196">
        <f t="shared" si="75"/>
        <v>5417.5776975329427</v>
      </c>
      <c r="J123" s="196">
        <f t="shared" si="75"/>
        <v>5664.3022193437428</v>
      </c>
      <c r="K123" s="196">
        <f t="shared" si="75"/>
        <v>5808.9768973468472</v>
      </c>
    </row>
    <row r="124" spans="2:11" x14ac:dyDescent="0.2">
      <c r="B124" s="88" t="s">
        <v>580</v>
      </c>
      <c r="C124" s="198">
        <f>C10</f>
        <v>18892</v>
      </c>
      <c r="D124" s="198">
        <f t="shared" ref="D124:K124" si="76">D10</f>
        <v>18762</v>
      </c>
      <c r="E124" s="198">
        <f t="shared" si="76"/>
        <v>19283</v>
      </c>
      <c r="F124" s="198">
        <f t="shared" si="76"/>
        <v>19184</v>
      </c>
      <c r="G124" s="198">
        <f t="shared" si="76"/>
        <v>20057.667807030026</v>
      </c>
      <c r="H124" s="198">
        <f t="shared" si="76"/>
        <v>21171.700419582434</v>
      </c>
      <c r="I124" s="198">
        <f t="shared" si="76"/>
        <v>22559.325059577157</v>
      </c>
      <c r="J124" s="198">
        <f t="shared" si="76"/>
        <v>23586.710174927364</v>
      </c>
      <c r="K124" s="198">
        <f t="shared" si="76"/>
        <v>24189.149728391996</v>
      </c>
    </row>
    <row r="125" spans="2:11" x14ac:dyDescent="0.2">
      <c r="B125" s="15" t="s">
        <v>581</v>
      </c>
      <c r="C125" s="196">
        <f>C124/365</f>
        <v>51.758904109589039</v>
      </c>
      <c r="D125" s="196">
        <f t="shared" ref="D125:K125" si="77">D124/365</f>
        <v>51.402739726027399</v>
      </c>
      <c r="E125" s="196">
        <f t="shared" si="77"/>
        <v>52.830136986301369</v>
      </c>
      <c r="F125" s="196">
        <f t="shared" si="77"/>
        <v>52.558904109589044</v>
      </c>
      <c r="G125" s="196">
        <f t="shared" si="77"/>
        <v>54.952514539808291</v>
      </c>
      <c r="H125" s="196">
        <f t="shared" si="77"/>
        <v>58.00465868378749</v>
      </c>
      <c r="I125" s="196">
        <f t="shared" si="77"/>
        <v>61.806370026238788</v>
      </c>
      <c r="J125" s="196">
        <f t="shared" si="77"/>
        <v>64.621123766924285</v>
      </c>
      <c r="K125" s="196">
        <f t="shared" si="77"/>
        <v>66.271643091484918</v>
      </c>
    </row>
    <row r="126" spans="2:11" x14ac:dyDescent="0.2">
      <c r="B126" s="88" t="s">
        <v>582</v>
      </c>
      <c r="C126" s="201">
        <f>C123/C125</f>
        <v>46.117668854541606</v>
      </c>
      <c r="D126" s="201">
        <f t="shared" ref="D126:F126" si="78">D123/D125</f>
        <v>87.757968233663789</v>
      </c>
      <c r="E126" s="201">
        <f t="shared" si="78"/>
        <v>97.69045273038428</v>
      </c>
      <c r="F126" s="201">
        <f t="shared" si="78"/>
        <v>87.654034612176815</v>
      </c>
      <c r="G126" s="201">
        <f>F126</f>
        <v>87.654034612176815</v>
      </c>
      <c r="H126" s="201">
        <f t="shared" ref="H126:K126" si="79">G126</f>
        <v>87.654034612176815</v>
      </c>
      <c r="I126" s="201">
        <f t="shared" si="79"/>
        <v>87.654034612176815</v>
      </c>
      <c r="J126" s="201">
        <f t="shared" si="79"/>
        <v>87.654034612176815</v>
      </c>
      <c r="K126" s="201">
        <f t="shared" si="79"/>
        <v>87.654034612176815</v>
      </c>
    </row>
    <row r="127" spans="2:11" x14ac:dyDescent="0.2">
      <c r="B127" s="104" t="s">
        <v>579</v>
      </c>
      <c r="C127" s="195"/>
      <c r="D127" s="195"/>
      <c r="E127" s="195"/>
      <c r="F127" s="195"/>
      <c r="G127" s="195">
        <f>G123</f>
        <v>4816.8096114985055</v>
      </c>
      <c r="H127" s="195">
        <f t="shared" ref="H127:K127" si="80">H123</f>
        <v>5084.3423599362113</v>
      </c>
      <c r="I127" s="195">
        <f t="shared" si="80"/>
        <v>5417.5776975329427</v>
      </c>
      <c r="J127" s="195">
        <f t="shared" si="80"/>
        <v>5664.3022193437428</v>
      </c>
      <c r="K127" s="195">
        <f t="shared" si="80"/>
        <v>5808.9768973468472</v>
      </c>
    </row>
    <row r="130" spans="2:11" x14ac:dyDescent="0.2">
      <c r="B130" s="139" t="s">
        <v>583</v>
      </c>
      <c r="C130" s="85" t="s">
        <v>186</v>
      </c>
      <c r="D130" s="85" t="s">
        <v>187</v>
      </c>
      <c r="E130" s="85" t="s">
        <v>188</v>
      </c>
      <c r="F130" s="85" t="s">
        <v>189</v>
      </c>
      <c r="G130" s="86" t="s">
        <v>28</v>
      </c>
      <c r="H130" s="86" t="s">
        <v>190</v>
      </c>
      <c r="I130" s="86" t="s">
        <v>191</v>
      </c>
      <c r="J130" s="86" t="s">
        <v>192</v>
      </c>
      <c r="K130" s="86" t="s">
        <v>193</v>
      </c>
    </row>
    <row r="131" spans="2:11" x14ac:dyDescent="0.2">
      <c r="B131" s="15" t="s">
        <v>584</v>
      </c>
      <c r="C131" s="196">
        <f>C43</f>
        <v>992</v>
      </c>
      <c r="D131" s="196">
        <f t="shared" ref="D131:F131" si="81">D43</f>
        <v>2060</v>
      </c>
      <c r="E131" s="196">
        <f t="shared" si="81"/>
        <v>2883</v>
      </c>
      <c r="F131" s="196">
        <f t="shared" si="81"/>
        <v>2650</v>
      </c>
      <c r="G131" s="197">
        <f>G132*G133</f>
        <v>2946.0567887961943</v>
      </c>
      <c r="H131" s="197">
        <f t="shared" ref="H131:K131" si="82">H132*H133</f>
        <v>3109.6851514117152</v>
      </c>
      <c r="I131" s="197">
        <f t="shared" si="82"/>
        <v>3313.4985274376418</v>
      </c>
      <c r="J131" s="197">
        <f t="shared" si="82"/>
        <v>3464.400163804597</v>
      </c>
      <c r="K131" s="197">
        <f t="shared" si="82"/>
        <v>3552.8860811803834</v>
      </c>
    </row>
    <row r="132" spans="2:11" x14ac:dyDescent="0.2">
      <c r="B132" s="88" t="s">
        <v>585</v>
      </c>
      <c r="C132" s="198">
        <f>C8</f>
        <v>26944</v>
      </c>
      <c r="D132" s="198">
        <f t="shared" ref="D132:K132" si="83">D8</f>
        <v>27865</v>
      </c>
      <c r="E132" s="198">
        <f t="shared" si="83"/>
        <v>28108</v>
      </c>
      <c r="F132" s="198">
        <f t="shared" si="83"/>
        <v>29107</v>
      </c>
      <c r="G132" s="198">
        <f t="shared" si="83"/>
        <v>30432.575941369007</v>
      </c>
      <c r="H132" s="198">
        <f t="shared" si="83"/>
        <v>32122.846336154395</v>
      </c>
      <c r="I132" s="198">
        <f t="shared" si="83"/>
        <v>34228.225318448305</v>
      </c>
      <c r="J132" s="198">
        <f t="shared" si="83"/>
        <v>35787.029454837924</v>
      </c>
      <c r="K132" s="198">
        <f t="shared" si="83"/>
        <v>36701.083253977573</v>
      </c>
    </row>
    <row r="133" spans="2:11" x14ac:dyDescent="0.2">
      <c r="B133" s="15" t="s">
        <v>586</v>
      </c>
      <c r="C133" s="202">
        <f>C131/C132</f>
        <v>3.6817102137767219E-2</v>
      </c>
      <c r="D133" s="202">
        <f t="shared" ref="D133:F133" si="84">D131/D132</f>
        <v>7.3927866499192529E-2</v>
      </c>
      <c r="E133" s="202">
        <f t="shared" si="84"/>
        <v>0.10256866372562971</v>
      </c>
      <c r="F133" s="202">
        <f t="shared" si="84"/>
        <v>9.1043391624007972E-2</v>
      </c>
      <c r="G133" s="202">
        <f>AVERAGE($E$133:$F$133)</f>
        <v>9.6806027674818843E-2</v>
      </c>
      <c r="H133" s="202">
        <f t="shared" ref="H133:K133" si="85">AVERAGE($E$133:$F$133)</f>
        <v>9.6806027674818843E-2</v>
      </c>
      <c r="I133" s="202">
        <f t="shared" si="85"/>
        <v>9.6806027674818843E-2</v>
      </c>
      <c r="J133" s="202">
        <f t="shared" si="85"/>
        <v>9.6806027674818843E-2</v>
      </c>
      <c r="K133" s="202">
        <f t="shared" si="85"/>
        <v>9.6806027674818843E-2</v>
      </c>
    </row>
    <row r="134" spans="2:11" x14ac:dyDescent="0.2">
      <c r="B134" s="104" t="s">
        <v>584</v>
      </c>
      <c r="C134" s="195"/>
      <c r="D134" s="195"/>
      <c r="E134" s="195"/>
      <c r="F134" s="195"/>
      <c r="G134" s="200">
        <f>G131</f>
        <v>2946.0567887961943</v>
      </c>
      <c r="H134" s="200">
        <f t="shared" ref="H134:K134" si="86">H131</f>
        <v>3109.6851514117152</v>
      </c>
      <c r="I134" s="200">
        <f t="shared" si="86"/>
        <v>3313.4985274376418</v>
      </c>
      <c r="J134" s="200">
        <f t="shared" si="86"/>
        <v>3464.400163804597</v>
      </c>
      <c r="K134" s="200">
        <f t="shared" si="86"/>
        <v>3552.8860811803834</v>
      </c>
    </row>
    <row r="137" spans="2:11" x14ac:dyDescent="0.2">
      <c r="B137" s="139" t="s">
        <v>587</v>
      </c>
      <c r="C137" s="85" t="s">
        <v>186</v>
      </c>
      <c r="D137" s="85" t="s">
        <v>187</v>
      </c>
      <c r="E137" s="85" t="s">
        <v>188</v>
      </c>
      <c r="F137" s="85" t="s">
        <v>189</v>
      </c>
      <c r="G137" s="86" t="s">
        <v>28</v>
      </c>
      <c r="H137" s="86" t="s">
        <v>190</v>
      </c>
      <c r="I137" s="86" t="s">
        <v>191</v>
      </c>
      <c r="J137" s="86" t="s">
        <v>192</v>
      </c>
      <c r="K137" s="86" t="s">
        <v>193</v>
      </c>
    </row>
    <row r="138" spans="2:11" x14ac:dyDescent="0.2">
      <c r="B138" s="15" t="s">
        <v>588</v>
      </c>
      <c r="C138" s="196"/>
      <c r="D138" s="196">
        <f>C141</f>
        <v>6054</v>
      </c>
      <c r="E138" s="196">
        <f t="shared" ref="E138:F138" si="87">D141</f>
        <v>6497</v>
      </c>
      <c r="F138" s="196">
        <f t="shared" si="87"/>
        <v>6638</v>
      </c>
      <c r="G138" s="197">
        <f>F141</f>
        <v>6969</v>
      </c>
      <c r="H138" s="197">
        <f>G141</f>
        <v>7571.3645974133296</v>
      </c>
      <c r="I138" s="197">
        <f t="shared" ref="I138:K138" si="88">H141</f>
        <v>8452.9354374149989</v>
      </c>
      <c r="J138" s="197">
        <f t="shared" si="88"/>
        <v>9690.7399252210053</v>
      </c>
      <c r="K138" s="197">
        <f t="shared" si="88"/>
        <v>11400.524347977627</v>
      </c>
    </row>
    <row r="139" spans="2:11" x14ac:dyDescent="0.2">
      <c r="B139" s="88" t="s">
        <v>589</v>
      </c>
      <c r="C139" s="198"/>
      <c r="D139" s="198">
        <f>-D82</f>
        <v>2502</v>
      </c>
      <c r="E139" s="198">
        <f t="shared" ref="E139:F139" si="89">-E82</f>
        <v>3122</v>
      </c>
      <c r="F139" s="198">
        <f t="shared" si="89"/>
        <v>2828</v>
      </c>
      <c r="G139" s="198">
        <f>G143*G138</f>
        <v>3348.8099122672006</v>
      </c>
      <c r="H139" s="198">
        <f>H143*H138</f>
        <v>3713.9775020807083</v>
      </c>
      <c r="I139" s="198">
        <f t="shared" ref="I139:K139" si="90">I143*I138</f>
        <v>4230.9433379016982</v>
      </c>
      <c r="J139" s="198">
        <f t="shared" si="90"/>
        <v>4947.408367764323</v>
      </c>
      <c r="K139" s="198">
        <f t="shared" si="90"/>
        <v>5934.308955200644</v>
      </c>
    </row>
    <row r="140" spans="2:11" x14ac:dyDescent="0.2">
      <c r="B140" s="15" t="s">
        <v>590</v>
      </c>
      <c r="C140" s="202"/>
      <c r="D140" s="204">
        <f>-D21</f>
        <v>-2597</v>
      </c>
      <c r="E140" s="204">
        <f t="shared" ref="E140:F140" si="91">-E21</f>
        <v>-2480</v>
      </c>
      <c r="F140" s="204">
        <f t="shared" si="91"/>
        <v>-2616</v>
      </c>
      <c r="G140" s="204">
        <f>G144*G138</f>
        <v>-2746.4453148538714</v>
      </c>
      <c r="H140" s="204">
        <f>H144*H138</f>
        <v>-2832.4066620790409</v>
      </c>
      <c r="I140" s="204">
        <f t="shared" ref="I140:K140" si="92">I144*I138</f>
        <v>-2993.1388500956919</v>
      </c>
      <c r="J140" s="204">
        <f t="shared" si="92"/>
        <v>-3237.6239450077014</v>
      </c>
      <c r="K140" s="204">
        <f t="shared" si="92"/>
        <v>-3580.8432124976539</v>
      </c>
    </row>
    <row r="141" spans="2:11" x14ac:dyDescent="0.2">
      <c r="B141" s="88" t="s">
        <v>591</v>
      </c>
      <c r="C141" s="198">
        <f>C46</f>
        <v>6054</v>
      </c>
      <c r="D141" s="198">
        <f t="shared" ref="D141:F141" si="93">D46</f>
        <v>6497</v>
      </c>
      <c r="E141" s="198">
        <f t="shared" si="93"/>
        <v>6638</v>
      </c>
      <c r="F141" s="198">
        <f t="shared" si="93"/>
        <v>6969</v>
      </c>
      <c r="G141" s="199">
        <f>SUM(G138:G140)</f>
        <v>7571.3645974133296</v>
      </c>
      <c r="H141" s="199">
        <f>SUM(H138:H140)</f>
        <v>8452.9354374149989</v>
      </c>
      <c r="I141" s="199">
        <f t="shared" ref="I141:K141" si="94">SUM(I138:I140)</f>
        <v>9690.7399252210053</v>
      </c>
      <c r="J141" s="199">
        <f t="shared" si="94"/>
        <v>11400.524347977627</v>
      </c>
      <c r="K141" s="199">
        <f t="shared" si="94"/>
        <v>13753.990090680618</v>
      </c>
    </row>
    <row r="142" spans="2:11" x14ac:dyDescent="0.2">
      <c r="B142" s="56"/>
      <c r="C142" s="205"/>
      <c r="D142" s="205"/>
      <c r="E142" s="205"/>
      <c r="F142" s="205"/>
      <c r="G142" s="206"/>
      <c r="H142" s="206"/>
      <c r="I142" s="206"/>
      <c r="J142" s="206"/>
      <c r="K142" s="206"/>
    </row>
    <row r="143" spans="2:11" x14ac:dyDescent="0.2">
      <c r="B143" s="88" t="s">
        <v>592</v>
      </c>
      <c r="C143" s="198"/>
      <c r="D143" s="191">
        <f>D139/D138</f>
        <v>0.41328047571853321</v>
      </c>
      <c r="E143" s="191">
        <f t="shared" ref="E143:F143" si="95">E139/E138</f>
        <v>0.48052947514237343</v>
      </c>
      <c r="F143" s="191">
        <f t="shared" si="95"/>
        <v>0.42603193733052125</v>
      </c>
      <c r="G143" s="191">
        <f>E143</f>
        <v>0.48052947514237343</v>
      </c>
      <c r="H143" s="191">
        <f>G143+1%</f>
        <v>0.49052947514237344</v>
      </c>
      <c r="I143" s="191">
        <f t="shared" ref="I143:K143" si="96">H143+1%</f>
        <v>0.50052947514237345</v>
      </c>
      <c r="J143" s="191">
        <f t="shared" si="96"/>
        <v>0.51052947514237346</v>
      </c>
      <c r="K143" s="191">
        <f t="shared" si="96"/>
        <v>0.52052947514237347</v>
      </c>
    </row>
    <row r="144" spans="2:11" x14ac:dyDescent="0.2">
      <c r="B144" s="56" t="s">
        <v>593</v>
      </c>
      <c r="C144" s="205"/>
      <c r="D144" s="207">
        <f>D140/D138</f>
        <v>-0.42897258011232242</v>
      </c>
      <c r="E144" s="207">
        <f t="shared" ref="E144:F144" si="97">E140/E138</f>
        <v>-0.38171463752501156</v>
      </c>
      <c r="F144" s="207">
        <f t="shared" si="97"/>
        <v>-0.39409460680927988</v>
      </c>
      <c r="G144" s="207">
        <f>F144</f>
        <v>-0.39409460680927988</v>
      </c>
      <c r="H144" s="207">
        <f>G144+2%</f>
        <v>-0.37409460680927986</v>
      </c>
      <c r="I144" s="207">
        <f t="shared" ref="I144:K144" si="98">H144+2%</f>
        <v>-0.35409460680927984</v>
      </c>
      <c r="J144" s="207">
        <f t="shared" si="98"/>
        <v>-0.33409460680927983</v>
      </c>
      <c r="K144" s="207">
        <f t="shared" si="98"/>
        <v>-0.31409460680927981</v>
      </c>
    </row>
    <row r="145" spans="2:11" x14ac:dyDescent="0.2">
      <c r="B145" s="104" t="s">
        <v>594</v>
      </c>
      <c r="C145" s="195"/>
      <c r="D145" s="195"/>
      <c r="E145" s="195"/>
      <c r="F145" s="195"/>
      <c r="G145" s="200">
        <f>G141</f>
        <v>7571.3645974133296</v>
      </c>
      <c r="H145" s="200">
        <f t="shared" ref="H145:K145" si="99">H141</f>
        <v>8452.9354374149989</v>
      </c>
      <c r="I145" s="200">
        <f t="shared" si="99"/>
        <v>9690.7399252210053</v>
      </c>
      <c r="J145" s="200">
        <f t="shared" si="99"/>
        <v>11400.524347977627</v>
      </c>
      <c r="K145" s="200">
        <f t="shared" si="99"/>
        <v>13753.990090680618</v>
      </c>
    </row>
    <row r="148" spans="2:11" x14ac:dyDescent="0.2">
      <c r="B148" s="139" t="s">
        <v>595</v>
      </c>
      <c r="C148" s="85" t="s">
        <v>186</v>
      </c>
      <c r="D148" s="85" t="s">
        <v>187</v>
      </c>
      <c r="E148" s="85" t="s">
        <v>188</v>
      </c>
      <c r="F148" s="85" t="s">
        <v>189</v>
      </c>
      <c r="G148" s="86" t="s">
        <v>28</v>
      </c>
      <c r="H148" s="86" t="s">
        <v>190</v>
      </c>
      <c r="I148" s="86" t="s">
        <v>191</v>
      </c>
      <c r="J148" s="86" t="s">
        <v>192</v>
      </c>
      <c r="K148" s="86" t="s">
        <v>193</v>
      </c>
    </row>
    <row r="149" spans="2:11" x14ac:dyDescent="0.2">
      <c r="B149" s="15" t="s">
        <v>596</v>
      </c>
      <c r="C149" s="196">
        <f>C54</f>
        <v>5595</v>
      </c>
      <c r="D149" s="196">
        <f t="shared" ref="D149:F149" si="100">D54</f>
        <v>5383</v>
      </c>
      <c r="E149" s="196">
        <f t="shared" si="100"/>
        <v>7004</v>
      </c>
      <c r="F149" s="196">
        <f t="shared" si="100"/>
        <v>7136</v>
      </c>
      <c r="G149" s="197">
        <f>G151*G152</f>
        <v>7763.2162565013214</v>
      </c>
      <c r="H149" s="197">
        <f t="shared" ref="H149:K149" si="101">H151*H152</f>
        <v>8212.043364841209</v>
      </c>
      <c r="I149" s="197">
        <f t="shared" si="101"/>
        <v>8768.7230807425058</v>
      </c>
      <c r="J149" s="197">
        <f t="shared" si="101"/>
        <v>9129.1137947355637</v>
      </c>
      <c r="K149" s="197">
        <f t="shared" si="101"/>
        <v>9320.7821236733998</v>
      </c>
    </row>
    <row r="150" spans="2:11" x14ac:dyDescent="0.2">
      <c r="B150" s="88" t="s">
        <v>597</v>
      </c>
      <c r="C150" s="198"/>
      <c r="D150" s="198">
        <f>D123-C123+D124</f>
        <v>20886</v>
      </c>
      <c r="E150" s="198">
        <f t="shared" ref="E150:K150" si="102">E123-D123+E124</f>
        <v>19933</v>
      </c>
      <c r="F150" s="198">
        <f t="shared" si="102"/>
        <v>18630</v>
      </c>
      <c r="G150" s="198">
        <f t="shared" si="102"/>
        <v>20267.477418528531</v>
      </c>
      <c r="H150" s="198">
        <f t="shared" si="102"/>
        <v>21439.233168020139</v>
      </c>
      <c r="I150" s="198">
        <f t="shared" si="102"/>
        <v>22892.560397173889</v>
      </c>
      <c r="J150" s="198">
        <f t="shared" si="102"/>
        <v>23833.434696738164</v>
      </c>
      <c r="K150" s="198">
        <f t="shared" si="102"/>
        <v>24333.824406395099</v>
      </c>
    </row>
    <row r="151" spans="2:11" x14ac:dyDescent="0.2">
      <c r="B151" s="15" t="s">
        <v>598</v>
      </c>
      <c r="C151" s="202"/>
      <c r="D151" s="203">
        <f>D150/365</f>
        <v>57.221917808219175</v>
      </c>
      <c r="E151" s="203">
        <f t="shared" ref="E151:K151" si="103">E150/365</f>
        <v>54.610958904109587</v>
      </c>
      <c r="F151" s="203">
        <f t="shared" si="103"/>
        <v>51.041095890410958</v>
      </c>
      <c r="G151" s="203">
        <f t="shared" si="103"/>
        <v>55.527335393228853</v>
      </c>
      <c r="H151" s="203">
        <f t="shared" si="103"/>
        <v>58.737625117863395</v>
      </c>
      <c r="I151" s="203">
        <f t="shared" si="103"/>
        <v>62.719343553901069</v>
      </c>
      <c r="J151" s="203">
        <f t="shared" si="103"/>
        <v>65.297081360926484</v>
      </c>
      <c r="K151" s="203">
        <f t="shared" si="103"/>
        <v>66.668012072315335</v>
      </c>
    </row>
    <row r="152" spans="2:11" x14ac:dyDescent="0.2">
      <c r="B152" s="88" t="s">
        <v>599</v>
      </c>
      <c r="C152" s="198"/>
      <c r="D152" s="201">
        <f>D149/D151</f>
        <v>94.072345111557993</v>
      </c>
      <c r="E152" s="201">
        <f t="shared" ref="E152:F152" si="104">E149/E151</f>
        <v>128.25264636532384</v>
      </c>
      <c r="F152" s="201">
        <f t="shared" si="104"/>
        <v>139.80891035963501</v>
      </c>
      <c r="G152" s="201">
        <f>F152</f>
        <v>139.80891035963501</v>
      </c>
      <c r="H152" s="201">
        <f t="shared" ref="H152:K152" si="105">G152</f>
        <v>139.80891035963501</v>
      </c>
      <c r="I152" s="201">
        <f t="shared" si="105"/>
        <v>139.80891035963501</v>
      </c>
      <c r="J152" s="201">
        <f t="shared" si="105"/>
        <v>139.80891035963501</v>
      </c>
      <c r="K152" s="201">
        <f t="shared" si="105"/>
        <v>139.80891035963501</v>
      </c>
    </row>
    <row r="153" spans="2:11" x14ac:dyDescent="0.2">
      <c r="B153" s="104" t="s">
        <v>238</v>
      </c>
      <c r="C153" s="195"/>
      <c r="D153" s="195"/>
      <c r="E153" s="195"/>
      <c r="F153" s="195"/>
      <c r="G153" s="200">
        <f>G149</f>
        <v>7763.2162565013214</v>
      </c>
      <c r="H153" s="200">
        <f t="shared" ref="H153:K153" si="106">H149</f>
        <v>8212.043364841209</v>
      </c>
      <c r="I153" s="200">
        <f t="shared" si="106"/>
        <v>8768.7230807425058</v>
      </c>
      <c r="J153" s="200">
        <f t="shared" si="106"/>
        <v>9129.1137947355637</v>
      </c>
      <c r="K153" s="200">
        <f t="shared" si="106"/>
        <v>9320.7821236733998</v>
      </c>
    </row>
    <row r="156" spans="2:11" x14ac:dyDescent="0.2">
      <c r="B156" s="139" t="s">
        <v>600</v>
      </c>
      <c r="C156" s="85" t="s">
        <v>186</v>
      </c>
      <c r="D156" s="85" t="s">
        <v>187</v>
      </c>
      <c r="E156" s="85" t="s">
        <v>188</v>
      </c>
      <c r="F156" s="85" t="s">
        <v>189</v>
      </c>
      <c r="G156" s="86" t="s">
        <v>28</v>
      </c>
      <c r="H156" s="86" t="s">
        <v>190</v>
      </c>
      <c r="I156" s="86" t="s">
        <v>191</v>
      </c>
      <c r="J156" s="86" t="s">
        <v>192</v>
      </c>
      <c r="K156" s="86" t="s">
        <v>193</v>
      </c>
    </row>
    <row r="157" spans="2:11" x14ac:dyDescent="0.2">
      <c r="B157" s="15" t="s">
        <v>601</v>
      </c>
      <c r="C157" s="196"/>
      <c r="D157" s="196">
        <f>C160</f>
        <v>17149</v>
      </c>
      <c r="E157" s="196">
        <f t="shared" ref="E157:F157" si="107">D160</f>
        <v>16096</v>
      </c>
      <c r="F157" s="196">
        <f t="shared" si="107"/>
        <v>20017</v>
      </c>
      <c r="G157" s="197">
        <f>F160</f>
        <v>21238</v>
      </c>
      <c r="H157" s="197">
        <f ca="1">G160</f>
        <v>22273.885560091185</v>
      </c>
      <c r="I157" s="197">
        <f t="shared" ref="I157:K157" ca="1" si="108">H160</f>
        <v>23392.355464960601</v>
      </c>
      <c r="J157" s="197">
        <f t="shared" ca="1" si="108"/>
        <v>24601.34896828097</v>
      </c>
      <c r="K157" s="197">
        <f t="shared" ca="1" si="108"/>
        <v>25859.114162666869</v>
      </c>
    </row>
    <row r="158" spans="2:11" x14ac:dyDescent="0.2">
      <c r="B158" s="88" t="s">
        <v>602</v>
      </c>
      <c r="C158" s="198"/>
      <c r="D158" s="198">
        <f>D31</f>
        <v>3427</v>
      </c>
      <c r="E158" s="198">
        <f t="shared" ref="E158:F158" si="109">E31</f>
        <v>868</v>
      </c>
      <c r="F158" s="198">
        <f t="shared" si="109"/>
        <v>2025</v>
      </c>
      <c r="G158" s="198">
        <f ca="1">G31</f>
        <v>1491.9404403873746</v>
      </c>
      <c r="H158" s="198">
        <f ca="1">H31</f>
        <v>1610.8830422194656</v>
      </c>
      <c r="I158" s="198">
        <f t="shared" ref="I158:K158" ca="1" si="110">I31</f>
        <v>1741.2602021506038</v>
      </c>
      <c r="J158" s="198">
        <f t="shared" ca="1" si="110"/>
        <v>1811.50392505793</v>
      </c>
      <c r="K158" s="198">
        <f t="shared" ca="1" si="110"/>
        <v>1806.1633419034952</v>
      </c>
    </row>
    <row r="159" spans="2:11" x14ac:dyDescent="0.2">
      <c r="B159" s="15" t="s">
        <v>603</v>
      </c>
      <c r="C159" s="202"/>
      <c r="D159" s="204">
        <f>D90</f>
        <v>-625</v>
      </c>
      <c r="E159" s="204">
        <f t="shared" ref="E159:F159" si="111">E90</f>
        <v>-621</v>
      </c>
      <c r="F159" s="204">
        <f t="shared" si="111"/>
        <v>-619</v>
      </c>
      <c r="G159" s="204">
        <f ca="1">G162*G158</f>
        <v>-456.05488029619005</v>
      </c>
      <c r="H159" s="204">
        <f ca="1">H162*H158</f>
        <v>-492.413137350049</v>
      </c>
      <c r="I159" s="204">
        <f t="shared" ref="I159:K159" ca="1" si="112">I162*I158</f>
        <v>-532.26669883023396</v>
      </c>
      <c r="J159" s="204">
        <f t="shared" ca="1" si="112"/>
        <v>-553.73873067202896</v>
      </c>
      <c r="K159" s="204">
        <f t="shared" ca="1" si="112"/>
        <v>-552.10622648803133</v>
      </c>
    </row>
    <row r="160" spans="2:11" x14ac:dyDescent="0.2">
      <c r="B160" s="88" t="s">
        <v>591</v>
      </c>
      <c r="C160" s="198">
        <f>C70</f>
        <v>17149</v>
      </c>
      <c r="D160" s="198">
        <f t="shared" ref="D160:F160" si="113">D70</f>
        <v>16096</v>
      </c>
      <c r="E160" s="198">
        <f t="shared" si="113"/>
        <v>20017</v>
      </c>
      <c r="F160" s="198">
        <f t="shared" si="113"/>
        <v>21238</v>
      </c>
      <c r="G160" s="199">
        <f ca="1">SUM(G157:G159)</f>
        <v>22273.885560091185</v>
      </c>
      <c r="H160" s="199">
        <f ca="1">SUM(H157:H159)</f>
        <v>23392.355464960601</v>
      </c>
      <c r="I160" s="199">
        <f t="shared" ref="I160:K160" ca="1" si="114">SUM(I157:I159)</f>
        <v>24601.34896828097</v>
      </c>
      <c r="J160" s="199">
        <f t="shared" ca="1" si="114"/>
        <v>25859.114162666869</v>
      </c>
      <c r="K160" s="199">
        <f t="shared" ca="1" si="114"/>
        <v>27113.171278082333</v>
      </c>
    </row>
    <row r="161" spans="2:11" x14ac:dyDescent="0.2">
      <c r="B161" s="56"/>
      <c r="C161" s="205"/>
      <c r="D161" s="205"/>
      <c r="E161" s="205"/>
      <c r="F161" s="205"/>
      <c r="G161" s="206"/>
      <c r="H161" s="206"/>
      <c r="I161" s="206"/>
      <c r="J161" s="206"/>
      <c r="K161" s="206"/>
    </row>
    <row r="162" spans="2:11" x14ac:dyDescent="0.2">
      <c r="B162" s="88" t="s">
        <v>605</v>
      </c>
      <c r="C162" s="198"/>
      <c r="D162" s="191">
        <f>D159/D158</f>
        <v>-0.18237525532535745</v>
      </c>
      <c r="E162" s="191">
        <f t="shared" ref="E162:F162" si="115">E159/E158</f>
        <v>-0.71543778801843316</v>
      </c>
      <c r="F162" s="191">
        <f t="shared" si="115"/>
        <v>-0.30567901234567901</v>
      </c>
      <c r="G162" s="191">
        <f>F162</f>
        <v>-0.30567901234567901</v>
      </c>
      <c r="H162" s="191">
        <f>G162</f>
        <v>-0.30567901234567901</v>
      </c>
      <c r="I162" s="191">
        <f t="shared" ref="I162:K162" si="116">H162</f>
        <v>-0.30567901234567901</v>
      </c>
      <c r="J162" s="191">
        <f t="shared" si="116"/>
        <v>-0.30567901234567901</v>
      </c>
      <c r="K162" s="191">
        <f t="shared" si="116"/>
        <v>-0.30567901234567901</v>
      </c>
    </row>
    <row r="163" spans="2:11" x14ac:dyDescent="0.2">
      <c r="B163" s="104" t="s">
        <v>604</v>
      </c>
      <c r="C163" s="195"/>
      <c r="D163" s="195"/>
      <c r="E163" s="195"/>
      <c r="F163" s="195"/>
      <c r="G163" s="200">
        <f ca="1">G160</f>
        <v>22273.885560091185</v>
      </c>
      <c r="H163" s="200">
        <f t="shared" ref="H163:K163" ca="1" si="117">H160</f>
        <v>23392.355464960601</v>
      </c>
      <c r="I163" s="200">
        <f t="shared" ca="1" si="117"/>
        <v>24601.34896828097</v>
      </c>
      <c r="J163" s="200">
        <f t="shared" ca="1" si="117"/>
        <v>25859.114162666869</v>
      </c>
      <c r="K163" s="200">
        <f t="shared" ca="1" si="117"/>
        <v>27113.171278082333</v>
      </c>
    </row>
    <row r="166" spans="2:11" x14ac:dyDescent="0.2">
      <c r="B166" s="139" t="s">
        <v>606</v>
      </c>
      <c r="C166" s="85" t="s">
        <v>186</v>
      </c>
      <c r="D166" s="85" t="s">
        <v>187</v>
      </c>
      <c r="E166" s="85" t="s">
        <v>188</v>
      </c>
      <c r="F166" s="85" t="s">
        <v>189</v>
      </c>
      <c r="G166" s="86" t="s">
        <v>28</v>
      </c>
      <c r="H166" s="86" t="s">
        <v>190</v>
      </c>
      <c r="I166" s="86" t="s">
        <v>191</v>
      </c>
      <c r="J166" s="86" t="s">
        <v>192</v>
      </c>
      <c r="K166" s="86" t="s">
        <v>193</v>
      </c>
    </row>
    <row r="167" spans="2:11" x14ac:dyDescent="0.2">
      <c r="B167" s="15" t="s">
        <v>607</v>
      </c>
      <c r="C167" s="196"/>
      <c r="D167" s="196"/>
      <c r="E167" s="196"/>
      <c r="F167" s="196"/>
      <c r="G167" s="197">
        <f ca="1">G60+G55-G40</f>
        <v>8816.0125566669703</v>
      </c>
      <c r="H167" s="197">
        <f t="shared" ref="H167:K167" ca="1" si="118">H60+H55-H40</f>
        <v>8969.3376670817888</v>
      </c>
      <c r="I167" s="197">
        <f t="shared" ca="1" si="118"/>
        <v>9486.5803823644183</v>
      </c>
      <c r="J167" s="197">
        <f t="shared" ca="1" si="118"/>
        <v>10352.000247279087</v>
      </c>
      <c r="K167" s="197">
        <f t="shared" ca="1" si="118"/>
        <v>11713.477424553101</v>
      </c>
    </row>
    <row r="168" spans="2:11" x14ac:dyDescent="0.2">
      <c r="B168" s="88" t="s">
        <v>608</v>
      </c>
      <c r="C168" s="198"/>
      <c r="D168" s="198"/>
      <c r="E168" s="198"/>
      <c r="F168" s="198"/>
      <c r="G168" s="198">
        <f ca="1">G167*G169</f>
        <v>528.96075340001823</v>
      </c>
      <c r="H168" s="198">
        <f t="shared" ref="H168:K168" ca="1" si="119">H167*H169</f>
        <v>538.1602600249073</v>
      </c>
      <c r="I168" s="198">
        <f t="shared" ca="1" si="119"/>
        <v>569.19482294186503</v>
      </c>
      <c r="J168" s="198">
        <f t="shared" ca="1" si="119"/>
        <v>621.12001483674521</v>
      </c>
      <c r="K168" s="198">
        <f t="shared" ca="1" si="119"/>
        <v>702.80864547318606</v>
      </c>
    </row>
    <row r="169" spans="2:11" x14ac:dyDescent="0.2">
      <c r="B169" s="15" t="s">
        <v>609</v>
      </c>
      <c r="C169" s="202"/>
      <c r="D169" s="203"/>
      <c r="E169" s="203"/>
      <c r="F169" s="203"/>
      <c r="G169" s="202">
        <f ca="1">IF(G167&gt;0,6%,0.25%)</f>
        <v>0.06</v>
      </c>
      <c r="H169" s="202">
        <f t="shared" ref="H169:K169" ca="1" si="120">IF(H167&gt;0,6%,0.25%)</f>
        <v>0.06</v>
      </c>
      <c r="I169" s="202">
        <f t="shared" ca="1" si="120"/>
        <v>0.06</v>
      </c>
      <c r="J169" s="202">
        <f t="shared" ca="1" si="120"/>
        <v>0.06</v>
      </c>
      <c r="K169" s="202">
        <f t="shared" ca="1" si="120"/>
        <v>0.06</v>
      </c>
    </row>
    <row r="170" spans="2:11" x14ac:dyDescent="0.2">
      <c r="B170" s="104" t="s">
        <v>608</v>
      </c>
      <c r="C170" s="195"/>
      <c r="D170" s="195"/>
      <c r="E170" s="195"/>
      <c r="F170" s="195"/>
      <c r="G170" s="200">
        <f ca="1">G168</f>
        <v>528.96075340001823</v>
      </c>
      <c r="H170" s="200">
        <f t="shared" ref="H170:K170" ca="1" si="121">H168</f>
        <v>538.1602600249073</v>
      </c>
      <c r="I170" s="200">
        <f t="shared" ca="1" si="121"/>
        <v>569.19482294186503</v>
      </c>
      <c r="J170" s="200">
        <f t="shared" ca="1" si="121"/>
        <v>621.12001483674521</v>
      </c>
      <c r="K170" s="200">
        <f t="shared" ca="1" si="121"/>
        <v>702.80864547318606</v>
      </c>
    </row>
  </sheetData>
  <mergeCells count="16">
    <mergeCell ref="B39:K39"/>
    <mergeCell ref="A112:K112"/>
    <mergeCell ref="A2:K2"/>
    <mergeCell ref="C4:F4"/>
    <mergeCell ref="G4:K4"/>
    <mergeCell ref="A7:K7"/>
    <mergeCell ref="A38:K38"/>
    <mergeCell ref="B81:K81"/>
    <mergeCell ref="B87:K87"/>
    <mergeCell ref="A97:K97"/>
    <mergeCell ref="B45:K45"/>
    <mergeCell ref="B53:K53"/>
    <mergeCell ref="B59:K59"/>
    <mergeCell ref="B65:K65"/>
    <mergeCell ref="A74:K74"/>
    <mergeCell ref="B75:K75"/>
  </mergeCells>
  <pageMargins left="0.7" right="0.7" top="0.75" bottom="0.75" header="0.3" footer="0.3"/>
  <ignoredErrors>
    <ignoredError sqref="G13:K13 G15:K15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7B1BA-4D66-3849-A508-C4E7FC35E90D}">
  <dimension ref="A1:K170"/>
  <sheetViews>
    <sheetView zoomScale="150" workbookViewId="0">
      <pane ySplit="5" topLeftCell="A49" activePane="bottomLeft" state="frozen"/>
      <selection pane="bottomLeft" activeCell="F71" sqref="F71"/>
    </sheetView>
  </sheetViews>
  <sheetFormatPr baseColWidth="10" defaultRowHeight="16" x14ac:dyDescent="0.2"/>
  <cols>
    <col min="1" max="1" width="10.83203125" style="1"/>
    <col min="2" max="2" width="30.33203125" style="1" customWidth="1"/>
    <col min="3" max="16384" width="10.83203125" style="1"/>
  </cols>
  <sheetData>
    <row r="1" spans="1:11" x14ac:dyDescent="0.2">
      <c r="A1" s="82"/>
      <c r="B1" s="83" t="s">
        <v>181</v>
      </c>
      <c r="C1" s="82"/>
      <c r="D1" s="82"/>
      <c r="E1" s="82"/>
      <c r="F1" s="84" t="s">
        <v>78</v>
      </c>
      <c r="G1" s="82"/>
      <c r="H1" s="82"/>
      <c r="I1" s="82"/>
      <c r="J1" s="82"/>
      <c r="K1" s="82"/>
    </row>
    <row r="2" spans="1:11" ht="19" x14ac:dyDescent="0.25">
      <c r="A2" s="255" t="s">
        <v>557</v>
      </c>
      <c r="B2" s="255"/>
      <c r="C2" s="255"/>
      <c r="D2" s="255"/>
      <c r="E2" s="255"/>
      <c r="F2" s="255"/>
      <c r="G2" s="255"/>
      <c r="H2" s="255"/>
      <c r="I2" s="255"/>
      <c r="J2" s="255"/>
      <c r="K2" s="255"/>
    </row>
    <row r="4" spans="1:11" x14ac:dyDescent="0.2">
      <c r="B4" s="79" t="s">
        <v>289</v>
      </c>
      <c r="C4" s="256" t="s">
        <v>184</v>
      </c>
      <c r="D4" s="257"/>
      <c r="E4" s="257"/>
      <c r="F4" s="257"/>
      <c r="G4" s="258" t="s">
        <v>185</v>
      </c>
      <c r="H4" s="259"/>
      <c r="I4" s="259"/>
      <c r="J4" s="259"/>
      <c r="K4" s="259"/>
    </row>
    <row r="5" spans="1:11" x14ac:dyDescent="0.2">
      <c r="B5" s="87" t="s">
        <v>194</v>
      </c>
      <c r="C5" s="85" t="s">
        <v>186</v>
      </c>
      <c r="D5" s="85" t="s">
        <v>187</v>
      </c>
      <c r="E5" s="85" t="s">
        <v>188</v>
      </c>
      <c r="F5" s="85" t="s">
        <v>189</v>
      </c>
      <c r="G5" s="86" t="s">
        <v>28</v>
      </c>
      <c r="H5" s="86" t="s">
        <v>190</v>
      </c>
      <c r="I5" s="86" t="s">
        <v>191</v>
      </c>
      <c r="J5" s="86" t="s">
        <v>192</v>
      </c>
      <c r="K5" s="86" t="s">
        <v>193</v>
      </c>
    </row>
    <row r="6" spans="1:11" x14ac:dyDescent="0.2">
      <c r="B6" s="59"/>
      <c r="C6" s="59"/>
      <c r="D6" s="59"/>
      <c r="E6" s="59"/>
      <c r="F6" s="59"/>
      <c r="G6" s="59"/>
      <c r="H6" s="59"/>
      <c r="I6" s="59"/>
      <c r="J6" s="59"/>
      <c r="K6" s="59"/>
    </row>
    <row r="7" spans="1:11" x14ac:dyDescent="0.2">
      <c r="A7" s="242" t="s">
        <v>195</v>
      </c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1" x14ac:dyDescent="0.2">
      <c r="B8" s="7" t="s">
        <v>196</v>
      </c>
      <c r="C8" s="164">
        <v>4445.1000000000004</v>
      </c>
      <c r="D8" s="164">
        <v>4735.3999999999996</v>
      </c>
      <c r="E8" s="164">
        <v>5301.2</v>
      </c>
      <c r="F8" s="164">
        <v>5564.5</v>
      </c>
      <c r="G8" s="22">
        <f>F8*(1+G9)</f>
        <v>5731.4350000000004</v>
      </c>
      <c r="H8" s="22">
        <f t="shared" ref="H8:K8" si="0">G8*(1+H9)</f>
        <v>6189.9498000000012</v>
      </c>
      <c r="I8" s="22">
        <f t="shared" si="0"/>
        <v>6561.3467880000017</v>
      </c>
      <c r="J8" s="22">
        <f t="shared" si="0"/>
        <v>6955.0275952800021</v>
      </c>
      <c r="K8" s="22">
        <f t="shared" si="0"/>
        <v>7302.7789750440024</v>
      </c>
    </row>
    <row r="9" spans="1:11" x14ac:dyDescent="0.2">
      <c r="B9" s="91" t="s">
        <v>197</v>
      </c>
      <c r="C9" s="89" t="s">
        <v>16</v>
      </c>
      <c r="D9" s="90">
        <f>(D8/C8)-1</f>
        <v>6.5307867089604121E-2</v>
      </c>
      <c r="E9" s="90">
        <f>(E8/D8)-1</f>
        <v>0.11948304261519627</v>
      </c>
      <c r="F9" s="90">
        <f>(F8/E8)-1</f>
        <v>4.9667999698181475E-2</v>
      </c>
      <c r="G9" s="90">
        <f>3%</f>
        <v>0.03</v>
      </c>
      <c r="H9" s="90">
        <f>G9+5%</f>
        <v>0.08</v>
      </c>
      <c r="I9" s="90">
        <f>6%</f>
        <v>0.06</v>
      </c>
      <c r="J9" s="90">
        <f>I9</f>
        <v>0.06</v>
      </c>
      <c r="K9" s="90">
        <v>0.05</v>
      </c>
    </row>
    <row r="10" spans="1:11" x14ac:dyDescent="0.2">
      <c r="B10" s="15" t="s">
        <v>198</v>
      </c>
      <c r="C10" s="164">
        <v>1627.5</v>
      </c>
      <c r="D10" s="164">
        <v>1680.4</v>
      </c>
      <c r="E10" s="164">
        <v>2095.1</v>
      </c>
      <c r="F10" s="164">
        <v>2138.5</v>
      </c>
      <c r="G10" s="22">
        <f>G8-G11</f>
        <v>2233.8946044763452</v>
      </c>
      <c r="H10" s="22">
        <f t="shared" ref="H10:K10" si="1">H8-H11</f>
        <v>2412.6061728344534</v>
      </c>
      <c r="I10" s="22">
        <f t="shared" si="1"/>
        <v>2557.3625432045205</v>
      </c>
      <c r="J10" s="22">
        <f t="shared" si="1"/>
        <v>2710.8042957967918</v>
      </c>
      <c r="K10" s="22">
        <f t="shared" si="1"/>
        <v>2846.3445105866313</v>
      </c>
    </row>
    <row r="11" spans="1:11" x14ac:dyDescent="0.2">
      <c r="B11" s="96" t="s">
        <v>199</v>
      </c>
      <c r="C11" s="165">
        <f t="shared" ref="C11:F11" si="2">C8-C10</f>
        <v>2817.6000000000004</v>
      </c>
      <c r="D11" s="165">
        <f t="shared" si="2"/>
        <v>3054.9999999999995</v>
      </c>
      <c r="E11" s="165">
        <f t="shared" si="2"/>
        <v>3206.1</v>
      </c>
      <c r="F11" s="165">
        <f t="shared" si="2"/>
        <v>3426</v>
      </c>
      <c r="G11" s="97">
        <f>G8*G12</f>
        <v>3497.5403955236552</v>
      </c>
      <c r="H11" s="97">
        <f t="shared" ref="H11:K11" si="3">H8*H12</f>
        <v>3777.3436271655478</v>
      </c>
      <c r="I11" s="97">
        <f t="shared" si="3"/>
        <v>4003.9842447954811</v>
      </c>
      <c r="J11" s="97">
        <f t="shared" si="3"/>
        <v>4244.2232994832102</v>
      </c>
      <c r="K11" s="97">
        <f t="shared" si="3"/>
        <v>4456.4344644573712</v>
      </c>
    </row>
    <row r="12" spans="1:11" x14ac:dyDescent="0.2">
      <c r="B12" s="98" t="s">
        <v>200</v>
      </c>
      <c r="C12" s="17">
        <f>C11/C8</f>
        <v>0.63386650469055816</v>
      </c>
      <c r="D12" s="17">
        <f>D11/D8</f>
        <v>0.64514085399332677</v>
      </c>
      <c r="E12" s="17">
        <f>E11/E8</f>
        <v>0.60478759526145021</v>
      </c>
      <c r="F12" s="17">
        <f>F11/F8</f>
        <v>0.61568874112678584</v>
      </c>
      <c r="G12" s="17">
        <f>AVERAGE(E12:F12)</f>
        <v>0.61023816819411802</v>
      </c>
      <c r="H12" s="17">
        <f>G12</f>
        <v>0.61023816819411802</v>
      </c>
      <c r="I12" s="17">
        <f t="shared" ref="I12:K12" si="4">H12</f>
        <v>0.61023816819411802</v>
      </c>
      <c r="J12" s="17">
        <f t="shared" si="4"/>
        <v>0.61023816819411802</v>
      </c>
      <c r="K12" s="17">
        <f t="shared" si="4"/>
        <v>0.61023816819411802</v>
      </c>
    </row>
    <row r="13" spans="1:11" x14ac:dyDescent="0.2">
      <c r="B13" s="88" t="s">
        <v>201</v>
      </c>
      <c r="C13" s="166">
        <v>958.4</v>
      </c>
      <c r="D13" s="166">
        <v>1007.2</v>
      </c>
      <c r="E13" s="166">
        <v>1036.0999999999999</v>
      </c>
      <c r="F13" s="166">
        <v>1144.4000000000001</v>
      </c>
      <c r="G13" s="99">
        <f>G14*G8</f>
        <v>1188.4291855268323</v>
      </c>
      <c r="H13" s="99">
        <f t="shared" ref="H13:K13" si="5">H14*H8</f>
        <v>1270.728420262803</v>
      </c>
      <c r="I13" s="99">
        <f t="shared" si="5"/>
        <v>1334.8223238840715</v>
      </c>
      <c r="J13" s="99">
        <f t="shared" si="5"/>
        <v>1428.8059522567467</v>
      </c>
      <c r="K13" s="99">
        <f t="shared" si="5"/>
        <v>1499.8338138177801</v>
      </c>
    </row>
    <row r="14" spans="1:11" x14ac:dyDescent="0.2">
      <c r="B14" s="190" t="s">
        <v>572</v>
      </c>
      <c r="C14" s="191">
        <f>C13/C8</f>
        <v>0.21560819779082582</v>
      </c>
      <c r="D14" s="191">
        <f t="shared" ref="D14:F14" si="6">D13/D8</f>
        <v>0.2126958651856232</v>
      </c>
      <c r="E14" s="191">
        <f t="shared" si="6"/>
        <v>0.19544631404210366</v>
      </c>
      <c r="F14" s="191">
        <f t="shared" si="6"/>
        <v>0.20566088597358254</v>
      </c>
      <c r="G14" s="191">
        <f>AVERAGE(C14:F14)</f>
        <v>0.2073528157480338</v>
      </c>
      <c r="H14" s="191">
        <f t="shared" ref="H14:K14" si="7">AVERAGE(D14:G14)</f>
        <v>0.2052889702373358</v>
      </c>
      <c r="I14" s="191">
        <f t="shared" si="7"/>
        <v>0.20343724650026396</v>
      </c>
      <c r="J14" s="191">
        <f t="shared" si="7"/>
        <v>0.20543497961480403</v>
      </c>
      <c r="K14" s="191">
        <f t="shared" si="7"/>
        <v>0.2053785030251094</v>
      </c>
    </row>
    <row r="15" spans="1:11" x14ac:dyDescent="0.2">
      <c r="B15" s="15" t="s">
        <v>202</v>
      </c>
      <c r="C15" s="164">
        <v>1169.5999999999999</v>
      </c>
      <c r="D15" s="164">
        <v>1293.5999999999999</v>
      </c>
      <c r="E15" s="164">
        <v>1382.9</v>
      </c>
      <c r="F15" s="164">
        <v>1489.4</v>
      </c>
      <c r="G15" s="22">
        <f>G16*G8</f>
        <v>1525.7427010297267</v>
      </c>
      <c r="H15" s="22">
        <f t="shared" ref="H15:K15" si="8">H16*H8</f>
        <v>1652.5759076171003</v>
      </c>
      <c r="I15" s="22">
        <f t="shared" si="8"/>
        <v>1741.5616392264794</v>
      </c>
      <c r="J15" s="22">
        <f t="shared" si="8"/>
        <v>1853.9875460454512</v>
      </c>
      <c r="K15" s="22">
        <f t="shared" si="8"/>
        <v>1944.6912534554542</v>
      </c>
    </row>
    <row r="16" spans="1:11" x14ac:dyDescent="0.2">
      <c r="B16" s="192" t="s">
        <v>572</v>
      </c>
      <c r="C16" s="194">
        <f>C15/C8</f>
        <v>0.26312118962453035</v>
      </c>
      <c r="D16" s="194">
        <f t="shared" ref="D16:F16" si="9">D15/D8</f>
        <v>0.27317650040123326</v>
      </c>
      <c r="E16" s="194">
        <f t="shared" si="9"/>
        <v>0.26086546442314951</v>
      </c>
      <c r="F16" s="194">
        <f t="shared" si="9"/>
        <v>0.26766106568424836</v>
      </c>
      <c r="G16" s="194">
        <f>AVERAGE(C16:F16)</f>
        <v>0.26620605503329037</v>
      </c>
      <c r="H16" s="194">
        <f t="shared" ref="H16:K16" si="10">AVERAGE(D16:G16)</f>
        <v>0.26697727138548039</v>
      </c>
      <c r="I16" s="194">
        <f t="shared" si="10"/>
        <v>0.26542746413154211</v>
      </c>
      <c r="J16" s="194">
        <f t="shared" si="10"/>
        <v>0.26656796405864031</v>
      </c>
      <c r="K16" s="194">
        <f t="shared" si="10"/>
        <v>0.26629468865223827</v>
      </c>
    </row>
    <row r="17" spans="2:11" x14ac:dyDescent="0.2">
      <c r="B17" s="88" t="s">
        <v>203</v>
      </c>
      <c r="C17" s="166">
        <v>37.1</v>
      </c>
      <c r="D17" s="166">
        <v>39.5</v>
      </c>
      <c r="E17" s="166">
        <v>30.1</v>
      </c>
      <c r="F17" s="166">
        <v>31.9</v>
      </c>
      <c r="G17" s="99">
        <f>F17</f>
        <v>31.9</v>
      </c>
      <c r="H17" s="99">
        <f t="shared" ref="H17:K17" si="11">G17</f>
        <v>31.9</v>
      </c>
      <c r="I17" s="99">
        <f t="shared" si="11"/>
        <v>31.9</v>
      </c>
      <c r="J17" s="99">
        <f t="shared" si="11"/>
        <v>31.9</v>
      </c>
      <c r="K17" s="99">
        <f t="shared" si="11"/>
        <v>31.9</v>
      </c>
    </row>
    <row r="18" spans="2:11" x14ac:dyDescent="0.2">
      <c r="B18" s="94" t="s">
        <v>204</v>
      </c>
      <c r="C18" s="167">
        <f>C13+C15+C17</f>
        <v>2165.1</v>
      </c>
      <c r="D18" s="167">
        <f t="shared" ref="D18:F18" si="12">D13+D15+D17</f>
        <v>2340.3000000000002</v>
      </c>
      <c r="E18" s="167">
        <f t="shared" si="12"/>
        <v>2449.1</v>
      </c>
      <c r="F18" s="167">
        <f t="shared" si="12"/>
        <v>2665.7000000000003</v>
      </c>
      <c r="G18" s="95">
        <f>G13+G15+G17</f>
        <v>2746.0718865565591</v>
      </c>
      <c r="H18" s="95">
        <f t="shared" ref="H18:K18" si="13">H13+H15+H17</f>
        <v>2955.2043278799033</v>
      </c>
      <c r="I18" s="95">
        <f t="shared" si="13"/>
        <v>3108.2839631105512</v>
      </c>
      <c r="J18" s="95">
        <f t="shared" si="13"/>
        <v>3314.6934983021979</v>
      </c>
      <c r="K18" s="95">
        <f t="shared" si="13"/>
        <v>3476.4250672732346</v>
      </c>
    </row>
    <row r="19" spans="2:11" x14ac:dyDescent="0.2">
      <c r="B19" s="96" t="s">
        <v>205</v>
      </c>
      <c r="C19" s="165">
        <f>C11-C18</f>
        <v>652.50000000000045</v>
      </c>
      <c r="D19" s="165">
        <f t="shared" ref="D19:F19" si="14">D11-D18</f>
        <v>714.69999999999936</v>
      </c>
      <c r="E19" s="165">
        <f t="shared" si="14"/>
        <v>757</v>
      </c>
      <c r="F19" s="165">
        <f t="shared" si="14"/>
        <v>760.29999999999973</v>
      </c>
      <c r="G19" s="165">
        <f>G11-G18</f>
        <v>751.46850896709611</v>
      </c>
      <c r="H19" s="165">
        <f t="shared" ref="H19" si="15">H11-H18</f>
        <v>822.13929928564448</v>
      </c>
      <c r="I19" s="165">
        <f t="shared" ref="I19" si="16">I11-I18</f>
        <v>895.70028168492991</v>
      </c>
      <c r="J19" s="165">
        <f t="shared" ref="J19" si="17">J11-J18</f>
        <v>929.52980118101232</v>
      </c>
      <c r="K19" s="165">
        <f t="shared" ref="K19" si="18">K11-K18</f>
        <v>980.00939718413656</v>
      </c>
    </row>
    <row r="20" spans="2:11" x14ac:dyDescent="0.2">
      <c r="B20" s="98" t="s">
        <v>206</v>
      </c>
      <c r="C20" s="17">
        <f>C19/C8</f>
        <v>0.1467908483498685</v>
      </c>
      <c r="D20" s="17">
        <f>D19/D8</f>
        <v>0.15092706001604922</v>
      </c>
      <c r="E20" s="17">
        <f>E19/E8</f>
        <v>0.14279785708896101</v>
      </c>
      <c r="F20" s="17">
        <f>F19/F8</f>
        <v>0.1366340192290412</v>
      </c>
      <c r="G20" s="17">
        <f t="shared" ref="G20:K20" si="19">G19/G8</f>
        <v>0.13111350106336303</v>
      </c>
      <c r="H20" s="17">
        <f t="shared" si="19"/>
        <v>0.13281841143293993</v>
      </c>
      <c r="I20" s="17">
        <f t="shared" si="19"/>
        <v>0.13651165082800829</v>
      </c>
      <c r="J20" s="17">
        <f t="shared" si="19"/>
        <v>0.13364861439397213</v>
      </c>
      <c r="K20" s="17">
        <f t="shared" si="19"/>
        <v>0.13419677639610222</v>
      </c>
    </row>
    <row r="21" spans="2:11" x14ac:dyDescent="0.2">
      <c r="B21" s="88" t="s">
        <v>207</v>
      </c>
      <c r="C21" s="166">
        <v>206.8</v>
      </c>
      <c r="D21" s="166">
        <v>275.39999999999998</v>
      </c>
      <c r="E21" s="166">
        <v>217.7</v>
      </c>
      <c r="F21" s="166">
        <v>192.2</v>
      </c>
      <c r="G21" s="166">
        <f>-G140</f>
        <v>190.51194952993566</v>
      </c>
      <c r="H21" s="166">
        <f t="shared" ref="H21:K21" si="20">-H140</f>
        <v>154.219006659809</v>
      </c>
      <c r="I21" s="166">
        <f t="shared" si="20"/>
        <v>127.98845033839523</v>
      </c>
      <c r="J21" s="166">
        <f t="shared" si="20"/>
        <v>108.58421854644685</v>
      </c>
      <c r="K21" s="166">
        <f t="shared" si="20"/>
        <v>93.846618057142663</v>
      </c>
    </row>
    <row r="22" spans="2:11" x14ac:dyDescent="0.2">
      <c r="B22" s="96" t="s">
        <v>208</v>
      </c>
      <c r="C22" s="165">
        <f>C19+C21</f>
        <v>859.30000000000041</v>
      </c>
      <c r="D22" s="165">
        <f>D19+D21</f>
        <v>990.09999999999934</v>
      </c>
      <c r="E22" s="165">
        <f>E19+E21</f>
        <v>974.7</v>
      </c>
      <c r="F22" s="165">
        <f>F19+F21</f>
        <v>952.49999999999977</v>
      </c>
      <c r="G22" s="165">
        <f t="shared" ref="G22:K22" si="21">G19+G21</f>
        <v>941.9804584970318</v>
      </c>
      <c r="H22" s="165">
        <f t="shared" si="21"/>
        <v>976.35830594545348</v>
      </c>
      <c r="I22" s="165">
        <f t="shared" si="21"/>
        <v>1023.6887320233251</v>
      </c>
      <c r="J22" s="165">
        <f t="shared" si="21"/>
        <v>1038.1140197274592</v>
      </c>
      <c r="K22" s="165">
        <f t="shared" si="21"/>
        <v>1073.8560152412792</v>
      </c>
    </row>
    <row r="23" spans="2:11" x14ac:dyDescent="0.2">
      <c r="B23" s="91" t="s">
        <v>209</v>
      </c>
      <c r="C23" s="90">
        <f>C22/C8</f>
        <v>0.19331398618703749</v>
      </c>
      <c r="D23" s="90">
        <f>D22/D8</f>
        <v>0.20908476580647875</v>
      </c>
      <c r="E23" s="90">
        <f>E22/E8</f>
        <v>0.18386403078548255</v>
      </c>
      <c r="F23" s="90">
        <f>F22/F8</f>
        <v>0.17117440920118604</v>
      </c>
      <c r="G23" s="90">
        <f t="shared" ref="G23:K23" si="22">G22/G8</f>
        <v>0.16435333533347787</v>
      </c>
      <c r="H23" s="90">
        <f t="shared" si="22"/>
        <v>0.15773283103934918</v>
      </c>
      <c r="I23" s="90">
        <f t="shared" si="22"/>
        <v>0.15601808060130914</v>
      </c>
      <c r="J23" s="90">
        <f t="shared" si="22"/>
        <v>0.14926094907689089</v>
      </c>
      <c r="K23" s="90">
        <f t="shared" si="22"/>
        <v>0.147047585434394</v>
      </c>
    </row>
    <row r="24" spans="2:11" x14ac:dyDescent="0.2">
      <c r="B24" s="15" t="s">
        <v>210</v>
      </c>
      <c r="C24" s="164">
        <v>77</v>
      </c>
      <c r="D24" s="164">
        <v>50.8</v>
      </c>
      <c r="E24" s="164">
        <v>58.6</v>
      </c>
      <c r="F24" s="164">
        <v>80</v>
      </c>
      <c r="G24" s="164">
        <f ca="1">G168</f>
        <v>19.235217968488289</v>
      </c>
      <c r="H24" s="164">
        <f ca="1">H168</f>
        <v>7.9266992709229767</v>
      </c>
      <c r="I24" s="22">
        <f>0</f>
        <v>0</v>
      </c>
      <c r="J24" s="22">
        <f>0</f>
        <v>0</v>
      </c>
      <c r="K24" s="22">
        <f>0</f>
        <v>0</v>
      </c>
    </row>
    <row r="25" spans="2:11" x14ac:dyDescent="0.2">
      <c r="B25" s="88" t="s">
        <v>211</v>
      </c>
      <c r="C25" s="166">
        <v>36.299999999999997</v>
      </c>
      <c r="D25" s="166">
        <v>14.9</v>
      </c>
      <c r="E25" s="166">
        <v>19.600000000000001</v>
      </c>
      <c r="F25" s="166">
        <v>50.6</v>
      </c>
      <c r="G25" s="166">
        <f>0</f>
        <v>0</v>
      </c>
      <c r="H25" s="99">
        <f>0</f>
        <v>0</v>
      </c>
      <c r="I25" s="166">
        <f ca="1">-I168</f>
        <v>0.23795591704465266</v>
      </c>
      <c r="J25" s="166">
        <f t="shared" ref="J25:K25" ca="1" si="23">-J168</f>
        <v>0.77100934959867296</v>
      </c>
      <c r="K25" s="166">
        <f t="shared" ca="1" si="23"/>
        <v>1.3546582139949401</v>
      </c>
    </row>
    <row r="26" spans="2:11" x14ac:dyDescent="0.2">
      <c r="B26" s="15" t="s">
        <v>299</v>
      </c>
      <c r="C26" s="164">
        <v>7.8</v>
      </c>
      <c r="D26" s="164">
        <v>19.100000000000001</v>
      </c>
      <c r="E26" s="164">
        <v>56.2</v>
      </c>
      <c r="F26" s="164">
        <v>5.6</v>
      </c>
      <c r="G26" s="164">
        <f>F26</f>
        <v>5.6</v>
      </c>
      <c r="H26" s="164">
        <f t="shared" ref="H26:K26" si="24">G26</f>
        <v>5.6</v>
      </c>
      <c r="I26" s="164">
        <f t="shared" si="24"/>
        <v>5.6</v>
      </c>
      <c r="J26" s="164">
        <f t="shared" si="24"/>
        <v>5.6</v>
      </c>
      <c r="K26" s="164">
        <f t="shared" si="24"/>
        <v>5.6</v>
      </c>
    </row>
    <row r="27" spans="2:11" x14ac:dyDescent="0.2">
      <c r="B27" s="96" t="s">
        <v>213</v>
      </c>
      <c r="C27" s="195">
        <v>265.2</v>
      </c>
      <c r="D27" s="195">
        <v>310.10000000000002</v>
      </c>
      <c r="E27" s="195">
        <v>536.29999999999995</v>
      </c>
      <c r="F27" s="195">
        <v>349</v>
      </c>
      <c r="G27" s="97">
        <f ca="1">G19-G24+G25-G26</f>
        <v>726.63329099860778</v>
      </c>
      <c r="H27" s="97">
        <f t="shared" ref="H27:K27" ca="1" si="25">H19-H24+H25-H26</f>
        <v>808.61260001472147</v>
      </c>
      <c r="I27" s="97">
        <f t="shared" ca="1" si="25"/>
        <v>890.33823760197458</v>
      </c>
      <c r="J27" s="97">
        <f t="shared" ca="1" si="25"/>
        <v>924.70081053061097</v>
      </c>
      <c r="K27" s="97">
        <f t="shared" ca="1" si="25"/>
        <v>975.76405539813152</v>
      </c>
    </row>
    <row r="28" spans="2:11" x14ac:dyDescent="0.2">
      <c r="B28" s="98" t="s">
        <v>214</v>
      </c>
      <c r="C28" s="17">
        <f>C27/C8</f>
        <v>5.9661199973003974E-2</v>
      </c>
      <c r="D28" s="17">
        <f>D27/D8</f>
        <v>6.5485492249862748E-2</v>
      </c>
      <c r="E28" s="17">
        <f>E27/E8</f>
        <v>0.10116577378706708</v>
      </c>
      <c r="F28" s="17">
        <f>F27/F8</f>
        <v>6.271902237397789E-2</v>
      </c>
      <c r="G28" s="17">
        <f t="shared" ref="G28:K28" ca="1" si="26">G27/G8</f>
        <v>0.1267803422700611</v>
      </c>
      <c r="H28" s="17">
        <f t="shared" ca="1" si="26"/>
        <v>0.13063314342463994</v>
      </c>
      <c r="I28" s="17">
        <f t="shared" ca="1" si="26"/>
        <v>0.13569443383640498</v>
      </c>
      <c r="J28" s="17">
        <f t="shared" ca="1" si="26"/>
        <v>0.132954297860465</v>
      </c>
      <c r="K28" s="17">
        <f t="shared" ca="1" si="26"/>
        <v>0.13361544402927136</v>
      </c>
    </row>
    <row r="29" spans="2:11" x14ac:dyDescent="0.2">
      <c r="B29" s="88" t="s">
        <v>215</v>
      </c>
      <c r="C29" s="166">
        <v>7.4</v>
      </c>
      <c r="D29" s="166">
        <v>57.4</v>
      </c>
      <c r="E29" s="166">
        <v>60.5</v>
      </c>
      <c r="F29" s="166">
        <v>29.2</v>
      </c>
      <c r="G29" s="166">
        <f ca="1">G27*G30</f>
        <v>60.795679361488105</v>
      </c>
      <c r="H29" s="166">
        <f t="shared" ref="H29:K29" ca="1" si="27">H27*H30</f>
        <v>67.654693181747476</v>
      </c>
      <c r="I29" s="166">
        <f t="shared" ca="1" si="27"/>
        <v>74.492482916841425</v>
      </c>
      <c r="J29" s="166">
        <f t="shared" ca="1" si="27"/>
        <v>77.367517671902121</v>
      </c>
      <c r="K29" s="166">
        <f t="shared" ca="1" si="27"/>
        <v>81.639857930158854</v>
      </c>
    </row>
    <row r="30" spans="2:11" x14ac:dyDescent="0.2">
      <c r="B30" s="98" t="s">
        <v>216</v>
      </c>
      <c r="C30" s="17">
        <f t="shared" ref="C30:F30" si="28">IF(C27=0,0,C29/C27)</f>
        <v>2.790346907993967E-2</v>
      </c>
      <c r="D30" s="17">
        <f t="shared" si="28"/>
        <v>0.18510158013544017</v>
      </c>
      <c r="E30" s="17">
        <f t="shared" si="28"/>
        <v>0.11280999440611598</v>
      </c>
      <c r="F30" s="17">
        <f t="shared" si="28"/>
        <v>8.3667621776504303E-2</v>
      </c>
      <c r="G30" s="17">
        <f>F30</f>
        <v>8.3667621776504303E-2</v>
      </c>
      <c r="H30" s="17">
        <f t="shared" ref="H30:K30" si="29">G30</f>
        <v>8.3667621776504303E-2</v>
      </c>
      <c r="I30" s="17">
        <f t="shared" si="29"/>
        <v>8.3667621776504303E-2</v>
      </c>
      <c r="J30" s="17">
        <f t="shared" si="29"/>
        <v>8.3667621776504303E-2</v>
      </c>
      <c r="K30" s="17">
        <f t="shared" si="29"/>
        <v>8.3667621776504303E-2</v>
      </c>
    </row>
    <row r="31" spans="2:11" x14ac:dyDescent="0.2">
      <c r="B31" s="96" t="s">
        <v>217</v>
      </c>
      <c r="C31" s="165">
        <f>C27-C29</f>
        <v>257.8</v>
      </c>
      <c r="D31" s="165">
        <f t="shared" ref="D31:E31" si="30">D27-D29</f>
        <v>252.70000000000002</v>
      </c>
      <c r="E31" s="165">
        <f t="shared" si="30"/>
        <v>475.79999999999995</v>
      </c>
      <c r="F31" s="165">
        <f>F27-F29</f>
        <v>319.8</v>
      </c>
      <c r="G31" s="97">
        <f ca="1">G27-G29</f>
        <v>665.83761163711972</v>
      </c>
      <c r="H31" s="97">
        <f t="shared" ref="H31:K31" ca="1" si="31">H27-H29</f>
        <v>740.957906832974</v>
      </c>
      <c r="I31" s="97">
        <f t="shared" ca="1" si="31"/>
        <v>815.84575468513322</v>
      </c>
      <c r="J31" s="97">
        <f t="shared" ca="1" si="31"/>
        <v>847.33329285870889</v>
      </c>
      <c r="K31" s="97">
        <f t="shared" ca="1" si="31"/>
        <v>894.12419746797264</v>
      </c>
    </row>
    <row r="32" spans="2:11" x14ac:dyDescent="0.2">
      <c r="B32" s="98" t="s">
        <v>218</v>
      </c>
      <c r="C32" s="17">
        <f>C31/C8</f>
        <v>5.7996445524285165E-2</v>
      </c>
      <c r="D32" s="17">
        <f>D31/D8</f>
        <v>5.3364024158466028E-2</v>
      </c>
      <c r="E32" s="17">
        <f>E31/E8</f>
        <v>8.9753263412057638E-2</v>
      </c>
      <c r="F32" s="17">
        <f>F31/F8</f>
        <v>5.7471470931799808E-2</v>
      </c>
      <c r="G32" s="17">
        <f t="shared" ref="G32:K32" ca="1" si="32">G31/G8</f>
        <v>0.11617293254431389</v>
      </c>
      <c r="H32" s="17">
        <f t="shared" ca="1" si="32"/>
        <v>0.11970337898911132</v>
      </c>
      <c r="I32" s="17">
        <f t="shared" ca="1" si="32"/>
        <v>0.12434120326900377</v>
      </c>
      <c r="J32" s="17">
        <f t="shared" ca="1" si="32"/>
        <v>0.12183032795351492</v>
      </c>
      <c r="K32" s="17">
        <f t="shared" ca="1" si="32"/>
        <v>0.12243615759473059</v>
      </c>
    </row>
    <row r="33" spans="1:11" x14ac:dyDescent="0.2">
      <c r="B33" s="88" t="s">
        <v>219</v>
      </c>
      <c r="C33" s="169">
        <f>IF(C35=0,0,C31/C35)</f>
        <v>0.78026634382566595</v>
      </c>
      <c r="D33" s="169">
        <f>IF(D35=0,0,D31/D35)</f>
        <v>0.77897657213316907</v>
      </c>
      <c r="E33" s="169">
        <f>IF(E35=0,0,E31/E35)</f>
        <v>1.4771809996895371</v>
      </c>
      <c r="F33" s="169">
        <f>IF(F35=0,0,F31/F35)</f>
        <v>0.99937500000000001</v>
      </c>
      <c r="G33" s="169">
        <f t="shared" ref="G33:K33" ca="1" si="33">IF(G35=0,0,G31/G35)</f>
        <v>2.080742536365999</v>
      </c>
      <c r="H33" s="169">
        <f t="shared" ca="1" si="33"/>
        <v>2.3154934588530436</v>
      </c>
      <c r="I33" s="169">
        <f t="shared" ca="1" si="33"/>
        <v>2.5495179833910413</v>
      </c>
      <c r="J33" s="169">
        <f t="shared" ca="1" si="33"/>
        <v>2.6479165401834655</v>
      </c>
      <c r="K33" s="169">
        <f t="shared" ca="1" si="33"/>
        <v>2.7941381170874147</v>
      </c>
    </row>
    <row r="34" spans="1:11" x14ac:dyDescent="0.2">
      <c r="B34" s="15" t="s">
        <v>220</v>
      </c>
      <c r="C34" s="170">
        <f>IF(C36=0,0,C31/C36)</f>
        <v>0.76909307875894994</v>
      </c>
      <c r="D34" s="170">
        <f>IF(D36=0,0,D31/D36)</f>
        <v>0.76206272617611581</v>
      </c>
      <c r="E34" s="170">
        <f>IF(E36=0,0,E31/E36)</f>
        <v>1.4440060698027313</v>
      </c>
      <c r="F34" s="170">
        <f>IF(F36=0,0,F31/F36)</f>
        <v>0.98128260202516115</v>
      </c>
      <c r="G34" s="170">
        <f t="shared" ref="G34:K34" ca="1" si="34">IF(G36=0,0,G31/G36)</f>
        <v>2.0430733710865905</v>
      </c>
      <c r="H34" s="170">
        <f t="shared" ca="1" si="34"/>
        <v>2.2735744302944894</v>
      </c>
      <c r="I34" s="170">
        <f t="shared" ca="1" si="34"/>
        <v>2.503362242053186</v>
      </c>
      <c r="J34" s="170">
        <f t="shared" ca="1" si="34"/>
        <v>2.5999794196339643</v>
      </c>
      <c r="K34" s="170">
        <f t="shared" ca="1" si="34"/>
        <v>2.7435538431051634</v>
      </c>
    </row>
    <row r="35" spans="1:11" x14ac:dyDescent="0.2">
      <c r="B35" s="88" t="s">
        <v>18</v>
      </c>
      <c r="C35" s="101">
        <v>330.4</v>
      </c>
      <c r="D35" s="101">
        <v>324.39999999999998</v>
      </c>
      <c r="E35" s="101">
        <v>322.10000000000002</v>
      </c>
      <c r="F35" s="101">
        <v>320</v>
      </c>
      <c r="G35" s="101">
        <f>F35</f>
        <v>320</v>
      </c>
      <c r="H35" s="101">
        <f t="shared" ref="H35:K35" si="35">G35</f>
        <v>320</v>
      </c>
      <c r="I35" s="101">
        <f t="shared" si="35"/>
        <v>320</v>
      </c>
      <c r="J35" s="101">
        <f t="shared" si="35"/>
        <v>320</v>
      </c>
      <c r="K35" s="101">
        <f t="shared" si="35"/>
        <v>320</v>
      </c>
    </row>
    <row r="36" spans="1:11" x14ac:dyDescent="0.2">
      <c r="B36" s="15" t="s">
        <v>221</v>
      </c>
      <c r="C36" s="18">
        <v>335.2</v>
      </c>
      <c r="D36" s="18">
        <v>331.6</v>
      </c>
      <c r="E36" s="18">
        <v>329.5</v>
      </c>
      <c r="F36" s="18">
        <v>325.89999999999998</v>
      </c>
      <c r="G36" s="18">
        <f>F36</f>
        <v>325.89999999999998</v>
      </c>
      <c r="H36" s="18">
        <f t="shared" ref="H36:K36" si="36">G36</f>
        <v>325.89999999999998</v>
      </c>
      <c r="I36" s="18">
        <f t="shared" si="36"/>
        <v>325.89999999999998</v>
      </c>
      <c r="J36" s="18">
        <f t="shared" si="36"/>
        <v>325.89999999999998</v>
      </c>
      <c r="K36" s="18">
        <f t="shared" si="36"/>
        <v>325.89999999999998</v>
      </c>
    </row>
    <row r="38" spans="1:11" x14ac:dyDescent="0.2">
      <c r="A38" s="242" t="s">
        <v>222</v>
      </c>
      <c r="B38" s="242"/>
      <c r="C38" s="242"/>
      <c r="D38" s="242"/>
      <c r="E38" s="242"/>
      <c r="F38" s="242"/>
      <c r="G38" s="242"/>
      <c r="H38" s="242"/>
      <c r="I38" s="242"/>
      <c r="J38" s="242"/>
      <c r="K38" s="242"/>
    </row>
    <row r="39" spans="1:11" x14ac:dyDescent="0.2">
      <c r="B39" s="241" t="s">
        <v>223</v>
      </c>
      <c r="C39" s="241"/>
      <c r="D39" s="241"/>
      <c r="E39" s="241"/>
      <c r="F39" s="241"/>
      <c r="G39" s="241"/>
      <c r="H39" s="241"/>
      <c r="I39" s="241"/>
      <c r="J39" s="241"/>
      <c r="K39" s="241"/>
    </row>
    <row r="40" spans="1:11" x14ac:dyDescent="0.2">
      <c r="B40" s="15" t="s">
        <v>224</v>
      </c>
      <c r="C40" s="164">
        <v>1793.2</v>
      </c>
      <c r="D40" s="164">
        <v>1255.2</v>
      </c>
      <c r="E40" s="164">
        <v>1105.5999999999999</v>
      </c>
      <c r="F40" s="164">
        <v>1221.3</v>
      </c>
      <c r="G40" s="22">
        <f ca="1">F40+G93</f>
        <v>1425.5130338585286</v>
      </c>
      <c r="H40" s="22">
        <f t="shared" ref="H40:K40" ca="1" si="37">G40+H93</f>
        <v>1613.9883454846172</v>
      </c>
      <c r="I40" s="22">
        <f t="shared" ca="1" si="37"/>
        <v>1841.2823668178612</v>
      </c>
      <c r="J40" s="22">
        <f t="shared" ca="1" si="37"/>
        <v>2054.5037398394693</v>
      </c>
      <c r="K40" s="22">
        <f t="shared" ca="1" si="37"/>
        <v>2287.9632855979762</v>
      </c>
    </row>
    <row r="41" spans="1:11" x14ac:dyDescent="0.2">
      <c r="B41" s="88" t="s">
        <v>225</v>
      </c>
      <c r="C41" s="166">
        <v>964.1</v>
      </c>
      <c r="D41" s="166">
        <v>994.4</v>
      </c>
      <c r="E41" s="166">
        <v>1227.3</v>
      </c>
      <c r="F41" s="166">
        <v>1044.0999999999999</v>
      </c>
      <c r="G41" s="166">
        <f>G119</f>
        <v>1075.423</v>
      </c>
      <c r="H41" s="166">
        <f t="shared" ref="H41:K41" si="38">H119</f>
        <v>1161.4568400000001</v>
      </c>
      <c r="I41" s="166">
        <f t="shared" si="38"/>
        <v>1231.1442504000001</v>
      </c>
      <c r="J41" s="166">
        <f t="shared" si="38"/>
        <v>1305.0129054240003</v>
      </c>
      <c r="K41" s="166">
        <f t="shared" si="38"/>
        <v>1370.2635506952004</v>
      </c>
    </row>
    <row r="42" spans="1:11" x14ac:dyDescent="0.2">
      <c r="B42" s="15" t="s">
        <v>226</v>
      </c>
      <c r="C42" s="164">
        <v>221.9</v>
      </c>
      <c r="D42" s="164">
        <v>272.60000000000002</v>
      </c>
      <c r="E42" s="164">
        <v>619.4</v>
      </c>
      <c r="F42" s="164">
        <v>952.4</v>
      </c>
      <c r="G42" s="164">
        <f>G127</f>
        <v>994.88483577426746</v>
      </c>
      <c r="H42" s="164">
        <f t="shared" ref="H42:K42" si="39">H127</f>
        <v>1074.4756226362092</v>
      </c>
      <c r="I42" s="164">
        <f t="shared" si="39"/>
        <v>1138.9441599943818</v>
      </c>
      <c r="J42" s="164">
        <f t="shared" si="39"/>
        <v>1207.2808095940445</v>
      </c>
      <c r="K42" s="164">
        <f t="shared" si="39"/>
        <v>1267.6448500737467</v>
      </c>
    </row>
    <row r="43" spans="1:11" x14ac:dyDescent="0.2">
      <c r="B43" s="88" t="s">
        <v>227</v>
      </c>
      <c r="C43" s="166">
        <v>292</v>
      </c>
      <c r="D43" s="166">
        <v>434.4</v>
      </c>
      <c r="E43" s="166">
        <v>664.8</v>
      </c>
      <c r="F43" s="166">
        <v>577.70000000000005</v>
      </c>
      <c r="G43" s="166">
        <f>G134</f>
        <v>656.89243239266591</v>
      </c>
      <c r="H43" s="166">
        <f t="shared" ref="H43:K43" si="40">H134</f>
        <v>709.44382698407924</v>
      </c>
      <c r="I43" s="166">
        <f t="shared" si="40"/>
        <v>752.010456603124</v>
      </c>
      <c r="J43" s="166">
        <f t="shared" si="40"/>
        <v>797.1310839993115</v>
      </c>
      <c r="K43" s="166">
        <f t="shared" si="40"/>
        <v>836.98763819927717</v>
      </c>
    </row>
    <row r="44" spans="1:11" x14ac:dyDescent="0.2">
      <c r="B44" s="104" t="s">
        <v>228</v>
      </c>
      <c r="C44" s="171">
        <f>C40+C41+C42+C43</f>
        <v>3271.2000000000003</v>
      </c>
      <c r="D44" s="171">
        <f>D40+D41+D42+D43</f>
        <v>2956.6</v>
      </c>
      <c r="E44" s="171">
        <f>E40+E41+E42+E43</f>
        <v>3617.0999999999995</v>
      </c>
      <c r="F44" s="171">
        <f>F40+F41+F42+F43</f>
        <v>3795.5</v>
      </c>
      <c r="G44" s="171">
        <f ca="1">SUM(G40:G43)</f>
        <v>4152.7133020254614</v>
      </c>
      <c r="H44" s="171">
        <f ca="1">SUM(H40:H43)</f>
        <v>4559.3646351049056</v>
      </c>
      <c r="I44" s="171">
        <f ca="1">SUM(I40:I43)</f>
        <v>4963.3812338153675</v>
      </c>
      <c r="J44" s="171">
        <f ca="1">SUM(J40:J43)</f>
        <v>5363.9285388568251</v>
      </c>
      <c r="K44" s="171">
        <f ca="1">SUM(K40:K43)</f>
        <v>5762.8593245662005</v>
      </c>
    </row>
    <row r="45" spans="1:11" x14ac:dyDescent="0.2">
      <c r="B45" s="241" t="s">
        <v>229</v>
      </c>
      <c r="C45" s="241"/>
      <c r="D45" s="241"/>
      <c r="E45" s="241"/>
      <c r="F45" s="241"/>
      <c r="G45" s="241"/>
      <c r="H45" s="241"/>
      <c r="I45" s="241"/>
      <c r="J45" s="241"/>
      <c r="K45" s="241"/>
    </row>
    <row r="46" spans="1:11" x14ac:dyDescent="0.2">
      <c r="B46" s="15" t="s">
        <v>230</v>
      </c>
      <c r="C46" s="164">
        <v>946.9</v>
      </c>
      <c r="D46" s="164">
        <v>864.3</v>
      </c>
      <c r="E46" s="164">
        <v>808.4</v>
      </c>
      <c r="F46" s="164">
        <v>801.3</v>
      </c>
      <c r="G46" s="164">
        <f>G145</f>
        <v>708.22716883174417</v>
      </c>
      <c r="H46" s="164">
        <f t="shared" ref="H46:K46" si="41">H145</f>
        <v>647.2117753437841</v>
      </c>
      <c r="I46" s="164">
        <f t="shared" si="41"/>
        <v>610.86935108108526</v>
      </c>
      <c r="J46" s="164">
        <f t="shared" si="41"/>
        <v>594.89371775134964</v>
      </c>
      <c r="K46" s="164">
        <f t="shared" si="41"/>
        <v>597.18269537367769</v>
      </c>
    </row>
    <row r="47" spans="1:11" x14ac:dyDescent="0.2">
      <c r="B47" s="88" t="s">
        <v>231</v>
      </c>
      <c r="C47" s="166">
        <v>3669.6</v>
      </c>
      <c r="D47" s="166">
        <v>3762.1</v>
      </c>
      <c r="E47" s="166">
        <v>3734.4</v>
      </c>
      <c r="F47" s="166">
        <v>3734.4</v>
      </c>
      <c r="G47" s="166">
        <f>F47</f>
        <v>3734.4</v>
      </c>
      <c r="H47" s="166">
        <f t="shared" ref="H47:K47" si="42">G47</f>
        <v>3734.4</v>
      </c>
      <c r="I47" s="166">
        <f t="shared" si="42"/>
        <v>3734.4</v>
      </c>
      <c r="J47" s="166">
        <f t="shared" si="42"/>
        <v>3734.4</v>
      </c>
      <c r="K47" s="166">
        <f t="shared" si="42"/>
        <v>3734.4</v>
      </c>
    </row>
    <row r="48" spans="1:11" x14ac:dyDescent="0.2">
      <c r="B48" s="15" t="s">
        <v>232</v>
      </c>
      <c r="C48" s="164">
        <v>266.7</v>
      </c>
      <c r="D48" s="164">
        <v>284.3</v>
      </c>
      <c r="E48" s="164">
        <v>160.5</v>
      </c>
      <c r="F48" s="164">
        <v>91.8</v>
      </c>
      <c r="G48" s="164">
        <f>F48</f>
        <v>91.8</v>
      </c>
      <c r="H48" s="164">
        <f t="shared" ref="H48:K48" si="43">G48</f>
        <v>91.8</v>
      </c>
      <c r="I48" s="164">
        <f t="shared" si="43"/>
        <v>91.8</v>
      </c>
      <c r="J48" s="164">
        <f t="shared" si="43"/>
        <v>91.8</v>
      </c>
      <c r="K48" s="164">
        <f t="shared" si="43"/>
        <v>91.8</v>
      </c>
    </row>
    <row r="49" spans="2:11" x14ac:dyDescent="0.2">
      <c r="B49" s="88" t="s">
        <v>233</v>
      </c>
      <c r="C49" s="166">
        <v>901.9</v>
      </c>
      <c r="D49" s="166">
        <v>684.9</v>
      </c>
      <c r="E49" s="166">
        <v>467.3</v>
      </c>
      <c r="F49" s="166">
        <v>229.6</v>
      </c>
      <c r="G49" s="166">
        <f>F49</f>
        <v>229.6</v>
      </c>
      <c r="H49" s="166">
        <f t="shared" ref="H49:K49" si="44">G49</f>
        <v>229.6</v>
      </c>
      <c r="I49" s="166">
        <f t="shared" si="44"/>
        <v>229.6</v>
      </c>
      <c r="J49" s="166">
        <f t="shared" si="44"/>
        <v>229.6</v>
      </c>
      <c r="K49" s="166">
        <f t="shared" si="44"/>
        <v>229.6</v>
      </c>
    </row>
    <row r="50" spans="2:11" x14ac:dyDescent="0.2">
      <c r="B50" s="15" t="s">
        <v>234</v>
      </c>
      <c r="C50" s="164">
        <v>322</v>
      </c>
      <c r="D50" s="164">
        <v>334.8</v>
      </c>
      <c r="E50" s="164">
        <v>539</v>
      </c>
      <c r="F50" s="164">
        <v>865.9</v>
      </c>
      <c r="G50" s="164">
        <f>F50</f>
        <v>865.9</v>
      </c>
      <c r="H50" s="164">
        <f t="shared" ref="H50:K50" si="45">G50</f>
        <v>865.9</v>
      </c>
      <c r="I50" s="164">
        <f t="shared" si="45"/>
        <v>865.9</v>
      </c>
      <c r="J50" s="164">
        <f t="shared" si="45"/>
        <v>865.9</v>
      </c>
      <c r="K50" s="164">
        <f t="shared" si="45"/>
        <v>865.9</v>
      </c>
    </row>
    <row r="51" spans="2:11" x14ac:dyDescent="0.2">
      <c r="B51" s="103" t="s">
        <v>235</v>
      </c>
      <c r="C51" s="172">
        <f>C46+C47+C48+C49+C50</f>
        <v>6107.0999999999995</v>
      </c>
      <c r="D51" s="172">
        <f>D46+D47+D48+D49+D50</f>
        <v>5930.4</v>
      </c>
      <c r="E51" s="172">
        <f>E46+E47+E48+E49+E50</f>
        <v>5709.6</v>
      </c>
      <c r="F51" s="172">
        <f>F46+F47+F48+F49+F50</f>
        <v>5723</v>
      </c>
      <c r="G51" s="172">
        <f>SUM(G46:G50)</f>
        <v>5629.9271688317449</v>
      </c>
      <c r="H51" s="172">
        <f>SUM(H46:H50)</f>
        <v>5568.911775343784</v>
      </c>
      <c r="I51" s="172">
        <f>SUM(I46:I50)</f>
        <v>5532.5693510810852</v>
      </c>
      <c r="J51" s="172">
        <f>SUM(J46:J50)</f>
        <v>5516.5937177513497</v>
      </c>
      <c r="K51" s="172">
        <f>SUM(K46:K50)</f>
        <v>5518.882695373678</v>
      </c>
    </row>
    <row r="52" spans="2:11" x14ac:dyDescent="0.2">
      <c r="B52" s="104" t="s">
        <v>236</v>
      </c>
      <c r="C52" s="168">
        <v>9378.2999999999993</v>
      </c>
      <c r="D52" s="168">
        <v>8887</v>
      </c>
      <c r="E52" s="168">
        <v>9326.7000000000007</v>
      </c>
      <c r="F52" s="168">
        <v>9518.5</v>
      </c>
      <c r="G52" s="165">
        <f ca="1">G44+G51</f>
        <v>9782.6404708572063</v>
      </c>
      <c r="H52" s="165">
        <f ca="1">H44+H51</f>
        <v>10128.276410448689</v>
      </c>
      <c r="I52" s="165">
        <f ca="1">I44+I51</f>
        <v>10495.950584896453</v>
      </c>
      <c r="J52" s="165">
        <f ca="1">J44+J51</f>
        <v>10880.522256608176</v>
      </c>
      <c r="K52" s="165">
        <f ca="1">K44+K51</f>
        <v>11281.742019939878</v>
      </c>
    </row>
    <row r="53" spans="2:11" x14ac:dyDescent="0.2">
      <c r="B53" s="241" t="s">
        <v>237</v>
      </c>
      <c r="C53" s="241"/>
      <c r="D53" s="241"/>
      <c r="E53" s="241"/>
      <c r="F53" s="241"/>
      <c r="G53" s="241"/>
      <c r="H53" s="241"/>
      <c r="I53" s="241"/>
      <c r="J53" s="241"/>
      <c r="K53" s="241"/>
    </row>
    <row r="54" spans="2:11" x14ac:dyDescent="0.2">
      <c r="B54" s="15" t="s">
        <v>238</v>
      </c>
      <c r="C54" s="164">
        <v>277</v>
      </c>
      <c r="D54" s="164">
        <v>273.7</v>
      </c>
      <c r="E54" s="164">
        <v>347.4</v>
      </c>
      <c r="F54" s="164">
        <v>295.10000000000002</v>
      </c>
      <c r="G54" s="164">
        <f>G153</f>
        <v>271.80237621604527</v>
      </c>
      <c r="H54" s="164">
        <f t="shared" ref="H54:K54" si="46">H153</f>
        <v>297.5712412730756</v>
      </c>
      <c r="I54" s="164">
        <f t="shared" si="46"/>
        <v>313.04970741414161</v>
      </c>
      <c r="J54" s="164">
        <f t="shared" si="46"/>
        <v>331.83268985898997</v>
      </c>
      <c r="K54" s="164">
        <f t="shared" si="46"/>
        <v>347.06441166080322</v>
      </c>
    </row>
    <row r="55" spans="2:11" x14ac:dyDescent="0.2">
      <c r="B55" s="88" t="s">
        <v>239</v>
      </c>
      <c r="C55" s="166">
        <v>470.6</v>
      </c>
      <c r="D55" s="166">
        <v>47.2</v>
      </c>
      <c r="E55" s="166">
        <v>47.4</v>
      </c>
      <c r="F55" s="166">
        <v>46.4</v>
      </c>
      <c r="G55" s="166">
        <f>F55</f>
        <v>46.4</v>
      </c>
      <c r="H55" s="166">
        <f t="shared" ref="H55:K55" si="47">G55</f>
        <v>46.4</v>
      </c>
      <c r="I55" s="166">
        <f t="shared" si="47"/>
        <v>46.4</v>
      </c>
      <c r="J55" s="166">
        <f t="shared" si="47"/>
        <v>46.4</v>
      </c>
      <c r="K55" s="166">
        <f t="shared" si="47"/>
        <v>46.4</v>
      </c>
    </row>
    <row r="56" spans="2:11" x14ac:dyDescent="0.2">
      <c r="B56" s="15" t="s">
        <v>240</v>
      </c>
      <c r="C56" s="164">
        <v>270.7</v>
      </c>
      <c r="D56" s="164">
        <v>336</v>
      </c>
      <c r="E56" s="164">
        <v>306.10000000000002</v>
      </c>
      <c r="F56" s="164">
        <v>292.2</v>
      </c>
      <c r="G56" s="164">
        <f>F56</f>
        <v>292.2</v>
      </c>
      <c r="H56" s="164">
        <f t="shared" ref="H56:K56" si="48">G56</f>
        <v>292.2</v>
      </c>
      <c r="I56" s="164">
        <f t="shared" si="48"/>
        <v>292.2</v>
      </c>
      <c r="J56" s="164">
        <f t="shared" si="48"/>
        <v>292.2</v>
      </c>
      <c r="K56" s="164">
        <f t="shared" si="48"/>
        <v>292.2</v>
      </c>
    </row>
    <row r="57" spans="2:11" x14ac:dyDescent="0.2">
      <c r="B57" s="88" t="s">
        <v>241</v>
      </c>
      <c r="C57" s="166">
        <v>1142.8</v>
      </c>
      <c r="D57" s="166">
        <v>1219.5999999999999</v>
      </c>
      <c r="E57" s="166">
        <v>1378</v>
      </c>
      <c r="F57" s="166">
        <v>1470.3</v>
      </c>
      <c r="G57" s="166">
        <f>F57</f>
        <v>1470.3</v>
      </c>
      <c r="H57" s="166">
        <f t="shared" ref="H57:K57" si="49">G57</f>
        <v>1470.3</v>
      </c>
      <c r="I57" s="166">
        <f t="shared" si="49"/>
        <v>1470.3</v>
      </c>
      <c r="J57" s="166">
        <f t="shared" si="49"/>
        <v>1470.3</v>
      </c>
      <c r="K57" s="166">
        <f t="shared" si="49"/>
        <v>1470.3</v>
      </c>
    </row>
    <row r="58" spans="2:11" x14ac:dyDescent="0.2">
      <c r="B58" s="104" t="s">
        <v>242</v>
      </c>
      <c r="C58" s="173">
        <v>2161.1</v>
      </c>
      <c r="D58" s="173">
        <v>1876.5</v>
      </c>
      <c r="E58" s="173">
        <v>2078.9</v>
      </c>
      <c r="F58" s="173">
        <v>2104</v>
      </c>
      <c r="G58" s="171">
        <f>SUM(G54:G57)</f>
        <v>2080.7023762160452</v>
      </c>
      <c r="H58" s="171">
        <f>SUM(H54:H57)</f>
        <v>2106.4712412730755</v>
      </c>
      <c r="I58" s="171">
        <f>SUM(I54:I57)</f>
        <v>2121.9497074141418</v>
      </c>
      <c r="J58" s="171">
        <f>SUM(J54:J57)</f>
        <v>2140.7326898589899</v>
      </c>
      <c r="K58" s="171">
        <f>SUM(K54:K57)</f>
        <v>2155.9644116608033</v>
      </c>
    </row>
    <row r="59" spans="2:11" x14ac:dyDescent="0.2">
      <c r="B59" s="241" t="s">
        <v>243</v>
      </c>
      <c r="C59" s="241"/>
      <c r="D59" s="241"/>
      <c r="E59" s="241"/>
      <c r="F59" s="241"/>
      <c r="G59" s="241"/>
      <c r="H59" s="241"/>
      <c r="I59" s="241"/>
      <c r="J59" s="241"/>
      <c r="K59" s="241"/>
    </row>
    <row r="60" spans="2:11" x14ac:dyDescent="0.2">
      <c r="B60" s="15" t="s">
        <v>244</v>
      </c>
      <c r="C60" s="164">
        <v>1869.3</v>
      </c>
      <c r="D60" s="164">
        <v>1829</v>
      </c>
      <c r="E60" s="164">
        <v>1719</v>
      </c>
      <c r="F60" s="164">
        <v>1699.7</v>
      </c>
      <c r="G60" s="164">
        <f>F60</f>
        <v>1699.7</v>
      </c>
      <c r="H60" s="164">
        <f t="shared" ref="H60:K60" si="50">G60</f>
        <v>1699.7</v>
      </c>
      <c r="I60" s="164">
        <f t="shared" si="50"/>
        <v>1699.7</v>
      </c>
      <c r="J60" s="164">
        <f t="shared" si="50"/>
        <v>1699.7</v>
      </c>
      <c r="K60" s="164">
        <f t="shared" si="50"/>
        <v>1699.7</v>
      </c>
    </row>
    <row r="61" spans="2:11" x14ac:dyDescent="0.2">
      <c r="B61" s="88" t="s">
        <v>245</v>
      </c>
      <c r="C61" s="166">
        <v>5.3</v>
      </c>
      <c r="D61" s="166">
        <v>8.1</v>
      </c>
      <c r="E61" s="166">
        <v>5.6</v>
      </c>
      <c r="F61" s="166">
        <v>12</v>
      </c>
      <c r="G61" s="166">
        <f>F61</f>
        <v>12</v>
      </c>
      <c r="H61" s="166">
        <f t="shared" ref="H61:K61" si="51">G61</f>
        <v>12</v>
      </c>
      <c r="I61" s="166">
        <f t="shared" si="51"/>
        <v>12</v>
      </c>
      <c r="J61" s="166">
        <f t="shared" si="51"/>
        <v>12</v>
      </c>
      <c r="K61" s="166">
        <f t="shared" si="51"/>
        <v>12</v>
      </c>
    </row>
    <row r="62" spans="2:11" x14ac:dyDescent="0.2">
      <c r="B62" s="15" t="s">
        <v>246</v>
      </c>
      <c r="C62" s="164">
        <v>799.1</v>
      </c>
      <c r="D62" s="164">
        <v>856.5</v>
      </c>
      <c r="E62" s="164">
        <v>1048.0999999999999</v>
      </c>
      <c r="F62" s="164">
        <v>1210.0999999999999</v>
      </c>
      <c r="G62" s="164">
        <f>F62</f>
        <v>1210.0999999999999</v>
      </c>
      <c r="H62" s="164">
        <f t="shared" ref="H62:K62" si="52">G62</f>
        <v>1210.0999999999999</v>
      </c>
      <c r="I62" s="164">
        <f t="shared" si="52"/>
        <v>1210.0999999999999</v>
      </c>
      <c r="J62" s="164">
        <f t="shared" si="52"/>
        <v>1210.0999999999999</v>
      </c>
      <c r="K62" s="164">
        <f t="shared" si="52"/>
        <v>1210.0999999999999</v>
      </c>
    </row>
    <row r="63" spans="2:11" x14ac:dyDescent="0.2">
      <c r="B63" s="103" t="s">
        <v>247</v>
      </c>
      <c r="C63" s="172">
        <f>C60+C61+C62</f>
        <v>2673.7</v>
      </c>
      <c r="D63" s="172">
        <f>D60+D61+D62</f>
        <v>2693.6</v>
      </c>
      <c r="E63" s="172">
        <f>E60+E61+E62</f>
        <v>2772.7</v>
      </c>
      <c r="F63" s="172">
        <f>F60+F61+F62</f>
        <v>2921.8</v>
      </c>
      <c r="G63" s="172">
        <f>SUM(G60:G62)</f>
        <v>2921.8</v>
      </c>
      <c r="H63" s="172">
        <f>SUM(H60:H62)</f>
        <v>2921.8</v>
      </c>
      <c r="I63" s="172">
        <f>SUM(I60:I62)</f>
        <v>2921.8</v>
      </c>
      <c r="J63" s="172">
        <f>SUM(J60:J62)</f>
        <v>2921.8</v>
      </c>
      <c r="K63" s="172">
        <f>SUM(K60:K62)</f>
        <v>2921.8</v>
      </c>
    </row>
    <row r="64" spans="2:11" x14ac:dyDescent="0.2">
      <c r="B64" s="104" t="s">
        <v>248</v>
      </c>
      <c r="C64" s="168">
        <v>4834.8</v>
      </c>
      <c r="D64" s="168">
        <v>4570.1000000000004</v>
      </c>
      <c r="E64" s="168">
        <v>4851.6000000000004</v>
      </c>
      <c r="F64" s="168">
        <v>5025.8</v>
      </c>
      <c r="G64" s="165">
        <f>G58+G63</f>
        <v>5002.5023762160454</v>
      </c>
      <c r="H64" s="165">
        <f>H58+H63</f>
        <v>5028.2712412730762</v>
      </c>
      <c r="I64" s="165">
        <f>I58+I63</f>
        <v>5043.749707414142</v>
      </c>
      <c r="J64" s="165">
        <f>J58+J63</f>
        <v>5062.5326898589901</v>
      </c>
      <c r="K64" s="165">
        <f>K58+K63</f>
        <v>5077.7644116608035</v>
      </c>
    </row>
    <row r="65" spans="1:11" x14ac:dyDescent="0.2">
      <c r="B65" s="241" t="s">
        <v>249</v>
      </c>
      <c r="C65" s="241"/>
      <c r="D65" s="241"/>
      <c r="E65" s="241"/>
      <c r="F65" s="241"/>
      <c r="G65" s="241"/>
      <c r="H65" s="241"/>
      <c r="I65" s="241"/>
      <c r="J65" s="241"/>
      <c r="K65" s="241"/>
    </row>
    <row r="66" spans="1:11" x14ac:dyDescent="0.2">
      <c r="B66" s="15" t="s">
        <v>250</v>
      </c>
      <c r="C66" s="164">
        <v>7156.9</v>
      </c>
      <c r="D66" s="164">
        <v>6972.6</v>
      </c>
      <c r="E66" s="164">
        <v>6846.4</v>
      </c>
      <c r="F66" s="164">
        <v>6740</v>
      </c>
      <c r="G66" s="22"/>
      <c r="H66" s="22"/>
      <c r="I66" s="22"/>
      <c r="J66" s="22"/>
      <c r="K66" s="22"/>
    </row>
    <row r="67" spans="1:11" x14ac:dyDescent="0.2">
      <c r="B67" s="88" t="s">
        <v>251</v>
      </c>
      <c r="C67" s="166">
        <v>-2669</v>
      </c>
      <c r="D67" s="166">
        <v>-2653.6</v>
      </c>
      <c r="E67" s="166">
        <v>-2375.5</v>
      </c>
      <c r="F67" s="166">
        <v>-2296.4</v>
      </c>
      <c r="G67" s="99"/>
      <c r="H67" s="99"/>
      <c r="I67" s="99"/>
      <c r="J67" s="99"/>
      <c r="K67" s="99"/>
    </row>
    <row r="68" spans="1:11" x14ac:dyDescent="0.2">
      <c r="B68" s="15" t="s">
        <v>252</v>
      </c>
      <c r="C68" s="164">
        <v>-36.200000000000003</v>
      </c>
      <c r="D68" s="164">
        <v>-49</v>
      </c>
      <c r="E68" s="164">
        <v>-79.099999999999994</v>
      </c>
      <c r="F68" s="164">
        <v>-82.1</v>
      </c>
      <c r="G68" s="22"/>
      <c r="H68" s="22"/>
      <c r="I68" s="22"/>
      <c r="J68" s="22"/>
      <c r="K68" s="22"/>
    </row>
    <row r="69" spans="1:11" x14ac:dyDescent="0.2">
      <c r="B69" s="88" t="s">
        <v>253</v>
      </c>
      <c r="C69" s="166">
        <v>57.7</v>
      </c>
      <c r="D69" s="166">
        <v>19</v>
      </c>
      <c r="E69" s="166">
        <v>61.5</v>
      </c>
      <c r="F69" s="166">
        <v>102.3</v>
      </c>
      <c r="G69" s="99"/>
      <c r="H69" s="99"/>
      <c r="I69" s="99"/>
      <c r="J69" s="99"/>
      <c r="K69" s="99"/>
    </row>
    <row r="70" spans="1:11" x14ac:dyDescent="0.2">
      <c r="B70" s="103" t="s">
        <v>254</v>
      </c>
      <c r="C70" s="172">
        <f>C52-C64</f>
        <v>4543.4999999999991</v>
      </c>
      <c r="D70" s="172">
        <f>D52-D64</f>
        <v>4316.8999999999996</v>
      </c>
      <c r="E70" s="172">
        <f>E52-E64</f>
        <v>4475.1000000000004</v>
      </c>
      <c r="F70" s="172">
        <f>F52-F64</f>
        <v>4492.7</v>
      </c>
      <c r="G70" s="172">
        <f ca="1">G163</f>
        <v>4780.1380946411609</v>
      </c>
      <c r="H70" s="172">
        <f t="shared" ref="H70:K70" ca="1" si="53">H163</f>
        <v>5100.0051691756144</v>
      </c>
      <c r="I70" s="172">
        <f t="shared" ca="1" si="53"/>
        <v>5452.2008774823116</v>
      </c>
      <c r="J70" s="172">
        <f t="shared" ca="1" si="53"/>
        <v>5817.9895667491855</v>
      </c>
      <c r="K70" s="172">
        <f t="shared" ca="1" si="53"/>
        <v>6203.977608279075</v>
      </c>
    </row>
    <row r="71" spans="1:11" x14ac:dyDescent="0.2">
      <c r="B71" s="104" t="s">
        <v>255</v>
      </c>
      <c r="C71" s="165">
        <f t="shared" ref="C71:K71" si="54">C64+C70</f>
        <v>9378.2999999999993</v>
      </c>
      <c r="D71" s="165">
        <f t="shared" si="54"/>
        <v>8887</v>
      </c>
      <c r="E71" s="165">
        <f t="shared" si="54"/>
        <v>9326.7000000000007</v>
      </c>
      <c r="F71" s="165">
        <f t="shared" si="54"/>
        <v>9518.5</v>
      </c>
      <c r="G71" s="165">
        <f t="shared" ca="1" si="54"/>
        <v>9782.6404708572063</v>
      </c>
      <c r="H71" s="165">
        <f t="shared" ca="1" si="54"/>
        <v>10128.276410448691</v>
      </c>
      <c r="I71" s="165">
        <f t="shared" ca="1" si="54"/>
        <v>10495.950584896455</v>
      </c>
      <c r="J71" s="165">
        <f t="shared" ca="1" si="54"/>
        <v>10880.522256608176</v>
      </c>
      <c r="K71" s="165">
        <f t="shared" ca="1" si="54"/>
        <v>11281.742019939878</v>
      </c>
    </row>
    <row r="72" spans="1:11" x14ac:dyDescent="0.2">
      <c r="B72" s="106" t="s">
        <v>256</v>
      </c>
      <c r="C72" s="105" t="str">
        <f>IF(ABS(C52-C71)&lt;0.5,"✓","✗ " &amp; TEXT(C52-C71,"$#,##0.0"))</f>
        <v>✓</v>
      </c>
      <c r="D72" s="105" t="str">
        <f>IF(ABS(D52-D71)&lt;0.5,"✓","✗ " &amp; TEXT(D52-D71,"$#,##0.0"))</f>
        <v>✓</v>
      </c>
      <c r="E72" s="105" t="str">
        <f>IF(ABS(E52-E71)&lt;0.5,"✓","✗ " &amp; TEXT(E52-E71,"$#,##0.0"))</f>
        <v>✓</v>
      </c>
      <c r="F72" s="105" t="str">
        <f>IF(ABS(F52-F71)&lt;0.5,"✓","✗ " &amp; TEXT(F52-F71,"$#,##0.0"))</f>
        <v>✓</v>
      </c>
      <c r="G72" s="105" t="str">
        <f ca="1">IF(ABS(G52-G71)&lt;1,"✓","✗ MISMATCH")</f>
        <v>✓</v>
      </c>
      <c r="H72" s="105" t="str">
        <f ca="1">IF(ABS(H52-H71)&lt;1,"✓","✗ MISMATCH")</f>
        <v>✓</v>
      </c>
      <c r="I72" s="105" t="str">
        <f ca="1">IF(ABS(I52-I71)&lt;1,"✓","✗ MISMATCH")</f>
        <v>✓</v>
      </c>
      <c r="J72" s="105" t="str">
        <f ca="1">IF(ABS(J52-J71)&lt;1,"✓","✗ MISMATCH")</f>
        <v>✓</v>
      </c>
      <c r="K72" s="105" t="str">
        <f ca="1">IF(ABS(K52-K71)&lt;1,"✓","✗ MISMATCH")</f>
        <v>✓</v>
      </c>
    </row>
    <row r="74" spans="1:11" x14ac:dyDescent="0.2">
      <c r="A74" s="242" t="s">
        <v>257</v>
      </c>
      <c r="B74" s="242"/>
      <c r="C74" s="242"/>
      <c r="D74" s="242"/>
      <c r="E74" s="242"/>
      <c r="F74" s="242"/>
      <c r="G74" s="242"/>
      <c r="H74" s="242"/>
      <c r="I74" s="242"/>
      <c r="J74" s="242"/>
      <c r="K74" s="242"/>
    </row>
    <row r="75" spans="1:11" x14ac:dyDescent="0.2">
      <c r="B75" s="241" t="s">
        <v>258</v>
      </c>
      <c r="C75" s="241"/>
      <c r="D75" s="241"/>
      <c r="E75" s="241"/>
      <c r="F75" s="241"/>
      <c r="G75" s="241"/>
      <c r="H75" s="241"/>
      <c r="I75" s="241"/>
      <c r="J75" s="241"/>
      <c r="K75" s="241"/>
    </row>
    <row r="76" spans="1:11" x14ac:dyDescent="0.2">
      <c r="B76" s="15" t="s">
        <v>217</v>
      </c>
      <c r="C76" s="174">
        <f t="shared" ref="C76:F76" si="55">C31</f>
        <v>257.8</v>
      </c>
      <c r="D76" s="174">
        <f t="shared" si="55"/>
        <v>252.70000000000002</v>
      </c>
      <c r="E76" s="174">
        <f t="shared" si="55"/>
        <v>475.79999999999995</v>
      </c>
      <c r="F76" s="174">
        <f t="shared" si="55"/>
        <v>319.8</v>
      </c>
      <c r="G76" s="30">
        <f ca="1">G31</f>
        <v>665.83761163711972</v>
      </c>
      <c r="H76" s="30">
        <f t="shared" ref="H76:K76" ca="1" si="56">H31</f>
        <v>740.957906832974</v>
      </c>
      <c r="I76" s="30">
        <f t="shared" ca="1" si="56"/>
        <v>815.84575468513322</v>
      </c>
      <c r="J76" s="30">
        <f t="shared" ca="1" si="56"/>
        <v>847.33329285870889</v>
      </c>
      <c r="K76" s="30">
        <f t="shared" ca="1" si="56"/>
        <v>894.12419746797264</v>
      </c>
    </row>
    <row r="77" spans="1:11" x14ac:dyDescent="0.2">
      <c r="B77" s="88" t="s">
        <v>259</v>
      </c>
      <c r="C77" s="176">
        <f>C21</f>
        <v>206.8</v>
      </c>
      <c r="D77" s="176">
        <f>D21</f>
        <v>275.39999999999998</v>
      </c>
      <c r="E77" s="176">
        <f>E21</f>
        <v>217.7</v>
      </c>
      <c r="F77" s="176">
        <f>F21</f>
        <v>192.2</v>
      </c>
      <c r="G77" s="107">
        <f>G21</f>
        <v>190.51194952993566</v>
      </c>
      <c r="H77" s="107">
        <f t="shared" ref="H77:K77" si="57">H21</f>
        <v>154.219006659809</v>
      </c>
      <c r="I77" s="107">
        <f t="shared" si="57"/>
        <v>127.98845033839523</v>
      </c>
      <c r="J77" s="107">
        <f t="shared" si="57"/>
        <v>108.58421854644685</v>
      </c>
      <c r="K77" s="107">
        <f t="shared" si="57"/>
        <v>93.846618057142663</v>
      </c>
    </row>
    <row r="78" spans="1:11" x14ac:dyDescent="0.2">
      <c r="B78" s="15" t="s">
        <v>260</v>
      </c>
      <c r="C78" s="164">
        <v>-90.5</v>
      </c>
      <c r="D78" s="164">
        <v>-199.1</v>
      </c>
      <c r="E78" s="164">
        <v>-574.6</v>
      </c>
      <c r="F78" s="164">
        <v>70</v>
      </c>
      <c r="G78" s="22">
        <f>-(G41-F41)-(G42-F42)-(G43-F43)+(G54-F54)</f>
        <v>-176.29789195088819</v>
      </c>
      <c r="H78" s="22">
        <f t="shared" ref="H78:K78" si="58">-(H41-G41)-(H42-G42)-(H43-G43)+(H54-G54)</f>
        <v>-192.40715639632481</v>
      </c>
      <c r="I78" s="22">
        <f t="shared" si="58"/>
        <v>-161.24411123615147</v>
      </c>
      <c r="J78" s="22">
        <f t="shared" si="58"/>
        <v>-168.54294957500201</v>
      </c>
      <c r="K78" s="22">
        <f t="shared" si="58"/>
        <v>-150.23951814905467</v>
      </c>
    </row>
    <row r="79" spans="1:11" x14ac:dyDescent="0.2">
      <c r="B79" s="88" t="s">
        <v>261</v>
      </c>
      <c r="C79" s="166">
        <v>232.3</v>
      </c>
      <c r="D79" s="166">
        <v>115.10000000000002</v>
      </c>
      <c r="E79" s="166">
        <v>-16.5</v>
      </c>
      <c r="F79" s="166">
        <v>297.89999999999998</v>
      </c>
      <c r="G79" s="99"/>
      <c r="H79" s="99"/>
      <c r="I79" s="99"/>
      <c r="J79" s="99"/>
      <c r="K79" s="99"/>
    </row>
    <row r="80" spans="1:11" x14ac:dyDescent="0.2">
      <c r="B80" s="104" t="s">
        <v>262</v>
      </c>
      <c r="C80" s="165">
        <f>C76+C77+C78+C79</f>
        <v>606.40000000000009</v>
      </c>
      <c r="D80" s="165">
        <f>D76+D77+D78+D79</f>
        <v>444.1</v>
      </c>
      <c r="E80" s="165">
        <f>E76+E77+E78+E79</f>
        <v>102.39999999999998</v>
      </c>
      <c r="F80" s="165">
        <f>F76+F77+F78+F79</f>
        <v>879.9</v>
      </c>
      <c r="G80" s="97">
        <f ca="1">SUM(G76:G78)</f>
        <v>680.05166921616728</v>
      </c>
      <c r="H80" s="97">
        <f t="shared" ref="H80:K80" ca="1" si="59">SUM(H76:H78)</f>
        <v>702.76975709645819</v>
      </c>
      <c r="I80" s="97">
        <f t="shared" ca="1" si="59"/>
        <v>782.59009378737687</v>
      </c>
      <c r="J80" s="97">
        <f t="shared" ca="1" si="59"/>
        <v>787.37456183015377</v>
      </c>
      <c r="K80" s="97">
        <f t="shared" ca="1" si="59"/>
        <v>837.73129737606064</v>
      </c>
    </row>
    <row r="81" spans="2:11" x14ac:dyDescent="0.2">
      <c r="B81" s="241" t="s">
        <v>263</v>
      </c>
      <c r="C81" s="241"/>
      <c r="D81" s="241"/>
      <c r="E81" s="241"/>
      <c r="F81" s="241"/>
      <c r="G81" s="241"/>
      <c r="H81" s="241"/>
      <c r="I81" s="241"/>
      <c r="J81" s="241"/>
      <c r="K81" s="241"/>
    </row>
    <row r="82" spans="2:11" x14ac:dyDescent="0.2">
      <c r="B82" s="15" t="s">
        <v>264</v>
      </c>
      <c r="C82" s="164">
        <v>-100.4</v>
      </c>
      <c r="D82" s="164">
        <v>-100</v>
      </c>
      <c r="E82" s="164">
        <v>-105.1</v>
      </c>
      <c r="F82" s="164">
        <v>-159.4</v>
      </c>
      <c r="G82" s="22">
        <f>-G139</f>
        <v>-97.439118361679959</v>
      </c>
      <c r="H82" s="22">
        <f t="shared" ref="H82:K82" si="60">-H139</f>
        <v>-93.203613171848971</v>
      </c>
      <c r="I82" s="22">
        <f t="shared" si="60"/>
        <v>-91.646026075696355</v>
      </c>
      <c r="J82" s="22">
        <f t="shared" si="60"/>
        <v>-92.608585216711234</v>
      </c>
      <c r="K82" s="22">
        <f t="shared" si="60"/>
        <v>-96.135595679470683</v>
      </c>
    </row>
    <row r="83" spans="2:11" x14ac:dyDescent="0.2">
      <c r="B83" s="88" t="s">
        <v>265</v>
      </c>
      <c r="C83" s="166">
        <v>-484</v>
      </c>
      <c r="D83" s="166">
        <v>-192.7</v>
      </c>
      <c r="E83" s="166">
        <v>-14.6</v>
      </c>
      <c r="F83" s="166">
        <v>-0.7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</row>
    <row r="84" spans="2:11" x14ac:dyDescent="0.2">
      <c r="B84" s="15" t="s">
        <v>300</v>
      </c>
      <c r="C84" s="164">
        <v>250.7</v>
      </c>
      <c r="D84" s="164">
        <v>305.8</v>
      </c>
      <c r="E84" s="164">
        <v>435.6</v>
      </c>
      <c r="F84" s="164">
        <v>98.3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</row>
    <row r="85" spans="2:11" x14ac:dyDescent="0.2">
      <c r="B85" s="88" t="s">
        <v>267</v>
      </c>
      <c r="C85" s="166">
        <v>44.8</v>
      </c>
      <c r="D85" s="166">
        <v>0.7</v>
      </c>
      <c r="E85" s="166">
        <v>2.5</v>
      </c>
      <c r="F85" s="166">
        <v>-5.8</v>
      </c>
      <c r="G85" s="99">
        <v>0</v>
      </c>
      <c r="H85" s="99">
        <v>0</v>
      </c>
      <c r="I85" s="99">
        <v>0</v>
      </c>
      <c r="J85" s="99">
        <v>0</v>
      </c>
      <c r="K85" s="99">
        <v>0</v>
      </c>
    </row>
    <row r="86" spans="2:11" x14ac:dyDescent="0.2">
      <c r="B86" s="104" t="s">
        <v>268</v>
      </c>
      <c r="C86" s="165">
        <f>C82+C83+C84+C85</f>
        <v>-288.89999999999998</v>
      </c>
      <c r="D86" s="165">
        <f>D82+D83+D84+D85</f>
        <v>13.800000000000022</v>
      </c>
      <c r="E86" s="165">
        <f>E82+E83+E84+E85</f>
        <v>318.40000000000003</v>
      </c>
      <c r="F86" s="165">
        <f>F82+F83+F84+F85</f>
        <v>-67.599999999999994</v>
      </c>
      <c r="G86" s="97">
        <f>SUM(G82:G85)</f>
        <v>-97.439118361679959</v>
      </c>
      <c r="H86" s="97">
        <f t="shared" ref="H86:K86" si="61">SUM(H82:H85)</f>
        <v>-93.203613171848971</v>
      </c>
      <c r="I86" s="97">
        <f t="shared" si="61"/>
        <v>-91.646026075696355</v>
      </c>
      <c r="J86" s="97">
        <f t="shared" si="61"/>
        <v>-92.608585216711234</v>
      </c>
      <c r="K86" s="97">
        <f t="shared" si="61"/>
        <v>-96.135595679470683</v>
      </c>
    </row>
    <row r="87" spans="2:11" x14ac:dyDescent="0.2">
      <c r="B87" s="241" t="s">
        <v>269</v>
      </c>
      <c r="C87" s="241"/>
      <c r="D87" s="241"/>
      <c r="E87" s="241"/>
      <c r="F87" s="241"/>
      <c r="G87" s="241"/>
      <c r="H87" s="241"/>
      <c r="I87" s="241"/>
      <c r="J87" s="241"/>
      <c r="K87" s="241"/>
    </row>
    <row r="88" spans="2:11" x14ac:dyDescent="0.2">
      <c r="B88" s="15" t="s">
        <v>301</v>
      </c>
      <c r="C88" s="164">
        <v>363.3</v>
      </c>
      <c r="D88" s="164">
        <v>-423.8</v>
      </c>
      <c r="E88" s="164">
        <v>0</v>
      </c>
      <c r="F88" s="164">
        <v>0</v>
      </c>
      <c r="G88" s="22">
        <f>F88</f>
        <v>0</v>
      </c>
      <c r="H88" s="22">
        <f t="shared" ref="H88:K88" si="62">G88</f>
        <v>0</v>
      </c>
      <c r="I88" s="22">
        <f t="shared" si="62"/>
        <v>0</v>
      </c>
      <c r="J88" s="22">
        <f t="shared" si="62"/>
        <v>0</v>
      </c>
      <c r="K88" s="22">
        <f t="shared" si="62"/>
        <v>0</v>
      </c>
    </row>
    <row r="89" spans="2:11" x14ac:dyDescent="0.2">
      <c r="B89" s="88" t="s">
        <v>302</v>
      </c>
      <c r="C89" s="166">
        <v>-326.39999999999998</v>
      </c>
      <c r="D89" s="166">
        <v>-387.1</v>
      </c>
      <c r="E89" s="166">
        <v>-258</v>
      </c>
      <c r="F89" s="166">
        <v>-335.7</v>
      </c>
      <c r="G89" s="99">
        <f>0</f>
        <v>0</v>
      </c>
      <c r="H89" s="99">
        <f>0</f>
        <v>0</v>
      </c>
      <c r="I89" s="99">
        <f>0</f>
        <v>0</v>
      </c>
      <c r="J89" s="99">
        <f>0</f>
        <v>0</v>
      </c>
      <c r="K89" s="99">
        <f>0</f>
        <v>0</v>
      </c>
    </row>
    <row r="90" spans="2:11" x14ac:dyDescent="0.2">
      <c r="B90" s="15" t="s">
        <v>272</v>
      </c>
      <c r="C90" s="164">
        <v>-264.10000000000002</v>
      </c>
      <c r="D90" s="164">
        <v>-259.10000000000002</v>
      </c>
      <c r="E90" s="164">
        <v>-270.39999999999998</v>
      </c>
      <c r="F90" s="164">
        <v>-280.8</v>
      </c>
      <c r="G90" s="22">
        <f ca="1">G159</f>
        <v>-378.39951699595872</v>
      </c>
      <c r="H90" s="22">
        <f t="shared" ref="H90:K90" ca="1" si="63">H159</f>
        <v>-421.0908322985207</v>
      </c>
      <c r="I90" s="22">
        <f t="shared" ca="1" si="63"/>
        <v>-463.65004637843634</v>
      </c>
      <c r="J90" s="22">
        <f t="shared" ca="1" si="63"/>
        <v>-481.54460359183452</v>
      </c>
      <c r="K90" s="22">
        <f t="shared" ca="1" si="63"/>
        <v>-508.13615593808277</v>
      </c>
    </row>
    <row r="91" spans="2:11" x14ac:dyDescent="0.2">
      <c r="B91" s="88" t="s">
        <v>273</v>
      </c>
      <c r="C91" s="166">
        <v>4.8</v>
      </c>
      <c r="D91" s="166">
        <v>-61.7</v>
      </c>
      <c r="E91" s="166">
        <v>0</v>
      </c>
      <c r="F91" s="166">
        <v>-2.2999999999999998</v>
      </c>
      <c r="G91" s="99">
        <v>0</v>
      </c>
      <c r="H91" s="99">
        <v>0</v>
      </c>
      <c r="I91" s="99">
        <v>0</v>
      </c>
      <c r="J91" s="99">
        <v>0</v>
      </c>
      <c r="K91" s="99">
        <v>0</v>
      </c>
    </row>
    <row r="92" spans="2:11" x14ac:dyDescent="0.2">
      <c r="B92" s="103" t="s">
        <v>274</v>
      </c>
      <c r="C92" s="167">
        <f>C88+C89+C90+C91</f>
        <v>-222.39999999999998</v>
      </c>
      <c r="D92" s="167">
        <f>D88+D89+D90+D91</f>
        <v>-1131.7</v>
      </c>
      <c r="E92" s="167">
        <f>E88+E89+E90+E91</f>
        <v>-528.4</v>
      </c>
      <c r="F92" s="167">
        <f>F88+F89+F90+F91</f>
        <v>-618.79999999999995</v>
      </c>
      <c r="G92" s="95">
        <f ca="1">SUM(G88:G91)</f>
        <v>-378.39951699595872</v>
      </c>
      <c r="H92" s="95">
        <f t="shared" ref="H92:K92" ca="1" si="64">SUM(H88:H91)</f>
        <v>-421.0908322985207</v>
      </c>
      <c r="I92" s="95">
        <f t="shared" ca="1" si="64"/>
        <v>-463.65004637843634</v>
      </c>
      <c r="J92" s="95">
        <f t="shared" ca="1" si="64"/>
        <v>-481.54460359183452</v>
      </c>
      <c r="K92" s="95">
        <f t="shared" ca="1" si="64"/>
        <v>-508.13615593808277</v>
      </c>
    </row>
    <row r="93" spans="2:11" x14ac:dyDescent="0.2">
      <c r="B93" s="96" t="s">
        <v>275</v>
      </c>
      <c r="C93" s="165"/>
      <c r="D93" s="165">
        <f t="shared" ref="D93:F93" si="65">D80+D86+D92</f>
        <v>-673.8</v>
      </c>
      <c r="E93" s="165">
        <f t="shared" si="65"/>
        <v>-107.59999999999997</v>
      </c>
      <c r="F93" s="165">
        <f t="shared" si="65"/>
        <v>193.5</v>
      </c>
      <c r="G93" s="97">
        <f ca="1">G92+G86+G80</f>
        <v>204.2130338585286</v>
      </c>
      <c r="H93" s="97">
        <f t="shared" ref="H93:K93" ca="1" si="66">H92+H86+H80</f>
        <v>188.47531162608857</v>
      </c>
      <c r="I93" s="97">
        <f t="shared" ca="1" si="66"/>
        <v>227.29402133324413</v>
      </c>
      <c r="J93" s="97">
        <f t="shared" ca="1" si="66"/>
        <v>213.22137302160797</v>
      </c>
      <c r="K93" s="97">
        <f t="shared" ca="1" si="66"/>
        <v>233.45954575850715</v>
      </c>
    </row>
    <row r="94" spans="2:11" x14ac:dyDescent="0.2">
      <c r="B94" s="15" t="s">
        <v>276</v>
      </c>
      <c r="C94" s="164"/>
      <c r="D94" s="174">
        <f>C40</f>
        <v>1793.2</v>
      </c>
      <c r="E94" s="174">
        <f t="shared" ref="E94:F94" si="67">D40</f>
        <v>1255.2</v>
      </c>
      <c r="F94" s="174">
        <f t="shared" si="67"/>
        <v>1105.5999999999999</v>
      </c>
      <c r="G94" s="22">
        <f>F95</f>
        <v>1299.0999999999999</v>
      </c>
      <c r="H94" s="22">
        <f ca="1">G95</f>
        <v>1503.3130338585286</v>
      </c>
      <c r="I94" s="22">
        <f t="shared" ref="I94:K94" ca="1" si="68">H95</f>
        <v>1691.7883454846171</v>
      </c>
      <c r="J94" s="22">
        <f t="shared" ca="1" si="68"/>
        <v>1919.0823668178614</v>
      </c>
      <c r="K94" s="22">
        <f t="shared" ca="1" si="68"/>
        <v>2132.3037398394695</v>
      </c>
    </row>
    <row r="95" spans="2:11" x14ac:dyDescent="0.2">
      <c r="B95" s="96" t="s">
        <v>277</v>
      </c>
      <c r="C95" s="165"/>
      <c r="D95" s="165">
        <f>D94+D93</f>
        <v>1119.4000000000001</v>
      </c>
      <c r="E95" s="165">
        <f>E94+E93</f>
        <v>1147.6000000000001</v>
      </c>
      <c r="F95" s="165">
        <f>F94+F93</f>
        <v>1299.0999999999999</v>
      </c>
      <c r="G95" s="97">
        <f ca="1">G93+G94</f>
        <v>1503.3130338585286</v>
      </c>
      <c r="H95" s="97">
        <f ca="1">H93+H94</f>
        <v>1691.7883454846171</v>
      </c>
      <c r="I95" s="97">
        <f t="shared" ref="I95:K95" ca="1" si="69">I93+I94</f>
        <v>1919.0823668178614</v>
      </c>
      <c r="J95" s="97">
        <f t="shared" ca="1" si="69"/>
        <v>2132.3037398394695</v>
      </c>
      <c r="K95" s="97">
        <f t="shared" ca="1" si="69"/>
        <v>2365.7632855979764</v>
      </c>
    </row>
    <row r="97" spans="1:11" x14ac:dyDescent="0.2">
      <c r="A97" s="242" t="s">
        <v>278</v>
      </c>
      <c r="B97" s="242"/>
      <c r="C97" s="242"/>
      <c r="D97" s="242"/>
      <c r="E97" s="242"/>
      <c r="F97" s="242"/>
      <c r="G97" s="242"/>
      <c r="H97" s="242"/>
      <c r="I97" s="242"/>
      <c r="J97" s="242"/>
      <c r="K97" s="242"/>
    </row>
    <row r="98" spans="1:11" x14ac:dyDescent="0.2">
      <c r="B98" s="108" t="s">
        <v>29</v>
      </c>
      <c r="C98" s="85" t="s">
        <v>290</v>
      </c>
      <c r="D98" s="85" t="s">
        <v>291</v>
      </c>
      <c r="E98" s="85" t="s">
        <v>292</v>
      </c>
      <c r="F98" s="85" t="s">
        <v>293</v>
      </c>
      <c r="G98" s="86" t="s">
        <v>294</v>
      </c>
      <c r="H98" s="86" t="s">
        <v>295</v>
      </c>
      <c r="I98" s="86" t="s">
        <v>296</v>
      </c>
      <c r="J98" s="86" t="s">
        <v>297</v>
      </c>
      <c r="K98" s="86" t="s">
        <v>298</v>
      </c>
    </row>
    <row r="99" spans="1:11" x14ac:dyDescent="0.2">
      <c r="B99" s="88" t="s">
        <v>279</v>
      </c>
      <c r="C99" s="162" t="str">
        <f>C9</f>
        <v>—</v>
      </c>
      <c r="D99" s="161">
        <f>D9</f>
        <v>6.5307867089604121E-2</v>
      </c>
      <c r="E99" s="161">
        <f>E9</f>
        <v>0.11948304261519627</v>
      </c>
      <c r="F99" s="161">
        <f>F9</f>
        <v>4.9667999698181475E-2</v>
      </c>
      <c r="G99" s="90">
        <f>IF(F8=0,0,G8/F8-1)</f>
        <v>3.0000000000000027E-2</v>
      </c>
      <c r="H99" s="90">
        <f>IF(G8=0,0,H8/G8-1)</f>
        <v>8.0000000000000071E-2</v>
      </c>
      <c r="I99" s="90">
        <f>IF(H8=0,0,I8/H8-1)</f>
        <v>6.0000000000000053E-2</v>
      </c>
      <c r="J99" s="90">
        <f>IF(I8=0,0,J8/I8-1)</f>
        <v>6.0000000000000053E-2</v>
      </c>
      <c r="K99" s="90">
        <f>IF(J8=0,0,K8/J8-1)</f>
        <v>5.0000000000000044E-2</v>
      </c>
    </row>
    <row r="100" spans="1:11" x14ac:dyDescent="0.2">
      <c r="B100" s="15" t="s">
        <v>280</v>
      </c>
      <c r="C100" s="163">
        <f t="shared" ref="C100:K100" si="70">C12</f>
        <v>0.63386650469055816</v>
      </c>
      <c r="D100" s="163">
        <f t="shared" si="70"/>
        <v>0.64514085399332677</v>
      </c>
      <c r="E100" s="163">
        <f t="shared" si="70"/>
        <v>0.60478759526145021</v>
      </c>
      <c r="F100" s="163">
        <f t="shared" si="70"/>
        <v>0.61568874112678584</v>
      </c>
      <c r="G100" s="17">
        <f t="shared" si="70"/>
        <v>0.61023816819411802</v>
      </c>
      <c r="H100" s="17">
        <f t="shared" si="70"/>
        <v>0.61023816819411802</v>
      </c>
      <c r="I100" s="17">
        <f t="shared" si="70"/>
        <v>0.61023816819411802</v>
      </c>
      <c r="J100" s="17">
        <f t="shared" si="70"/>
        <v>0.61023816819411802</v>
      </c>
      <c r="K100" s="17">
        <f t="shared" si="70"/>
        <v>0.61023816819411802</v>
      </c>
    </row>
    <row r="101" spans="1:11" x14ac:dyDescent="0.2">
      <c r="B101" s="88" t="s">
        <v>281</v>
      </c>
      <c r="C101" s="161">
        <f t="shared" ref="C101:K101" si="71">C23</f>
        <v>0.19331398618703749</v>
      </c>
      <c r="D101" s="161">
        <f t="shared" si="71"/>
        <v>0.20908476580647875</v>
      </c>
      <c r="E101" s="161">
        <f t="shared" si="71"/>
        <v>0.18386403078548255</v>
      </c>
      <c r="F101" s="161">
        <f t="shared" si="71"/>
        <v>0.17117440920118604</v>
      </c>
      <c r="G101" s="90">
        <f t="shared" si="71"/>
        <v>0.16435333533347787</v>
      </c>
      <c r="H101" s="90">
        <f t="shared" si="71"/>
        <v>0.15773283103934918</v>
      </c>
      <c r="I101" s="90">
        <f t="shared" si="71"/>
        <v>0.15601808060130914</v>
      </c>
      <c r="J101" s="90">
        <f t="shared" si="71"/>
        <v>0.14926094907689089</v>
      </c>
      <c r="K101" s="90">
        <f t="shared" si="71"/>
        <v>0.147047585434394</v>
      </c>
    </row>
    <row r="102" spans="1:11" x14ac:dyDescent="0.2">
      <c r="B102" s="15" t="s">
        <v>282</v>
      </c>
      <c r="C102" s="163">
        <f t="shared" ref="C102:K102" si="72">C20</f>
        <v>0.1467908483498685</v>
      </c>
      <c r="D102" s="163">
        <f t="shared" si="72"/>
        <v>0.15092706001604922</v>
      </c>
      <c r="E102" s="163">
        <f t="shared" si="72"/>
        <v>0.14279785708896101</v>
      </c>
      <c r="F102" s="163">
        <f t="shared" si="72"/>
        <v>0.1366340192290412</v>
      </c>
      <c r="G102" s="17">
        <f t="shared" si="72"/>
        <v>0.13111350106336303</v>
      </c>
      <c r="H102" s="17">
        <f t="shared" si="72"/>
        <v>0.13281841143293993</v>
      </c>
      <c r="I102" s="17">
        <f t="shared" si="72"/>
        <v>0.13651165082800829</v>
      </c>
      <c r="J102" s="17">
        <f t="shared" si="72"/>
        <v>0.13364861439397213</v>
      </c>
      <c r="K102" s="17">
        <f t="shared" si="72"/>
        <v>0.13419677639610222</v>
      </c>
    </row>
    <row r="103" spans="1:11" x14ac:dyDescent="0.2">
      <c r="B103" s="88" t="s">
        <v>283</v>
      </c>
      <c r="C103" s="161">
        <f t="shared" ref="C103:K103" si="73">C32</f>
        <v>5.7996445524285165E-2</v>
      </c>
      <c r="D103" s="161">
        <f t="shared" si="73"/>
        <v>5.3364024158466028E-2</v>
      </c>
      <c r="E103" s="161">
        <f t="shared" si="73"/>
        <v>8.9753263412057638E-2</v>
      </c>
      <c r="F103" s="161">
        <f t="shared" si="73"/>
        <v>5.7471470931799808E-2</v>
      </c>
      <c r="G103" s="90">
        <f t="shared" ca="1" si="73"/>
        <v>0.11617293254431389</v>
      </c>
      <c r="H103" s="90">
        <f t="shared" ca="1" si="73"/>
        <v>0.11970337898911132</v>
      </c>
      <c r="I103" s="90">
        <f t="shared" ca="1" si="73"/>
        <v>0.12434120326900377</v>
      </c>
      <c r="J103" s="90">
        <f t="shared" ca="1" si="73"/>
        <v>0.12183032795351492</v>
      </c>
      <c r="K103" s="90">
        <f t="shared" ca="1" si="73"/>
        <v>0.12243615759473059</v>
      </c>
    </row>
    <row r="104" spans="1:11" x14ac:dyDescent="0.2">
      <c r="B104" s="15" t="s">
        <v>284</v>
      </c>
      <c r="C104" s="17">
        <f>ABS(C82)/C8</f>
        <v>2.2586668466401207E-2</v>
      </c>
      <c r="D104" s="17">
        <f>ABS(D82)/D8</f>
        <v>2.1117540228914138E-2</v>
      </c>
      <c r="E104" s="17">
        <f>ABS(E82)/E8</f>
        <v>1.9825699841545311E-2</v>
      </c>
      <c r="F104" s="17">
        <f>ABS(F82)/F8</f>
        <v>2.8645880132985895E-2</v>
      </c>
      <c r="G104" s="17">
        <f>IF(G8=0,0,ABS(G82)/G8)</f>
        <v>1.7000824115021795E-2</v>
      </c>
      <c r="H104" s="17">
        <f>IF(H8=0,0,ABS(H82)/H8)</f>
        <v>1.5057248634205232E-2</v>
      </c>
      <c r="I104" s="17">
        <f>IF(I8=0,0,ABS(I82)/I8)</f>
        <v>1.3967563220908715E-2</v>
      </c>
      <c r="J104" s="17">
        <f>IF(J8=0,0,ABS(J82)/J8)</f>
        <v>1.3315344036817285E-2</v>
      </c>
      <c r="K104" s="17">
        <f>IF(K8=0,0,ABS(K82)/K8)</f>
        <v>1.3164248296161999E-2</v>
      </c>
    </row>
    <row r="105" spans="1:11" x14ac:dyDescent="0.2">
      <c r="B105" s="104" t="s">
        <v>285</v>
      </c>
      <c r="C105" s="165">
        <f t="shared" ref="C105:K105" si="74">C80+C82</f>
        <v>506.00000000000011</v>
      </c>
      <c r="D105" s="165">
        <f t="shared" si="74"/>
        <v>344.1</v>
      </c>
      <c r="E105" s="165">
        <f t="shared" si="74"/>
        <v>-2.7000000000000171</v>
      </c>
      <c r="F105" s="165">
        <f t="shared" si="74"/>
        <v>720.5</v>
      </c>
      <c r="G105" s="97">
        <f t="shared" ca="1" si="74"/>
        <v>582.61255085448738</v>
      </c>
      <c r="H105" s="97">
        <f t="shared" ca="1" si="74"/>
        <v>609.56614392460926</v>
      </c>
      <c r="I105" s="97">
        <f t="shared" ca="1" si="74"/>
        <v>690.94406771168053</v>
      </c>
      <c r="J105" s="97">
        <f t="shared" ca="1" si="74"/>
        <v>694.76597661344249</v>
      </c>
      <c r="K105" s="97">
        <f t="shared" ca="1" si="74"/>
        <v>741.59570169658991</v>
      </c>
    </row>
    <row r="106" spans="1:11" x14ac:dyDescent="0.2">
      <c r="B106" s="15" t="s">
        <v>286</v>
      </c>
      <c r="C106" s="17">
        <f>C105/C8</f>
        <v>0.11383320960158379</v>
      </c>
      <c r="D106" s="17">
        <f>D105/D8</f>
        <v>7.2665455927693551E-2</v>
      </c>
      <c r="E106" s="17">
        <f>E105/E8</f>
        <v>-5.0931864483513486E-4</v>
      </c>
      <c r="F106" s="17">
        <f>F105/F8</f>
        <v>0.12948153472908616</v>
      </c>
      <c r="G106" s="17">
        <f ca="1">IF(G8=0,0,(G80+G82)/G8)</f>
        <v>0.10165212566390221</v>
      </c>
      <c r="H106" s="17">
        <f ca="1">IF(H8=0,0,(H80+H82)/H8)</f>
        <v>9.8476750800888427E-2</v>
      </c>
      <c r="I106" s="17">
        <f ca="1">IF(I8=0,0,(I80+I82)/I8)</f>
        <v>0.10530522010745462</v>
      </c>
      <c r="J106" s="17">
        <f ca="1">IF(J8=0,0,(J80+J82)/J8)</f>
        <v>9.9894064702912511E-2</v>
      </c>
      <c r="K106" s="17">
        <f ca="1">IF(K8=0,0,(K80+K82)/K8)</f>
        <v>0.10154979415793171</v>
      </c>
    </row>
    <row r="107" spans="1:11" x14ac:dyDescent="0.2">
      <c r="B107" s="88" t="s">
        <v>287</v>
      </c>
      <c r="C107" s="175">
        <f>(C55+C60)-C40</f>
        <v>546.70000000000005</v>
      </c>
      <c r="D107" s="175">
        <f>(D55+D60)-D40</f>
        <v>621</v>
      </c>
      <c r="E107" s="175">
        <f>(E55+E60)-E40</f>
        <v>660.80000000000018</v>
      </c>
      <c r="F107" s="175">
        <f>(F55+F60)-F40</f>
        <v>524.80000000000018</v>
      </c>
      <c r="G107" s="107">
        <f ca="1">G60-G40</f>
        <v>274.18696614147143</v>
      </c>
      <c r="H107" s="107">
        <f ca="1">H60-H40</f>
        <v>85.711654515382861</v>
      </c>
      <c r="I107" s="107">
        <f ca="1">I60-I40</f>
        <v>-141.58236681786116</v>
      </c>
      <c r="J107" s="107">
        <f ca="1">J60-J40</f>
        <v>-354.80373983946924</v>
      </c>
      <c r="K107" s="107">
        <f ca="1">K60-K40</f>
        <v>-588.26328559797616</v>
      </c>
    </row>
    <row r="108" spans="1:11" x14ac:dyDescent="0.2">
      <c r="B108" s="15" t="s">
        <v>288</v>
      </c>
      <c r="C108" s="26">
        <f>IF(C22=0,0,C107/C22)</f>
        <v>0.63621552426393546</v>
      </c>
      <c r="D108" s="26">
        <f>IF(D22=0,0,D107/D22)</f>
        <v>0.62720937279062761</v>
      </c>
      <c r="E108" s="26">
        <f>IF(E22=0,0,E107/E22)</f>
        <v>0.67795219041756449</v>
      </c>
      <c r="F108" s="26">
        <f>IF(F22=0,0,F107/F22)</f>
        <v>0.55097112860892417</v>
      </c>
      <c r="G108" s="50">
        <f ca="1">IF(G22=0,0,(G60-G40)/G22)</f>
        <v>0.29107500444218121</v>
      </c>
      <c r="H108" s="50">
        <f ca="1">IF(H22=0,0,(H60-H40)/H22)</f>
        <v>8.7787090040048615E-2</v>
      </c>
      <c r="I108" s="50">
        <f ca="1">IF(I22=0,0,(I60-I40)/I22)</f>
        <v>-0.13830607135630282</v>
      </c>
      <c r="J108" s="50">
        <f ca="1">IF(J22=0,0,(J60-J40)/J22)</f>
        <v>-0.34177723554163875</v>
      </c>
      <c r="K108" s="50">
        <f ca="1">IF(K22=0,0,(K60-K40)/K22)</f>
        <v>-0.54780461928669488</v>
      </c>
    </row>
    <row r="112" spans="1:11" x14ac:dyDescent="0.2">
      <c r="A112" s="242" t="s">
        <v>573</v>
      </c>
      <c r="B112" s="242"/>
      <c r="C112" s="242"/>
      <c r="D112" s="242"/>
      <c r="E112" s="242"/>
      <c r="F112" s="242"/>
      <c r="G112" s="242"/>
      <c r="H112" s="242"/>
      <c r="I112" s="242"/>
      <c r="J112" s="242"/>
      <c r="K112" s="242"/>
    </row>
    <row r="114" spans="2:11" x14ac:dyDescent="0.2">
      <c r="B114" s="139" t="s">
        <v>574</v>
      </c>
      <c r="C114" s="85" t="s">
        <v>186</v>
      </c>
      <c r="D114" s="85" t="s">
        <v>187</v>
      </c>
      <c r="E114" s="85" t="s">
        <v>188</v>
      </c>
      <c r="F114" s="85" t="s">
        <v>189</v>
      </c>
      <c r="G114" s="86" t="s">
        <v>28</v>
      </c>
      <c r="H114" s="86" t="s">
        <v>190</v>
      </c>
      <c r="I114" s="86" t="s">
        <v>191</v>
      </c>
      <c r="J114" s="86" t="s">
        <v>192</v>
      </c>
      <c r="K114" s="86" t="s">
        <v>193</v>
      </c>
    </row>
    <row r="115" spans="2:11" x14ac:dyDescent="0.2">
      <c r="B115" s="15" t="s">
        <v>576</v>
      </c>
      <c r="C115" s="196">
        <f>C41</f>
        <v>964.1</v>
      </c>
      <c r="D115" s="196">
        <f t="shared" ref="D115:F115" si="75">D41</f>
        <v>994.4</v>
      </c>
      <c r="E115" s="196">
        <f t="shared" si="75"/>
        <v>1227.3</v>
      </c>
      <c r="F115" s="196">
        <f t="shared" si="75"/>
        <v>1044.0999999999999</v>
      </c>
      <c r="G115" s="196">
        <f>G118*G117</f>
        <v>1075.423</v>
      </c>
      <c r="H115" s="196">
        <f t="shared" ref="H115:K115" si="76">H118*H117</f>
        <v>1161.4568400000001</v>
      </c>
      <c r="I115" s="196">
        <f t="shared" si="76"/>
        <v>1231.1442504000001</v>
      </c>
      <c r="J115" s="196">
        <f t="shared" si="76"/>
        <v>1305.0129054240003</v>
      </c>
      <c r="K115" s="196">
        <f t="shared" si="76"/>
        <v>1370.2635506952004</v>
      </c>
    </row>
    <row r="116" spans="2:11" x14ac:dyDescent="0.2">
      <c r="B116" s="88" t="s">
        <v>196</v>
      </c>
      <c r="C116" s="198">
        <f>C8</f>
        <v>4445.1000000000004</v>
      </c>
      <c r="D116" s="198">
        <f t="shared" ref="D116:F116" si="77">D8</f>
        <v>4735.3999999999996</v>
      </c>
      <c r="E116" s="198">
        <f t="shared" si="77"/>
        <v>5301.2</v>
      </c>
      <c r="F116" s="198">
        <f t="shared" si="77"/>
        <v>5564.5</v>
      </c>
      <c r="G116" s="198">
        <f t="shared" ref="G116:K116" si="78">G8</f>
        <v>5731.4350000000004</v>
      </c>
      <c r="H116" s="198">
        <f t="shared" si="78"/>
        <v>6189.9498000000012</v>
      </c>
      <c r="I116" s="198">
        <f t="shared" si="78"/>
        <v>6561.3467880000017</v>
      </c>
      <c r="J116" s="198">
        <f t="shared" si="78"/>
        <v>6955.0275952800021</v>
      </c>
      <c r="K116" s="198">
        <f t="shared" si="78"/>
        <v>7302.7789750440024</v>
      </c>
    </row>
    <row r="117" spans="2:11" x14ac:dyDescent="0.2">
      <c r="B117" s="15" t="s">
        <v>575</v>
      </c>
      <c r="C117" s="196">
        <f>C116/365</f>
        <v>12.178356164383562</v>
      </c>
      <c r="D117" s="196">
        <f t="shared" ref="D117:F117" si="79">D116/365</f>
        <v>12.973698630136985</v>
      </c>
      <c r="E117" s="196">
        <f t="shared" si="79"/>
        <v>14.523835616438356</v>
      </c>
      <c r="F117" s="196">
        <f t="shared" si="79"/>
        <v>15.245205479452055</v>
      </c>
      <c r="G117" s="196">
        <f t="shared" ref="G117" si="80">G116/365</f>
        <v>15.702561643835617</v>
      </c>
      <c r="H117" s="196">
        <f t="shared" ref="H117" si="81">H116/365</f>
        <v>16.958766575342469</v>
      </c>
      <c r="I117" s="196">
        <f t="shared" ref="I117" si="82">I116/365</f>
        <v>17.97629256986302</v>
      </c>
      <c r="J117" s="196">
        <f t="shared" ref="J117" si="83">J116/365</f>
        <v>19.054870124054801</v>
      </c>
      <c r="K117" s="196">
        <f t="shared" ref="K117" si="84">K116/365</f>
        <v>20.007613630257541</v>
      </c>
    </row>
    <row r="118" spans="2:11" x14ac:dyDescent="0.2">
      <c r="B118" s="88" t="s">
        <v>577</v>
      </c>
      <c r="C118" s="201">
        <f>C115/C117</f>
        <v>79.165035657240551</v>
      </c>
      <c r="D118" s="201">
        <f t="shared" ref="D118:F118" si="85">D115/D117</f>
        <v>76.647379313257602</v>
      </c>
      <c r="E118" s="201">
        <f t="shared" si="85"/>
        <v>84.502471138610119</v>
      </c>
      <c r="F118" s="201">
        <f t="shared" si="85"/>
        <v>68.48710575972683</v>
      </c>
      <c r="G118" s="201">
        <f>F118</f>
        <v>68.48710575972683</v>
      </c>
      <c r="H118" s="201">
        <f t="shared" ref="H118:K118" si="86">G118</f>
        <v>68.48710575972683</v>
      </c>
      <c r="I118" s="201">
        <f t="shared" si="86"/>
        <v>68.48710575972683</v>
      </c>
      <c r="J118" s="201">
        <f t="shared" si="86"/>
        <v>68.48710575972683</v>
      </c>
      <c r="K118" s="201">
        <f t="shared" si="86"/>
        <v>68.48710575972683</v>
      </c>
    </row>
    <row r="119" spans="2:11" x14ac:dyDescent="0.2">
      <c r="B119" s="104" t="s">
        <v>576</v>
      </c>
      <c r="C119" s="195"/>
      <c r="D119" s="195"/>
      <c r="E119" s="195"/>
      <c r="F119" s="195"/>
      <c r="G119" s="195">
        <f>G115</f>
        <v>1075.423</v>
      </c>
      <c r="H119" s="195">
        <f t="shared" ref="H119:K119" si="87">H115</f>
        <v>1161.4568400000001</v>
      </c>
      <c r="I119" s="195">
        <f t="shared" si="87"/>
        <v>1231.1442504000001</v>
      </c>
      <c r="J119" s="195">
        <f t="shared" si="87"/>
        <v>1305.0129054240003</v>
      </c>
      <c r="K119" s="195">
        <f t="shared" si="87"/>
        <v>1370.2635506952004</v>
      </c>
    </row>
    <row r="122" spans="2:11" x14ac:dyDescent="0.2">
      <c r="B122" s="139" t="s">
        <v>578</v>
      </c>
      <c r="C122" s="85" t="s">
        <v>186</v>
      </c>
      <c r="D122" s="85" t="s">
        <v>187</v>
      </c>
      <c r="E122" s="85" t="s">
        <v>188</v>
      </c>
      <c r="F122" s="85" t="s">
        <v>189</v>
      </c>
      <c r="G122" s="86" t="s">
        <v>28</v>
      </c>
      <c r="H122" s="86" t="s">
        <v>190</v>
      </c>
      <c r="I122" s="86" t="s">
        <v>191</v>
      </c>
      <c r="J122" s="86" t="s">
        <v>192</v>
      </c>
      <c r="K122" s="86" t="s">
        <v>193</v>
      </c>
    </row>
    <row r="123" spans="2:11" x14ac:dyDescent="0.2">
      <c r="B123" s="15" t="s">
        <v>579</v>
      </c>
      <c r="C123" s="196">
        <f>C42</f>
        <v>221.9</v>
      </c>
      <c r="D123" s="196">
        <f t="shared" ref="D123:F123" si="88">D42</f>
        <v>272.60000000000002</v>
      </c>
      <c r="E123" s="196">
        <f t="shared" si="88"/>
        <v>619.4</v>
      </c>
      <c r="F123" s="196">
        <f t="shared" si="88"/>
        <v>952.4</v>
      </c>
      <c r="G123" s="196">
        <f>G126*G125</f>
        <v>994.88483577426746</v>
      </c>
      <c r="H123" s="196">
        <f t="shared" ref="H123:K123" si="89">H126*H125</f>
        <v>1074.4756226362092</v>
      </c>
      <c r="I123" s="196">
        <f t="shared" si="89"/>
        <v>1138.9441599943818</v>
      </c>
      <c r="J123" s="196">
        <f t="shared" si="89"/>
        <v>1207.2808095940445</v>
      </c>
      <c r="K123" s="196">
        <f t="shared" si="89"/>
        <v>1267.6448500737467</v>
      </c>
    </row>
    <row r="124" spans="2:11" x14ac:dyDescent="0.2">
      <c r="B124" s="88" t="s">
        <v>580</v>
      </c>
      <c r="C124" s="198">
        <f>C10</f>
        <v>1627.5</v>
      </c>
      <c r="D124" s="198">
        <f t="shared" ref="D124:F124" si="90">D10</f>
        <v>1680.4</v>
      </c>
      <c r="E124" s="198">
        <f t="shared" si="90"/>
        <v>2095.1</v>
      </c>
      <c r="F124" s="198">
        <f t="shared" si="90"/>
        <v>2138.5</v>
      </c>
      <c r="G124" s="198">
        <f t="shared" ref="G124:K124" si="91">G10</f>
        <v>2233.8946044763452</v>
      </c>
      <c r="H124" s="198">
        <f t="shared" si="91"/>
        <v>2412.6061728344534</v>
      </c>
      <c r="I124" s="198">
        <f t="shared" si="91"/>
        <v>2557.3625432045205</v>
      </c>
      <c r="J124" s="198">
        <f t="shared" si="91"/>
        <v>2710.8042957967918</v>
      </c>
      <c r="K124" s="198">
        <f t="shared" si="91"/>
        <v>2846.3445105866313</v>
      </c>
    </row>
    <row r="125" spans="2:11" x14ac:dyDescent="0.2">
      <c r="B125" s="15" t="s">
        <v>581</v>
      </c>
      <c r="C125" s="196">
        <f>C124/365</f>
        <v>4.4589041095890414</v>
      </c>
      <c r="D125" s="196">
        <f t="shared" ref="D125:F125" si="92">D124/365</f>
        <v>4.6038356164383565</v>
      </c>
      <c r="E125" s="196">
        <f t="shared" si="92"/>
        <v>5.7399999999999993</v>
      </c>
      <c r="F125" s="196">
        <f t="shared" si="92"/>
        <v>5.8589041095890408</v>
      </c>
      <c r="G125" s="196">
        <f t="shared" ref="G125" si="93">G124/365</f>
        <v>6.1202591903461512</v>
      </c>
      <c r="H125" s="196">
        <f t="shared" ref="H125" si="94">H124/365</f>
        <v>6.6098799255738454</v>
      </c>
      <c r="I125" s="196">
        <f t="shared" ref="I125" si="95">I124/365</f>
        <v>7.0064727211082758</v>
      </c>
      <c r="J125" s="196">
        <f t="shared" ref="J125" si="96">J124/365</f>
        <v>7.4268610843747718</v>
      </c>
      <c r="K125" s="196">
        <f t="shared" ref="K125" si="97">K124/365</f>
        <v>7.7982041385935101</v>
      </c>
    </row>
    <row r="126" spans="2:11" x14ac:dyDescent="0.2">
      <c r="B126" s="88" t="s">
        <v>582</v>
      </c>
      <c r="C126" s="201">
        <f>C123/C125</f>
        <v>49.765591397849462</v>
      </c>
      <c r="D126" s="201">
        <f t="shared" ref="D126:F126" si="98">D123/D125</f>
        <v>59.211497262556534</v>
      </c>
      <c r="E126" s="201">
        <f t="shared" si="98"/>
        <v>107.90940766550524</v>
      </c>
      <c r="F126" s="201">
        <f t="shared" si="98"/>
        <v>162.55599719429506</v>
      </c>
      <c r="G126" s="201">
        <f>F126</f>
        <v>162.55599719429506</v>
      </c>
      <c r="H126" s="201">
        <f t="shared" ref="H126:K126" si="99">G126</f>
        <v>162.55599719429506</v>
      </c>
      <c r="I126" s="201">
        <f t="shared" si="99"/>
        <v>162.55599719429506</v>
      </c>
      <c r="J126" s="201">
        <f t="shared" si="99"/>
        <v>162.55599719429506</v>
      </c>
      <c r="K126" s="201">
        <f t="shared" si="99"/>
        <v>162.55599719429506</v>
      </c>
    </row>
    <row r="127" spans="2:11" x14ac:dyDescent="0.2">
      <c r="B127" s="104" t="s">
        <v>579</v>
      </c>
      <c r="C127" s="195"/>
      <c r="D127" s="195"/>
      <c r="E127" s="195"/>
      <c r="F127" s="195"/>
      <c r="G127" s="195">
        <f>G123</f>
        <v>994.88483577426746</v>
      </c>
      <c r="H127" s="195">
        <f t="shared" ref="H127:K127" si="100">H123</f>
        <v>1074.4756226362092</v>
      </c>
      <c r="I127" s="195">
        <f t="shared" si="100"/>
        <v>1138.9441599943818</v>
      </c>
      <c r="J127" s="195">
        <f t="shared" si="100"/>
        <v>1207.2808095940445</v>
      </c>
      <c r="K127" s="195">
        <f t="shared" si="100"/>
        <v>1267.6448500737467</v>
      </c>
    </row>
    <row r="130" spans="2:11" x14ac:dyDescent="0.2">
      <c r="B130" s="139" t="s">
        <v>583</v>
      </c>
      <c r="C130" s="85" t="s">
        <v>186</v>
      </c>
      <c r="D130" s="85" t="s">
        <v>187</v>
      </c>
      <c r="E130" s="85" t="s">
        <v>188</v>
      </c>
      <c r="F130" s="85" t="s">
        <v>189</v>
      </c>
      <c r="G130" s="86" t="s">
        <v>28</v>
      </c>
      <c r="H130" s="86" t="s">
        <v>190</v>
      </c>
      <c r="I130" s="86" t="s">
        <v>191</v>
      </c>
      <c r="J130" s="86" t="s">
        <v>192</v>
      </c>
      <c r="K130" s="86" t="s">
        <v>193</v>
      </c>
    </row>
    <row r="131" spans="2:11" x14ac:dyDescent="0.2">
      <c r="B131" s="15" t="s">
        <v>584</v>
      </c>
      <c r="C131" s="196">
        <f>C43</f>
        <v>292</v>
      </c>
      <c r="D131" s="196">
        <f t="shared" ref="D131:F131" si="101">D43</f>
        <v>434.4</v>
      </c>
      <c r="E131" s="196">
        <f t="shared" si="101"/>
        <v>664.8</v>
      </c>
      <c r="F131" s="196">
        <f t="shared" si="101"/>
        <v>577.70000000000005</v>
      </c>
      <c r="G131" s="197">
        <f>G132*G133</f>
        <v>656.89243239266591</v>
      </c>
      <c r="H131" s="197">
        <f t="shared" ref="H131:K131" si="102">H132*H133</f>
        <v>709.44382698407924</v>
      </c>
      <c r="I131" s="197">
        <f t="shared" si="102"/>
        <v>752.010456603124</v>
      </c>
      <c r="J131" s="197">
        <f t="shared" si="102"/>
        <v>797.1310839993115</v>
      </c>
      <c r="K131" s="197">
        <f t="shared" si="102"/>
        <v>836.98763819927717</v>
      </c>
    </row>
    <row r="132" spans="2:11" x14ac:dyDescent="0.2">
      <c r="B132" s="88" t="s">
        <v>585</v>
      </c>
      <c r="C132" s="198">
        <f>C8</f>
        <v>4445.1000000000004</v>
      </c>
      <c r="D132" s="198">
        <f t="shared" ref="D132:K132" si="103">D8</f>
        <v>4735.3999999999996</v>
      </c>
      <c r="E132" s="198">
        <f t="shared" si="103"/>
        <v>5301.2</v>
      </c>
      <c r="F132" s="198">
        <f t="shared" si="103"/>
        <v>5564.5</v>
      </c>
      <c r="G132" s="198">
        <f t="shared" si="103"/>
        <v>5731.4350000000004</v>
      </c>
      <c r="H132" s="198">
        <f t="shared" si="103"/>
        <v>6189.9498000000012</v>
      </c>
      <c r="I132" s="198">
        <f t="shared" si="103"/>
        <v>6561.3467880000017</v>
      </c>
      <c r="J132" s="198">
        <f t="shared" si="103"/>
        <v>6955.0275952800021</v>
      </c>
      <c r="K132" s="198">
        <f t="shared" si="103"/>
        <v>7302.7789750440024</v>
      </c>
    </row>
    <row r="133" spans="2:11" x14ac:dyDescent="0.2">
      <c r="B133" s="15" t="s">
        <v>586</v>
      </c>
      <c r="C133" s="202">
        <f>C131/C132</f>
        <v>6.5690310679174815E-2</v>
      </c>
      <c r="D133" s="202">
        <f t="shared" ref="D133:F133" si="104">D131/D132</f>
        <v>9.1734594754403015E-2</v>
      </c>
      <c r="E133" s="202">
        <f t="shared" si="104"/>
        <v>0.12540556855051685</v>
      </c>
      <c r="F133" s="202">
        <f t="shared" si="104"/>
        <v>0.10381885164884537</v>
      </c>
      <c r="G133" s="202">
        <f>AVERAGE($E$133:$F$133)</f>
        <v>0.11461221009968112</v>
      </c>
      <c r="H133" s="202">
        <f t="shared" ref="H133:K133" si="105">AVERAGE($E$133:$F$133)</f>
        <v>0.11461221009968112</v>
      </c>
      <c r="I133" s="202">
        <f t="shared" si="105"/>
        <v>0.11461221009968112</v>
      </c>
      <c r="J133" s="202">
        <f t="shared" si="105"/>
        <v>0.11461221009968112</v>
      </c>
      <c r="K133" s="202">
        <f t="shared" si="105"/>
        <v>0.11461221009968112</v>
      </c>
    </row>
    <row r="134" spans="2:11" x14ac:dyDescent="0.2">
      <c r="B134" s="104" t="s">
        <v>584</v>
      </c>
      <c r="C134" s="195"/>
      <c r="D134" s="195"/>
      <c r="E134" s="195"/>
      <c r="F134" s="195"/>
      <c r="G134" s="200">
        <f>G131</f>
        <v>656.89243239266591</v>
      </c>
      <c r="H134" s="200">
        <f t="shared" ref="H134:K134" si="106">H131</f>
        <v>709.44382698407924</v>
      </c>
      <c r="I134" s="200">
        <f t="shared" si="106"/>
        <v>752.010456603124</v>
      </c>
      <c r="J134" s="200">
        <f t="shared" si="106"/>
        <v>797.1310839993115</v>
      </c>
      <c r="K134" s="200">
        <f t="shared" si="106"/>
        <v>836.98763819927717</v>
      </c>
    </row>
    <row r="137" spans="2:11" x14ac:dyDescent="0.2">
      <c r="B137" s="139" t="s">
        <v>587</v>
      </c>
      <c r="C137" s="85" t="s">
        <v>186</v>
      </c>
      <c r="D137" s="85" t="s">
        <v>187</v>
      </c>
      <c r="E137" s="85" t="s">
        <v>188</v>
      </c>
      <c r="F137" s="85" t="s">
        <v>189</v>
      </c>
      <c r="G137" s="86" t="s">
        <v>28</v>
      </c>
      <c r="H137" s="86" t="s">
        <v>190</v>
      </c>
      <c r="I137" s="86" t="s">
        <v>191</v>
      </c>
      <c r="J137" s="86" t="s">
        <v>192</v>
      </c>
      <c r="K137" s="86" t="s">
        <v>193</v>
      </c>
    </row>
    <row r="138" spans="2:11" x14ac:dyDescent="0.2">
      <c r="B138" s="15" t="s">
        <v>588</v>
      </c>
      <c r="C138" s="196"/>
      <c r="D138" s="196">
        <f>C141</f>
        <v>946.9</v>
      </c>
      <c r="E138" s="196">
        <f t="shared" ref="E138:F138" si="107">D141</f>
        <v>864.3</v>
      </c>
      <c r="F138" s="196">
        <f t="shared" si="107"/>
        <v>808.4</v>
      </c>
      <c r="G138" s="197">
        <f>F141</f>
        <v>801.3</v>
      </c>
      <c r="H138" s="197">
        <f>G141</f>
        <v>708.22716883174417</v>
      </c>
      <c r="I138" s="197">
        <f t="shared" ref="I138:K138" si="108">H141</f>
        <v>647.2117753437841</v>
      </c>
      <c r="J138" s="197">
        <f t="shared" si="108"/>
        <v>610.86935108108526</v>
      </c>
      <c r="K138" s="197">
        <f t="shared" si="108"/>
        <v>594.89371775134964</v>
      </c>
    </row>
    <row r="139" spans="2:11" x14ac:dyDescent="0.2">
      <c r="B139" s="88" t="s">
        <v>589</v>
      </c>
      <c r="C139" s="198"/>
      <c r="D139" s="198">
        <f>-D82</f>
        <v>100</v>
      </c>
      <c r="E139" s="198">
        <f t="shared" ref="E139:F139" si="109">-E82</f>
        <v>105.1</v>
      </c>
      <c r="F139" s="198">
        <f t="shared" si="109"/>
        <v>159.4</v>
      </c>
      <c r="G139" s="198">
        <f>G143*G138</f>
        <v>97.439118361679959</v>
      </c>
      <c r="H139" s="198">
        <f>H143*H138</f>
        <v>93.203613171848971</v>
      </c>
      <c r="I139" s="198">
        <f t="shared" ref="I139:K139" si="110">I143*I138</f>
        <v>91.646026075696355</v>
      </c>
      <c r="J139" s="198">
        <f t="shared" si="110"/>
        <v>92.608585216711234</v>
      </c>
      <c r="K139" s="198">
        <f t="shared" si="110"/>
        <v>96.135595679470683</v>
      </c>
    </row>
    <row r="140" spans="2:11" x14ac:dyDescent="0.2">
      <c r="B140" s="15" t="s">
        <v>590</v>
      </c>
      <c r="C140" s="202"/>
      <c r="D140" s="204">
        <f>-D21</f>
        <v>-275.39999999999998</v>
      </c>
      <c r="E140" s="204">
        <f t="shared" ref="E140:F140" si="111">-E21</f>
        <v>-217.7</v>
      </c>
      <c r="F140" s="204">
        <f t="shared" si="111"/>
        <v>-192.2</v>
      </c>
      <c r="G140" s="204">
        <f>G144*G138</f>
        <v>-190.51194952993566</v>
      </c>
      <c r="H140" s="204">
        <f>H144*H138</f>
        <v>-154.219006659809</v>
      </c>
      <c r="I140" s="204">
        <f t="shared" ref="I140:K140" si="112">I144*I138</f>
        <v>-127.98845033839523</v>
      </c>
      <c r="J140" s="204">
        <f t="shared" si="112"/>
        <v>-108.58421854644685</v>
      </c>
      <c r="K140" s="204">
        <f t="shared" si="112"/>
        <v>-93.846618057142663</v>
      </c>
    </row>
    <row r="141" spans="2:11" x14ac:dyDescent="0.2">
      <c r="B141" s="88" t="s">
        <v>591</v>
      </c>
      <c r="C141" s="198">
        <f>C46</f>
        <v>946.9</v>
      </c>
      <c r="D141" s="198">
        <f t="shared" ref="D141:F141" si="113">D46</f>
        <v>864.3</v>
      </c>
      <c r="E141" s="198">
        <f t="shared" si="113"/>
        <v>808.4</v>
      </c>
      <c r="F141" s="198">
        <f t="shared" si="113"/>
        <v>801.3</v>
      </c>
      <c r="G141" s="199">
        <f>SUM(G138:G140)</f>
        <v>708.22716883174417</v>
      </c>
      <c r="H141" s="199">
        <f>SUM(H138:H140)</f>
        <v>647.2117753437841</v>
      </c>
      <c r="I141" s="199">
        <f t="shared" ref="I141:K141" si="114">SUM(I138:I140)</f>
        <v>610.86935108108526</v>
      </c>
      <c r="J141" s="199">
        <f t="shared" si="114"/>
        <v>594.89371775134964</v>
      </c>
      <c r="K141" s="199">
        <f t="shared" si="114"/>
        <v>597.18269537367769</v>
      </c>
    </row>
    <row r="142" spans="2:11" x14ac:dyDescent="0.2">
      <c r="B142" s="56"/>
      <c r="C142" s="205"/>
      <c r="D142" s="205"/>
      <c r="E142" s="205"/>
      <c r="F142" s="205"/>
      <c r="G142" s="206"/>
      <c r="H142" s="206"/>
      <c r="I142" s="206"/>
      <c r="J142" s="206"/>
      <c r="K142" s="206"/>
    </row>
    <row r="143" spans="2:11" x14ac:dyDescent="0.2">
      <c r="B143" s="88" t="s">
        <v>592</v>
      </c>
      <c r="C143" s="198"/>
      <c r="D143" s="191">
        <f>D139/D138</f>
        <v>0.10560777273207309</v>
      </c>
      <c r="E143" s="191">
        <f t="shared" ref="E143:F143" si="115">E139/E138</f>
        <v>0.12160129584634964</v>
      </c>
      <c r="F143" s="191">
        <f t="shared" si="115"/>
        <v>0.1971796140524493</v>
      </c>
      <c r="G143" s="191">
        <f>E143</f>
        <v>0.12160129584634964</v>
      </c>
      <c r="H143" s="191">
        <f>G143+1%</f>
        <v>0.13160129584634964</v>
      </c>
      <c r="I143" s="191">
        <f t="shared" ref="I143:K143" si="116">H143+1%</f>
        <v>0.14160129584634965</v>
      </c>
      <c r="J143" s="191">
        <f t="shared" si="116"/>
        <v>0.15160129584634965</v>
      </c>
      <c r="K143" s="191">
        <f t="shared" si="116"/>
        <v>0.16160129584634966</v>
      </c>
    </row>
    <row r="144" spans="2:11" x14ac:dyDescent="0.2">
      <c r="B144" s="56" t="s">
        <v>593</v>
      </c>
      <c r="C144" s="205"/>
      <c r="D144" s="207">
        <f>D140/D138</f>
        <v>-0.29084380610412924</v>
      </c>
      <c r="E144" s="207">
        <f t="shared" ref="E144:F144" si="117">E140/E138</f>
        <v>-0.25188013421265765</v>
      </c>
      <c r="F144" s="207">
        <f t="shared" si="117"/>
        <v>-0.23775358733300345</v>
      </c>
      <c r="G144" s="207">
        <f>F144</f>
        <v>-0.23775358733300345</v>
      </c>
      <c r="H144" s="207">
        <f>G144+2%</f>
        <v>-0.21775358733300346</v>
      </c>
      <c r="I144" s="207">
        <f t="shared" ref="I144:K144" si="118">H144+2%</f>
        <v>-0.19775358733300347</v>
      </c>
      <c r="J144" s="207">
        <f t="shared" si="118"/>
        <v>-0.17775358733300348</v>
      </c>
      <c r="K144" s="207">
        <f t="shared" si="118"/>
        <v>-0.15775358733300349</v>
      </c>
    </row>
    <row r="145" spans="2:11" x14ac:dyDescent="0.2">
      <c r="B145" s="104" t="s">
        <v>594</v>
      </c>
      <c r="C145" s="195"/>
      <c r="D145" s="195"/>
      <c r="E145" s="195"/>
      <c r="F145" s="195"/>
      <c r="G145" s="200">
        <f>G141</f>
        <v>708.22716883174417</v>
      </c>
      <c r="H145" s="200">
        <f t="shared" ref="H145:K145" si="119">H141</f>
        <v>647.2117753437841</v>
      </c>
      <c r="I145" s="200">
        <f t="shared" si="119"/>
        <v>610.86935108108526</v>
      </c>
      <c r="J145" s="200">
        <f t="shared" si="119"/>
        <v>594.89371775134964</v>
      </c>
      <c r="K145" s="200">
        <f t="shared" si="119"/>
        <v>597.18269537367769</v>
      </c>
    </row>
    <row r="148" spans="2:11" x14ac:dyDescent="0.2">
      <c r="B148" s="139" t="s">
        <v>595</v>
      </c>
      <c r="C148" s="85" t="s">
        <v>186</v>
      </c>
      <c r="D148" s="85" t="s">
        <v>187</v>
      </c>
      <c r="E148" s="85" t="s">
        <v>188</v>
      </c>
      <c r="F148" s="85" t="s">
        <v>189</v>
      </c>
      <c r="G148" s="86" t="s">
        <v>28</v>
      </c>
      <c r="H148" s="86" t="s">
        <v>190</v>
      </c>
      <c r="I148" s="86" t="s">
        <v>191</v>
      </c>
      <c r="J148" s="86" t="s">
        <v>192</v>
      </c>
      <c r="K148" s="86" t="s">
        <v>193</v>
      </c>
    </row>
    <row r="149" spans="2:11" x14ac:dyDescent="0.2">
      <c r="B149" s="15" t="s">
        <v>596</v>
      </c>
      <c r="C149" s="196">
        <f>C54</f>
        <v>277</v>
      </c>
      <c r="D149" s="196">
        <f t="shared" ref="D149:F149" si="120">D54</f>
        <v>273.7</v>
      </c>
      <c r="E149" s="196">
        <f t="shared" si="120"/>
        <v>347.4</v>
      </c>
      <c r="F149" s="196">
        <f t="shared" si="120"/>
        <v>295.10000000000002</v>
      </c>
      <c r="G149" s="197">
        <f>G151*G152</f>
        <v>271.80237621604527</v>
      </c>
      <c r="H149" s="197">
        <f t="shared" ref="H149:K149" si="121">H151*H152</f>
        <v>297.5712412730756</v>
      </c>
      <c r="I149" s="197">
        <f t="shared" si="121"/>
        <v>313.04970741414161</v>
      </c>
      <c r="J149" s="197">
        <f t="shared" si="121"/>
        <v>331.83268985898997</v>
      </c>
      <c r="K149" s="197">
        <f t="shared" si="121"/>
        <v>347.06441166080322</v>
      </c>
    </row>
    <row r="150" spans="2:11" x14ac:dyDescent="0.2">
      <c r="B150" s="88" t="s">
        <v>597</v>
      </c>
      <c r="C150" s="198"/>
      <c r="D150" s="198">
        <f>D123-C123+D124</f>
        <v>1731.1000000000001</v>
      </c>
      <c r="E150" s="198">
        <f t="shared" ref="E150:F150" si="122">E123-D123+E124</f>
        <v>2441.8999999999996</v>
      </c>
      <c r="F150" s="198">
        <f t="shared" si="122"/>
        <v>2471.5</v>
      </c>
      <c r="G150" s="198">
        <f t="shared" ref="G150:K150" si="123">G123-F123+G124</f>
        <v>2276.3794402506128</v>
      </c>
      <c r="H150" s="198">
        <f t="shared" si="123"/>
        <v>2492.1969596963954</v>
      </c>
      <c r="I150" s="198">
        <f t="shared" si="123"/>
        <v>2621.8310805626934</v>
      </c>
      <c r="J150" s="198">
        <f t="shared" si="123"/>
        <v>2779.1409453964543</v>
      </c>
      <c r="K150" s="198">
        <f t="shared" si="123"/>
        <v>2906.7085510663337</v>
      </c>
    </row>
    <row r="151" spans="2:11" x14ac:dyDescent="0.2">
      <c r="B151" s="15" t="s">
        <v>598</v>
      </c>
      <c r="C151" s="202"/>
      <c r="D151" s="203">
        <f>D150/365</f>
        <v>4.7427397260273976</v>
      </c>
      <c r="E151" s="203">
        <f t="shared" ref="E151:F151" si="124">E150/365</f>
        <v>6.6901369863013684</v>
      </c>
      <c r="F151" s="203">
        <f t="shared" si="124"/>
        <v>6.7712328767123289</v>
      </c>
      <c r="G151" s="203">
        <f t="shared" ref="G151" si="125">G150/365</f>
        <v>6.2366560006866107</v>
      </c>
      <c r="H151" s="203">
        <f t="shared" ref="H151" si="126">H150/365</f>
        <v>6.8279368758805354</v>
      </c>
      <c r="I151" s="203">
        <f t="shared" ref="I151" si="127">I150/365</f>
        <v>7.1830988508566946</v>
      </c>
      <c r="J151" s="203">
        <f t="shared" ref="J151" si="128">J150/365</f>
        <v>7.6140847819080939</v>
      </c>
      <c r="K151" s="203">
        <f t="shared" ref="K151" si="129">K150/365</f>
        <v>7.963585071414613</v>
      </c>
    </row>
    <row r="152" spans="2:11" x14ac:dyDescent="0.2">
      <c r="B152" s="88" t="s">
        <v>599</v>
      </c>
      <c r="C152" s="198"/>
      <c r="D152" s="201">
        <f>D149/D151</f>
        <v>57.709260008087334</v>
      </c>
      <c r="E152" s="201">
        <f t="shared" ref="E152:F152" si="130">E149/E151</f>
        <v>51.927187845530128</v>
      </c>
      <c r="F152" s="201">
        <f t="shared" si="130"/>
        <v>43.581428282419587</v>
      </c>
      <c r="G152" s="201">
        <f>F152</f>
        <v>43.581428282419587</v>
      </c>
      <c r="H152" s="201">
        <f t="shared" ref="H152:K152" si="131">G152</f>
        <v>43.581428282419587</v>
      </c>
      <c r="I152" s="201">
        <f t="shared" si="131"/>
        <v>43.581428282419587</v>
      </c>
      <c r="J152" s="201">
        <f t="shared" si="131"/>
        <v>43.581428282419587</v>
      </c>
      <c r="K152" s="201">
        <f t="shared" si="131"/>
        <v>43.581428282419587</v>
      </c>
    </row>
    <row r="153" spans="2:11" x14ac:dyDescent="0.2">
      <c r="B153" s="104" t="s">
        <v>238</v>
      </c>
      <c r="C153" s="195"/>
      <c r="D153" s="195"/>
      <c r="E153" s="195"/>
      <c r="F153" s="195"/>
      <c r="G153" s="200">
        <f>G149</f>
        <v>271.80237621604527</v>
      </c>
      <c r="H153" s="200">
        <f t="shared" ref="H153:K153" si="132">H149</f>
        <v>297.5712412730756</v>
      </c>
      <c r="I153" s="200">
        <f t="shared" si="132"/>
        <v>313.04970741414161</v>
      </c>
      <c r="J153" s="200">
        <f t="shared" si="132"/>
        <v>331.83268985898997</v>
      </c>
      <c r="K153" s="200">
        <f t="shared" si="132"/>
        <v>347.06441166080322</v>
      </c>
    </row>
    <row r="156" spans="2:11" x14ac:dyDescent="0.2">
      <c r="B156" s="139" t="s">
        <v>600</v>
      </c>
      <c r="C156" s="85" t="s">
        <v>186</v>
      </c>
      <c r="D156" s="85" t="s">
        <v>187</v>
      </c>
      <c r="E156" s="85" t="s">
        <v>188</v>
      </c>
      <c r="F156" s="85" t="s">
        <v>189</v>
      </c>
      <c r="G156" s="86" t="s">
        <v>28</v>
      </c>
      <c r="H156" s="86" t="s">
        <v>190</v>
      </c>
      <c r="I156" s="86" t="s">
        <v>191</v>
      </c>
      <c r="J156" s="86" t="s">
        <v>192</v>
      </c>
      <c r="K156" s="86" t="s">
        <v>193</v>
      </c>
    </row>
    <row r="157" spans="2:11" x14ac:dyDescent="0.2">
      <c r="B157" s="15" t="s">
        <v>601</v>
      </c>
      <c r="C157" s="196"/>
      <c r="D157" s="196">
        <f>C160</f>
        <v>4543.4999999999991</v>
      </c>
      <c r="E157" s="196">
        <f t="shared" ref="E157:F157" si="133">D160</f>
        <v>4316.8999999999996</v>
      </c>
      <c r="F157" s="196">
        <f t="shared" si="133"/>
        <v>4475.1000000000004</v>
      </c>
      <c r="G157" s="197">
        <f>F160</f>
        <v>4492.7</v>
      </c>
      <c r="H157" s="197">
        <f ca="1">G160</f>
        <v>4780.1380946411609</v>
      </c>
      <c r="I157" s="197">
        <f t="shared" ref="I157:K157" ca="1" si="134">H160</f>
        <v>5100.0051691756144</v>
      </c>
      <c r="J157" s="197">
        <f t="shared" ca="1" si="134"/>
        <v>5452.2008774823116</v>
      </c>
      <c r="K157" s="197">
        <f t="shared" ca="1" si="134"/>
        <v>5817.9895667491855</v>
      </c>
    </row>
    <row r="158" spans="2:11" x14ac:dyDescent="0.2">
      <c r="B158" s="88" t="s">
        <v>602</v>
      </c>
      <c r="C158" s="198"/>
      <c r="D158" s="198">
        <f>D31</f>
        <v>252.70000000000002</v>
      </c>
      <c r="E158" s="198">
        <f t="shared" ref="E158:F158" si="135">E31</f>
        <v>475.79999999999995</v>
      </c>
      <c r="F158" s="198">
        <f t="shared" si="135"/>
        <v>319.8</v>
      </c>
      <c r="G158" s="198">
        <f ca="1">G31</f>
        <v>665.83761163711972</v>
      </c>
      <c r="H158" s="198">
        <f ca="1">H31</f>
        <v>740.957906832974</v>
      </c>
      <c r="I158" s="198">
        <f t="shared" ref="I158:K158" ca="1" si="136">I31</f>
        <v>815.84575468513322</v>
      </c>
      <c r="J158" s="198">
        <f t="shared" ca="1" si="136"/>
        <v>847.33329285870889</v>
      </c>
      <c r="K158" s="198">
        <f t="shared" ca="1" si="136"/>
        <v>894.12419746797264</v>
      </c>
    </row>
    <row r="159" spans="2:11" x14ac:dyDescent="0.2">
      <c r="B159" s="15" t="s">
        <v>603</v>
      </c>
      <c r="C159" s="202"/>
      <c r="D159" s="204">
        <f>D90</f>
        <v>-259.10000000000002</v>
      </c>
      <c r="E159" s="204">
        <f t="shared" ref="E159:F159" si="137">E90</f>
        <v>-270.39999999999998</v>
      </c>
      <c r="F159" s="204">
        <f t="shared" si="137"/>
        <v>-280.8</v>
      </c>
      <c r="G159" s="204">
        <f ca="1">G162*G158</f>
        <v>-378.39951699595872</v>
      </c>
      <c r="H159" s="204">
        <f ca="1">H162*H158</f>
        <v>-421.0908322985207</v>
      </c>
      <c r="I159" s="204">
        <f t="shared" ref="I159:K159" ca="1" si="138">I162*I158</f>
        <v>-463.65004637843634</v>
      </c>
      <c r="J159" s="204">
        <f t="shared" ca="1" si="138"/>
        <v>-481.54460359183452</v>
      </c>
      <c r="K159" s="204">
        <f t="shared" ca="1" si="138"/>
        <v>-508.13615593808277</v>
      </c>
    </row>
    <row r="160" spans="2:11" x14ac:dyDescent="0.2">
      <c r="B160" s="88" t="s">
        <v>591</v>
      </c>
      <c r="C160" s="198">
        <f>C70</f>
        <v>4543.4999999999991</v>
      </c>
      <c r="D160" s="198">
        <f t="shared" ref="D160:F160" si="139">D70</f>
        <v>4316.8999999999996</v>
      </c>
      <c r="E160" s="198">
        <f t="shared" si="139"/>
        <v>4475.1000000000004</v>
      </c>
      <c r="F160" s="198">
        <f t="shared" si="139"/>
        <v>4492.7</v>
      </c>
      <c r="G160" s="199">
        <f ca="1">SUM(G157:G159)</f>
        <v>4780.1380946411609</v>
      </c>
      <c r="H160" s="199">
        <f ca="1">SUM(H157:H159)</f>
        <v>5100.0051691756144</v>
      </c>
      <c r="I160" s="199">
        <f t="shared" ref="I160:K160" ca="1" si="140">SUM(I157:I159)</f>
        <v>5452.2008774823116</v>
      </c>
      <c r="J160" s="199">
        <f t="shared" ca="1" si="140"/>
        <v>5817.9895667491855</v>
      </c>
      <c r="K160" s="199">
        <f t="shared" ca="1" si="140"/>
        <v>6203.977608279075</v>
      </c>
    </row>
    <row r="161" spans="2:11" x14ac:dyDescent="0.2">
      <c r="B161" s="56"/>
      <c r="C161" s="205"/>
      <c r="D161" s="205"/>
      <c r="E161" s="205"/>
      <c r="F161" s="205"/>
      <c r="G161" s="206"/>
      <c r="H161" s="206"/>
      <c r="I161" s="206"/>
      <c r="J161" s="206"/>
      <c r="K161" s="206"/>
    </row>
    <row r="162" spans="2:11" x14ac:dyDescent="0.2">
      <c r="B162" s="88" t="s">
        <v>605</v>
      </c>
      <c r="C162" s="198"/>
      <c r="D162" s="191">
        <f>D159/D158</f>
        <v>-1.0253264740799366</v>
      </c>
      <c r="E162" s="191">
        <f t="shared" ref="E162:F162" si="141">E159/E158</f>
        <v>-0.56830601092896171</v>
      </c>
      <c r="F162" s="191">
        <f t="shared" si="141"/>
        <v>-0.87804878048780488</v>
      </c>
      <c r="G162" s="191">
        <f>E162</f>
        <v>-0.56830601092896171</v>
      </c>
      <c r="H162" s="191">
        <f>G162</f>
        <v>-0.56830601092896171</v>
      </c>
      <c r="I162" s="191">
        <f t="shared" ref="I162:K162" si="142">H162</f>
        <v>-0.56830601092896171</v>
      </c>
      <c r="J162" s="191">
        <f t="shared" si="142"/>
        <v>-0.56830601092896171</v>
      </c>
      <c r="K162" s="191">
        <f t="shared" si="142"/>
        <v>-0.56830601092896171</v>
      </c>
    </row>
    <row r="163" spans="2:11" x14ac:dyDescent="0.2">
      <c r="B163" s="104" t="s">
        <v>604</v>
      </c>
      <c r="C163" s="195"/>
      <c r="D163" s="195"/>
      <c r="E163" s="195"/>
      <c r="F163" s="195"/>
      <c r="G163" s="200">
        <f ca="1">G160</f>
        <v>4780.1380946411609</v>
      </c>
      <c r="H163" s="200">
        <f t="shared" ref="H163:K163" ca="1" si="143">H160</f>
        <v>5100.0051691756144</v>
      </c>
      <c r="I163" s="200">
        <f t="shared" ca="1" si="143"/>
        <v>5452.2008774823116</v>
      </c>
      <c r="J163" s="200">
        <f t="shared" ca="1" si="143"/>
        <v>5817.9895667491855</v>
      </c>
      <c r="K163" s="200">
        <f t="shared" ca="1" si="143"/>
        <v>6203.977608279075</v>
      </c>
    </row>
    <row r="166" spans="2:11" x14ac:dyDescent="0.2">
      <c r="B166" s="139" t="s">
        <v>606</v>
      </c>
      <c r="C166" s="85" t="s">
        <v>186</v>
      </c>
      <c r="D166" s="85" t="s">
        <v>187</v>
      </c>
      <c r="E166" s="85" t="s">
        <v>188</v>
      </c>
      <c r="F166" s="85" t="s">
        <v>189</v>
      </c>
      <c r="G166" s="86" t="s">
        <v>28</v>
      </c>
      <c r="H166" s="86" t="s">
        <v>190</v>
      </c>
      <c r="I166" s="86" t="s">
        <v>191</v>
      </c>
      <c r="J166" s="86" t="s">
        <v>192</v>
      </c>
      <c r="K166" s="86" t="s">
        <v>193</v>
      </c>
    </row>
    <row r="167" spans="2:11" x14ac:dyDescent="0.2">
      <c r="B167" s="15" t="s">
        <v>607</v>
      </c>
      <c r="C167" s="196"/>
      <c r="D167" s="196"/>
      <c r="E167" s="196"/>
      <c r="F167" s="196"/>
      <c r="G167" s="197">
        <f ca="1">G60+G55-G40</f>
        <v>320.58696614147152</v>
      </c>
      <c r="H167" s="197">
        <f t="shared" ref="H167:K167" ca="1" si="144">H60+H55-H40</f>
        <v>132.11165451538295</v>
      </c>
      <c r="I167" s="197">
        <f t="shared" ca="1" si="144"/>
        <v>-95.182366817861066</v>
      </c>
      <c r="J167" s="197">
        <f t="shared" ca="1" si="144"/>
        <v>-308.40373983946915</v>
      </c>
      <c r="K167" s="197">
        <f t="shared" ca="1" si="144"/>
        <v>-541.86328559797607</v>
      </c>
    </row>
    <row r="168" spans="2:11" x14ac:dyDescent="0.2">
      <c r="B168" s="88" t="s">
        <v>608</v>
      </c>
      <c r="C168" s="198"/>
      <c r="D168" s="198"/>
      <c r="E168" s="198"/>
      <c r="F168" s="198"/>
      <c r="G168" s="198">
        <f ca="1">G167*G169</f>
        <v>19.235217968488289</v>
      </c>
      <c r="H168" s="198">
        <f t="shared" ref="H168:K168" ca="1" si="145">H167*H169</f>
        <v>7.9266992709229767</v>
      </c>
      <c r="I168" s="198">
        <f t="shared" ca="1" si="145"/>
        <v>-0.23795591704465266</v>
      </c>
      <c r="J168" s="198">
        <f t="shared" ca="1" si="145"/>
        <v>-0.77100934959867296</v>
      </c>
      <c r="K168" s="198">
        <f t="shared" ca="1" si="145"/>
        <v>-1.3546582139949401</v>
      </c>
    </row>
    <row r="169" spans="2:11" x14ac:dyDescent="0.2">
      <c r="B169" s="15" t="s">
        <v>609</v>
      </c>
      <c r="C169" s="202"/>
      <c r="D169" s="203"/>
      <c r="E169" s="203"/>
      <c r="F169" s="203"/>
      <c r="G169" s="202">
        <f ca="1">IF(G167&gt;0,6%,0.25%)</f>
        <v>0.06</v>
      </c>
      <c r="H169" s="202">
        <f t="shared" ref="H169:K169" ca="1" si="146">IF(H167&gt;0,6%,0.25%)</f>
        <v>0.06</v>
      </c>
      <c r="I169" s="202">
        <f t="shared" ca="1" si="146"/>
        <v>2.5000000000000001E-3</v>
      </c>
      <c r="J169" s="202">
        <f t="shared" ca="1" si="146"/>
        <v>2.5000000000000001E-3</v>
      </c>
      <c r="K169" s="202">
        <f t="shared" ca="1" si="146"/>
        <v>2.5000000000000001E-3</v>
      </c>
    </row>
    <row r="170" spans="2:11" x14ac:dyDescent="0.2">
      <c r="B170" s="104" t="s">
        <v>608</v>
      </c>
      <c r="C170" s="195"/>
      <c r="D170" s="195"/>
      <c r="E170" s="195"/>
      <c r="F170" s="195"/>
      <c r="G170" s="200">
        <f ca="1">G168</f>
        <v>19.235217968488289</v>
      </c>
      <c r="H170" s="200">
        <f t="shared" ref="H170:K170" ca="1" si="147">H168</f>
        <v>7.9266992709229767</v>
      </c>
      <c r="I170" s="200">
        <f t="shared" ca="1" si="147"/>
        <v>-0.23795591704465266</v>
      </c>
      <c r="J170" s="200">
        <f t="shared" ca="1" si="147"/>
        <v>-0.77100934959867296</v>
      </c>
      <c r="K170" s="200">
        <f t="shared" ca="1" si="147"/>
        <v>-1.3546582139949401</v>
      </c>
    </row>
  </sheetData>
  <mergeCells count="16">
    <mergeCell ref="B39:K39"/>
    <mergeCell ref="A112:K112"/>
    <mergeCell ref="A2:K2"/>
    <mergeCell ref="C4:F4"/>
    <mergeCell ref="G4:K4"/>
    <mergeCell ref="A7:K7"/>
    <mergeCell ref="A38:K38"/>
    <mergeCell ref="B81:K81"/>
    <mergeCell ref="B87:K87"/>
    <mergeCell ref="A97:K97"/>
    <mergeCell ref="B45:K45"/>
    <mergeCell ref="B53:K53"/>
    <mergeCell ref="B59:K59"/>
    <mergeCell ref="B65:K65"/>
    <mergeCell ref="A74:K74"/>
    <mergeCell ref="B75:K75"/>
  </mergeCells>
  <pageMargins left="0.7" right="0.7" top="0.75" bottom="0.75" header="0.3" footer="0.3"/>
  <ignoredErrors>
    <ignoredError sqref="G15:K15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DF63B-B6CF-9642-A2D4-FF8E8BFA68DC}">
  <dimension ref="A1:N115"/>
  <sheetViews>
    <sheetView topLeftCell="C1" zoomScale="133" workbookViewId="0">
      <pane ySplit="3" topLeftCell="A100" activePane="bottomLeft" state="frozen"/>
      <selection pane="bottomLeft" activeCell="K128" sqref="K128"/>
    </sheetView>
  </sheetViews>
  <sheetFormatPr baseColWidth="10" defaultRowHeight="16" x14ac:dyDescent="0.2"/>
  <cols>
    <col min="1" max="1" width="10.83203125" style="1"/>
    <col min="2" max="2" width="28" style="1" customWidth="1"/>
    <col min="3" max="4" width="10.83203125" style="1"/>
    <col min="5" max="5" width="16.83203125" style="1" customWidth="1"/>
    <col min="6" max="6" width="15.1640625" style="1" customWidth="1"/>
    <col min="7" max="7" width="14.6640625" style="1" customWidth="1"/>
    <col min="8" max="16384" width="10.83203125" style="1"/>
  </cols>
  <sheetData>
    <row r="1" spans="1:12" x14ac:dyDescent="0.2">
      <c r="A1" s="82"/>
      <c r="B1" s="83" t="s">
        <v>77</v>
      </c>
      <c r="C1" s="82"/>
      <c r="D1" s="84" t="s">
        <v>78</v>
      </c>
      <c r="E1" s="82"/>
      <c r="F1" s="110" t="s">
        <v>303</v>
      </c>
      <c r="G1" s="82"/>
      <c r="H1" s="82"/>
      <c r="I1" s="82"/>
      <c r="J1" s="82"/>
      <c r="K1" s="82"/>
      <c r="L1" s="82"/>
    </row>
    <row r="2" spans="1:12" ht="19" x14ac:dyDescent="0.25">
      <c r="A2" s="255" t="s">
        <v>621</v>
      </c>
      <c r="B2" s="255"/>
      <c r="C2" s="255"/>
      <c r="D2" s="255"/>
      <c r="E2" s="255"/>
      <c r="F2" s="255"/>
      <c r="G2" s="255"/>
      <c r="H2" s="255"/>
      <c r="I2" s="255"/>
      <c r="J2" s="255"/>
      <c r="K2" s="255"/>
      <c r="L2" s="255"/>
    </row>
    <row r="4" spans="1:12" x14ac:dyDescent="0.2">
      <c r="A4" s="242" t="s">
        <v>304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</row>
    <row r="5" spans="1:12" x14ac:dyDescent="0.2">
      <c r="B5" s="11" t="s">
        <v>305</v>
      </c>
    </row>
    <row r="6" spans="1:12" x14ac:dyDescent="0.2">
      <c r="B6" s="111" t="s">
        <v>306</v>
      </c>
      <c r="C6" s="112" t="s">
        <v>129</v>
      </c>
      <c r="D6" s="82"/>
      <c r="E6" s="111" t="s">
        <v>306</v>
      </c>
      <c r="F6" s="112" t="s">
        <v>129</v>
      </c>
      <c r="G6" s="82"/>
    </row>
    <row r="7" spans="1:12" x14ac:dyDescent="0.2">
      <c r="B7" s="88" t="s">
        <v>307</v>
      </c>
      <c r="C7" s="113">
        <v>5</v>
      </c>
      <c r="D7" s="114"/>
      <c r="E7" s="88" t="s">
        <v>308</v>
      </c>
      <c r="F7" s="115">
        <v>4.3999999999999997E-2</v>
      </c>
      <c r="G7" s="114"/>
    </row>
    <row r="8" spans="1:12" x14ac:dyDescent="0.2">
      <c r="B8" s="15" t="s">
        <v>309</v>
      </c>
      <c r="C8" s="61">
        <f>F12</f>
        <v>9.204749999999999E-2</v>
      </c>
      <c r="D8" s="4"/>
      <c r="E8" s="15" t="s">
        <v>310</v>
      </c>
      <c r="F8" s="61">
        <v>5.5E-2</v>
      </c>
      <c r="G8" s="4"/>
    </row>
    <row r="9" spans="1:12" x14ac:dyDescent="0.2">
      <c r="B9" s="88" t="s">
        <v>311</v>
      </c>
      <c r="C9" s="115">
        <v>2.5000000000000001E-2</v>
      </c>
      <c r="D9" s="114"/>
      <c r="E9" s="88" t="s">
        <v>312</v>
      </c>
      <c r="F9" s="116">
        <v>1.1499999999999999</v>
      </c>
      <c r="G9" s="114"/>
    </row>
    <row r="10" spans="1:12" x14ac:dyDescent="0.2">
      <c r="B10" s="15" t="s">
        <v>313</v>
      </c>
      <c r="C10" s="61">
        <v>0.14000000000000001</v>
      </c>
      <c r="D10" s="4"/>
      <c r="E10" s="15" t="s">
        <v>314</v>
      </c>
      <c r="F10" s="61">
        <v>5.3999999999999999E-2</v>
      </c>
      <c r="G10" s="4"/>
    </row>
    <row r="11" spans="1:12" x14ac:dyDescent="0.2">
      <c r="B11" s="88" t="s">
        <v>315</v>
      </c>
      <c r="C11" s="99">
        <v>952.5</v>
      </c>
      <c r="D11" s="114"/>
      <c r="E11" s="88" t="s">
        <v>316</v>
      </c>
      <c r="F11" s="115">
        <v>0.25</v>
      </c>
      <c r="G11" s="114"/>
    </row>
    <row r="12" spans="1:12" x14ac:dyDescent="0.2">
      <c r="B12" s="15" t="s">
        <v>317</v>
      </c>
      <c r="C12" s="62">
        <v>14</v>
      </c>
      <c r="D12" s="4"/>
      <c r="E12" s="15" t="s">
        <v>318</v>
      </c>
      <c r="F12" s="17">
        <f>((F7+F9*F8)*(1-F11))+(F10*(1-C10)*F11)</f>
        <v>9.204749999999999E-2</v>
      </c>
      <c r="G12" s="4"/>
    </row>
    <row r="14" spans="1:12" x14ac:dyDescent="0.2">
      <c r="B14" s="11" t="s">
        <v>319</v>
      </c>
    </row>
    <row r="15" spans="1:12" x14ac:dyDescent="0.2">
      <c r="B15" s="117" t="s">
        <v>320</v>
      </c>
      <c r="C15" s="213" t="s">
        <v>44</v>
      </c>
      <c r="D15" s="213" t="s">
        <v>45</v>
      </c>
      <c r="E15" s="213" t="s">
        <v>46</v>
      </c>
      <c r="F15" s="213" t="s">
        <v>102</v>
      </c>
      <c r="G15" s="213" t="s">
        <v>321</v>
      </c>
    </row>
    <row r="16" spans="1:12" x14ac:dyDescent="0.2">
      <c r="B16" s="15" t="s">
        <v>196</v>
      </c>
      <c r="C16" s="22">
        <f>'Target Standalone'!G8</f>
        <v>5731.4350000000004</v>
      </c>
      <c r="D16" s="22">
        <f>'Target Standalone'!H8</f>
        <v>6189.9498000000012</v>
      </c>
      <c r="E16" s="22">
        <f>'Target Standalone'!I8</f>
        <v>6561.3467880000017</v>
      </c>
      <c r="F16" s="22">
        <f>'Target Standalone'!J8</f>
        <v>6955.0275952800021</v>
      </c>
      <c r="G16" s="22">
        <f>'Target Standalone'!K8</f>
        <v>7302.7789750440024</v>
      </c>
    </row>
    <row r="17" spans="2:7" x14ac:dyDescent="0.2">
      <c r="B17" s="91" t="s">
        <v>197</v>
      </c>
      <c r="C17" s="214" t="s">
        <v>16</v>
      </c>
      <c r="D17" s="90">
        <f>IF(C16=0,0,D16/C16-1)</f>
        <v>8.0000000000000071E-2</v>
      </c>
      <c r="E17" s="90">
        <f>IF(D16=0,0,E16/D16-1)</f>
        <v>6.0000000000000053E-2</v>
      </c>
      <c r="F17" s="90">
        <f>IF(E16=0,0,F16/E16-1)</f>
        <v>6.0000000000000053E-2</v>
      </c>
      <c r="G17" s="90">
        <f>IF(F16=0,0,G16/F16-1)</f>
        <v>5.0000000000000044E-2</v>
      </c>
    </row>
    <row r="18" spans="2:7" x14ac:dyDescent="0.2">
      <c r="B18" s="15" t="s">
        <v>208</v>
      </c>
      <c r="C18" s="22">
        <f>'Target Standalone'!G22</f>
        <v>941.9804584970318</v>
      </c>
      <c r="D18" s="22">
        <f>'Target Standalone'!H22</f>
        <v>976.35830594545348</v>
      </c>
      <c r="E18" s="22">
        <f>'Target Standalone'!I22</f>
        <v>1023.6887320233251</v>
      </c>
      <c r="F18" s="22">
        <f>'Target Standalone'!J22</f>
        <v>1038.1140197274592</v>
      </c>
      <c r="G18" s="22">
        <f>'Target Standalone'!K22</f>
        <v>1073.8560152412792</v>
      </c>
    </row>
    <row r="19" spans="2:7" x14ac:dyDescent="0.2">
      <c r="B19" s="91" t="s">
        <v>209</v>
      </c>
      <c r="C19" s="90">
        <f>IF(C16=0,0,C18/C16)</f>
        <v>0.16435333533347787</v>
      </c>
      <c r="D19" s="90">
        <f>IF(D16=0,0,D18/D16)</f>
        <v>0.15773283103934918</v>
      </c>
      <c r="E19" s="90">
        <f>IF(E16=0,0,E18/E16)</f>
        <v>0.15601808060130914</v>
      </c>
      <c r="F19" s="90">
        <f>IF(F16=0,0,F18/F16)</f>
        <v>0.14926094907689089</v>
      </c>
      <c r="G19" s="90">
        <f>IF(G16=0,0,G18/G16)</f>
        <v>0.147047585434394</v>
      </c>
    </row>
    <row r="20" spans="2:7" x14ac:dyDescent="0.2">
      <c r="B20" s="15" t="s">
        <v>322</v>
      </c>
      <c r="C20" s="22">
        <f>'Target Standalone'!G21</f>
        <v>190.51194952993566</v>
      </c>
      <c r="D20" s="22">
        <f>'Target Standalone'!H21</f>
        <v>154.219006659809</v>
      </c>
      <c r="E20" s="22">
        <f>'Target Standalone'!I21</f>
        <v>127.98845033839523</v>
      </c>
      <c r="F20" s="22">
        <f>'Target Standalone'!J21</f>
        <v>108.58421854644685</v>
      </c>
      <c r="G20" s="22">
        <f>'Target Standalone'!K21</f>
        <v>93.846618057142663</v>
      </c>
    </row>
    <row r="21" spans="2:7" x14ac:dyDescent="0.2">
      <c r="B21" s="88" t="s">
        <v>323</v>
      </c>
      <c r="C21" s="107">
        <f>C18-C20</f>
        <v>751.46850896709611</v>
      </c>
      <c r="D21" s="107">
        <f>D18-D20</f>
        <v>822.13929928564448</v>
      </c>
      <c r="E21" s="107">
        <f>E18-E20</f>
        <v>895.70028168492991</v>
      </c>
      <c r="F21" s="107">
        <f>F18-F20</f>
        <v>929.52980118101232</v>
      </c>
      <c r="G21" s="107">
        <f>G18-G20</f>
        <v>980.00939718413656</v>
      </c>
    </row>
    <row r="22" spans="2:7" x14ac:dyDescent="0.2">
      <c r="B22" s="15" t="s">
        <v>324</v>
      </c>
      <c r="C22" s="30">
        <f>C21*C10</f>
        <v>105.20559125539347</v>
      </c>
      <c r="D22" s="30">
        <f>D21*C10</f>
        <v>115.09950189999024</v>
      </c>
      <c r="E22" s="30">
        <f>E21*C10</f>
        <v>125.3980394358902</v>
      </c>
      <c r="F22" s="30">
        <f>F21*C10</f>
        <v>130.13417216534174</v>
      </c>
      <c r="G22" s="30">
        <f>G21*C10</f>
        <v>137.20131560577914</v>
      </c>
    </row>
    <row r="23" spans="2:7" x14ac:dyDescent="0.2">
      <c r="B23" s="88" t="s">
        <v>325</v>
      </c>
      <c r="C23" s="107">
        <f>C21-C22</f>
        <v>646.26291771170258</v>
      </c>
      <c r="D23" s="107">
        <f>D21-D22</f>
        <v>707.0397973856542</v>
      </c>
      <c r="E23" s="107">
        <f>E21-E22</f>
        <v>770.30224224903975</v>
      </c>
      <c r="F23" s="107">
        <f>F21-F22</f>
        <v>799.39562901567058</v>
      </c>
      <c r="G23" s="107">
        <f>G21-G22</f>
        <v>842.80808157835736</v>
      </c>
    </row>
    <row r="24" spans="2:7" x14ac:dyDescent="0.2">
      <c r="B24" s="15" t="s">
        <v>326</v>
      </c>
      <c r="C24" s="30">
        <f>C20</f>
        <v>190.51194952993566</v>
      </c>
      <c r="D24" s="30">
        <f>D20</f>
        <v>154.219006659809</v>
      </c>
      <c r="E24" s="30">
        <f>E20</f>
        <v>127.98845033839523</v>
      </c>
      <c r="F24" s="30">
        <f>F20</f>
        <v>108.58421854644685</v>
      </c>
      <c r="G24" s="30">
        <f>G20</f>
        <v>93.846618057142663</v>
      </c>
    </row>
    <row r="25" spans="2:7" x14ac:dyDescent="0.2">
      <c r="B25" s="88" t="s">
        <v>327</v>
      </c>
      <c r="C25" s="199">
        <f>'Target Standalone'!G82</f>
        <v>-97.439118361679959</v>
      </c>
      <c r="D25" s="199">
        <f>'Target Standalone'!H82</f>
        <v>-93.203613171848971</v>
      </c>
      <c r="E25" s="199">
        <f>'Target Standalone'!I82</f>
        <v>-91.646026075696355</v>
      </c>
      <c r="F25" s="199">
        <f>'Target Standalone'!J82</f>
        <v>-92.608585216711234</v>
      </c>
      <c r="G25" s="199">
        <f>'Target Standalone'!K82</f>
        <v>-96.135595679470683</v>
      </c>
    </row>
    <row r="26" spans="2:7" x14ac:dyDescent="0.2">
      <c r="B26" s="15" t="s">
        <v>328</v>
      </c>
      <c r="C26" s="22">
        <f>-('Target Standalone'!G26-'Target Standalone'!F26)</f>
        <v>0</v>
      </c>
      <c r="D26" s="22">
        <f>-('Target Standalone'!H26-'Target Standalone'!G26)</f>
        <v>0</v>
      </c>
      <c r="E26" s="22">
        <f>-('Target Standalone'!I26-'Target Standalone'!H26)</f>
        <v>0</v>
      </c>
      <c r="F26" s="22">
        <f>-('Target Standalone'!J26-'Target Standalone'!I26)</f>
        <v>0</v>
      </c>
      <c r="G26" s="22">
        <f>-('Target Standalone'!K26-'Target Standalone'!J26)</f>
        <v>0</v>
      </c>
    </row>
    <row r="27" spans="2:7" x14ac:dyDescent="0.2">
      <c r="B27" s="104" t="s">
        <v>329</v>
      </c>
      <c r="C27" s="97">
        <f>C23+C24+C25+C26</f>
        <v>739.33574887995837</v>
      </c>
      <c r="D27" s="97">
        <f>D23+D24+D25+D26</f>
        <v>768.05519087361427</v>
      </c>
      <c r="E27" s="97">
        <f>E23+E24+E25+E26</f>
        <v>806.64466651173859</v>
      </c>
      <c r="F27" s="97">
        <f>F23+F24+F25+F26</f>
        <v>815.37126234540619</v>
      </c>
      <c r="G27" s="97">
        <f>G23+G24+G25+G26</f>
        <v>840.51910395602931</v>
      </c>
    </row>
    <row r="28" spans="2:7" x14ac:dyDescent="0.2">
      <c r="B28" s="15" t="s">
        <v>330</v>
      </c>
      <c r="C28" s="63">
        <f>COLUMN()-2</f>
        <v>1</v>
      </c>
      <c r="D28" s="63">
        <f>COLUMN()-2</f>
        <v>2</v>
      </c>
      <c r="E28" s="63">
        <f>COLUMN()-2</f>
        <v>3</v>
      </c>
      <c r="F28" s="63">
        <f>COLUMN()-2</f>
        <v>4</v>
      </c>
      <c r="G28" s="63">
        <f>COLUMN()-2</f>
        <v>5</v>
      </c>
    </row>
    <row r="29" spans="2:7" x14ac:dyDescent="0.2">
      <c r="B29" s="88" t="s">
        <v>331</v>
      </c>
      <c r="C29" s="118">
        <f>1/(1+$C$8)^C28</f>
        <v>0.91571108399588841</v>
      </c>
      <c r="D29" s="118">
        <f>1/(1+$C$8)^D28</f>
        <v>0.83852678935292502</v>
      </c>
      <c r="E29" s="118">
        <f>1/(1+$C$8)^E28</f>
        <v>0.76784827523795884</v>
      </c>
      <c r="F29" s="118">
        <f>1/(1+$C$8)^F28</f>
        <v>0.70312717646252454</v>
      </c>
      <c r="G29" s="118">
        <f>1/(1+$C$8)^G28</f>
        <v>0.64386134894546665</v>
      </c>
    </row>
    <row r="30" spans="2:7" x14ac:dyDescent="0.2">
      <c r="B30" s="104" t="s">
        <v>332</v>
      </c>
      <c r="C30" s="97">
        <f>C27*C29</f>
        <v>677.01794004377859</v>
      </c>
      <c r="D30" s="97">
        <f>D27*D29</f>
        <v>644.0348532490998</v>
      </c>
      <c r="E30" s="97">
        <f>E27*E29</f>
        <v>619.38071591093694</v>
      </c>
      <c r="F30" s="97">
        <f>F27*F29</f>
        <v>573.30969346160987</v>
      </c>
      <c r="G30" s="97">
        <f>G27*G29</f>
        <v>541.1777640875639</v>
      </c>
    </row>
    <row r="32" spans="2:7" x14ac:dyDescent="0.2">
      <c r="B32" s="11" t="s">
        <v>333</v>
      </c>
    </row>
    <row r="33" spans="2:4" x14ac:dyDescent="0.2">
      <c r="B33" s="86" t="s">
        <v>334</v>
      </c>
      <c r="C33" s="86" t="s">
        <v>335</v>
      </c>
      <c r="D33" s="86"/>
    </row>
    <row r="34" spans="2:4" x14ac:dyDescent="0.2">
      <c r="B34" s="15" t="s">
        <v>336</v>
      </c>
      <c r="C34" s="30">
        <f>IFERROR(C11*C12,"-")</f>
        <v>13335</v>
      </c>
      <c r="D34" s="26"/>
    </row>
    <row r="35" spans="2:4" x14ac:dyDescent="0.2">
      <c r="B35" s="88" t="s">
        <v>337</v>
      </c>
      <c r="C35" s="107">
        <f>IFERROR((G27*(1+C9))/(C8-C9),"-")</f>
        <v>12849.578008947838</v>
      </c>
      <c r="D35" s="119"/>
    </row>
    <row r="36" spans="2:4" x14ac:dyDescent="0.2">
      <c r="B36" s="15" t="s">
        <v>338</v>
      </c>
      <c r="C36" s="30">
        <f>IFERROR(C34/(1+C8)^C7,"-")</f>
        <v>8585.8910881877982</v>
      </c>
      <c r="D36" s="26"/>
    </row>
    <row r="37" spans="2:4" x14ac:dyDescent="0.2">
      <c r="B37" s="88" t="s">
        <v>339</v>
      </c>
      <c r="C37" s="107">
        <f>IFERROR(C35/(1+C8)^C7,"-")</f>
        <v>8273.3466302211582</v>
      </c>
      <c r="D37" s="119"/>
    </row>
    <row r="38" spans="2:4" x14ac:dyDescent="0.2">
      <c r="B38" s="15" t="s">
        <v>340</v>
      </c>
      <c r="C38" s="30">
        <f>IFERROR(SUM(C30:G30),"-")</f>
        <v>3054.920966752989</v>
      </c>
      <c r="D38" s="26"/>
    </row>
    <row r="39" spans="2:4" x14ac:dyDescent="0.2">
      <c r="B39" s="64" t="s">
        <v>341</v>
      </c>
      <c r="C39" s="65">
        <f>IFERROR(C36+C38,"-")</f>
        <v>11640.812054940787</v>
      </c>
      <c r="D39" s="66"/>
    </row>
    <row r="40" spans="2:4" x14ac:dyDescent="0.2">
      <c r="B40" s="64" t="s">
        <v>342</v>
      </c>
      <c r="C40" s="65">
        <f>IFERROR(C37+C38,"-")</f>
        <v>11328.267596974147</v>
      </c>
      <c r="D40" s="66"/>
    </row>
    <row r="42" spans="2:4" x14ac:dyDescent="0.2">
      <c r="B42" s="11" t="s">
        <v>343</v>
      </c>
    </row>
    <row r="43" spans="2:4" x14ac:dyDescent="0.2">
      <c r="B43" s="86" t="s">
        <v>1</v>
      </c>
      <c r="C43" s="86" t="s">
        <v>344</v>
      </c>
      <c r="D43" s="86" t="s">
        <v>345</v>
      </c>
    </row>
    <row r="44" spans="2:4" x14ac:dyDescent="0.2">
      <c r="B44" s="15" t="s">
        <v>346</v>
      </c>
      <c r="C44" s="30">
        <f>IFERROR(C39,"-")</f>
        <v>11640.812054940787</v>
      </c>
      <c r="D44" s="30">
        <f>IFERROR(C40,"-")</f>
        <v>11328.267596974147</v>
      </c>
    </row>
    <row r="45" spans="2:4" x14ac:dyDescent="0.2">
      <c r="B45" s="88" t="s">
        <v>347</v>
      </c>
      <c r="C45" s="99">
        <f>'Transaction Assumptions'!C25</f>
        <v>1746.1000000000001</v>
      </c>
      <c r="D45" s="99">
        <f>'Transaction Assumptions'!C25</f>
        <v>1746.1000000000001</v>
      </c>
    </row>
    <row r="46" spans="2:4" x14ac:dyDescent="0.2">
      <c r="B46" s="15" t="s">
        <v>348</v>
      </c>
      <c r="C46" s="22">
        <f>'Transaction Assumptions'!C26</f>
        <v>1221.3</v>
      </c>
      <c r="D46" s="22">
        <f>'Transaction Assumptions'!C26</f>
        <v>1221.3</v>
      </c>
    </row>
    <row r="47" spans="2:4" x14ac:dyDescent="0.2">
      <c r="B47" s="88" t="s">
        <v>349</v>
      </c>
      <c r="C47" s="99">
        <v>0</v>
      </c>
      <c r="D47" s="99">
        <v>0</v>
      </c>
    </row>
    <row r="48" spans="2:4" x14ac:dyDescent="0.2">
      <c r="B48" s="64" t="s">
        <v>350</v>
      </c>
      <c r="C48" s="65">
        <f>IFERROR(C44-C45+C46-C47,"-")</f>
        <v>11116.012054940786</v>
      </c>
      <c r="D48" s="65">
        <f>IFERROR(D44-D45+D46-D47,"-")</f>
        <v>10803.467596974146</v>
      </c>
    </row>
    <row r="49" spans="1:14" x14ac:dyDescent="0.2">
      <c r="B49" s="88" t="s">
        <v>351</v>
      </c>
      <c r="C49" s="99">
        <f>'Transaction Assumptions'!C22</f>
        <v>325.89999999999998</v>
      </c>
      <c r="D49" s="99">
        <f>'Transaction Assumptions'!C22</f>
        <v>325.89999999999998</v>
      </c>
    </row>
    <row r="50" spans="1:14" x14ac:dyDescent="0.2">
      <c r="B50" s="64" t="s">
        <v>352</v>
      </c>
      <c r="C50" s="68">
        <f>IFERROR(IF(C49=0,"-",C48/C49),"-")</f>
        <v>34.108659266464521</v>
      </c>
      <c r="D50" s="68">
        <f>IFERROR(IF(D49=0,"-",D48/D49),"-")</f>
        <v>33.149639757515025</v>
      </c>
    </row>
    <row r="51" spans="1:14" x14ac:dyDescent="0.2">
      <c r="B51" s="88" t="s">
        <v>353</v>
      </c>
      <c r="C51" s="100">
        <f>'Transaction Assumptions'!D17</f>
        <v>30.3</v>
      </c>
      <c r="D51" s="100">
        <f>'Transaction Assumptions'!D17</f>
        <v>30.3</v>
      </c>
    </row>
    <row r="52" spans="1:14" x14ac:dyDescent="0.2">
      <c r="B52" s="15" t="s">
        <v>354</v>
      </c>
      <c r="C52" s="17">
        <f>IFERROR(IF(C51=0,"-",C50/C51-1),"-")</f>
        <v>0.12569832562589167</v>
      </c>
      <c r="D52" s="17">
        <f>IFERROR(IF(D51=0,"-",D50/D51-1),"-")</f>
        <v>9.4047516749670823E-2</v>
      </c>
    </row>
    <row r="54" spans="1:14" x14ac:dyDescent="0.2">
      <c r="B54" s="11" t="s">
        <v>355</v>
      </c>
    </row>
    <row r="55" spans="1:14" x14ac:dyDescent="0.2">
      <c r="B55" s="120" t="s">
        <v>356</v>
      </c>
      <c r="C55" s="82"/>
      <c r="D55" s="82"/>
      <c r="E55" s="82"/>
      <c r="F55" s="82"/>
      <c r="G55" s="82"/>
      <c r="I55" s="120" t="s">
        <v>357</v>
      </c>
      <c r="J55" s="82"/>
      <c r="K55" s="82"/>
      <c r="L55" s="82"/>
      <c r="M55" s="82"/>
      <c r="N55" s="82"/>
    </row>
    <row r="56" spans="1:14" x14ac:dyDescent="0.2">
      <c r="B56" s="122" t="s">
        <v>358</v>
      </c>
      <c r="C56" s="121">
        <v>0.08</v>
      </c>
      <c r="D56" s="121">
        <v>0.09</v>
      </c>
      <c r="E56" s="121">
        <v>0.1</v>
      </c>
      <c r="F56" s="121">
        <v>0.11</v>
      </c>
      <c r="G56" s="121">
        <v>0.12</v>
      </c>
      <c r="I56" s="122" t="s">
        <v>358</v>
      </c>
      <c r="J56" s="121">
        <v>0.08</v>
      </c>
      <c r="K56" s="121">
        <v>0.09</v>
      </c>
      <c r="L56" s="121">
        <v>0.1</v>
      </c>
      <c r="M56" s="121">
        <v>0.11</v>
      </c>
      <c r="N56" s="121">
        <v>0.12</v>
      </c>
    </row>
    <row r="57" spans="1:14" x14ac:dyDescent="0.2">
      <c r="B57" s="123">
        <v>12</v>
      </c>
      <c r="C57" s="124">
        <f>($C$11*B57/(1+C$56)^$C$7+$C$38-$C$45+$C$46-$C$47)/IF($C$49=0,1,$C$49)</f>
        <v>31.632976093429843</v>
      </c>
      <c r="D57" s="124">
        <f>($C$11*B57/(1+D$56)^$C$7+$C$38-$C$45+$C$46-$C$47)/IF($C$49=0,1,$C$49)</f>
        <v>30.557952476658716</v>
      </c>
      <c r="E57" s="124">
        <f>($C$11*B57/(1+E$56)^$C$7+$C$38-$C$45+$C$46-$C$47)/IF($C$49=0,1,$C$49)</f>
        <v>29.540508405397762</v>
      </c>
      <c r="F57" s="124">
        <f>($C$11*B57/(1+F$56)^$C$7+$C$38-$C$45+$C$46-$C$47)/IF($C$49=0,1,$C$49)</f>
        <v>28.577077773741372</v>
      </c>
      <c r="G57" s="124">
        <f>($C$11*B57/(1+G$56)^$C$7+$C$38-$C$45+$C$46-$C$47)/IF($C$49=0,1,$C$49)</f>
        <v>27.664344668967715</v>
      </c>
      <c r="I57" s="121">
        <v>0.01</v>
      </c>
      <c r="J57" s="124">
        <f>(($C$38+($G$27*(1+I57))/(J$56-I57))/(1+J$56)^$C$7)/IF($C$49=0,1,$C$49)</f>
        <v>31.705718765808825</v>
      </c>
      <c r="K57" s="124">
        <f>(($C$38+($G$27*(1+I57))/(K$56-I57))/(1+K$56)^$C$7)/IF($C$49=0,1,$C$49)</f>
        <v>27.254589806118481</v>
      </c>
      <c r="L57" s="124">
        <f>(($C$38+($G$27*(1+I57))/(L$56-I57))/(1+L$56)^$C$7)/IF($C$49=0,1,$C$49)</f>
        <v>23.7916572088333</v>
      </c>
      <c r="M57" s="124">
        <f>(($C$38+($G$27*(1+I57))/(M$56-I57))/(1+M$56)^$C$7)/IF($C$49=0,1,$C$49)</f>
        <v>21.02147716384345</v>
      </c>
      <c r="N57" s="124">
        <f>(($C$38+($G$27*(1+I57))/(N$56-I57))/(1+N$56)^$C$7)/IF($C$49=0,1,$C$49)</f>
        <v>18.755929183579958</v>
      </c>
    </row>
    <row r="58" spans="1:14" x14ac:dyDescent="0.2">
      <c r="B58" s="123">
        <v>13</v>
      </c>
      <c r="C58" s="69">
        <f>($C$11*B58/(1+C$56)^$C$7+$C$38-$C$45+$C$46-$C$47)/IF($C$49=0,1,$C$49)</f>
        <v>33.622100043029867</v>
      </c>
      <c r="D58" s="69">
        <f>($C$11*B58/(1+D$56)^$C$7+$C$38-$C$45+$C$46-$C$47)/IF($C$49=0,1,$C$49)</f>
        <v>32.45749112486115</v>
      </c>
      <c r="E58" s="69">
        <f>($C$11*B58/(1+E$56)^$C$7+$C$38-$C$45+$C$46-$C$47)/IF($C$49=0,1,$C$49)</f>
        <v>31.35526004766178</v>
      </c>
      <c r="F58" s="69">
        <f>($C$11*B58/(1+F$56)^$C$7+$C$38-$C$45+$C$46-$C$47)/IF($C$49=0,1,$C$49)</f>
        <v>30.311543530034029</v>
      </c>
      <c r="G58" s="69">
        <f>($C$11*B58/(1+G$56)^$C$7+$C$38-$C$45+$C$46-$C$47)/IF($C$49=0,1,$C$49)</f>
        <v>29.322749333195897</v>
      </c>
      <c r="I58" s="121">
        <v>0.02</v>
      </c>
      <c r="J58" s="69">
        <f>(($C$38+($G$27*(1+I58))/(J$56-I58))/(1+J$56)^$C$7)/IF($C$49=0,1,$C$49)</f>
        <v>36.21927560659703</v>
      </c>
      <c r="K58" s="69">
        <f>(($C$38+($G$27*(1+I58))/(K$56-I58))/(1+K$56)^$C$7)/IF($C$49=0,1,$C$49)</f>
        <v>30.517230206462479</v>
      </c>
      <c r="L58" s="69">
        <f>(($C$38+($G$27*(1+I58))/(L$56-I58))/(1+L$56)^$C$7)/IF($C$49=0,1,$C$49)</f>
        <v>26.238240420679816</v>
      </c>
      <c r="M58" s="69">
        <f>(($C$38+($G$27*(1+I58))/(M$56-I58))/(1+M$56)^$C$7)/IF($C$49=0,1,$C$49)</f>
        <v>22.909159029911564</v>
      </c>
      <c r="N58" s="69">
        <f>(($C$38+($G$27*(1+I58))/(N$56-I58))/(1+N$56)^$C$7)/IF($C$49=0,1,$C$49)</f>
        <v>20.245970986164931</v>
      </c>
    </row>
    <row r="59" spans="1:14" x14ac:dyDescent="0.2">
      <c r="B59" s="123">
        <v>14</v>
      </c>
      <c r="C59" s="124">
        <f>($C$11*B59/(1+C$56)^$C$7+$C$38-$C$45+$C$46-$C$47)/IF($C$49=0,1,$C$49)</f>
        <v>35.611223992629895</v>
      </c>
      <c r="D59" s="124">
        <f>($C$11*B59/(1+D$56)^$C$7+$C$38-$C$45+$C$46-$C$47)/IF($C$49=0,1,$C$49)</f>
        <v>34.357029773063587</v>
      </c>
      <c r="E59" s="215">
        <f>($C$11*B59/(1+E$56)^$C$7+$C$38-$C$45+$C$46-$C$47)/IF($C$49=0,1,$C$49)</f>
        <v>33.170011689925808</v>
      </c>
      <c r="F59" s="124">
        <f>($C$11*B59/(1+F$56)^$C$7+$C$38-$C$45+$C$46-$C$47)/IF($C$49=0,1,$C$49)</f>
        <v>32.046009286326694</v>
      </c>
      <c r="G59" s="124">
        <f>($C$11*B59/(1+G$56)^$C$7+$C$38-$C$45+$C$46-$C$47)/IF($C$49=0,1,$C$49)</f>
        <v>30.981153997424084</v>
      </c>
      <c r="I59" s="121">
        <v>0.03</v>
      </c>
      <c r="J59" s="124">
        <f>(($C$38+($G$27*(1+I59))/(J$56-I59))/(1+J$56)^$C$7)/IF($C$49=0,1,$C$49)</f>
        <v>42.538255183700507</v>
      </c>
      <c r="K59" s="124">
        <f>(($C$38+($G$27*(1+I59))/(K$56-I59))/(1+K$56)^$C$7)/IF($C$49=0,1,$C$49)</f>
        <v>34.867417406921135</v>
      </c>
      <c r="L59" s="70">
        <f>(($C$38+($G$27*(1+I59))/(L$56-I59))/(1+L$56)^$C$7)/IF($C$49=0,1,$C$49)</f>
        <v>29.383847407339619</v>
      </c>
      <c r="M59" s="124">
        <f>(($C$38+($G$27*(1+I59))/(M$56-I59))/(1+M$56)^$C$7)/IF($C$49=0,1,$C$49)</f>
        <v>25.268761362496697</v>
      </c>
      <c r="N59" s="124">
        <f>(($C$38+($G$27*(1+I59))/(N$56-I59))/(1+N$56)^$C$7)/IF($C$49=0,1,$C$49)</f>
        <v>22.067133189324338</v>
      </c>
    </row>
    <row r="60" spans="1:14" x14ac:dyDescent="0.2">
      <c r="B60" s="123">
        <v>15</v>
      </c>
      <c r="C60" s="69">
        <f>($C$11*B60/(1+C$56)^$C$7+$C$38-$C$45+$C$46-$C$47)/IF($C$49=0,1,$C$49)</f>
        <v>37.600347942229931</v>
      </c>
      <c r="D60" s="69">
        <f>($C$11*B60/(1+D$56)^$C$7+$C$38-$C$45+$C$46-$C$47)/IF($C$49=0,1,$C$49)</f>
        <v>36.256568421266024</v>
      </c>
      <c r="E60" s="69">
        <f>($C$11*B60/(1+E$56)^$C$7+$C$38-$C$45+$C$46-$C$47)/IF($C$49=0,1,$C$49)</f>
        <v>34.984763332189829</v>
      </c>
      <c r="F60" s="69">
        <f>($C$11*B60/(1+F$56)^$C$7+$C$38-$C$45+$C$46-$C$47)/IF($C$49=0,1,$C$49)</f>
        <v>33.780475042619344</v>
      </c>
      <c r="G60" s="69">
        <f>($C$11*B60/(1+G$56)^$C$7+$C$38-$C$45+$C$46-$C$47)/IF($C$49=0,1,$C$49)</f>
        <v>32.639558661652273</v>
      </c>
      <c r="I60" s="121">
        <v>0.04</v>
      </c>
      <c r="J60" s="69">
        <f>(($C$38+($G$27*(1+I60))/(J$56-I60))/(1+J$56)^$C$7)/IF($C$49=0,1,$C$49)</f>
        <v>52.016724549355722</v>
      </c>
      <c r="K60" s="69">
        <f>(($C$38+($G$27*(1+I60))/(K$56-I60))/(1+K$56)^$C$7)/IF($C$49=0,1,$C$49)</f>
        <v>40.957679487563254</v>
      </c>
      <c r="L60" s="69">
        <f>(($C$38+($G$27*(1+I60))/(L$56-I60))/(1+L$56)^$C$7)/IF($C$49=0,1,$C$49)</f>
        <v>33.577990056219349</v>
      </c>
      <c r="M60" s="69">
        <f>(($C$38+($G$27*(1+I60))/(M$56-I60))/(1+M$56)^$C$7)/IF($C$49=0,1,$C$49)</f>
        <v>28.302535790106166</v>
      </c>
      <c r="N60" s="69">
        <f>(($C$38+($G$27*(1+I60))/(N$56-I60))/(1+N$56)^$C$7)/IF($C$49=0,1,$C$49)</f>
        <v>24.343585943273602</v>
      </c>
    </row>
    <row r="61" spans="1:14" x14ac:dyDescent="0.2">
      <c r="B61" s="123">
        <v>16</v>
      </c>
      <c r="C61" s="124">
        <f>($C$11*B61/(1+C$56)^$C$7+$C$38-$C$45+$C$46-$C$47)/IF($C$49=0,1,$C$49)</f>
        <v>39.589471891829959</v>
      </c>
      <c r="D61" s="124">
        <f>($C$11*B61/(1+D$56)^$C$7+$C$38-$C$45+$C$46-$C$47)/IF($C$49=0,1,$C$49)</f>
        <v>38.156107069468462</v>
      </c>
      <c r="E61" s="124">
        <f>($C$11*B61/(1+E$56)^$C$7+$C$38-$C$45+$C$46-$C$47)/IF($C$49=0,1,$C$49)</f>
        <v>36.799514974453849</v>
      </c>
      <c r="F61" s="124">
        <f>($C$11*B61/(1+F$56)^$C$7+$C$38-$C$45+$C$46-$C$47)/IF($C$49=0,1,$C$49)</f>
        <v>35.514940798912001</v>
      </c>
      <c r="G61" s="124">
        <f>($C$11*B61/(1+G$56)^$C$7+$C$38-$C$45+$C$46-$C$47)/IF($C$49=0,1,$C$49)</f>
        <v>34.297963325880453</v>
      </c>
      <c r="I61" s="121">
        <v>0.05</v>
      </c>
      <c r="J61" s="124">
        <f>(($C$38+($G$27*(1+I61))/(J$56-I61))/(1+J$56)^$C$7)/IF($C$49=0,1,$C$49)</f>
        <v>67.814173492114421</v>
      </c>
      <c r="K61" s="124">
        <f>(($C$38+($G$27*(1+I61))/(K$56-I61))/(1+K$56)^$C$7)/IF($C$49=0,1,$C$49)</f>
        <v>50.093072608526441</v>
      </c>
      <c r="L61" s="124">
        <f>(($C$38+($G$27*(1+I61))/(L$56-I61))/(1+L$56)^$C$7)/IF($C$49=0,1,$C$49)</f>
        <v>39.449789764650987</v>
      </c>
      <c r="M61" s="124">
        <f>(($C$38+($G$27*(1+I61))/(M$56-I61))/(1+M$56)^$C$7)/IF($C$49=0,1,$C$49)</f>
        <v>32.347568360252126</v>
      </c>
      <c r="N61" s="124">
        <f>(($C$38+($G$27*(1+I61))/(N$56-I61))/(1+N$56)^$C$7)/IF($C$49=0,1,$C$49)</f>
        <v>27.270453769779795</v>
      </c>
    </row>
    <row r="63" spans="1:14" x14ac:dyDescent="0.2">
      <c r="A63" s="260" t="s">
        <v>359</v>
      </c>
      <c r="B63" s="260"/>
      <c r="C63" s="260"/>
      <c r="D63" s="260"/>
      <c r="E63" s="260"/>
      <c r="F63" s="260"/>
      <c r="G63" s="260"/>
      <c r="H63" s="260"/>
      <c r="I63" s="260"/>
      <c r="J63" s="260"/>
      <c r="K63" s="260"/>
      <c r="L63" s="260"/>
    </row>
    <row r="64" spans="1:14" ht="25" x14ac:dyDescent="0.2">
      <c r="B64" s="71" t="s">
        <v>360</v>
      </c>
      <c r="C64" s="71" t="s">
        <v>361</v>
      </c>
      <c r="D64" s="71" t="s">
        <v>21</v>
      </c>
      <c r="E64" s="71" t="s">
        <v>287</v>
      </c>
      <c r="F64" s="71" t="s">
        <v>362</v>
      </c>
      <c r="G64" s="71" t="s">
        <v>363</v>
      </c>
      <c r="H64" s="71" t="s">
        <v>364</v>
      </c>
      <c r="I64" s="71" t="s">
        <v>365</v>
      </c>
      <c r="J64" s="71" t="s">
        <v>366</v>
      </c>
      <c r="K64" s="71" t="s">
        <v>367</v>
      </c>
      <c r="L64" s="71" t="s">
        <v>368</v>
      </c>
    </row>
    <row r="65" spans="2:12" x14ac:dyDescent="0.2">
      <c r="B65" s="223" t="s">
        <v>613</v>
      </c>
      <c r="C65" s="224" t="s">
        <v>614</v>
      </c>
      <c r="D65" s="225">
        <v>210462</v>
      </c>
      <c r="E65" s="225">
        <v>-11200</v>
      </c>
      <c r="F65" s="226">
        <f>D65+E65</f>
        <v>199262</v>
      </c>
      <c r="G65" s="225">
        <v>57000</v>
      </c>
      <c r="H65" s="225">
        <v>16900</v>
      </c>
      <c r="I65" s="227">
        <f>IF(G65=0,0,F65/G65)</f>
        <v>3.4958245614035088</v>
      </c>
      <c r="J65" s="227">
        <f>IF(H65=0,0,F65/H65)</f>
        <v>11.790650887573964</v>
      </c>
      <c r="K65" s="228">
        <v>16.2</v>
      </c>
      <c r="L65" s="229">
        <v>0.02</v>
      </c>
    </row>
    <row r="66" spans="2:12" x14ac:dyDescent="0.2">
      <c r="B66" s="223" t="s">
        <v>615</v>
      </c>
      <c r="C66" s="224" t="s">
        <v>616</v>
      </c>
      <c r="D66" s="225">
        <v>2613</v>
      </c>
      <c r="E66" s="225">
        <v>195</v>
      </c>
      <c r="F66" s="226">
        <f>D66+E66</f>
        <v>2808</v>
      </c>
      <c r="G66" s="225">
        <v>1410</v>
      </c>
      <c r="H66" s="225">
        <v>183</v>
      </c>
      <c r="I66" s="227">
        <f>IF(G66=0,0,F66/G66)</f>
        <v>1.9914893617021276</v>
      </c>
      <c r="J66" s="227">
        <f>IF(H66=0,0,F66/H66)</f>
        <v>15.344262295081966</v>
      </c>
      <c r="K66" s="228">
        <v>18.2</v>
      </c>
      <c r="L66" s="229">
        <v>0.08</v>
      </c>
    </row>
    <row r="67" spans="2:12" x14ac:dyDescent="0.2">
      <c r="B67" s="230" t="s">
        <v>617</v>
      </c>
      <c r="C67" s="178" t="s">
        <v>618</v>
      </c>
      <c r="D67" s="186">
        <v>9912</v>
      </c>
      <c r="E67" s="186">
        <v>-1450</v>
      </c>
      <c r="F67" s="231">
        <f>D67+E67</f>
        <v>8462</v>
      </c>
      <c r="G67" s="186">
        <v>2813</v>
      </c>
      <c r="H67" s="186">
        <v>840</v>
      </c>
      <c r="I67" s="232">
        <f>IF(G67=0,0,F67/G67)</f>
        <v>3.0081763242090296</v>
      </c>
      <c r="J67" s="232">
        <f>IF(H67=0,0,F67/H67)</f>
        <v>10.073809523809524</v>
      </c>
      <c r="K67" s="233">
        <v>14.8</v>
      </c>
      <c r="L67" s="234">
        <v>0.01</v>
      </c>
    </row>
    <row r="68" spans="2:12" x14ac:dyDescent="0.2">
      <c r="B68" s="235" t="s">
        <v>619</v>
      </c>
      <c r="C68" s="236" t="s">
        <v>620</v>
      </c>
      <c r="D68" s="237">
        <v>13036</v>
      </c>
      <c r="E68" s="237">
        <v>525</v>
      </c>
      <c r="F68" s="237">
        <f>D68+E68</f>
        <v>13561</v>
      </c>
      <c r="G68" s="237">
        <v>5659</v>
      </c>
      <c r="H68" s="237">
        <v>932</v>
      </c>
      <c r="I68" s="238">
        <f>IF(G68=0,0,F68/G68)</f>
        <v>2.3963597808800143</v>
      </c>
      <c r="J68" s="238">
        <f>IF(H68=0,0,F68/H68)</f>
        <v>14.550429184549357</v>
      </c>
      <c r="K68" s="238">
        <v>17.5</v>
      </c>
      <c r="L68" s="239">
        <v>0.04</v>
      </c>
    </row>
    <row r="69" spans="2:12" x14ac:dyDescent="0.2">
      <c r="B69" s="128" t="s">
        <v>369</v>
      </c>
      <c r="C69" s="126"/>
      <c r="D69" s="99"/>
      <c r="E69" s="99"/>
      <c r="F69" s="107">
        <f t="shared" ref="F69:F70" si="0">D69+E69</f>
        <v>0</v>
      </c>
      <c r="G69" s="99"/>
      <c r="H69" s="99"/>
      <c r="I69" s="119">
        <f t="shared" ref="I69:I70" si="1">IF(G69=0,0,F69/G69)</f>
        <v>0</v>
      </c>
      <c r="J69" s="119">
        <f t="shared" ref="J69:J70" si="2">IF(H69=0,0,F69/H69)</f>
        <v>0</v>
      </c>
      <c r="K69" s="127"/>
      <c r="L69" s="115"/>
    </row>
    <row r="70" spans="2:12" x14ac:dyDescent="0.2">
      <c r="B70" s="72" t="s">
        <v>369</v>
      </c>
      <c r="C70" s="35"/>
      <c r="D70" s="22"/>
      <c r="E70" s="22"/>
      <c r="F70" s="30">
        <f t="shared" si="0"/>
        <v>0</v>
      </c>
      <c r="G70" s="22"/>
      <c r="H70" s="22"/>
      <c r="I70" s="26">
        <f t="shared" si="1"/>
        <v>0</v>
      </c>
      <c r="J70" s="26">
        <f t="shared" si="2"/>
        <v>0</v>
      </c>
      <c r="K70" s="62"/>
      <c r="L70" s="61"/>
    </row>
    <row r="72" spans="2:12" x14ac:dyDescent="0.2">
      <c r="B72" s="129" t="s">
        <v>370</v>
      </c>
      <c r="C72" s="82"/>
      <c r="D72" s="82"/>
      <c r="E72" s="82"/>
      <c r="F72" s="82"/>
      <c r="G72" s="82"/>
      <c r="H72" s="82"/>
      <c r="I72" s="130">
        <f>AVERAGE(I65:I67)</f>
        <v>2.8318300824382221</v>
      </c>
      <c r="J72" s="130">
        <f>AVERAGE(J65:J67)</f>
        <v>12.402907568821817</v>
      </c>
      <c r="K72" s="130"/>
      <c r="L72" s="131"/>
    </row>
    <row r="73" spans="2:12" x14ac:dyDescent="0.2">
      <c r="B73" s="129" t="s">
        <v>371</v>
      </c>
      <c r="C73" s="82"/>
      <c r="D73" s="82"/>
      <c r="E73" s="82"/>
      <c r="F73" s="82"/>
      <c r="G73" s="82"/>
      <c r="H73" s="82"/>
      <c r="I73" s="130">
        <f>MEDIAN(I65:I67)</f>
        <v>3.0081763242090296</v>
      </c>
      <c r="J73" s="130">
        <f>MEDIAN(J65:J67)</f>
        <v>11.790650887573964</v>
      </c>
      <c r="K73" s="130"/>
      <c r="L73" s="131"/>
    </row>
    <row r="74" spans="2:12" x14ac:dyDescent="0.2">
      <c r="B74" s="132" t="s">
        <v>372</v>
      </c>
      <c r="C74" s="114"/>
      <c r="D74" s="114"/>
      <c r="E74" s="114"/>
      <c r="F74" s="114"/>
      <c r="G74" s="114"/>
      <c r="H74" s="114"/>
      <c r="I74" s="119">
        <f>MAX(I65:I67)</f>
        <v>3.4958245614035088</v>
      </c>
      <c r="J74" s="119">
        <f>MAX(J65:J67)</f>
        <v>15.344262295081966</v>
      </c>
      <c r="K74" s="119"/>
      <c r="L74" s="90"/>
    </row>
    <row r="75" spans="2:12" x14ac:dyDescent="0.2">
      <c r="B75" s="132" t="s">
        <v>373</v>
      </c>
      <c r="C75" s="114"/>
      <c r="D75" s="114"/>
      <c r="E75" s="114"/>
      <c r="F75" s="114"/>
      <c r="G75" s="114"/>
      <c r="H75" s="114"/>
      <c r="I75" s="119" cm="1">
        <f t="array" ref="I75">MIN(IF(I65:I67&gt;0,I65:I67))</f>
        <v>1.9914893617021276</v>
      </c>
      <c r="J75" s="119" cm="1">
        <f t="array" ref="J75">MIN(IF(J65:J67&gt;0,J65:J67))</f>
        <v>10.073809523809524</v>
      </c>
      <c r="K75" s="119"/>
      <c r="L75" s="90"/>
    </row>
    <row r="76" spans="2:12" x14ac:dyDescent="0.2">
      <c r="B76" s="132" t="s">
        <v>374</v>
      </c>
      <c r="C76" s="114"/>
      <c r="D76" s="114"/>
      <c r="E76" s="114"/>
      <c r="F76" s="114"/>
      <c r="G76" s="114"/>
      <c r="H76" s="114"/>
      <c r="I76" s="119">
        <f>QUARTILE(I65:I67,1)</f>
        <v>2.4998328429555787</v>
      </c>
      <c r="J76" s="119">
        <f>QUARTILE(J65:J67,1)</f>
        <v>10.932230205691745</v>
      </c>
      <c r="K76" s="119"/>
      <c r="L76" s="90"/>
    </row>
    <row r="77" spans="2:12" x14ac:dyDescent="0.2">
      <c r="B77" s="132" t="s">
        <v>375</v>
      </c>
      <c r="C77" s="114"/>
      <c r="D77" s="114"/>
      <c r="E77" s="114"/>
      <c r="F77" s="114"/>
      <c r="G77" s="114"/>
      <c r="H77" s="114"/>
      <c r="I77" s="119">
        <f>QUARTILE(I65:I67,3)</f>
        <v>3.2520004428062692</v>
      </c>
      <c r="J77" s="119">
        <f>QUARTILE(J65:J67,3)</f>
        <v>13.567456591327964</v>
      </c>
      <c r="K77" s="119"/>
      <c r="L77" s="90"/>
    </row>
    <row r="79" spans="2:12" x14ac:dyDescent="0.2">
      <c r="B79" s="11" t="s">
        <v>376</v>
      </c>
    </row>
    <row r="80" spans="2:12" x14ac:dyDescent="0.2">
      <c r="B80" s="73" t="s">
        <v>29</v>
      </c>
      <c r="C80" s="73" t="s">
        <v>377</v>
      </c>
      <c r="D80" s="73" t="s">
        <v>378</v>
      </c>
      <c r="E80" s="73" t="s">
        <v>379</v>
      </c>
      <c r="F80" s="73" t="s">
        <v>380</v>
      </c>
    </row>
    <row r="81" spans="1:12" x14ac:dyDescent="0.2">
      <c r="B81" s="88" t="s">
        <v>381</v>
      </c>
      <c r="C81" s="119">
        <f>MEDIAN(I65:I67)</f>
        <v>3.0081763242090296</v>
      </c>
      <c r="D81" s="225">
        <f>G68</f>
        <v>5659</v>
      </c>
      <c r="E81" s="107">
        <f>C81*D81</f>
        <v>17023.2698186989</v>
      </c>
      <c r="F81" s="107">
        <f>E81</f>
        <v>17023.2698186989</v>
      </c>
    </row>
    <row r="82" spans="1:12" x14ac:dyDescent="0.2">
      <c r="B82" s="15" t="s">
        <v>382</v>
      </c>
      <c r="C82" s="26">
        <f>MEDIAN(J65:J67)</f>
        <v>11.790650887573964</v>
      </c>
      <c r="D82" s="186">
        <f>H68</f>
        <v>932</v>
      </c>
      <c r="E82" s="30">
        <f>C82*D82</f>
        <v>10988.886627218935</v>
      </c>
      <c r="F82" s="30">
        <f>E82</f>
        <v>10988.886627218935</v>
      </c>
    </row>
    <row r="83" spans="1:12" x14ac:dyDescent="0.2">
      <c r="B83" s="88" t="s">
        <v>383</v>
      </c>
      <c r="C83" s="119">
        <f>AVERAGE(I65:I67)</f>
        <v>2.8318300824382221</v>
      </c>
      <c r="D83" s="225">
        <f>G68</f>
        <v>5659</v>
      </c>
      <c r="E83" s="107">
        <f>C83*D83</f>
        <v>16025.326436517898</v>
      </c>
      <c r="F83" s="107">
        <f>E83</f>
        <v>16025.326436517898</v>
      </c>
    </row>
    <row r="84" spans="1:12" x14ac:dyDescent="0.2">
      <c r="B84" s="15" t="s">
        <v>384</v>
      </c>
      <c r="C84" s="26">
        <f>AVERAGE(J65:J70)</f>
        <v>8.6265253151691343</v>
      </c>
      <c r="D84" s="186">
        <f>H68</f>
        <v>932</v>
      </c>
      <c r="E84" s="30">
        <f>C84*D84</f>
        <v>8039.921593737633</v>
      </c>
      <c r="F84" s="30">
        <f>E84</f>
        <v>8039.921593737633</v>
      </c>
    </row>
    <row r="86" spans="1:12" x14ac:dyDescent="0.2">
      <c r="A86" s="260" t="s">
        <v>385</v>
      </c>
      <c r="B86" s="260"/>
      <c r="C86" s="260"/>
      <c r="D86" s="260"/>
      <c r="E86" s="260"/>
      <c r="F86" s="260"/>
      <c r="G86" s="260"/>
      <c r="H86" s="260"/>
      <c r="I86" s="260"/>
      <c r="J86" s="260"/>
      <c r="K86" s="260"/>
      <c r="L86" s="260"/>
    </row>
    <row r="87" spans="1:12" ht="25" x14ac:dyDescent="0.2">
      <c r="B87" s="71" t="s">
        <v>3</v>
      </c>
      <c r="C87" s="71" t="s">
        <v>2</v>
      </c>
      <c r="D87" s="71" t="s">
        <v>386</v>
      </c>
      <c r="E87" s="71" t="s">
        <v>387</v>
      </c>
      <c r="F87" s="71" t="s">
        <v>362</v>
      </c>
      <c r="G87" s="71" t="s">
        <v>363</v>
      </c>
      <c r="H87" s="71" t="s">
        <v>364</v>
      </c>
      <c r="I87" s="71" t="s">
        <v>388</v>
      </c>
      <c r="J87" s="71" t="s">
        <v>389</v>
      </c>
    </row>
    <row r="88" spans="1:12" x14ac:dyDescent="0.2">
      <c r="B88" s="6"/>
      <c r="C88" s="5"/>
      <c r="D88" s="74"/>
      <c r="E88" s="22"/>
      <c r="F88" s="22"/>
      <c r="G88" s="22"/>
      <c r="H88" s="22"/>
      <c r="I88" s="26">
        <f t="shared" ref="I88:I95" si="3">IF(G88=0,0,F88/G88)</f>
        <v>0</v>
      </c>
      <c r="J88" s="26">
        <f t="shared" ref="J88:J95" si="4">IF(H88=0,0,F88/H88)</f>
        <v>0</v>
      </c>
    </row>
    <row r="89" spans="1:12" x14ac:dyDescent="0.2">
      <c r="B89" s="125"/>
      <c r="C89" s="133"/>
      <c r="D89" s="134"/>
      <c r="E89" s="99"/>
      <c r="F89" s="99"/>
      <c r="G89" s="99"/>
      <c r="H89" s="99"/>
      <c r="I89" s="119">
        <f t="shared" si="3"/>
        <v>0</v>
      </c>
      <c r="J89" s="119">
        <f t="shared" si="4"/>
        <v>0</v>
      </c>
    </row>
    <row r="90" spans="1:12" x14ac:dyDescent="0.2">
      <c r="B90" s="6"/>
      <c r="C90" s="5"/>
      <c r="D90" s="74"/>
      <c r="E90" s="22"/>
      <c r="F90" s="22"/>
      <c r="G90" s="22"/>
      <c r="H90" s="22"/>
      <c r="I90" s="26">
        <f t="shared" si="3"/>
        <v>0</v>
      </c>
      <c r="J90" s="26">
        <f t="shared" si="4"/>
        <v>0</v>
      </c>
    </row>
    <row r="91" spans="1:12" x14ac:dyDescent="0.2">
      <c r="B91" s="125"/>
      <c r="C91" s="133"/>
      <c r="D91" s="134"/>
      <c r="E91" s="99"/>
      <c r="F91" s="99"/>
      <c r="G91" s="99"/>
      <c r="H91" s="99"/>
      <c r="I91" s="119">
        <f t="shared" si="3"/>
        <v>0</v>
      </c>
      <c r="J91" s="119">
        <f t="shared" si="4"/>
        <v>0</v>
      </c>
    </row>
    <row r="92" spans="1:12" x14ac:dyDescent="0.2">
      <c r="B92" s="6"/>
      <c r="C92" s="5"/>
      <c r="D92" s="74"/>
      <c r="E92" s="22"/>
      <c r="F92" s="22"/>
      <c r="G92" s="22"/>
      <c r="H92" s="22"/>
      <c r="I92" s="26">
        <f t="shared" si="3"/>
        <v>0</v>
      </c>
      <c r="J92" s="26">
        <f t="shared" si="4"/>
        <v>0</v>
      </c>
    </row>
    <row r="93" spans="1:12" x14ac:dyDescent="0.2">
      <c r="B93" s="125"/>
      <c r="C93" s="133"/>
      <c r="D93" s="134"/>
      <c r="E93" s="99"/>
      <c r="F93" s="99"/>
      <c r="G93" s="99"/>
      <c r="H93" s="99"/>
      <c r="I93" s="119">
        <f t="shared" si="3"/>
        <v>0</v>
      </c>
      <c r="J93" s="119">
        <f t="shared" si="4"/>
        <v>0</v>
      </c>
    </row>
    <row r="94" spans="1:12" x14ac:dyDescent="0.2">
      <c r="B94" s="72" t="s">
        <v>390</v>
      </c>
      <c r="C94" s="5"/>
      <c r="D94" s="5"/>
      <c r="E94" s="22"/>
      <c r="F94" s="22"/>
      <c r="G94" s="22"/>
      <c r="H94" s="22"/>
      <c r="I94" s="26">
        <f t="shared" si="3"/>
        <v>0</v>
      </c>
      <c r="J94" s="26">
        <f t="shared" si="4"/>
        <v>0</v>
      </c>
    </row>
    <row r="95" spans="1:12" x14ac:dyDescent="0.2">
      <c r="B95" s="128" t="s">
        <v>390</v>
      </c>
      <c r="C95" s="133"/>
      <c r="D95" s="133"/>
      <c r="E95" s="99"/>
      <c r="F95" s="99"/>
      <c r="G95" s="99"/>
      <c r="H95" s="99"/>
      <c r="I95" s="119">
        <f t="shared" si="3"/>
        <v>0</v>
      </c>
      <c r="J95" s="119">
        <f t="shared" si="4"/>
        <v>0</v>
      </c>
    </row>
    <row r="97" spans="1:12" x14ac:dyDescent="0.2">
      <c r="B97" s="129" t="s">
        <v>370</v>
      </c>
      <c r="C97" s="82"/>
      <c r="D97" s="82"/>
      <c r="E97" s="82"/>
      <c r="F97" s="82"/>
      <c r="G97" s="82"/>
      <c r="H97" s="82"/>
      <c r="I97" s="130">
        <f>AVERAGE(I88:I95)</f>
        <v>0</v>
      </c>
      <c r="J97" s="130">
        <f>AVERAGE(J88:J95)</f>
        <v>0</v>
      </c>
    </row>
    <row r="98" spans="1:12" x14ac:dyDescent="0.2">
      <c r="B98" s="129" t="s">
        <v>371</v>
      </c>
      <c r="C98" s="82"/>
      <c r="D98" s="82"/>
      <c r="E98" s="82"/>
      <c r="F98" s="82"/>
      <c r="G98" s="82"/>
      <c r="H98" s="82"/>
      <c r="I98" s="130">
        <f>MEDIAN(I88:I95)</f>
        <v>0</v>
      </c>
      <c r="J98" s="130">
        <f>MEDIAN(J88:J95)</f>
        <v>0</v>
      </c>
    </row>
    <row r="99" spans="1:12" x14ac:dyDescent="0.2">
      <c r="B99" s="132" t="s">
        <v>372</v>
      </c>
      <c r="C99" s="114"/>
      <c r="D99" s="114"/>
      <c r="E99" s="114"/>
      <c r="F99" s="114"/>
      <c r="G99" s="114"/>
      <c r="H99" s="114"/>
      <c r="I99" s="119">
        <f>MAX(I88:I95)</f>
        <v>0</v>
      </c>
      <c r="J99" s="119">
        <f>MAX(J88:J95)</f>
        <v>0</v>
      </c>
    </row>
    <row r="100" spans="1:12" x14ac:dyDescent="0.2">
      <c r="B100" s="132" t="s">
        <v>373</v>
      </c>
      <c r="C100" s="114"/>
      <c r="D100" s="114"/>
      <c r="E100" s="114"/>
      <c r="F100" s="114"/>
      <c r="G100" s="114"/>
      <c r="H100" s="114"/>
      <c r="I100" s="119" cm="1">
        <f t="array" ref="I100">MIN(IF(I88:I95&gt;0,I88:I95))</f>
        <v>0</v>
      </c>
      <c r="J100" s="119" cm="1">
        <f t="array" ref="J100">MIN(IF(J88:J95&gt;0,J88:J95))</f>
        <v>0</v>
      </c>
    </row>
    <row r="102" spans="1:12" x14ac:dyDescent="0.2">
      <c r="B102" s="11" t="s">
        <v>391</v>
      </c>
    </row>
    <row r="103" spans="1:12" x14ac:dyDescent="0.2">
      <c r="B103" s="73" t="s">
        <v>29</v>
      </c>
      <c r="C103" s="73" t="s">
        <v>377</v>
      </c>
      <c r="D103" s="73" t="s">
        <v>378</v>
      </c>
      <c r="E103" s="73" t="s">
        <v>379</v>
      </c>
      <c r="F103" s="73" t="s">
        <v>380</v>
      </c>
    </row>
    <row r="104" spans="1:12" x14ac:dyDescent="0.2">
      <c r="B104" s="15" t="s">
        <v>381</v>
      </c>
      <c r="C104" s="26">
        <f>MEDIAN(I88:I95)</f>
        <v>0</v>
      </c>
      <c r="D104" s="22"/>
      <c r="E104" s="30">
        <f>C104*D104</f>
        <v>0</v>
      </c>
      <c r="F104" s="30">
        <f>E104</f>
        <v>0</v>
      </c>
    </row>
    <row r="105" spans="1:12" x14ac:dyDescent="0.2">
      <c r="B105" s="88" t="s">
        <v>382</v>
      </c>
      <c r="C105" s="119">
        <f>MEDIAN(J88:J95)</f>
        <v>0</v>
      </c>
      <c r="D105" s="99"/>
      <c r="E105" s="107">
        <f>C105*D105</f>
        <v>0</v>
      </c>
      <c r="F105" s="107">
        <f>E105</f>
        <v>0</v>
      </c>
    </row>
    <row r="106" spans="1:12" x14ac:dyDescent="0.2">
      <c r="B106" s="15" t="s">
        <v>383</v>
      </c>
      <c r="C106" s="26">
        <f>AVERAGE(I88:I95)</f>
        <v>0</v>
      </c>
      <c r="D106" s="22"/>
      <c r="E106" s="30">
        <f>C106*D106</f>
        <v>0</v>
      </c>
      <c r="F106" s="30">
        <f>E106</f>
        <v>0</v>
      </c>
    </row>
    <row r="107" spans="1:12" x14ac:dyDescent="0.2">
      <c r="B107" s="88" t="s">
        <v>384</v>
      </c>
      <c r="C107" s="119">
        <f>AVERAGE(J88:J95)</f>
        <v>0</v>
      </c>
      <c r="D107" s="99"/>
      <c r="E107" s="107">
        <f>C107*D107</f>
        <v>0</v>
      </c>
      <c r="F107" s="107">
        <f>E107</f>
        <v>0</v>
      </c>
    </row>
    <row r="109" spans="1:12" x14ac:dyDescent="0.2">
      <c r="A109" s="260" t="s">
        <v>392</v>
      </c>
      <c r="B109" s="260"/>
      <c r="C109" s="260"/>
      <c r="D109" s="260"/>
      <c r="E109" s="260"/>
      <c r="F109" s="260"/>
      <c r="G109" s="260"/>
      <c r="H109" s="260"/>
      <c r="I109" s="260"/>
      <c r="J109" s="260"/>
      <c r="K109" s="260"/>
      <c r="L109" s="260"/>
    </row>
    <row r="110" spans="1:12" ht="28" x14ac:dyDescent="0.2">
      <c r="B110" s="75" t="s">
        <v>393</v>
      </c>
      <c r="C110" s="75" t="s">
        <v>394</v>
      </c>
      <c r="D110" s="75" t="s">
        <v>395</v>
      </c>
      <c r="E110" s="75" t="s">
        <v>396</v>
      </c>
      <c r="F110" s="75" t="s">
        <v>397</v>
      </c>
      <c r="G110" s="75" t="s">
        <v>398</v>
      </c>
      <c r="H110" s="75" t="s">
        <v>399</v>
      </c>
    </row>
    <row r="111" spans="1:12" x14ac:dyDescent="0.2">
      <c r="B111" s="88" t="s">
        <v>622</v>
      </c>
      <c r="C111" s="107">
        <f>C39*0.9</f>
        <v>10476.730849446709</v>
      </c>
      <c r="D111" s="107">
        <f>C39</f>
        <v>11640.812054940787</v>
      </c>
      <c r="E111" s="107">
        <f>C39*1.1</f>
        <v>12804.893260434867</v>
      </c>
      <c r="F111" s="135">
        <f>IFERROR(IF($C$49=0,"-",C39*0.9/$C$49),"-")</f>
        <v>32.147072259732155</v>
      </c>
      <c r="G111" s="135">
        <f>IFERROR(IF($C$49=0,"-",C39/$C$49),"-")</f>
        <v>35.718969177480169</v>
      </c>
      <c r="H111" s="135">
        <f>IFERROR(IF($C$49=0,"-",C39*1.1/$C$49),"-")</f>
        <v>39.290866095228189</v>
      </c>
    </row>
    <row r="112" spans="1:12" x14ac:dyDescent="0.2">
      <c r="B112" s="15" t="s">
        <v>623</v>
      </c>
      <c r="C112" s="30">
        <f>C40*0.9</f>
        <v>10195.440837276732</v>
      </c>
      <c r="D112" s="30">
        <f>C40</f>
        <v>11328.267596974147</v>
      </c>
      <c r="E112" s="30">
        <f>C40*1.1</f>
        <v>12461.094356671563</v>
      </c>
      <c r="F112" s="77">
        <f>IFERROR(IF($C$49=0,"-",C40*0.9/$C$49),"-")</f>
        <v>31.283954701677608</v>
      </c>
      <c r="G112" s="77">
        <f>IFERROR(IF($C$49=0,"-",C40/$C$49),"-")</f>
        <v>34.759949668530673</v>
      </c>
      <c r="H112" s="77">
        <f>IFERROR(IF($C$49=0,"-",C40*1.1/$C$49),"-")</f>
        <v>38.235944635383753</v>
      </c>
    </row>
    <row r="113" spans="2:8" x14ac:dyDescent="0.2">
      <c r="B113" s="88" t="s">
        <v>400</v>
      </c>
      <c r="C113" s="107">
        <f>$C$11*QUARTILE(J65:J67,1)</f>
        <v>10412.949270921386</v>
      </c>
      <c r="D113" s="107">
        <f>$C$11*MEDIAN(J65:J67)</f>
        <v>11230.5949704142</v>
      </c>
      <c r="E113" s="107">
        <f>$C$11*QUARTILE(J65:J67,3)</f>
        <v>12923.002403239887</v>
      </c>
      <c r="F113" s="135">
        <f>IFERROR(IF($C$49=0,"-",C113/$C$49),"-")</f>
        <v>31.951363212400697</v>
      </c>
      <c r="G113" s="135">
        <f t="shared" ref="F113:H114" si="5">IFERROR(IF($C$49=0,"-",D113/$C$49),"-")</f>
        <v>34.46024845171587</v>
      </c>
      <c r="H113" s="135">
        <f t="shared" si="5"/>
        <v>39.653275247744361</v>
      </c>
    </row>
    <row r="114" spans="2:8" x14ac:dyDescent="0.2">
      <c r="B114" s="88" t="s">
        <v>401</v>
      </c>
      <c r="C114" s="107">
        <f>$C$11*QUARTILE(J88:J95,1)</f>
        <v>0</v>
      </c>
      <c r="D114" s="107">
        <f>$C$11*MEDIAN(J88:J95)</f>
        <v>0</v>
      </c>
      <c r="E114" s="107">
        <f>$C$11*QUARTILE(J88:J95,3)</f>
        <v>0</v>
      </c>
      <c r="F114" s="135">
        <f t="shared" si="5"/>
        <v>0</v>
      </c>
      <c r="G114" s="135">
        <f t="shared" si="5"/>
        <v>0</v>
      </c>
      <c r="H114" s="135">
        <f t="shared" si="5"/>
        <v>0</v>
      </c>
    </row>
    <row r="115" spans="2:8" x14ac:dyDescent="0.2">
      <c r="B115" s="64" t="s">
        <v>402</v>
      </c>
      <c r="C115" s="78"/>
      <c r="D115" s="78"/>
      <c r="E115" s="78"/>
      <c r="F115" s="67"/>
      <c r="G115" s="67"/>
      <c r="H115" s="67"/>
    </row>
  </sheetData>
  <mergeCells count="5">
    <mergeCell ref="A2:L2"/>
    <mergeCell ref="A4:L4"/>
    <mergeCell ref="A63:L63"/>
    <mergeCell ref="A86:L86"/>
    <mergeCell ref="A109:L109"/>
  </mergeCells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5F420-76D7-3649-B3D8-0AE45E227C0B}">
  <dimension ref="A1:J37"/>
  <sheetViews>
    <sheetView zoomScale="150" workbookViewId="0">
      <pane ySplit="3" topLeftCell="A4" activePane="bottomLeft" state="frozen"/>
      <selection pane="bottomLeft" activeCell="E38" sqref="E38"/>
    </sheetView>
  </sheetViews>
  <sheetFormatPr baseColWidth="10" defaultRowHeight="16" x14ac:dyDescent="0.2"/>
  <cols>
    <col min="1" max="1" width="10.83203125" style="1"/>
    <col min="2" max="2" width="25.1640625" style="1" customWidth="1"/>
    <col min="3" max="3" width="21.33203125" style="1" customWidth="1"/>
    <col min="4" max="4" width="16.33203125" style="1" customWidth="1"/>
    <col min="5" max="5" width="10.83203125" style="1"/>
    <col min="6" max="6" width="30.5" style="1" customWidth="1"/>
    <col min="7" max="7" width="10.83203125" style="1"/>
    <col min="8" max="8" width="14.6640625" style="1" customWidth="1"/>
    <col min="9" max="16384" width="10.83203125" style="1"/>
  </cols>
  <sheetData>
    <row r="1" spans="1:10" x14ac:dyDescent="0.2">
      <c r="A1" s="2"/>
      <c r="B1" s="33" t="s">
        <v>77</v>
      </c>
      <c r="C1" s="2"/>
      <c r="D1" s="34" t="s">
        <v>78</v>
      </c>
      <c r="E1" s="2"/>
      <c r="F1" s="54" t="s">
        <v>142</v>
      </c>
      <c r="G1" s="2"/>
      <c r="H1" s="2"/>
      <c r="I1" s="2"/>
      <c r="J1" s="2"/>
    </row>
    <row r="2" spans="1:10" ht="20" x14ac:dyDescent="0.25">
      <c r="A2" s="244" t="s">
        <v>143</v>
      </c>
      <c r="B2" s="244"/>
      <c r="C2" s="244"/>
      <c r="D2" s="244"/>
      <c r="E2" s="244"/>
      <c r="F2" s="244"/>
      <c r="G2" s="244"/>
      <c r="H2" s="244"/>
      <c r="I2" s="244"/>
      <c r="J2" s="244"/>
    </row>
    <row r="4" spans="1:10" x14ac:dyDescent="0.2">
      <c r="A4" s="242" t="s">
        <v>144</v>
      </c>
      <c r="B4" s="242"/>
      <c r="C4" s="242"/>
      <c r="D4" s="242"/>
      <c r="F4" s="242" t="s">
        <v>156</v>
      </c>
      <c r="G4" s="242"/>
      <c r="H4" s="242"/>
    </row>
    <row r="5" spans="1:10" x14ac:dyDescent="0.2">
      <c r="B5" s="13" t="s">
        <v>145</v>
      </c>
      <c r="C5" s="189" t="s">
        <v>38</v>
      </c>
      <c r="D5" s="189" t="s">
        <v>51</v>
      </c>
      <c r="F5" s="13" t="s">
        <v>157</v>
      </c>
      <c r="G5" s="189" t="s">
        <v>38</v>
      </c>
      <c r="H5" s="189" t="s">
        <v>51</v>
      </c>
    </row>
    <row r="6" spans="1:10" x14ac:dyDescent="0.2">
      <c r="B6" s="241" t="s">
        <v>52</v>
      </c>
      <c r="C6" s="241"/>
      <c r="D6" s="241"/>
      <c r="F6" s="241" t="s">
        <v>158</v>
      </c>
      <c r="G6" s="241"/>
      <c r="H6" s="241"/>
    </row>
    <row r="7" spans="1:10" x14ac:dyDescent="0.2">
      <c r="B7" s="14" t="s">
        <v>53</v>
      </c>
      <c r="C7" s="44">
        <f>'Transaction Assumptions'!H7+G16</f>
        <v>3246</v>
      </c>
      <c r="D7" s="51">
        <f>IF(C22=0,0,C7/C22)</f>
        <v>0.24505511097689869</v>
      </c>
      <c r="F7" s="14" t="s">
        <v>159</v>
      </c>
      <c r="G7" s="44">
        <f>'Transaction Assumptions'!C24</f>
        <v>13036</v>
      </c>
      <c r="H7" s="51">
        <f>IF(G22=0,0,G7/G22)</f>
        <v>0.98414615733051491</v>
      </c>
    </row>
    <row r="8" spans="1:10" x14ac:dyDescent="0.2">
      <c r="B8" s="15" t="s">
        <v>146</v>
      </c>
      <c r="C8" s="45">
        <v>0</v>
      </c>
      <c r="D8" s="38">
        <f>IF(C22=0,0,C8/C22)</f>
        <v>0</v>
      </c>
      <c r="F8" s="15" t="s">
        <v>160</v>
      </c>
      <c r="G8" s="45">
        <v>0</v>
      </c>
      <c r="H8" s="38">
        <f>IF(G22=0,0,G8/G22)</f>
        <v>0</v>
      </c>
    </row>
    <row r="9" spans="1:10" x14ac:dyDescent="0.2">
      <c r="B9" s="14" t="s">
        <v>147</v>
      </c>
      <c r="C9" s="44">
        <v>0</v>
      </c>
      <c r="D9" s="51">
        <f>IF(C22=0,0,C9/C22)</f>
        <v>0</v>
      </c>
      <c r="F9" s="23" t="s">
        <v>161</v>
      </c>
      <c r="G9" s="47">
        <f>SUM(G7:G8)</f>
        <v>13036</v>
      </c>
      <c r="H9" s="55">
        <f>IF(G22=0,0,G9/G22)</f>
        <v>0.98414615733051491</v>
      </c>
    </row>
    <row r="10" spans="1:10" x14ac:dyDescent="0.2">
      <c r="B10" s="23" t="s">
        <v>148</v>
      </c>
      <c r="C10" s="47">
        <f>SUM(C7:C9)</f>
        <v>3246</v>
      </c>
      <c r="D10" s="55">
        <f>IF(C22=0,0,C10/C22)</f>
        <v>0.24505511097689869</v>
      </c>
    </row>
    <row r="11" spans="1:10" x14ac:dyDescent="0.2">
      <c r="F11" s="241" t="s">
        <v>162</v>
      </c>
      <c r="G11" s="241"/>
      <c r="H11" s="241"/>
    </row>
    <row r="12" spans="1:10" x14ac:dyDescent="0.2">
      <c r="B12" s="241" t="s">
        <v>149</v>
      </c>
      <c r="C12" s="241"/>
      <c r="D12" s="241"/>
      <c r="F12" s="15" t="s">
        <v>163</v>
      </c>
      <c r="G12" s="45">
        <f>'Transaction Assumptions'!C42+'Transaction Assumptions'!C43</f>
        <v>105</v>
      </c>
      <c r="H12" s="38">
        <f>IF(G22=0,0,G12/G22)</f>
        <v>7.9269213347425635E-3</v>
      </c>
    </row>
    <row r="13" spans="1:10" x14ac:dyDescent="0.2">
      <c r="B13" s="14" t="s">
        <v>56</v>
      </c>
      <c r="C13" s="44">
        <v>0</v>
      </c>
      <c r="D13" s="51">
        <f>IF(C22=0,0,C13/C22)</f>
        <v>0</v>
      </c>
      <c r="F13" s="14" t="s">
        <v>164</v>
      </c>
      <c r="G13" s="44">
        <f>'Transaction Assumptions'!C44</f>
        <v>30</v>
      </c>
      <c r="H13" s="51">
        <f>IF(G22=0,0,G13/G22)</f>
        <v>2.2648346670693037E-3</v>
      </c>
    </row>
    <row r="14" spans="1:10" x14ac:dyDescent="0.2">
      <c r="B14" s="15" t="s">
        <v>59</v>
      </c>
      <c r="C14" s="45">
        <f>4000</f>
        <v>4000</v>
      </c>
      <c r="D14" s="38">
        <f>IF(C22=0,0,C14/C22)</f>
        <v>0.30197795560924051</v>
      </c>
      <c r="F14" s="15" t="s">
        <v>42</v>
      </c>
      <c r="G14" s="45">
        <f>'Transaction Assumptions'!C46</f>
        <v>75</v>
      </c>
      <c r="H14" s="38">
        <f>IF(G22=0,0,G14/G22)</f>
        <v>5.6620866676732598E-3</v>
      </c>
    </row>
    <row r="15" spans="1:10" x14ac:dyDescent="0.2">
      <c r="B15" s="14" t="s">
        <v>60</v>
      </c>
      <c r="C15" s="44">
        <v>0</v>
      </c>
      <c r="D15" s="51">
        <f>IF(C22=0,0,C15/C22)</f>
        <v>0</v>
      </c>
      <c r="F15" s="14" t="s">
        <v>165</v>
      </c>
      <c r="G15" s="44">
        <v>0</v>
      </c>
      <c r="H15" s="51">
        <f>IF(G22=0,0,G15/G22)</f>
        <v>0</v>
      </c>
    </row>
    <row r="16" spans="1:10" x14ac:dyDescent="0.2">
      <c r="B16" s="15" t="s">
        <v>150</v>
      </c>
      <c r="C16" s="45">
        <v>3000</v>
      </c>
      <c r="D16" s="38">
        <f>IF(C22=0,0,C16/C22)</f>
        <v>0.2264834667069304</v>
      </c>
      <c r="F16" s="23" t="s">
        <v>166</v>
      </c>
      <c r="G16" s="47">
        <f>SUM(G12:G15)</f>
        <v>210</v>
      </c>
      <c r="H16" s="55">
        <f>IF(G22=0,0,G16/G22)</f>
        <v>1.5853842669485127E-2</v>
      </c>
    </row>
    <row r="17" spans="1:8" x14ac:dyDescent="0.2">
      <c r="B17" s="14" t="s">
        <v>151</v>
      </c>
      <c r="C17" s="44">
        <v>3000</v>
      </c>
      <c r="D17" s="51">
        <f>IF(C22=0,0,C17/C22)</f>
        <v>0.2264834667069304</v>
      </c>
    </row>
    <row r="18" spans="1:8" x14ac:dyDescent="0.2">
      <c r="B18" s="15" t="s">
        <v>152</v>
      </c>
      <c r="C18" s="45">
        <v>0</v>
      </c>
      <c r="D18" s="38">
        <f>IF(C22=0,0,C18/C22)</f>
        <v>0</v>
      </c>
      <c r="F18" s="241" t="s">
        <v>167</v>
      </c>
      <c r="G18" s="241"/>
      <c r="H18" s="241"/>
    </row>
    <row r="19" spans="1:8" x14ac:dyDescent="0.2">
      <c r="B19" s="23" t="s">
        <v>153</v>
      </c>
      <c r="C19" s="47">
        <f>SUM(C13:C18)</f>
        <v>10000</v>
      </c>
      <c r="D19" s="24"/>
      <c r="F19" s="14" t="s">
        <v>168</v>
      </c>
      <c r="G19" s="44">
        <v>0</v>
      </c>
      <c r="H19" s="51">
        <f>IF(G22=0,0,G19/G22)</f>
        <v>0</v>
      </c>
    </row>
    <row r="20" spans="1:8" x14ac:dyDescent="0.2">
      <c r="F20" s="15" t="s">
        <v>169</v>
      </c>
      <c r="G20" s="45">
        <v>0</v>
      </c>
      <c r="H20" s="38">
        <f>IF(G22=0,0,G20/G22)</f>
        <v>0</v>
      </c>
    </row>
    <row r="21" spans="1:8" x14ac:dyDescent="0.2">
      <c r="B21" s="14" t="s">
        <v>154</v>
      </c>
      <c r="C21" s="44"/>
      <c r="D21" s="51">
        <f>IF(C22=0,0,C21/C22)</f>
        <v>0</v>
      </c>
      <c r="F21" s="23" t="s">
        <v>170</v>
      </c>
      <c r="G21" s="47">
        <f>SUM(G19:G20)</f>
        <v>0</v>
      </c>
      <c r="H21" s="55">
        <f>IF(G22=0,0,G21/G22)</f>
        <v>0</v>
      </c>
    </row>
    <row r="22" spans="1:8" x14ac:dyDescent="0.2">
      <c r="B22" s="27" t="s">
        <v>155</v>
      </c>
      <c r="C22" s="47">
        <f>C10+C19+C21</f>
        <v>13246</v>
      </c>
      <c r="D22" s="53">
        <v>1</v>
      </c>
      <c r="F22" s="27" t="s">
        <v>171</v>
      </c>
      <c r="G22" s="47">
        <f>G9+G16+G21</f>
        <v>13246</v>
      </c>
      <c r="H22" s="53">
        <v>1</v>
      </c>
    </row>
    <row r="24" spans="1:8" x14ac:dyDescent="0.2">
      <c r="A24" s="242" t="s">
        <v>172</v>
      </c>
      <c r="B24" s="242"/>
      <c r="C24" s="242"/>
      <c r="D24" s="242"/>
      <c r="E24" s="242"/>
      <c r="F24" s="242"/>
      <c r="G24" s="242"/>
      <c r="H24" s="242"/>
    </row>
    <row r="25" spans="1:8" x14ac:dyDescent="0.2">
      <c r="B25" s="9" t="s">
        <v>61</v>
      </c>
      <c r="C25" s="46">
        <f>C22</f>
        <v>13246</v>
      </c>
      <c r="D25" s="8"/>
      <c r="E25" s="8"/>
      <c r="F25" s="9" t="s">
        <v>62</v>
      </c>
      <c r="G25" s="245">
        <f>G22</f>
        <v>13246</v>
      </c>
      <c r="H25" s="245"/>
    </row>
    <row r="26" spans="1:8" x14ac:dyDescent="0.2">
      <c r="B26" s="27" t="s">
        <v>173</v>
      </c>
      <c r="C26" s="47">
        <f>C22-G22</f>
        <v>0</v>
      </c>
      <c r="D26" s="24"/>
      <c r="E26" s="24"/>
      <c r="F26" s="27" t="s">
        <v>174</v>
      </c>
      <c r="G26" s="243" t="str">
        <f>IF(ABS(C26)&lt;1,"✓ Balanced",IF(C26&gt;0,"Surplus: "&amp;TEXT(C26,"$#,##0"),"DEFICIT: "&amp;TEXT(ABS(C26),"$#,##0")))</f>
        <v>✓ Balanced</v>
      </c>
      <c r="H26" s="243"/>
    </row>
    <row r="28" spans="1:8" x14ac:dyDescent="0.2">
      <c r="A28" s="242" t="s">
        <v>175</v>
      </c>
      <c r="B28" s="242"/>
      <c r="C28" s="242"/>
      <c r="D28" s="242"/>
      <c r="E28" s="242"/>
      <c r="F28" s="242"/>
      <c r="G28" s="242"/>
      <c r="H28" s="242"/>
    </row>
    <row r="29" spans="1:8" x14ac:dyDescent="0.2">
      <c r="B29" s="13" t="s">
        <v>1</v>
      </c>
      <c r="C29" s="189" t="s">
        <v>38</v>
      </c>
      <c r="D29" s="189" t="s">
        <v>176</v>
      </c>
    </row>
    <row r="30" spans="1:8" x14ac:dyDescent="0.2">
      <c r="B30" s="15" t="s">
        <v>65</v>
      </c>
      <c r="C30" s="42">
        <f>C19</f>
        <v>10000</v>
      </c>
      <c r="D30" s="4"/>
    </row>
    <row r="31" spans="1:8" x14ac:dyDescent="0.2">
      <c r="B31" s="14" t="s">
        <v>177</v>
      </c>
      <c r="C31" s="44"/>
      <c r="D31" s="8"/>
    </row>
    <row r="32" spans="1:8" x14ac:dyDescent="0.2">
      <c r="B32" s="23" t="s">
        <v>66</v>
      </c>
      <c r="C32" s="47">
        <f>C30-C31</f>
        <v>10000</v>
      </c>
      <c r="D32" s="24"/>
    </row>
    <row r="33" spans="2:4" x14ac:dyDescent="0.2">
      <c r="B33" s="14" t="s">
        <v>178</v>
      </c>
      <c r="C33" s="240">
        <f>'Target Standalone'!F22</f>
        <v>952.49999999999977</v>
      </c>
      <c r="D33" s="8"/>
    </row>
    <row r="34" spans="2:4" x14ac:dyDescent="0.2">
      <c r="B34" s="15" t="s">
        <v>67</v>
      </c>
      <c r="C34" s="42">
        <f>C30</f>
        <v>10000</v>
      </c>
      <c r="D34" s="50">
        <f>IF(C33=0,0,C30/C33)</f>
        <v>10.498687664041997</v>
      </c>
    </row>
    <row r="35" spans="2:4" x14ac:dyDescent="0.2">
      <c r="B35" s="14" t="s">
        <v>68</v>
      </c>
      <c r="C35" s="46">
        <f>C32</f>
        <v>10000</v>
      </c>
      <c r="D35" s="49">
        <f>IF(C33=0,0,C32/C33)</f>
        <v>10.498687664041997</v>
      </c>
    </row>
    <row r="36" spans="2:4" x14ac:dyDescent="0.2">
      <c r="B36" s="15" t="s">
        <v>179</v>
      </c>
      <c r="C36" s="45"/>
      <c r="D36" s="4"/>
    </row>
    <row r="37" spans="2:4" x14ac:dyDescent="0.2">
      <c r="B37" s="23" t="s">
        <v>180</v>
      </c>
      <c r="C37" s="47">
        <f ca="1">C37+C32</f>
        <v>314100000</v>
      </c>
      <c r="D37" s="24"/>
    </row>
  </sheetData>
  <mergeCells count="12">
    <mergeCell ref="F18:H18"/>
    <mergeCell ref="A24:H24"/>
    <mergeCell ref="G26:H26"/>
    <mergeCell ref="A28:H28"/>
    <mergeCell ref="A2:J2"/>
    <mergeCell ref="A4:D4"/>
    <mergeCell ref="B6:D6"/>
    <mergeCell ref="B12:D12"/>
    <mergeCell ref="F4:H4"/>
    <mergeCell ref="F6:H6"/>
    <mergeCell ref="F11:H11"/>
    <mergeCell ref="G25:H2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ACD3D-E648-E042-9170-B884DEDFFF2F}">
  <dimension ref="A1:O120"/>
  <sheetViews>
    <sheetView zoomScale="115" workbookViewId="0">
      <pane ySplit="3" topLeftCell="A4" activePane="bottomLeft" state="frozen"/>
      <selection pane="bottomLeft" activeCell="B62" sqref="B62"/>
    </sheetView>
  </sheetViews>
  <sheetFormatPr baseColWidth="10" defaultRowHeight="16" x14ac:dyDescent="0.2"/>
  <cols>
    <col min="1" max="1" width="10.83203125" style="1"/>
    <col min="2" max="2" width="33.83203125" style="1" customWidth="1"/>
    <col min="3" max="6" width="14.6640625" style="1" customWidth="1"/>
    <col min="7" max="7" width="22.33203125" style="1" customWidth="1"/>
    <col min="8" max="10" width="14.6640625" style="1" customWidth="1"/>
    <col min="11" max="16384" width="10.83203125" style="1"/>
  </cols>
  <sheetData>
    <row r="1" spans="1:15" x14ac:dyDescent="0.2">
      <c r="A1" s="136"/>
      <c r="B1" s="83" t="s">
        <v>77</v>
      </c>
      <c r="C1" s="136"/>
      <c r="D1" s="84" t="s">
        <v>78</v>
      </c>
      <c r="E1" s="136"/>
      <c r="F1" s="140" t="s">
        <v>142</v>
      </c>
      <c r="G1" s="136"/>
      <c r="H1" s="110" t="s">
        <v>303</v>
      </c>
      <c r="I1" s="136"/>
      <c r="J1" s="136"/>
      <c r="K1" s="136"/>
      <c r="L1" s="136"/>
      <c r="M1" s="136"/>
      <c r="N1" s="136"/>
      <c r="O1" s="136"/>
    </row>
    <row r="2" spans="1:15" ht="19" x14ac:dyDescent="0.25">
      <c r="A2" s="255" t="s">
        <v>507</v>
      </c>
      <c r="B2" s="272"/>
      <c r="C2" s="272"/>
      <c r="D2" s="272"/>
      <c r="E2" s="272"/>
      <c r="F2" s="272"/>
      <c r="G2" s="272"/>
      <c r="H2" s="272"/>
      <c r="I2" s="272"/>
      <c r="J2" s="272"/>
      <c r="K2" s="151"/>
      <c r="L2" s="151"/>
      <c r="M2" s="151"/>
      <c r="N2" s="151"/>
      <c r="O2" s="151"/>
    </row>
    <row r="3" spans="1:15" ht="17" thickBot="1" x14ac:dyDescent="0.25">
      <c r="A3" s="3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</row>
    <row r="4" spans="1:15" ht="22" customHeight="1" x14ac:dyDescent="0.2">
      <c r="A4" s="330" t="s">
        <v>508</v>
      </c>
      <c r="B4" s="331"/>
      <c r="C4" s="331"/>
      <c r="D4" s="331"/>
      <c r="E4" s="331"/>
      <c r="F4" s="332"/>
      <c r="G4" s="332"/>
      <c r="H4" s="332"/>
      <c r="I4" s="332"/>
      <c r="J4" s="332"/>
      <c r="K4" s="3"/>
      <c r="L4" s="3"/>
      <c r="M4" s="3"/>
      <c r="N4" s="3"/>
      <c r="O4" s="3"/>
    </row>
    <row r="5" spans="1:15" ht="17" customHeight="1" x14ac:dyDescent="0.2">
      <c r="A5" s="3"/>
      <c r="B5" s="285" t="s">
        <v>1</v>
      </c>
      <c r="C5" s="283" t="s">
        <v>509</v>
      </c>
      <c r="D5" s="283" t="s">
        <v>510</v>
      </c>
      <c r="E5" s="283" t="s">
        <v>511</v>
      </c>
      <c r="F5" s="293"/>
      <c r="G5" s="293"/>
      <c r="H5" s="294"/>
      <c r="I5" s="294"/>
      <c r="J5" s="294"/>
      <c r="K5" s="3"/>
      <c r="L5" s="3"/>
      <c r="M5" s="3"/>
      <c r="N5" s="3"/>
      <c r="O5" s="3"/>
    </row>
    <row r="6" spans="1:15" ht="17" customHeight="1" x14ac:dyDescent="0.2">
      <c r="A6" s="3"/>
      <c r="B6" s="286" t="s">
        <v>512</v>
      </c>
      <c r="C6" s="295">
        <f ca="1">'Acquirer Standalone'!G31</f>
        <v>1491.9404403873743</v>
      </c>
      <c r="D6" s="295">
        <f ca="1">'Acquirer Standalone'!H31</f>
        <v>1610.8830422194656</v>
      </c>
      <c r="E6" s="295">
        <f ca="1">'Acquirer Standalone'!I31</f>
        <v>1741.2602021506038</v>
      </c>
      <c r="F6" s="296"/>
      <c r="G6" s="296"/>
      <c r="H6" s="296"/>
      <c r="I6" s="296"/>
      <c r="J6" s="296"/>
      <c r="K6" s="3"/>
      <c r="L6" s="3"/>
      <c r="M6" s="3"/>
      <c r="N6" s="3"/>
      <c r="O6" s="3"/>
    </row>
    <row r="7" spans="1:15" ht="17" customHeight="1" x14ac:dyDescent="0.2">
      <c r="A7" s="3"/>
      <c r="B7" s="286" t="s">
        <v>18</v>
      </c>
      <c r="C7" s="295">
        <f>'Acquirer Standalone'!G35</f>
        <v>1299</v>
      </c>
      <c r="D7" s="295">
        <f>'Acquirer Standalone'!H35</f>
        <v>1299</v>
      </c>
      <c r="E7" s="295">
        <f>'Acquirer Standalone'!I35</f>
        <v>1299</v>
      </c>
      <c r="F7" s="296"/>
      <c r="G7" s="296"/>
      <c r="H7" s="296"/>
      <c r="I7" s="296"/>
      <c r="J7" s="296"/>
      <c r="K7" s="3"/>
      <c r="L7" s="3"/>
      <c r="M7" s="3"/>
      <c r="N7" s="3"/>
      <c r="O7" s="3"/>
    </row>
    <row r="8" spans="1:15" ht="17" customHeight="1" x14ac:dyDescent="0.2">
      <c r="A8" s="3"/>
      <c r="B8" s="286" t="s">
        <v>221</v>
      </c>
      <c r="C8" s="295">
        <f>'Acquirer Standalone'!G36</f>
        <v>1316</v>
      </c>
      <c r="D8" s="295">
        <f>'Acquirer Standalone'!H36</f>
        <v>1316</v>
      </c>
      <c r="E8" s="295">
        <f>'Acquirer Standalone'!I36</f>
        <v>1316</v>
      </c>
      <c r="F8" s="296"/>
      <c r="G8" s="296"/>
      <c r="H8" s="296"/>
      <c r="I8" s="296"/>
      <c r="J8" s="296"/>
      <c r="K8" s="3"/>
      <c r="L8" s="3"/>
      <c r="M8" s="3"/>
      <c r="N8" s="3"/>
      <c r="O8" s="3"/>
    </row>
    <row r="9" spans="1:15" ht="17" customHeight="1" x14ac:dyDescent="0.2">
      <c r="A9" s="3"/>
      <c r="B9" s="287" t="s">
        <v>219</v>
      </c>
      <c r="C9" s="297">
        <f ca="1">IFERROR(C6/C7,"-")</f>
        <v>1.1485299772035213</v>
      </c>
      <c r="D9" s="297">
        <f ca="1">IFERROR(D6/D7,"-")</f>
        <v>1.2400947207232222</v>
      </c>
      <c r="E9" s="297">
        <f ca="1">IFERROR(E6/E7,"-")</f>
        <v>1.3404620493846064</v>
      </c>
      <c r="F9" s="298"/>
      <c r="G9" s="298"/>
      <c r="H9" s="298"/>
      <c r="I9" s="298"/>
      <c r="J9" s="298"/>
      <c r="K9" s="3"/>
      <c r="L9" s="3"/>
      <c r="M9" s="3"/>
      <c r="N9" s="3"/>
      <c r="O9" s="3"/>
    </row>
    <row r="10" spans="1:15" ht="17" customHeight="1" x14ac:dyDescent="0.2">
      <c r="A10" s="3"/>
      <c r="B10" s="287" t="s">
        <v>220</v>
      </c>
      <c r="C10" s="297">
        <f ca="1">IFERROR(C6/C8,"-")</f>
        <v>1.133693343759403</v>
      </c>
      <c r="D10" s="297">
        <f ca="1">IFERROR(D6/D8,"-")</f>
        <v>1.2240752600451865</v>
      </c>
      <c r="E10" s="297">
        <f ca="1">IFERROR(E6/E8,"-")</f>
        <v>1.3231460502664163</v>
      </c>
      <c r="F10" s="298"/>
      <c r="G10" s="298"/>
      <c r="H10" s="298"/>
      <c r="I10" s="298"/>
      <c r="J10" s="298"/>
      <c r="K10" s="3"/>
      <c r="L10" s="3"/>
      <c r="M10" s="3"/>
      <c r="N10" s="3"/>
      <c r="O10" s="3"/>
    </row>
    <row r="11" spans="1:15" ht="17" customHeight="1" x14ac:dyDescent="0.2">
      <c r="A11" s="3"/>
      <c r="B11" s="288" t="s">
        <v>513</v>
      </c>
      <c r="C11" s="299"/>
      <c r="D11" s="299"/>
      <c r="E11" s="299"/>
      <c r="F11" s="300"/>
      <c r="G11" s="300"/>
      <c r="H11" s="300"/>
      <c r="I11" s="300"/>
      <c r="J11" s="300"/>
      <c r="K11" s="3"/>
      <c r="L11" s="3"/>
      <c r="M11" s="3"/>
      <c r="N11" s="3"/>
      <c r="O11" s="3"/>
    </row>
    <row r="12" spans="1:15" ht="17" customHeight="1" thickBot="1" x14ac:dyDescent="0.25">
      <c r="A12" s="3"/>
      <c r="B12" s="319" t="s">
        <v>514</v>
      </c>
      <c r="C12" s="320">
        <f ca="1">IFERROR(C10-C11,"-")</f>
        <v>1.133693343759403</v>
      </c>
      <c r="D12" s="320">
        <f ca="1">IFERROR(D10-D11,"-")</f>
        <v>1.2240752600451865</v>
      </c>
      <c r="E12" s="320">
        <f ca="1">IFERROR(E10-E11,"-")</f>
        <v>1.3231460502664163</v>
      </c>
      <c r="F12" s="321"/>
      <c r="G12" s="321"/>
      <c r="H12" s="321"/>
      <c r="I12" s="321"/>
      <c r="J12" s="321"/>
      <c r="K12" s="3"/>
      <c r="L12" s="3"/>
      <c r="M12" s="3"/>
      <c r="N12" s="3"/>
      <c r="O12" s="3"/>
    </row>
    <row r="13" spans="1:15" ht="17" customHeight="1" thickBot="1" x14ac:dyDescent="0.25">
      <c r="A13" s="3"/>
      <c r="B13" s="289"/>
      <c r="C13" s="302"/>
      <c r="D13" s="302"/>
      <c r="E13" s="302"/>
      <c r="F13" s="302"/>
      <c r="G13" s="302"/>
      <c r="H13" s="303"/>
      <c r="I13" s="303"/>
      <c r="J13" s="303"/>
      <c r="K13" s="3"/>
      <c r="L13" s="3"/>
      <c r="M13" s="3"/>
      <c r="N13" s="3"/>
      <c r="O13" s="3"/>
    </row>
    <row r="14" spans="1:15" ht="22" customHeight="1" x14ac:dyDescent="0.2">
      <c r="A14" s="330" t="s">
        <v>515</v>
      </c>
      <c r="B14" s="333"/>
      <c r="C14" s="334"/>
      <c r="D14" s="334"/>
      <c r="E14" s="334"/>
      <c r="F14" s="335"/>
      <c r="G14" s="335"/>
      <c r="H14" s="335"/>
      <c r="I14" s="335"/>
      <c r="J14" s="335"/>
      <c r="K14" s="3"/>
      <c r="L14" s="3"/>
      <c r="M14" s="3"/>
      <c r="N14" s="3"/>
      <c r="O14" s="3"/>
    </row>
    <row r="15" spans="1:15" ht="17" customHeight="1" x14ac:dyDescent="0.2">
      <c r="A15" s="3"/>
      <c r="B15" s="285" t="s">
        <v>1</v>
      </c>
      <c r="C15" s="283" t="s">
        <v>509</v>
      </c>
      <c r="D15" s="283" t="s">
        <v>510</v>
      </c>
      <c r="E15" s="283" t="s">
        <v>511</v>
      </c>
      <c r="F15" s="294"/>
      <c r="G15" s="294"/>
      <c r="H15" s="294"/>
      <c r="I15" s="294"/>
      <c r="J15" s="294"/>
      <c r="K15" s="3"/>
      <c r="L15" s="3"/>
      <c r="M15" s="3"/>
      <c r="N15" s="3"/>
      <c r="O15" s="3"/>
    </row>
    <row r="16" spans="1:15" ht="17" customHeight="1" x14ac:dyDescent="0.2">
      <c r="A16" s="3"/>
      <c r="B16" s="290" t="s">
        <v>516</v>
      </c>
      <c r="C16" s="304"/>
      <c r="D16" s="304"/>
      <c r="E16" s="304"/>
      <c r="F16" s="304"/>
      <c r="G16" s="304"/>
      <c r="H16" s="304"/>
      <c r="I16" s="304"/>
      <c r="J16" s="304"/>
      <c r="K16" s="3"/>
      <c r="L16" s="3"/>
      <c r="M16" s="3"/>
      <c r="N16" s="3"/>
      <c r="O16" s="3"/>
    </row>
    <row r="17" spans="1:15" ht="17" customHeight="1" x14ac:dyDescent="0.2">
      <c r="A17" s="339"/>
      <c r="B17" s="286" t="s">
        <v>517</v>
      </c>
      <c r="C17" s="295">
        <f ca="1">C6</f>
        <v>1491.9404403873743</v>
      </c>
      <c r="D17" s="295">
        <f ca="1">D6</f>
        <v>1610.8830422194656</v>
      </c>
      <c r="E17" s="295">
        <f ca="1">E6</f>
        <v>1741.2602021506038</v>
      </c>
      <c r="F17" s="296"/>
      <c r="G17" s="296"/>
      <c r="H17" s="296"/>
      <c r="I17" s="296"/>
      <c r="J17" s="296"/>
      <c r="K17" s="3"/>
      <c r="L17" s="3"/>
      <c r="M17" s="3"/>
      <c r="N17" s="3"/>
      <c r="O17" s="3"/>
    </row>
    <row r="18" spans="1:15" ht="17" customHeight="1" x14ac:dyDescent="0.2">
      <c r="A18" s="3"/>
      <c r="B18" s="290" t="s">
        <v>518</v>
      </c>
      <c r="C18" s="305"/>
      <c r="D18" s="305"/>
      <c r="E18" s="305"/>
      <c r="F18" s="305"/>
      <c r="G18" s="305"/>
      <c r="H18" s="304"/>
      <c r="I18" s="304"/>
      <c r="J18" s="304"/>
      <c r="K18" s="3"/>
      <c r="L18" s="3"/>
      <c r="M18" s="3"/>
      <c r="N18" s="3"/>
      <c r="O18" s="3"/>
    </row>
    <row r="19" spans="1:15" ht="17" customHeight="1" x14ac:dyDescent="0.2">
      <c r="A19" s="3"/>
      <c r="B19" s="286" t="s">
        <v>519</v>
      </c>
      <c r="C19" s="306">
        <f ca="1">'Target Standalone'!G31</f>
        <v>665.83761163711972</v>
      </c>
      <c r="D19" s="306">
        <f ca="1">'Target Standalone'!H31</f>
        <v>740.957906832974</v>
      </c>
      <c r="E19" s="306">
        <f ca="1">'Target Standalone'!I31</f>
        <v>815.84575468513322</v>
      </c>
      <c r="F19" s="296"/>
      <c r="G19" s="296"/>
      <c r="H19" s="296"/>
      <c r="I19" s="296"/>
      <c r="J19" s="296"/>
      <c r="K19" s="3"/>
      <c r="L19" s="3"/>
      <c r="M19" s="3"/>
      <c r="N19" s="3"/>
      <c r="O19" s="3"/>
    </row>
    <row r="20" spans="1:15" ht="17" customHeight="1" x14ac:dyDescent="0.2">
      <c r="A20" s="3"/>
      <c r="B20" s="286" t="s">
        <v>520</v>
      </c>
      <c r="C20" s="306">
        <f ca="1">-C19</f>
        <v>-665.83761163711972</v>
      </c>
      <c r="D20" s="306">
        <f ca="1">-D19</f>
        <v>-740.957906832974</v>
      </c>
      <c r="E20" s="306">
        <f ca="1">-E19</f>
        <v>-815.84575468513322</v>
      </c>
      <c r="F20" s="296"/>
      <c r="G20" s="296"/>
      <c r="H20" s="296"/>
      <c r="I20" s="296"/>
      <c r="J20" s="296"/>
      <c r="K20" s="3"/>
      <c r="L20" s="3"/>
      <c r="M20" s="3"/>
      <c r="N20" s="3"/>
      <c r="O20" s="3"/>
    </row>
    <row r="21" spans="1:15" ht="17" customHeight="1" x14ac:dyDescent="0.2">
      <c r="A21" s="3"/>
      <c r="B21" s="290" t="s">
        <v>521</v>
      </c>
      <c r="C21" s="304"/>
      <c r="D21" s="304"/>
      <c r="E21" s="304"/>
      <c r="F21" s="304"/>
      <c r="G21" s="304"/>
      <c r="H21" s="304"/>
      <c r="I21" s="304"/>
      <c r="J21" s="304"/>
      <c r="K21" s="3"/>
      <c r="L21" s="3"/>
      <c r="M21" s="3"/>
      <c r="N21" s="3"/>
      <c r="O21" s="3"/>
    </row>
    <row r="22" spans="1:15" ht="17" customHeight="1" x14ac:dyDescent="0.2">
      <c r="A22" s="3"/>
      <c r="B22" s="286" t="s">
        <v>522</v>
      </c>
      <c r="C22" s="295">
        <f>-'PPA &amp; BS Adjustments'!C79*(1-0.21)</f>
        <v>-327.76621485714287</v>
      </c>
      <c r="D22" s="295">
        <f>-'PPA &amp; BS Adjustments'!D79*(1-0.21)</f>
        <v>-290.16221485714283</v>
      </c>
      <c r="E22" s="295">
        <f>-'PPA &amp; BS Adjustments'!E79*(1-0.21)</f>
        <v>-290.16221485714283</v>
      </c>
      <c r="F22" s="296"/>
      <c r="G22" s="296"/>
      <c r="H22" s="296"/>
      <c r="I22" s="296"/>
      <c r="J22" s="296"/>
      <c r="K22" s="3"/>
      <c r="L22" s="3"/>
      <c r="M22" s="3"/>
      <c r="N22" s="3"/>
      <c r="O22" s="3"/>
    </row>
    <row r="23" spans="1:15" ht="17" customHeight="1" x14ac:dyDescent="0.2">
      <c r="A23" s="3"/>
      <c r="B23" s="286" t="s">
        <v>523</v>
      </c>
      <c r="C23" s="295">
        <f>-'PPA &amp; BS Adjustments'!E28*(1-0.21)</f>
        <v>-37.604000000000021</v>
      </c>
      <c r="D23" s="295">
        <v>0</v>
      </c>
      <c r="E23" s="295">
        <v>0</v>
      </c>
      <c r="F23" s="296"/>
      <c r="G23" s="296"/>
      <c r="H23" s="296"/>
      <c r="I23" s="296"/>
      <c r="J23" s="296"/>
      <c r="K23" s="3"/>
      <c r="L23" s="3"/>
      <c r="M23" s="3"/>
      <c r="N23" s="3"/>
      <c r="O23" s="3"/>
    </row>
    <row r="24" spans="1:15" ht="17" customHeight="1" x14ac:dyDescent="0.2">
      <c r="A24" s="3"/>
      <c r="B24" s="286" t="s">
        <v>524</v>
      </c>
      <c r="C24" s="295">
        <f>-('Sources &amp; Uses'!C19*0.058)*(1-0.21)</f>
        <v>-458.20000000000005</v>
      </c>
      <c r="D24" s="295">
        <f>C24</f>
        <v>-458.20000000000005</v>
      </c>
      <c r="E24" s="295">
        <f>C24</f>
        <v>-458.20000000000005</v>
      </c>
      <c r="F24" s="296"/>
      <c r="G24" s="296"/>
      <c r="H24" s="296"/>
      <c r="I24" s="296"/>
      <c r="J24" s="296"/>
      <c r="K24" s="3"/>
      <c r="L24" s="3"/>
      <c r="M24" s="3"/>
      <c r="N24" s="3"/>
      <c r="O24" s="3"/>
    </row>
    <row r="25" spans="1:15" ht="17" customHeight="1" x14ac:dyDescent="0.2">
      <c r="A25" s="3"/>
      <c r="B25" s="286" t="s">
        <v>525</v>
      </c>
      <c r="C25" s="295">
        <f>'Synergy Assumptions'!C18*(1-0.21)</f>
        <v>99.005082059194507</v>
      </c>
      <c r="D25" s="295">
        <f>'Synergy Assumptions'!D18*(1-0.21)</f>
        <v>198.01016411838901</v>
      </c>
      <c r="E25" s="295">
        <f>'Synergy Assumptions'!E18*(1-0.21)</f>
        <v>316.81626258942248</v>
      </c>
      <c r="F25" s="296"/>
      <c r="G25" s="296"/>
      <c r="H25" s="296"/>
      <c r="I25" s="296"/>
      <c r="J25" s="296"/>
      <c r="K25" s="3"/>
      <c r="L25" s="3"/>
      <c r="M25" s="3"/>
      <c r="N25" s="3"/>
      <c r="O25" s="3"/>
    </row>
    <row r="26" spans="1:15" ht="17" customHeight="1" x14ac:dyDescent="0.2">
      <c r="A26" s="3"/>
      <c r="B26" s="286" t="s">
        <v>526</v>
      </c>
      <c r="C26" s="295">
        <f>'Synergy Assumptions'!C10*(1-0.21)</f>
        <v>0</v>
      </c>
      <c r="D26" s="295">
        <f>'Synergy Assumptions'!D10*(1-0.21)</f>
        <v>0</v>
      </c>
      <c r="E26" s="295">
        <f>'Synergy Assumptions'!E10*(1-0.21)</f>
        <v>0</v>
      </c>
      <c r="F26" s="296"/>
      <c r="G26" s="296"/>
      <c r="H26" s="296"/>
      <c r="I26" s="296"/>
      <c r="J26" s="296"/>
      <c r="K26" s="3"/>
      <c r="L26" s="3"/>
      <c r="M26" s="3"/>
      <c r="N26" s="3"/>
      <c r="O26" s="3"/>
    </row>
    <row r="27" spans="1:15" ht="17" customHeight="1" x14ac:dyDescent="0.2">
      <c r="A27" s="3"/>
      <c r="B27" s="286" t="s">
        <v>527</v>
      </c>
      <c r="C27" s="295">
        <f>-'Synergy Assumptions'!C29*(1-0.21)</f>
        <v>-132.00677607892601</v>
      </c>
      <c r="D27" s="295">
        <f>-'Synergy Assumptions'!D29*(1-0.21)</f>
        <v>-132.00677607892601</v>
      </c>
      <c r="E27" s="295">
        <f>-'Synergy Assumptions'!E29*(1-0.21)</f>
        <v>0</v>
      </c>
      <c r="F27" s="296"/>
      <c r="G27" s="296"/>
      <c r="H27" s="296"/>
      <c r="I27" s="296"/>
      <c r="J27" s="296"/>
      <c r="K27" s="3"/>
      <c r="L27" s="3"/>
      <c r="M27" s="3"/>
      <c r="N27" s="3"/>
      <c r="O27" s="3"/>
    </row>
    <row r="28" spans="1:15" ht="17" customHeight="1" x14ac:dyDescent="0.2">
      <c r="A28" s="3"/>
      <c r="B28" s="286" t="s">
        <v>528</v>
      </c>
      <c r="C28" s="295"/>
      <c r="D28" s="295"/>
      <c r="E28" s="295"/>
      <c r="F28" s="296"/>
      <c r="G28" s="296"/>
      <c r="H28" s="296"/>
      <c r="I28" s="296"/>
      <c r="J28" s="296"/>
      <c r="K28" s="3"/>
      <c r="L28" s="3"/>
      <c r="M28" s="3"/>
      <c r="N28" s="3"/>
      <c r="O28" s="3"/>
    </row>
    <row r="29" spans="1:15" ht="17" customHeight="1" thickBot="1" x14ac:dyDescent="0.25">
      <c r="A29" s="3"/>
      <c r="B29" s="322" t="s">
        <v>529</v>
      </c>
      <c r="C29" s="323">
        <f>SUM(C22:C28)</f>
        <v>-856.57190887687443</v>
      </c>
      <c r="D29" s="323">
        <f>SUM(D22:D28)</f>
        <v>-682.35882681767987</v>
      </c>
      <c r="E29" s="323">
        <f>SUM(E22:E28)</f>
        <v>-431.54595226772034</v>
      </c>
      <c r="F29" s="324"/>
      <c r="G29" s="324"/>
      <c r="H29" s="324"/>
      <c r="I29" s="324"/>
      <c r="J29" s="324"/>
      <c r="K29" s="3"/>
      <c r="L29" s="3"/>
      <c r="M29" s="3"/>
      <c r="N29" s="3"/>
      <c r="O29" s="3"/>
    </row>
    <row r="30" spans="1:15" ht="17" customHeight="1" x14ac:dyDescent="0.2">
      <c r="A30" s="3"/>
      <c r="B30" s="290" t="s">
        <v>530</v>
      </c>
      <c r="C30" s="304"/>
      <c r="D30" s="304"/>
      <c r="E30" s="304"/>
      <c r="F30" s="304"/>
      <c r="G30" s="304"/>
      <c r="H30" s="304"/>
      <c r="I30" s="304"/>
      <c r="J30" s="304"/>
      <c r="K30" s="3"/>
      <c r="L30" s="3"/>
      <c r="M30" s="3"/>
      <c r="N30" s="3"/>
      <c r="O30" s="3"/>
    </row>
    <row r="31" spans="1:15" ht="17" customHeight="1" thickBot="1" x14ac:dyDescent="0.25">
      <c r="A31" s="3"/>
      <c r="B31" s="325" t="s">
        <v>501</v>
      </c>
      <c r="C31" s="326">
        <f ca="1">C17+C19+C20+C29</f>
        <v>635.36853151050013</v>
      </c>
      <c r="D31" s="326">
        <f ca="1">D17+D19+D20+D29</f>
        <v>928.52421540178568</v>
      </c>
      <c r="E31" s="326">
        <f ca="1">E17+E19+E20+E29</f>
        <v>1309.7142498828832</v>
      </c>
      <c r="F31" s="327"/>
      <c r="G31" s="327"/>
      <c r="H31" s="327"/>
      <c r="I31" s="327"/>
      <c r="J31" s="327"/>
      <c r="K31" s="3"/>
      <c r="L31" s="3"/>
      <c r="M31" s="3"/>
      <c r="N31" s="3"/>
      <c r="O31" s="3"/>
    </row>
    <row r="32" spans="1:15" ht="17" customHeight="1" x14ac:dyDescent="0.2">
      <c r="A32" s="3"/>
      <c r="B32" s="286" t="s">
        <v>531</v>
      </c>
      <c r="C32" s="295">
        <f>C8</f>
        <v>1316</v>
      </c>
      <c r="D32" s="295">
        <f>D8</f>
        <v>1316</v>
      </c>
      <c r="E32" s="295">
        <f>E8</f>
        <v>1316</v>
      </c>
      <c r="F32" s="296"/>
      <c r="G32" s="296"/>
      <c r="H32" s="296"/>
      <c r="I32" s="296"/>
      <c r="J32" s="296"/>
      <c r="K32" s="3"/>
      <c r="L32" s="3"/>
      <c r="M32" s="3"/>
      <c r="N32" s="3"/>
      <c r="O32" s="3"/>
    </row>
    <row r="33" spans="1:15" ht="17" customHeight="1" x14ac:dyDescent="0.2">
      <c r="A33" s="339"/>
      <c r="B33" s="291" t="s">
        <v>532</v>
      </c>
      <c r="C33" s="307">
        <f ca="1">IFERROR(C31/C32,"-")</f>
        <v>0.48280283549430103</v>
      </c>
      <c r="D33" s="307">
        <f ca="1">IFERROR(D31/D32,"-")</f>
        <v>0.70556551322324135</v>
      </c>
      <c r="E33" s="307">
        <f ca="1">IFERROR(E31/E32,"-")</f>
        <v>0.99522359413592953</v>
      </c>
      <c r="F33" s="294"/>
      <c r="G33" s="294"/>
      <c r="H33" s="294"/>
      <c r="I33" s="294"/>
      <c r="J33" s="294"/>
      <c r="K33" s="3"/>
      <c r="L33" s="3"/>
      <c r="M33" s="3"/>
      <c r="N33" s="3"/>
      <c r="O33" s="3"/>
    </row>
    <row r="34" spans="1:15" ht="17" customHeight="1" x14ac:dyDescent="0.2">
      <c r="A34" s="3"/>
      <c r="B34" s="291" t="s">
        <v>533</v>
      </c>
      <c r="C34" s="307">
        <f ca="1">IFERROR(C10,"-")</f>
        <v>1.133693343759403</v>
      </c>
      <c r="D34" s="307">
        <f ca="1">IFERROR(D10,"-")</f>
        <v>1.2240752600451865</v>
      </c>
      <c r="E34" s="307">
        <f ca="1">IFERROR(E10,"-")</f>
        <v>1.3231460502664163</v>
      </c>
      <c r="F34" s="293"/>
      <c r="G34" s="293"/>
      <c r="H34" s="294"/>
      <c r="I34" s="294"/>
      <c r="J34" s="294"/>
      <c r="K34" s="3"/>
      <c r="L34" s="3"/>
      <c r="M34" s="3"/>
      <c r="N34" s="3"/>
      <c r="O34" s="3"/>
    </row>
    <row r="35" spans="1:15" ht="17" customHeight="1" thickBot="1" x14ac:dyDescent="0.25">
      <c r="A35" s="3"/>
      <c r="B35" s="289"/>
      <c r="C35" s="302"/>
      <c r="D35" s="302"/>
      <c r="E35" s="302"/>
      <c r="F35" s="302"/>
      <c r="G35" s="302"/>
      <c r="H35" s="303"/>
      <c r="I35" s="303"/>
      <c r="J35" s="303"/>
      <c r="K35" s="3"/>
      <c r="L35" s="3"/>
      <c r="M35" s="3"/>
      <c r="N35" s="3"/>
      <c r="O35" s="3"/>
    </row>
    <row r="36" spans="1:15" ht="22" customHeight="1" x14ac:dyDescent="0.2">
      <c r="A36" s="330" t="s">
        <v>534</v>
      </c>
      <c r="B36" s="333"/>
      <c r="C36" s="334"/>
      <c r="D36" s="334"/>
      <c r="E36" s="334"/>
      <c r="F36" s="335"/>
      <c r="G36" s="335"/>
      <c r="H36" s="335"/>
      <c r="I36" s="335"/>
      <c r="J36" s="335"/>
      <c r="K36" s="3"/>
      <c r="L36" s="3"/>
      <c r="M36" s="3"/>
      <c r="N36" s="3"/>
      <c r="O36" s="3"/>
    </row>
    <row r="37" spans="1:15" ht="17" customHeight="1" x14ac:dyDescent="0.2">
      <c r="A37" s="3"/>
      <c r="B37" s="285" t="s">
        <v>29</v>
      </c>
      <c r="C37" s="283" t="s">
        <v>509</v>
      </c>
      <c r="D37" s="283" t="s">
        <v>510</v>
      </c>
      <c r="E37" s="283" t="s">
        <v>511</v>
      </c>
      <c r="F37" s="294"/>
      <c r="G37" s="294"/>
      <c r="H37" s="294"/>
      <c r="I37" s="294"/>
      <c r="J37" s="294"/>
      <c r="K37" s="3"/>
      <c r="L37" s="3"/>
      <c r="M37" s="3"/>
      <c r="N37" s="3"/>
      <c r="O37" s="3"/>
    </row>
    <row r="38" spans="1:15" ht="17" customHeight="1" x14ac:dyDescent="0.2">
      <c r="A38" s="3"/>
      <c r="B38" s="287" t="s">
        <v>535</v>
      </c>
      <c r="C38" s="297">
        <f t="shared" ref="C38:E39" ca="1" si="0">C33</f>
        <v>0.48280283549430103</v>
      </c>
      <c r="D38" s="297">
        <f ca="1">D33</f>
        <v>0.70556551322324135</v>
      </c>
      <c r="E38" s="297">
        <f ca="1">E33</f>
        <v>0.99522359413592953</v>
      </c>
      <c r="F38" s="298"/>
      <c r="G38" s="298"/>
      <c r="H38" s="298"/>
      <c r="I38" s="298"/>
      <c r="J38" s="298"/>
      <c r="K38" s="3"/>
      <c r="L38" s="3"/>
      <c r="M38" s="3"/>
      <c r="N38" s="3"/>
      <c r="O38" s="3"/>
    </row>
    <row r="39" spans="1:15" ht="17" customHeight="1" x14ac:dyDescent="0.2">
      <c r="A39" s="3"/>
      <c r="B39" s="286" t="s">
        <v>536</v>
      </c>
      <c r="C39" s="308">
        <f t="shared" ca="1" si="0"/>
        <v>1.133693343759403</v>
      </c>
      <c r="D39" s="308">
        <f ca="1">D34</f>
        <v>1.2240752600451865</v>
      </c>
      <c r="E39" s="308">
        <f ca="1">E34</f>
        <v>1.3231460502664163</v>
      </c>
      <c r="F39" s="296"/>
      <c r="G39" s="296"/>
      <c r="H39" s="296"/>
      <c r="I39" s="296"/>
      <c r="J39" s="296"/>
      <c r="K39" s="3"/>
      <c r="L39" s="3"/>
      <c r="M39" s="3"/>
      <c r="N39" s="3"/>
      <c r="O39" s="3"/>
    </row>
    <row r="40" spans="1:15" ht="17" customHeight="1" x14ac:dyDescent="0.2">
      <c r="A40" s="3"/>
      <c r="B40" s="292" t="s">
        <v>537</v>
      </c>
      <c r="C40" s="309">
        <f ca="1">IFERROR(C38-C39,"-")</f>
        <v>-0.65089050826510197</v>
      </c>
      <c r="D40" s="309">
        <f ca="1">IFERROR(D38-D39,"-")</f>
        <v>-0.51850974682194517</v>
      </c>
      <c r="E40" s="309">
        <f ca="1">IFERROR(E38-E39,"-")</f>
        <v>-0.32792245613048676</v>
      </c>
      <c r="F40" s="301"/>
      <c r="G40" s="301"/>
      <c r="H40" s="301"/>
      <c r="I40" s="301"/>
      <c r="J40" s="301"/>
      <c r="K40" s="3"/>
      <c r="L40" s="3"/>
      <c r="M40" s="3"/>
      <c r="N40" s="3"/>
      <c r="O40" s="3"/>
    </row>
    <row r="41" spans="1:15" ht="17" customHeight="1" x14ac:dyDescent="0.2">
      <c r="A41" s="339"/>
      <c r="B41" s="292" t="s">
        <v>538</v>
      </c>
      <c r="C41" s="310">
        <f ca="1">IFERROR(IF(C39=0,"-",C40/C39),"-")</f>
        <v>-0.57413277748170022</v>
      </c>
      <c r="D41" s="310">
        <f ca="1">IFERROR(IF(D39=0,"-",D40/D39),"-")</f>
        <v>-0.42359302875119337</v>
      </c>
      <c r="E41" s="310">
        <f ca="1">IFERROR(IF(E39=0,"-",E40/E39),"-")</f>
        <v>-0.24783541927549069</v>
      </c>
      <c r="F41" s="301"/>
      <c r="G41" s="301"/>
      <c r="H41" s="301"/>
      <c r="I41" s="301"/>
      <c r="J41" s="301"/>
      <c r="K41" s="3"/>
      <c r="L41" s="3"/>
      <c r="M41" s="3"/>
      <c r="N41" s="3"/>
      <c r="O41" s="3"/>
    </row>
    <row r="42" spans="1:15" ht="17" customHeight="1" x14ac:dyDescent="0.2">
      <c r="A42" s="3"/>
      <c r="B42" s="287" t="s">
        <v>501</v>
      </c>
      <c r="C42" s="311">
        <f ca="1">C31</f>
        <v>635.36853151050013</v>
      </c>
      <c r="D42" s="311">
        <f ca="1">D31</f>
        <v>928.52421540178568</v>
      </c>
      <c r="E42" s="311">
        <f ca="1">E31</f>
        <v>1309.7142498828832</v>
      </c>
      <c r="F42" s="312"/>
      <c r="G42" s="312"/>
      <c r="H42" s="312"/>
      <c r="I42" s="312"/>
      <c r="J42" s="312"/>
      <c r="K42" s="10"/>
      <c r="L42" s="3"/>
      <c r="M42" s="3"/>
      <c r="N42" s="3"/>
      <c r="O42" s="3"/>
    </row>
    <row r="43" spans="1:15" ht="17" customHeight="1" x14ac:dyDescent="0.2">
      <c r="A43" s="3"/>
      <c r="B43" s="286" t="s">
        <v>539</v>
      </c>
      <c r="C43" s="295">
        <f ca="1">C17</f>
        <v>1491.9404403873743</v>
      </c>
      <c r="D43" s="295">
        <f ca="1">D17</f>
        <v>1610.8830422194656</v>
      </c>
      <c r="E43" s="295">
        <f ca="1">E17</f>
        <v>1741.2602021506038</v>
      </c>
      <c r="F43" s="296"/>
      <c r="G43" s="296"/>
      <c r="H43" s="296"/>
      <c r="I43" s="296"/>
      <c r="J43" s="296"/>
      <c r="K43" s="340"/>
      <c r="L43" s="3"/>
      <c r="M43" s="3"/>
      <c r="N43" s="3"/>
      <c r="O43" s="3"/>
    </row>
    <row r="44" spans="1:15" ht="17" customHeight="1" x14ac:dyDescent="0.2">
      <c r="A44" s="3"/>
      <c r="B44" s="292" t="s">
        <v>540</v>
      </c>
      <c r="C44" s="313">
        <f ca="1">IFERROR(C42-C43,"-")</f>
        <v>-856.5719088768742</v>
      </c>
      <c r="D44" s="313">
        <f ca="1">IFERROR(D42-D43,"-")</f>
        <v>-682.35882681767987</v>
      </c>
      <c r="E44" s="313">
        <f ca="1">IFERROR(E42-E43,"-")</f>
        <v>-431.54595226772062</v>
      </c>
      <c r="F44" s="301"/>
      <c r="G44" s="301"/>
      <c r="H44" s="301"/>
      <c r="I44" s="301"/>
      <c r="J44" s="301"/>
      <c r="K44" s="3"/>
      <c r="L44" s="3"/>
      <c r="M44" s="3"/>
      <c r="N44" s="3"/>
      <c r="O44" s="3"/>
    </row>
    <row r="45" spans="1:15" ht="17" customHeight="1" thickBot="1" x14ac:dyDescent="0.25">
      <c r="A45" s="3"/>
      <c r="B45" s="328" t="s">
        <v>541</v>
      </c>
      <c r="C45" s="329">
        <f ca="1">IFERROR(IF(C43=0,"-",C44/C43),"-")</f>
        <v>-0.57413277748170022</v>
      </c>
      <c r="D45" s="329">
        <f ca="1">IFERROR(IF(D43=0,"-",D44/D43),"-")</f>
        <v>-0.42359302875119337</v>
      </c>
      <c r="E45" s="329">
        <f ca="1">IFERROR(IF(E43=0,"-",E44/E43),"-")</f>
        <v>-0.24783541927549071</v>
      </c>
      <c r="F45" s="321"/>
      <c r="G45" s="321"/>
      <c r="H45" s="321"/>
      <c r="I45" s="321"/>
      <c r="J45" s="321"/>
      <c r="K45" s="3"/>
      <c r="L45" s="3"/>
      <c r="M45" s="3"/>
      <c r="N45" s="3"/>
      <c r="O45" s="3"/>
    </row>
    <row r="46" spans="1:15" ht="17" customHeight="1" thickBot="1" x14ac:dyDescent="0.25">
      <c r="A46" s="3"/>
      <c r="B46" s="341"/>
      <c r="C46" s="296"/>
      <c r="D46" s="296"/>
      <c r="E46" s="296"/>
      <c r="F46" s="296"/>
      <c r="G46" s="342"/>
      <c r="H46" s="296"/>
      <c r="I46" s="296"/>
      <c r="J46" s="296"/>
      <c r="K46" s="3"/>
      <c r="L46" s="3"/>
      <c r="M46" s="3"/>
      <c r="N46" s="3"/>
      <c r="O46" s="3"/>
    </row>
    <row r="47" spans="1:15" ht="22" customHeight="1" x14ac:dyDescent="0.2">
      <c r="A47" s="330" t="s">
        <v>629</v>
      </c>
      <c r="B47" s="336"/>
      <c r="C47" s="337"/>
      <c r="D47" s="337"/>
      <c r="E47" s="337"/>
      <c r="F47" s="337"/>
      <c r="G47" s="337"/>
      <c r="H47" s="337"/>
      <c r="I47" s="337"/>
      <c r="J47" s="337"/>
      <c r="K47" s="3"/>
      <c r="L47" s="3"/>
      <c r="M47" s="3"/>
      <c r="N47" s="3"/>
      <c r="O47" s="3"/>
    </row>
    <row r="48" spans="1:15" ht="17" customHeight="1" x14ac:dyDescent="0.2">
      <c r="A48" s="3"/>
      <c r="B48" s="314" t="s">
        <v>542</v>
      </c>
      <c r="C48" s="294"/>
      <c r="D48" s="294"/>
      <c r="E48" s="294"/>
      <c r="F48" s="344"/>
      <c r="K48" s="3"/>
      <c r="L48" s="3"/>
      <c r="M48" s="3"/>
      <c r="N48" s="3"/>
      <c r="O48" s="3"/>
    </row>
    <row r="49" spans="1:15" ht="17" customHeight="1" x14ac:dyDescent="0.2">
      <c r="A49" s="3"/>
      <c r="B49" s="338" t="s">
        <v>29</v>
      </c>
      <c r="C49" s="284" t="s">
        <v>543</v>
      </c>
      <c r="D49" s="284" t="s">
        <v>544</v>
      </c>
      <c r="E49" s="284" t="s">
        <v>545</v>
      </c>
      <c r="F49" s="345"/>
      <c r="K49" s="3"/>
      <c r="L49" s="3"/>
      <c r="M49" s="3"/>
      <c r="N49" s="3"/>
      <c r="O49" s="3"/>
    </row>
    <row r="50" spans="1:15" ht="17" customHeight="1" x14ac:dyDescent="0.2">
      <c r="A50" s="3"/>
      <c r="B50" s="315" t="s">
        <v>546</v>
      </c>
      <c r="C50" s="316">
        <v>1</v>
      </c>
      <c r="D50" s="316">
        <v>0.5</v>
      </c>
      <c r="E50" s="316">
        <v>0</v>
      </c>
      <c r="F50" s="346"/>
      <c r="K50" s="3"/>
      <c r="L50" s="3"/>
      <c r="M50" s="3"/>
      <c r="N50" s="3"/>
      <c r="O50" s="3"/>
    </row>
    <row r="51" spans="1:15" ht="17" customHeight="1" x14ac:dyDescent="0.2">
      <c r="A51" s="3"/>
      <c r="B51" s="315" t="s">
        <v>547</v>
      </c>
      <c r="C51" s="316">
        <v>0</v>
      </c>
      <c r="D51" s="316">
        <v>0.5</v>
      </c>
      <c r="E51" s="316">
        <v>1</v>
      </c>
      <c r="F51" s="346"/>
      <c r="K51" s="3"/>
      <c r="L51" s="3"/>
      <c r="M51" s="3"/>
      <c r="N51" s="3"/>
      <c r="O51" s="3"/>
    </row>
    <row r="52" spans="1:15" ht="17" customHeight="1" x14ac:dyDescent="0.2">
      <c r="A52" s="3"/>
      <c r="B52" s="315" t="s">
        <v>548</v>
      </c>
      <c r="C52" s="306">
        <v>0</v>
      </c>
      <c r="D52" s="306">
        <f>ROUND(('Sources &amp; Uses'!G7*0.5)/17,1)</f>
        <v>383.4</v>
      </c>
      <c r="E52" s="306">
        <f>ROUND('Sources &amp; Uses'!G7/17,1)</f>
        <v>766.8</v>
      </c>
      <c r="F52" s="346"/>
      <c r="K52" s="3"/>
      <c r="L52" s="3"/>
      <c r="M52" s="3"/>
      <c r="N52" s="3"/>
      <c r="O52" s="3"/>
    </row>
    <row r="53" spans="1:15" ht="17" customHeight="1" x14ac:dyDescent="0.2">
      <c r="A53" s="3"/>
      <c r="B53" s="315" t="s">
        <v>549</v>
      </c>
      <c r="C53" s="306">
        <f>C32+C52</f>
        <v>1316</v>
      </c>
      <c r="D53" s="306">
        <f>C32+D52</f>
        <v>1699.4</v>
      </c>
      <c r="E53" s="306">
        <f>C32+E52</f>
        <v>2082.8000000000002</v>
      </c>
      <c r="F53" s="346"/>
      <c r="K53" s="3"/>
      <c r="L53" s="3"/>
      <c r="M53" s="3"/>
      <c r="N53" s="3"/>
      <c r="O53" s="3"/>
    </row>
    <row r="54" spans="1:15" ht="17" customHeight="1" x14ac:dyDescent="0.2">
      <c r="A54" s="339"/>
      <c r="B54" s="315" t="s">
        <v>550</v>
      </c>
      <c r="C54" s="306">
        <f>C24</f>
        <v>-458.20000000000005</v>
      </c>
      <c r="D54" s="306">
        <f>C24*0.5</f>
        <v>-229.10000000000002</v>
      </c>
      <c r="E54" s="306"/>
      <c r="F54" s="346"/>
      <c r="K54" s="3"/>
      <c r="L54" s="3"/>
      <c r="M54" s="3"/>
      <c r="N54" s="3"/>
      <c r="O54" s="3"/>
    </row>
    <row r="55" spans="1:15" ht="17" customHeight="1" x14ac:dyDescent="0.2">
      <c r="A55" s="3"/>
      <c r="B55" s="317" t="s">
        <v>501</v>
      </c>
      <c r="C55" s="306">
        <f ca="1">C31</f>
        <v>635.36853151050013</v>
      </c>
      <c r="D55" s="306">
        <f ca="1">C31-C24+D54</f>
        <v>864.46853151050016</v>
      </c>
      <c r="E55" s="306">
        <f ca="1">C31-C24</f>
        <v>1093.5685315105002</v>
      </c>
      <c r="F55" s="347"/>
      <c r="K55" s="3"/>
      <c r="L55" s="3"/>
      <c r="M55" s="3"/>
      <c r="N55" s="3"/>
      <c r="O55" s="3"/>
    </row>
    <row r="56" spans="1:15" ht="17" customHeight="1" x14ac:dyDescent="0.2">
      <c r="A56" s="3"/>
      <c r="B56" s="317" t="s">
        <v>535</v>
      </c>
      <c r="C56" s="318">
        <f ca="1">IFERROR(C55/C53,"-")</f>
        <v>0.48280283549430103</v>
      </c>
      <c r="D56" s="318">
        <f ca="1">IFERROR(D55/D53,"-")</f>
        <v>0.50869043869042019</v>
      </c>
      <c r="E56" s="318">
        <f ca="1">IFERROR(E55/E53,"-")</f>
        <v>0.52504730723569237</v>
      </c>
      <c r="F56" s="303"/>
      <c r="K56" s="3"/>
      <c r="L56" s="3"/>
      <c r="M56" s="3"/>
      <c r="N56" s="3"/>
      <c r="O56" s="3"/>
    </row>
    <row r="57" spans="1:15" ht="17" customHeight="1" x14ac:dyDescent="0.2">
      <c r="A57" s="3"/>
      <c r="B57" s="317" t="s">
        <v>536</v>
      </c>
      <c r="C57" s="308">
        <f ca="1">C34</f>
        <v>1.133693343759403</v>
      </c>
      <c r="D57" s="308">
        <f ca="1">C34</f>
        <v>1.133693343759403</v>
      </c>
      <c r="E57" s="308">
        <f ca="1">C34</f>
        <v>1.133693343759403</v>
      </c>
      <c r="F57" s="303"/>
      <c r="K57" s="3"/>
      <c r="L57" s="3"/>
      <c r="M57" s="3"/>
      <c r="N57" s="3"/>
      <c r="O57" s="3"/>
    </row>
    <row r="58" spans="1:15" ht="17" customHeight="1" x14ac:dyDescent="0.2">
      <c r="A58" s="3"/>
      <c r="B58" s="317" t="s">
        <v>551</v>
      </c>
      <c r="C58" s="318">
        <f ca="1">IFERROR(C56-C57,"-")</f>
        <v>-0.65089050826510197</v>
      </c>
      <c r="D58" s="318">
        <f ca="1">IFERROR(D56-D57,"-")</f>
        <v>-0.62500290506898282</v>
      </c>
      <c r="E58" s="318">
        <f ca="1">IFERROR(E56-E57,"-")</f>
        <v>-0.60864603652371063</v>
      </c>
      <c r="F58" s="303"/>
      <c r="K58" s="3"/>
      <c r="L58" s="3"/>
      <c r="M58" s="3"/>
      <c r="N58" s="3"/>
      <c r="O58" s="3"/>
    </row>
    <row r="59" spans="1:15" x14ac:dyDescent="0.2">
      <c r="A59" s="3"/>
      <c r="B59" s="34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5" x14ac:dyDescent="0.2">
      <c r="A62" s="3"/>
      <c r="B62" s="16"/>
      <c r="C62" s="16"/>
      <c r="D62" s="16"/>
      <c r="E62" s="16"/>
      <c r="F62" s="16"/>
      <c r="G62" s="16"/>
      <c r="H62" s="3"/>
      <c r="I62" s="3"/>
      <c r="J62" s="3"/>
      <c r="K62" s="3"/>
      <c r="L62" s="3"/>
      <c r="M62" s="3"/>
      <c r="N62" s="3"/>
      <c r="O62" s="3"/>
    </row>
    <row r="63" spans="1:15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1:15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5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spans="1:15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5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1:15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1:15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spans="1:15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spans="1:15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15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1:15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1:15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1:15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1:15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1:15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1:15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spans="1:15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spans="1:15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spans="1:15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spans="1:15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spans="1:15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1:15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spans="1:15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spans="1:15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spans="1:15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1:15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1:15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spans="1:15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spans="1:15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spans="1:15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1:15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1:15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spans="1:15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spans="1:15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spans="1:15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spans="1:15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spans="1:15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spans="1:15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spans="1:15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1:15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spans="1:15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spans="1:15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spans="1:15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spans="1:15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spans="1:15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spans="1:15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spans="1:15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spans="1:15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spans="1:15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spans="1:15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spans="1:15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</sheetData>
  <mergeCells count="5">
    <mergeCell ref="A2:J2"/>
    <mergeCell ref="A4:E4"/>
    <mergeCell ref="A14:E14"/>
    <mergeCell ref="A36:E36"/>
    <mergeCell ref="A47:J4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DE8A9-A2C0-224B-B64F-EBB2E53D0B84}">
  <dimension ref="A1:K79"/>
  <sheetViews>
    <sheetView zoomScale="125" workbookViewId="0">
      <pane ySplit="3" topLeftCell="A59" activePane="bottomLeft" state="frozen"/>
      <selection pane="bottomLeft" activeCell="L25" sqref="L25"/>
    </sheetView>
  </sheetViews>
  <sheetFormatPr baseColWidth="10" defaultRowHeight="16" x14ac:dyDescent="0.2"/>
  <cols>
    <col min="1" max="1" width="10.83203125" style="1"/>
    <col min="2" max="2" width="34.33203125" style="1" customWidth="1"/>
    <col min="3" max="3" width="24.33203125" style="1" customWidth="1"/>
    <col min="4" max="4" width="15" style="1" customWidth="1"/>
    <col min="5" max="6" width="10.83203125" style="1"/>
    <col min="7" max="7" width="11.5" style="1" customWidth="1"/>
    <col min="8" max="16384" width="10.83203125" style="1"/>
  </cols>
  <sheetData>
    <row r="1" spans="1:10" x14ac:dyDescent="0.2">
      <c r="A1" s="82"/>
      <c r="B1" s="83" t="s">
        <v>77</v>
      </c>
      <c r="C1" s="82"/>
      <c r="D1" s="84" t="s">
        <v>78</v>
      </c>
      <c r="E1" s="82"/>
      <c r="F1" s="110" t="s">
        <v>303</v>
      </c>
      <c r="G1" s="82"/>
      <c r="H1" s="82"/>
      <c r="I1" s="82"/>
      <c r="J1" s="82"/>
    </row>
    <row r="2" spans="1:10" ht="19" x14ac:dyDescent="0.25">
      <c r="A2" s="255" t="s">
        <v>403</v>
      </c>
      <c r="B2" s="263"/>
      <c r="C2" s="263"/>
      <c r="D2" s="263"/>
      <c r="E2" s="263"/>
      <c r="F2" s="263"/>
      <c r="G2" s="263"/>
      <c r="H2" s="263"/>
      <c r="I2" s="263"/>
      <c r="J2" s="263"/>
    </row>
    <row r="4" spans="1:10" x14ac:dyDescent="0.2">
      <c r="A4" s="262" t="s">
        <v>404</v>
      </c>
      <c r="B4" s="263"/>
      <c r="C4" s="263"/>
      <c r="D4" s="263"/>
      <c r="E4" s="263"/>
    </row>
    <row r="5" spans="1:10" ht="28" customHeight="1" x14ac:dyDescent="0.2">
      <c r="B5" s="137" t="s">
        <v>1</v>
      </c>
      <c r="C5" s="137" t="s">
        <v>38</v>
      </c>
      <c r="D5" s="270" t="s">
        <v>405</v>
      </c>
      <c r="E5" s="270"/>
    </row>
    <row r="6" spans="1:10" x14ac:dyDescent="0.2">
      <c r="B6" s="15" t="s">
        <v>406</v>
      </c>
      <c r="C6" s="30">
        <f>'Transaction Assumptions'!C24</f>
        <v>13036</v>
      </c>
      <c r="D6" s="268" t="s">
        <v>407</v>
      </c>
      <c r="E6" s="269"/>
    </row>
    <row r="7" spans="1:10" x14ac:dyDescent="0.2">
      <c r="B7" s="88" t="s">
        <v>408</v>
      </c>
      <c r="C7" s="107">
        <f>'Transaction Assumptions'!C25</f>
        <v>1746.1000000000001</v>
      </c>
      <c r="D7" s="264" t="s">
        <v>409</v>
      </c>
      <c r="E7" s="271"/>
    </row>
    <row r="8" spans="1:10" x14ac:dyDescent="0.2">
      <c r="B8" s="15" t="s">
        <v>410</v>
      </c>
      <c r="C8" s="30">
        <f>'Transaction Assumptions'!C26</f>
        <v>1221.3</v>
      </c>
      <c r="D8" s="268" t="s">
        <v>409</v>
      </c>
      <c r="E8" s="269"/>
    </row>
    <row r="9" spans="1:10" x14ac:dyDescent="0.2">
      <c r="B9" s="88" t="s">
        <v>411</v>
      </c>
      <c r="C9" s="107">
        <f>'Transaction Assumptions'!C45</f>
        <v>135</v>
      </c>
      <c r="D9" s="264" t="s">
        <v>407</v>
      </c>
      <c r="E9" s="264"/>
    </row>
    <row r="10" spans="1:10" x14ac:dyDescent="0.2">
      <c r="B10" s="102" t="s">
        <v>412</v>
      </c>
      <c r="C10" s="93">
        <f>C6+C7-C8+C9</f>
        <v>13695.800000000001</v>
      </c>
      <c r="D10" s="265"/>
      <c r="E10" s="266"/>
    </row>
    <row r="11" spans="1:10" x14ac:dyDescent="0.2">
      <c r="B11" s="88" t="s">
        <v>413</v>
      </c>
      <c r="C11" s="107">
        <f>'Target Standalone'!F70</f>
        <v>4492.7</v>
      </c>
      <c r="D11" s="264" t="s">
        <v>414</v>
      </c>
      <c r="E11" s="264"/>
    </row>
    <row r="12" spans="1:10" x14ac:dyDescent="0.2">
      <c r="B12" s="102" t="s">
        <v>415</v>
      </c>
      <c r="C12" s="93">
        <f>C10-C11</f>
        <v>9203.1000000000022</v>
      </c>
      <c r="D12" s="265"/>
      <c r="E12" s="266"/>
    </row>
    <row r="13" spans="1:10" x14ac:dyDescent="0.2">
      <c r="B13" s="88" t="s">
        <v>416</v>
      </c>
      <c r="C13" s="107">
        <f>E31+E27</f>
        <v>3431.7879999999996</v>
      </c>
      <c r="D13" s="264" t="s">
        <v>417</v>
      </c>
      <c r="E13" s="264"/>
    </row>
    <row r="14" spans="1:10" x14ac:dyDescent="0.2">
      <c r="B14" s="64" t="s">
        <v>418</v>
      </c>
      <c r="C14" s="65">
        <f>C12-C13+D54</f>
        <v>6491.9874800000025</v>
      </c>
      <c r="D14" s="267" t="s">
        <v>419</v>
      </c>
      <c r="E14" s="267"/>
    </row>
    <row r="16" spans="1:10" x14ac:dyDescent="0.2">
      <c r="A16" s="262" t="s">
        <v>420</v>
      </c>
      <c r="B16" s="263"/>
      <c r="C16" s="263"/>
      <c r="D16" s="263"/>
      <c r="E16" s="263"/>
    </row>
    <row r="17" spans="2:11" ht="28" x14ac:dyDescent="0.2">
      <c r="B17" s="137" t="s">
        <v>421</v>
      </c>
      <c r="C17" s="137" t="s">
        <v>422</v>
      </c>
      <c r="D17" s="137" t="s">
        <v>423</v>
      </c>
      <c r="E17" s="137" t="s">
        <v>424</v>
      </c>
      <c r="G17" s="10"/>
      <c r="H17" s="10"/>
      <c r="I17" s="10"/>
      <c r="J17" s="10"/>
    </row>
    <row r="18" spans="2:11" x14ac:dyDescent="0.2">
      <c r="B18" s="88" t="s">
        <v>425</v>
      </c>
      <c r="C18" s="107">
        <v>0</v>
      </c>
      <c r="D18" s="107">
        <f>11%*(C6+C7-C8)</f>
        <v>1491.6880000000001</v>
      </c>
      <c r="E18" s="107">
        <f>D18-C18</f>
        <v>1491.6880000000001</v>
      </c>
      <c r="G18" s="56"/>
      <c r="H18" s="81"/>
      <c r="I18" s="279">
        <v>12</v>
      </c>
      <c r="J18" s="280">
        <f>E18/I18</f>
        <v>124.30733333333335</v>
      </c>
      <c r="K18" s="281"/>
    </row>
    <row r="19" spans="2:11" x14ac:dyDescent="0.2">
      <c r="B19" s="15" t="s">
        <v>426</v>
      </c>
      <c r="C19" s="30">
        <v>0</v>
      </c>
      <c r="D19" s="30">
        <f>9%*(C6+C7-C8)</f>
        <v>1220.472</v>
      </c>
      <c r="E19" s="30">
        <f t="shared" ref="E19:E25" si="0">D19-C19</f>
        <v>1220.472</v>
      </c>
      <c r="G19" s="56"/>
      <c r="H19" s="81"/>
      <c r="I19" s="279">
        <v>7</v>
      </c>
      <c r="J19" s="280">
        <f>E19/I19</f>
        <v>174.35314285714284</v>
      </c>
      <c r="K19" s="281"/>
    </row>
    <row r="20" spans="2:11" x14ac:dyDescent="0.2">
      <c r="B20" s="88" t="s">
        <v>427</v>
      </c>
      <c r="C20" s="107">
        <v>0</v>
      </c>
      <c r="D20" s="107">
        <f>2%*(C6+C7-C8)</f>
        <v>271.21600000000001</v>
      </c>
      <c r="E20" s="107">
        <f t="shared" si="0"/>
        <v>271.21600000000001</v>
      </c>
      <c r="G20" s="56"/>
      <c r="H20" s="81"/>
      <c r="I20" s="279">
        <v>15</v>
      </c>
      <c r="J20" s="280">
        <f>E20/I20</f>
        <v>18.081066666666668</v>
      </c>
      <c r="K20" s="281"/>
    </row>
    <row r="21" spans="2:11" x14ac:dyDescent="0.2">
      <c r="B21" s="15" t="s">
        <v>428</v>
      </c>
      <c r="C21" s="30">
        <v>0</v>
      </c>
      <c r="D21" s="30">
        <v>0</v>
      </c>
      <c r="E21" s="30">
        <f t="shared" si="0"/>
        <v>0</v>
      </c>
      <c r="G21" s="56"/>
      <c r="H21" s="81"/>
      <c r="I21" s="279">
        <v>0</v>
      </c>
      <c r="J21" s="280">
        <v>0</v>
      </c>
      <c r="K21" s="281"/>
    </row>
    <row r="22" spans="2:11" x14ac:dyDescent="0.2">
      <c r="B22" s="88" t="s">
        <v>429</v>
      </c>
      <c r="C22" s="107">
        <v>0</v>
      </c>
      <c r="D22" s="107">
        <v>0</v>
      </c>
      <c r="E22" s="107">
        <f t="shared" si="0"/>
        <v>0</v>
      </c>
      <c r="G22" s="56"/>
      <c r="H22" s="81"/>
      <c r="I22" s="279">
        <v>0</v>
      </c>
      <c r="J22" s="280">
        <v>0</v>
      </c>
      <c r="K22" s="281"/>
    </row>
    <row r="23" spans="2:11" x14ac:dyDescent="0.2">
      <c r="B23" s="15" t="s">
        <v>430</v>
      </c>
      <c r="C23" s="30">
        <v>0</v>
      </c>
      <c r="D23" s="30">
        <f>1.5%*(C6+C7-C8)</f>
        <v>203.41200000000001</v>
      </c>
      <c r="E23" s="30">
        <f t="shared" si="0"/>
        <v>203.41200000000001</v>
      </c>
      <c r="G23" s="56"/>
      <c r="H23" s="81"/>
      <c r="I23" s="279">
        <v>5</v>
      </c>
      <c r="J23" s="280">
        <f>E23/I23</f>
        <v>40.682400000000001</v>
      </c>
      <c r="K23" s="281"/>
    </row>
    <row r="24" spans="2:11" x14ac:dyDescent="0.2">
      <c r="B24" s="88" t="s">
        <v>431</v>
      </c>
      <c r="C24" s="107">
        <v>0</v>
      </c>
      <c r="D24" s="107">
        <v>0</v>
      </c>
      <c r="E24" s="107">
        <f t="shared" si="0"/>
        <v>0</v>
      </c>
      <c r="G24" s="56"/>
      <c r="H24" s="81"/>
      <c r="I24" s="279">
        <v>0</v>
      </c>
      <c r="J24" s="280">
        <v>0</v>
      </c>
      <c r="K24" s="281"/>
    </row>
    <row r="25" spans="2:11" x14ac:dyDescent="0.2">
      <c r="B25" s="15" t="s">
        <v>432</v>
      </c>
      <c r="C25" s="30">
        <f>'Target Standalone'!F48</f>
        <v>91.8</v>
      </c>
      <c r="D25" s="30">
        <f>C25</f>
        <v>91.8</v>
      </c>
      <c r="E25" s="30">
        <f t="shared" si="0"/>
        <v>0</v>
      </c>
      <c r="G25" s="56"/>
      <c r="H25" s="81"/>
      <c r="I25" s="279">
        <v>0</v>
      </c>
      <c r="J25" s="280">
        <v>0</v>
      </c>
      <c r="K25" s="281"/>
    </row>
    <row r="26" spans="2:11" x14ac:dyDescent="0.2">
      <c r="B26" s="139" t="s">
        <v>433</v>
      </c>
      <c r="C26" s="60"/>
      <c r="D26" s="60"/>
      <c r="E26" s="60"/>
      <c r="G26" s="10"/>
      <c r="I26" s="281">
        <v>0</v>
      </c>
      <c r="J26" s="281">
        <v>0</v>
      </c>
      <c r="K26" s="281"/>
    </row>
    <row r="27" spans="2:11" x14ac:dyDescent="0.2">
      <c r="B27" s="15" t="s">
        <v>434</v>
      </c>
      <c r="C27" s="30">
        <f>'Target Standalone'!F46</f>
        <v>801.3</v>
      </c>
      <c r="D27" s="30">
        <f>900</f>
        <v>900</v>
      </c>
      <c r="E27" s="30">
        <f>D27-C27</f>
        <v>98.700000000000045</v>
      </c>
      <c r="G27" s="56"/>
      <c r="H27" s="81"/>
      <c r="I27" s="279">
        <v>10</v>
      </c>
      <c r="J27" s="280">
        <f>E27/I27</f>
        <v>9.8700000000000045</v>
      </c>
      <c r="K27" s="281"/>
    </row>
    <row r="28" spans="2:11" x14ac:dyDescent="0.2">
      <c r="B28" s="88" t="s">
        <v>435</v>
      </c>
      <c r="C28" s="107">
        <f>'Target Standalone'!F42</f>
        <v>952.4</v>
      </c>
      <c r="D28" s="107">
        <f>1000</f>
        <v>1000</v>
      </c>
      <c r="E28" s="107">
        <f>D28-C28</f>
        <v>47.600000000000023</v>
      </c>
      <c r="G28" s="56"/>
      <c r="H28" s="81"/>
      <c r="I28" s="279">
        <v>1</v>
      </c>
      <c r="J28" s="280">
        <f>E28/I28</f>
        <v>47.600000000000023</v>
      </c>
      <c r="K28" s="281"/>
    </row>
    <row r="29" spans="2:11" x14ac:dyDescent="0.2">
      <c r="B29" s="15" t="s">
        <v>436</v>
      </c>
      <c r="C29" s="30">
        <v>0</v>
      </c>
      <c r="D29" s="30">
        <v>0</v>
      </c>
      <c r="E29" s="30">
        <f>D29-C29</f>
        <v>0</v>
      </c>
      <c r="G29" s="56"/>
      <c r="H29" s="81"/>
      <c r="I29" s="150"/>
      <c r="J29" s="81"/>
    </row>
    <row r="30" spans="2:11" x14ac:dyDescent="0.2">
      <c r="B30" s="88" t="s">
        <v>437</v>
      </c>
      <c r="C30" s="107">
        <v>0</v>
      </c>
      <c r="D30" s="107">
        <v>0</v>
      </c>
      <c r="E30" s="107">
        <f>D30-C30</f>
        <v>0</v>
      </c>
      <c r="G30" s="56"/>
      <c r="H30" s="81"/>
      <c r="I30" s="150"/>
      <c r="J30" s="81"/>
    </row>
    <row r="31" spans="2:11" x14ac:dyDescent="0.2">
      <c r="B31" s="57" t="s">
        <v>438</v>
      </c>
      <c r="C31" s="80">
        <f>SUM(C18:C30)</f>
        <v>1845.5</v>
      </c>
      <c r="D31" s="80">
        <f>SUM(D18:D30)</f>
        <v>5178.5879999999997</v>
      </c>
      <c r="E31" s="80">
        <f>SUM(E18:E30)</f>
        <v>3333.0879999999993</v>
      </c>
      <c r="G31" s="57"/>
      <c r="H31" s="3"/>
      <c r="I31" s="3"/>
      <c r="J31" s="80"/>
    </row>
    <row r="33" spans="1:10" x14ac:dyDescent="0.2">
      <c r="A33" s="262" t="s">
        <v>439</v>
      </c>
      <c r="B33" s="263"/>
      <c r="C33" s="263"/>
      <c r="D33" s="263"/>
      <c r="E33" s="263"/>
      <c r="F33" s="263"/>
      <c r="G33" s="263"/>
      <c r="H33" s="263"/>
      <c r="I33" s="263"/>
      <c r="J33" s="263"/>
    </row>
    <row r="34" spans="1:10" ht="28" x14ac:dyDescent="0.2">
      <c r="B34" s="137" t="s">
        <v>440</v>
      </c>
      <c r="C34" s="137" t="s">
        <v>441</v>
      </c>
      <c r="D34" s="137" t="s">
        <v>442</v>
      </c>
      <c r="E34" s="137" t="s">
        <v>443</v>
      </c>
      <c r="F34" s="137" t="s">
        <v>444</v>
      </c>
      <c r="G34" s="137" t="s">
        <v>445</v>
      </c>
    </row>
    <row r="35" spans="1:10" x14ac:dyDescent="0.2">
      <c r="B35" s="12" t="s">
        <v>446</v>
      </c>
      <c r="C35" s="60"/>
      <c r="D35" s="60"/>
      <c r="E35" s="60"/>
      <c r="F35" s="60"/>
      <c r="G35" s="60"/>
    </row>
    <row r="36" spans="1:10" x14ac:dyDescent="0.2">
      <c r="B36" s="88" t="s">
        <v>224</v>
      </c>
      <c r="C36" s="107">
        <f>'Target Standalone'!F40</f>
        <v>1221.3</v>
      </c>
      <c r="D36" s="107">
        <v>0</v>
      </c>
      <c r="E36" s="107">
        <f>-'Sources &amp; Uses'!C7</f>
        <v>-3246</v>
      </c>
      <c r="F36" s="107"/>
      <c r="G36" s="107">
        <f t="shared" ref="G36:G46" si="1">C36+D36+E36+F36</f>
        <v>-2024.7</v>
      </c>
    </row>
    <row r="37" spans="1:10" x14ac:dyDescent="0.2">
      <c r="B37" s="15" t="s">
        <v>225</v>
      </c>
      <c r="C37" s="30">
        <f>'Target Standalone'!F41</f>
        <v>1044.0999999999999</v>
      </c>
      <c r="D37" s="30">
        <v>0</v>
      </c>
      <c r="E37" s="30">
        <v>0</v>
      </c>
      <c r="F37" s="30"/>
      <c r="G37" s="30">
        <f t="shared" si="1"/>
        <v>1044.0999999999999</v>
      </c>
    </row>
    <row r="38" spans="1:10" x14ac:dyDescent="0.2">
      <c r="B38" s="88" t="s">
        <v>226</v>
      </c>
      <c r="C38" s="107">
        <f>'Target Standalone'!F42</f>
        <v>952.4</v>
      </c>
      <c r="D38" s="107"/>
      <c r="E38" s="107">
        <v>0</v>
      </c>
      <c r="F38" s="107"/>
      <c r="G38" s="107">
        <f t="shared" si="1"/>
        <v>952.4</v>
      </c>
    </row>
    <row r="39" spans="1:10" x14ac:dyDescent="0.2">
      <c r="B39" s="15" t="s">
        <v>447</v>
      </c>
      <c r="C39" s="30">
        <f>'Target Standalone'!F43</f>
        <v>577.70000000000005</v>
      </c>
      <c r="D39" s="30">
        <v>0</v>
      </c>
      <c r="E39" s="30">
        <v>0</v>
      </c>
      <c r="F39" s="30"/>
      <c r="G39" s="30">
        <f t="shared" si="1"/>
        <v>577.70000000000005</v>
      </c>
    </row>
    <row r="40" spans="1:10" x14ac:dyDescent="0.2">
      <c r="B40" s="92" t="s">
        <v>228</v>
      </c>
      <c r="C40" s="93">
        <f>SUM(C36:C39)</f>
        <v>3795.5</v>
      </c>
      <c r="D40" s="93">
        <f>SUM(D36:D39)</f>
        <v>0</v>
      </c>
      <c r="E40" s="93">
        <f>SUM(E36:E39)</f>
        <v>-3246</v>
      </c>
      <c r="F40" s="93">
        <f>SUM(F36:F39)</f>
        <v>0</v>
      </c>
      <c r="G40" s="93">
        <f t="shared" si="1"/>
        <v>549.5</v>
      </c>
    </row>
    <row r="41" spans="1:10" x14ac:dyDescent="0.2">
      <c r="B41" s="15" t="s">
        <v>448</v>
      </c>
      <c r="C41" s="30">
        <f>'Target Standalone'!F46</f>
        <v>801.3</v>
      </c>
      <c r="D41" s="30">
        <f>E27</f>
        <v>98.700000000000045</v>
      </c>
      <c r="E41" s="30"/>
      <c r="F41" s="30"/>
      <c r="G41" s="30">
        <f t="shared" si="1"/>
        <v>900</v>
      </c>
    </row>
    <row r="42" spans="1:10" x14ac:dyDescent="0.2">
      <c r="B42" s="88" t="s">
        <v>231</v>
      </c>
      <c r="C42" s="107">
        <f>'Target Standalone'!F47</f>
        <v>3734.4</v>
      </c>
      <c r="D42" s="107">
        <f>C14</f>
        <v>6491.9874800000025</v>
      </c>
      <c r="E42" s="107"/>
      <c r="F42" s="107"/>
      <c r="G42" s="107">
        <f t="shared" si="1"/>
        <v>10226.387480000003</v>
      </c>
    </row>
    <row r="43" spans="1:10" x14ac:dyDescent="0.2">
      <c r="B43" s="15" t="s">
        <v>449</v>
      </c>
      <c r="C43" s="30">
        <f>'Target Standalone'!F48</f>
        <v>91.8</v>
      </c>
      <c r="D43" s="30">
        <f>E31</f>
        <v>3333.0879999999993</v>
      </c>
      <c r="E43" s="30"/>
      <c r="F43" s="30"/>
      <c r="G43" s="30">
        <f t="shared" si="1"/>
        <v>3424.8879999999995</v>
      </c>
    </row>
    <row r="44" spans="1:10" x14ac:dyDescent="0.2">
      <c r="B44" s="88" t="s">
        <v>234</v>
      </c>
      <c r="C44" s="107">
        <f>'Target Standalone'!F50</f>
        <v>865.9</v>
      </c>
      <c r="D44" s="107"/>
      <c r="E44" s="107"/>
      <c r="F44" s="107"/>
      <c r="G44" s="107">
        <f t="shared" si="1"/>
        <v>865.9</v>
      </c>
    </row>
    <row r="45" spans="1:10" x14ac:dyDescent="0.2">
      <c r="B45" s="56" t="s">
        <v>624</v>
      </c>
      <c r="C45" s="81">
        <f>'Target Standalone'!F49</f>
        <v>229.6</v>
      </c>
      <c r="D45" s="81"/>
      <c r="E45" s="81"/>
      <c r="F45" s="81"/>
      <c r="G45" s="81"/>
    </row>
    <row r="46" spans="1:10" x14ac:dyDescent="0.2">
      <c r="B46" s="92" t="s">
        <v>450</v>
      </c>
      <c r="C46" s="93">
        <f>SUM(C36:C39)+C41+C42+C43+C44+C45</f>
        <v>9518.5</v>
      </c>
      <c r="D46" s="93">
        <f>SUM(D36:D39)+D41+D42+D43+D44</f>
        <v>9923.7754800000021</v>
      </c>
      <c r="E46" s="93">
        <f>SUM(E36:E39)+E41+E42+E43+E44</f>
        <v>-3246</v>
      </c>
      <c r="F46" s="93">
        <f>SUM(F36:F39)+F41+F42+F43+F44</f>
        <v>0</v>
      </c>
      <c r="G46" s="93">
        <f t="shared" si="1"/>
        <v>16196.275480000004</v>
      </c>
    </row>
    <row r="47" spans="1:10" x14ac:dyDescent="0.2">
      <c r="B47" s="12" t="s">
        <v>451</v>
      </c>
      <c r="C47" s="60"/>
      <c r="D47" s="60"/>
      <c r="E47" s="60"/>
      <c r="F47" s="60"/>
      <c r="G47" s="60"/>
    </row>
    <row r="48" spans="1:10" x14ac:dyDescent="0.2">
      <c r="B48" s="15" t="s">
        <v>238</v>
      </c>
      <c r="C48" s="30">
        <f>'Target Standalone'!F54</f>
        <v>295.10000000000002</v>
      </c>
      <c r="D48" s="30"/>
      <c r="E48" s="30"/>
      <c r="F48" s="30"/>
      <c r="G48" s="30">
        <f t="shared" ref="G48:G63" si="2">C48+D48+E48+F48</f>
        <v>295.10000000000002</v>
      </c>
    </row>
    <row r="49" spans="2:7" x14ac:dyDescent="0.2">
      <c r="B49" s="88" t="s">
        <v>452</v>
      </c>
      <c r="C49" s="107">
        <f>'Target Standalone'!G55</f>
        <v>46.4</v>
      </c>
      <c r="D49" s="107"/>
      <c r="E49" s="107"/>
      <c r="F49" s="107"/>
      <c r="G49" s="107">
        <f t="shared" si="2"/>
        <v>46.4</v>
      </c>
    </row>
    <row r="50" spans="2:7" x14ac:dyDescent="0.2">
      <c r="B50" s="15" t="s">
        <v>240</v>
      </c>
      <c r="C50" s="30">
        <f>'Target Standalone'!G56</f>
        <v>292.2</v>
      </c>
      <c r="D50" s="30"/>
      <c r="E50" s="30"/>
      <c r="F50" s="30">
        <f>'Sources &amp; Uses'!G16</f>
        <v>210</v>
      </c>
      <c r="G50" s="30">
        <f t="shared" si="2"/>
        <v>502.2</v>
      </c>
    </row>
    <row r="51" spans="2:7" x14ac:dyDescent="0.2">
      <c r="B51" s="88" t="s">
        <v>241</v>
      </c>
      <c r="C51" s="107">
        <f>'Target Standalone'!F57</f>
        <v>1470.3</v>
      </c>
      <c r="D51" s="107"/>
      <c r="E51" s="107"/>
      <c r="F51" s="107"/>
      <c r="G51" s="107">
        <f t="shared" si="2"/>
        <v>1470.3</v>
      </c>
    </row>
    <row r="52" spans="2:7" x14ac:dyDescent="0.2">
      <c r="B52" s="92" t="s">
        <v>242</v>
      </c>
      <c r="C52" s="93">
        <f>SUM(C48:C51)</f>
        <v>2104</v>
      </c>
      <c r="D52" s="93">
        <f>SUM(D48:D51)</f>
        <v>0</v>
      </c>
      <c r="E52" s="93">
        <v>0</v>
      </c>
      <c r="F52" s="93">
        <f>SUM(F48:F51)</f>
        <v>210</v>
      </c>
      <c r="G52" s="93">
        <f t="shared" si="2"/>
        <v>2314</v>
      </c>
    </row>
    <row r="53" spans="2:7" x14ac:dyDescent="0.2">
      <c r="B53" s="88" t="s">
        <v>453</v>
      </c>
      <c r="C53" s="107">
        <f>'Target Standalone'!F60</f>
        <v>1699.7</v>
      </c>
      <c r="D53" s="107"/>
      <c r="E53" s="107">
        <f>'Sources &amp; Uses'!C19</f>
        <v>10000</v>
      </c>
      <c r="F53" s="107"/>
      <c r="G53" s="107">
        <f t="shared" si="2"/>
        <v>11699.7</v>
      </c>
    </row>
    <row r="54" spans="2:7" x14ac:dyDescent="0.2">
      <c r="B54" s="15" t="s">
        <v>454</v>
      </c>
      <c r="C54" s="30">
        <f>'Target Standalone'!F61</f>
        <v>12</v>
      </c>
      <c r="D54" s="30">
        <f>(D43+D41)*0.21</f>
        <v>720.67547999999988</v>
      </c>
      <c r="E54" s="30"/>
      <c r="F54" s="30"/>
      <c r="G54" s="30">
        <f t="shared" si="2"/>
        <v>732.67547999999988</v>
      </c>
    </row>
    <row r="55" spans="2:7" x14ac:dyDescent="0.2">
      <c r="B55" s="88" t="s">
        <v>246</v>
      </c>
      <c r="C55" s="107">
        <f>'Target Standalone'!F62</f>
        <v>1210.0999999999999</v>
      </c>
      <c r="D55" s="107"/>
      <c r="E55" s="107">
        <v>0</v>
      </c>
      <c r="F55" s="107"/>
      <c r="G55" s="107">
        <f t="shared" si="2"/>
        <v>1210.0999999999999</v>
      </c>
    </row>
    <row r="56" spans="2:7" x14ac:dyDescent="0.2">
      <c r="B56" s="92" t="s">
        <v>455</v>
      </c>
      <c r="C56" s="93">
        <f>C52+C53+C54+C55</f>
        <v>5025.7999999999993</v>
      </c>
      <c r="D56" s="93">
        <f>D52+D53+D54+D55</f>
        <v>720.67547999999988</v>
      </c>
      <c r="E56" s="93">
        <f>E52+E53+E54+E55</f>
        <v>10000</v>
      </c>
      <c r="F56" s="93">
        <f>F52+F53+F54+F55</f>
        <v>210</v>
      </c>
      <c r="G56" s="93">
        <f t="shared" si="2"/>
        <v>15956.475479999999</v>
      </c>
    </row>
    <row r="57" spans="2:7" x14ac:dyDescent="0.2">
      <c r="B57" s="148" t="s">
        <v>456</v>
      </c>
      <c r="C57" s="146"/>
      <c r="D57" s="146"/>
      <c r="E57" s="146">
        <v>0</v>
      </c>
      <c r="F57" s="146"/>
      <c r="G57" s="147">
        <f t="shared" si="2"/>
        <v>0</v>
      </c>
    </row>
    <row r="58" spans="2:7" x14ac:dyDescent="0.2">
      <c r="B58" s="15" t="s">
        <v>457</v>
      </c>
      <c r="C58" s="30">
        <f>'Target Standalone'!F67</f>
        <v>-2296.4</v>
      </c>
      <c r="D58" s="30">
        <f>-C62</f>
        <v>-4492.7000000000007</v>
      </c>
      <c r="E58" s="30">
        <v>0</v>
      </c>
      <c r="F58" s="30">
        <f>-'Sources &amp; Uses'!G16</f>
        <v>-210</v>
      </c>
      <c r="G58" s="30">
        <f t="shared" si="2"/>
        <v>-6999.1</v>
      </c>
    </row>
    <row r="59" spans="2:7" x14ac:dyDescent="0.2">
      <c r="B59" s="15" t="s">
        <v>250</v>
      </c>
      <c r="C59" s="30">
        <f>'Target Standalone'!F66</f>
        <v>6740</v>
      </c>
      <c r="D59" s="30">
        <f>C10</f>
        <v>13695.800000000001</v>
      </c>
      <c r="E59" s="30">
        <f>-('Sources &amp; Uses'!G9+'Sources &amp; Uses'!G16)</f>
        <v>-13246</v>
      </c>
      <c r="F59" s="30">
        <v>0</v>
      </c>
      <c r="G59" s="30"/>
    </row>
    <row r="60" spans="2:7" x14ac:dyDescent="0.2">
      <c r="B60" s="15" t="s">
        <v>252</v>
      </c>
      <c r="C60" s="30">
        <f>'Target Standalone'!F68</f>
        <v>-82.1</v>
      </c>
      <c r="D60" s="30"/>
      <c r="E60" s="30">
        <v>0</v>
      </c>
      <c r="F60" s="30">
        <v>0</v>
      </c>
      <c r="G60" s="30"/>
    </row>
    <row r="61" spans="2:7" x14ac:dyDescent="0.2">
      <c r="B61" s="56" t="s">
        <v>253</v>
      </c>
      <c r="C61" s="30">
        <f>'Target Standalone'!F69</f>
        <v>102.3</v>
      </c>
      <c r="D61" s="30">
        <v>0</v>
      </c>
      <c r="E61" s="30">
        <v>0</v>
      </c>
      <c r="F61" s="30">
        <v>0</v>
      </c>
      <c r="G61" s="30"/>
    </row>
    <row r="62" spans="2:7" x14ac:dyDescent="0.2">
      <c r="B62" s="92" t="s">
        <v>64</v>
      </c>
      <c r="C62" s="93">
        <f>C46-C56</f>
        <v>4492.7000000000007</v>
      </c>
      <c r="D62" s="93">
        <f>SUM(D58:D61)</f>
        <v>9203.1</v>
      </c>
      <c r="E62" s="93">
        <f>SUM(E58:E61)</f>
        <v>-13246</v>
      </c>
      <c r="F62" s="93">
        <f>F57+F58</f>
        <v>-210</v>
      </c>
      <c r="G62" s="93">
        <f t="shared" si="2"/>
        <v>239.80000000000109</v>
      </c>
    </row>
    <row r="63" spans="2:7" x14ac:dyDescent="0.2">
      <c r="B63" s="92" t="s">
        <v>458</v>
      </c>
      <c r="C63" s="93">
        <f>C56+C62</f>
        <v>9518.5</v>
      </c>
      <c r="D63" s="93">
        <f>D56+D62</f>
        <v>9923.7754800000002</v>
      </c>
      <c r="E63" s="93">
        <f>E56+E62</f>
        <v>-3246</v>
      </c>
      <c r="F63" s="93">
        <f>F56+F62</f>
        <v>0</v>
      </c>
      <c r="G63" s="93">
        <f t="shared" si="2"/>
        <v>16196.27548</v>
      </c>
    </row>
    <row r="64" spans="2:7" x14ac:dyDescent="0.2">
      <c r="B64" s="106" t="s">
        <v>459</v>
      </c>
      <c r="C64" s="105" t="str">
        <f>IFERROR(IF(ABS(C46-C63)&lt;1,"✓ Balanced","✗ CHECK: "&amp;TEXT(C46-C63,"$#,##0")),"-")</f>
        <v>✓ Balanced</v>
      </c>
      <c r="D64" s="105" t="str">
        <f>IFERROR(IF(ABS(D46-D63)&lt;1,"✓ Balanced","✗ CHECK: "&amp;TEXT(D46-D63,"$#,##0")),"-")</f>
        <v>✓ Balanced</v>
      </c>
      <c r="E64" s="105" t="str">
        <f>IFERROR(IF(ABS(E46-E63)&lt;1,"✓ Balanced","✗ CHECK: "&amp;TEXT(E46-E63,"$#,##0")),"-")</f>
        <v>✓ Balanced</v>
      </c>
      <c r="F64" s="105" t="str">
        <f>IFERROR(IF(ABS(F46-F63)&lt;1,"✓ Balanced","✗ CHECK: "&amp;TEXT(F46-F63,"$#,##0")),"-")</f>
        <v>✓ Balanced</v>
      </c>
      <c r="G64" s="105" t="str">
        <f>IFERROR(IF(ABS(G46-G63)&lt;1,"✓ Balanced","✗ CHECK: "&amp;TEXT(G46-G63,"$#,##0")),"-")</f>
        <v>✓ Balanced</v>
      </c>
    </row>
    <row r="66" spans="1:10" x14ac:dyDescent="0.2">
      <c r="A66" s="262" t="s">
        <v>460</v>
      </c>
      <c r="B66" s="273"/>
      <c r="C66" s="274"/>
      <c r="D66" s="274"/>
      <c r="E66" s="274"/>
      <c r="F66" s="274"/>
      <c r="G66" s="274"/>
      <c r="H66" s="274"/>
      <c r="I66" s="274"/>
      <c r="J66" s="274"/>
    </row>
    <row r="67" spans="1:10" x14ac:dyDescent="0.2">
      <c r="A67" s="216"/>
      <c r="B67" s="277" t="s">
        <v>421</v>
      </c>
      <c r="C67" s="278" t="s">
        <v>44</v>
      </c>
      <c r="D67" s="278" t="s">
        <v>45</v>
      </c>
      <c r="E67" s="278" t="s">
        <v>46</v>
      </c>
      <c r="F67" s="278" t="s">
        <v>102</v>
      </c>
      <c r="G67" s="278" t="s">
        <v>321</v>
      </c>
      <c r="H67" s="278" t="s">
        <v>625</v>
      </c>
      <c r="I67" s="278" t="s">
        <v>626</v>
      </c>
      <c r="J67" s="278" t="s">
        <v>627</v>
      </c>
    </row>
    <row r="68" spans="1:10" ht="14" customHeight="1" x14ac:dyDescent="0.2">
      <c r="B68" s="275" t="s">
        <v>432</v>
      </c>
      <c r="C68" s="276" t="str">
        <f>IFERROR(IF(1&lt;=$I$25,$J$25,"-"),"-")</f>
        <v>-</v>
      </c>
      <c r="D68" s="276" t="str">
        <f>IFERROR(IF(2&lt;=$I$25,$J$25,"-"),"-")</f>
        <v>-</v>
      </c>
      <c r="E68" s="276" t="str">
        <f>IFERROR(IF(3&lt;=$I$25,$J$25,"-"),"-")</f>
        <v>-</v>
      </c>
      <c r="F68" s="276" t="str">
        <f>IFERROR(IF(4&lt;=$I$25,$J$25,"-"),"-")</f>
        <v>-</v>
      </c>
      <c r="G68" s="276" t="str">
        <f>IFERROR(IF(5&lt;=$I$25,$J$25,"-"),"-")</f>
        <v>-</v>
      </c>
      <c r="H68" s="276" t="str">
        <f>IFERROR(IF(6&lt;=$I$25,$J$25,"-"),"-")</f>
        <v>-</v>
      </c>
      <c r="I68" s="276" t="str">
        <f>IFERROR(IF(7&lt;=$I$25,$J$25,"-"),"-")</f>
        <v>-</v>
      </c>
      <c r="J68" s="276" t="str">
        <f>IFERROR(IF(8&lt;=$I$25,$J$25,"-"),"-")</f>
        <v>-</v>
      </c>
    </row>
    <row r="69" spans="1:10" x14ac:dyDescent="0.2">
      <c r="B69" s="88" t="s">
        <v>425</v>
      </c>
      <c r="C69" s="107">
        <f>IFERROR(IF(1&lt;=$I$18,$J$18,0),"-")</f>
        <v>124.30733333333335</v>
      </c>
      <c r="D69" s="107">
        <f>IFERROR(IF(2&lt;=$I$18,$J$18,0),"-")</f>
        <v>124.30733333333335</v>
      </c>
      <c r="E69" s="107">
        <f>IFERROR(IF(3&lt;=$I$18,$J$18,0),"-")</f>
        <v>124.30733333333335</v>
      </c>
      <c r="F69" s="107">
        <f>IFERROR(IF(4&lt;=$I$18,$J$18,0),"-")</f>
        <v>124.30733333333335</v>
      </c>
      <c r="G69" s="107">
        <f>IFERROR(IF(5&lt;=$I$18,$J$18,0),"-")</f>
        <v>124.30733333333335</v>
      </c>
      <c r="H69" s="107">
        <f>IFERROR(IF(6&lt;=$I$18,$J$18,0),"-")</f>
        <v>124.30733333333335</v>
      </c>
      <c r="I69" s="107">
        <f>IFERROR(IF(7&lt;=$I$18,$J$18,0),"-")</f>
        <v>124.30733333333335</v>
      </c>
      <c r="J69" s="107">
        <f>IFERROR(IF(8&lt;=$I$18,$J$18,0),"-")</f>
        <v>124.30733333333335</v>
      </c>
    </row>
    <row r="70" spans="1:10" x14ac:dyDescent="0.2">
      <c r="B70" s="15" t="s">
        <v>426</v>
      </c>
      <c r="C70" s="30">
        <f>IFERROR(IF(1&lt;=$I$19,$J$19,0),"-")</f>
        <v>174.35314285714284</v>
      </c>
      <c r="D70" s="30">
        <f>IFERROR(IF(2&lt;=$I$19,$J$19,0),"-")</f>
        <v>174.35314285714284</v>
      </c>
      <c r="E70" s="30">
        <f>IFERROR(IF(3&lt;=$I$19,$J$19,0),"-")</f>
        <v>174.35314285714284</v>
      </c>
      <c r="F70" s="30">
        <f>IFERROR(IF(4&lt;=$I$19,$J$19,0),"-")</f>
        <v>174.35314285714284</v>
      </c>
      <c r="G70" s="30">
        <f>IFERROR(IF(5&lt;=$I$19,$J$19,0),"-")</f>
        <v>174.35314285714284</v>
      </c>
      <c r="H70" s="30">
        <f>IFERROR(IF(6&lt;=$I$19,$J$19,0),"-")</f>
        <v>174.35314285714284</v>
      </c>
      <c r="I70" s="30">
        <f>IFERROR(IF(7&lt;=$I$19,$J$19,0),"-")</f>
        <v>174.35314285714284</v>
      </c>
      <c r="J70" s="30">
        <f>IFERROR(IF(8&lt;=$I$19,$J$19,0),"-")</f>
        <v>0</v>
      </c>
    </row>
    <row r="71" spans="1:10" x14ac:dyDescent="0.2">
      <c r="B71" s="88" t="s">
        <v>427</v>
      </c>
      <c r="C71" s="107">
        <f>IFERROR(IF(1&lt;=$I$20,$J$20,0),"-")</f>
        <v>18.081066666666668</v>
      </c>
      <c r="D71" s="107">
        <f>IFERROR(IF(2&lt;=$I$20,$J$20,0),"-")</f>
        <v>18.081066666666668</v>
      </c>
      <c r="E71" s="107">
        <f>IFERROR(IF(3&lt;=$I$20,$J$20,0),"-")</f>
        <v>18.081066666666668</v>
      </c>
      <c r="F71" s="107">
        <f>IFERROR(IF(4&lt;=$I$20,$J$20,0),"-")</f>
        <v>18.081066666666668</v>
      </c>
      <c r="G71" s="107">
        <f>IFERROR(IF(5&lt;=$I$20,$J$20,0),"-")</f>
        <v>18.081066666666668</v>
      </c>
      <c r="H71" s="107">
        <f>IFERROR(IF(6&lt;=$I$20,$J$20,0),"-")</f>
        <v>18.081066666666668</v>
      </c>
      <c r="I71" s="107">
        <f>IFERROR(IF(7&lt;=$I$20,$J$20,0),"-")</f>
        <v>18.081066666666668</v>
      </c>
      <c r="J71" s="107">
        <f>IFERROR(IF(8&lt;=$I$20,$J$20,0),"-")</f>
        <v>18.081066666666668</v>
      </c>
    </row>
    <row r="72" spans="1:10" x14ac:dyDescent="0.2">
      <c r="B72" s="15" t="s">
        <v>428</v>
      </c>
      <c r="C72" s="30">
        <f>IFERROR(IF(1&lt;=$I$21,$J$21,0),"-")</f>
        <v>0</v>
      </c>
      <c r="D72" s="30">
        <f>IFERROR(IF(2&lt;=$I$21,$J$21,0),"-")</f>
        <v>0</v>
      </c>
      <c r="E72" s="30">
        <f>IFERROR(IF(3&lt;=$I$21,$J$21,0),"-")</f>
        <v>0</v>
      </c>
      <c r="F72" s="30">
        <f>IFERROR(IF(4&lt;=$I$21,$J$21,0),"-")</f>
        <v>0</v>
      </c>
      <c r="G72" s="30">
        <f>IFERROR(IF(5&lt;=$I$21,$J$21,0),"-")</f>
        <v>0</v>
      </c>
      <c r="H72" s="30">
        <f>IFERROR(IF(6&lt;=$I$21,$J$21,0),"-")</f>
        <v>0</v>
      </c>
      <c r="I72" s="30">
        <f>IFERROR(IF(7&lt;=$I$21,$J$21,0),"-")</f>
        <v>0</v>
      </c>
      <c r="J72" s="30">
        <f>IFERROR(IF(8&lt;=$I$21,$J$21,0),"-")</f>
        <v>0</v>
      </c>
    </row>
    <row r="73" spans="1:10" x14ac:dyDescent="0.2">
      <c r="B73" s="88" t="s">
        <v>429</v>
      </c>
      <c r="C73" s="107">
        <f>IFERROR(IF(1&lt;=$I$22,$J$22,0),"-")</f>
        <v>0</v>
      </c>
      <c r="D73" s="107">
        <f>IFERROR(IF(2&lt;=$I$22,$J$22,0),"-")</f>
        <v>0</v>
      </c>
      <c r="E73" s="107">
        <f>IFERROR(IF(3&lt;=$I$22,$J$22,0),"-")</f>
        <v>0</v>
      </c>
      <c r="F73" s="107">
        <f>IFERROR(IF(4&lt;=$I$22,$J$22,0),"-")</f>
        <v>0</v>
      </c>
      <c r="G73" s="107">
        <f>IFERROR(IF(5&lt;=$I$22,$J$22,0),"-")</f>
        <v>0</v>
      </c>
      <c r="H73" s="107">
        <f>IFERROR(IF(6&lt;=$I$22,$J$22,0),"-")</f>
        <v>0</v>
      </c>
      <c r="I73" s="107">
        <f>IFERROR(IF(7&lt;=$I$22,$J$22,0),"-")</f>
        <v>0</v>
      </c>
      <c r="J73" s="107">
        <f>IFERROR(IF(8&lt;=$I$22,$J$22,0),"-")</f>
        <v>0</v>
      </c>
    </row>
    <row r="74" spans="1:10" x14ac:dyDescent="0.2">
      <c r="B74" s="15" t="s">
        <v>430</v>
      </c>
      <c r="C74" s="30">
        <f>IFERROR(IF(1&lt;=$I$23,$J$23,0),"-")</f>
        <v>40.682400000000001</v>
      </c>
      <c r="D74" s="30">
        <f>IFERROR(IF(2&lt;=$I$23,$J$23,0),"-")</f>
        <v>40.682400000000001</v>
      </c>
      <c r="E74" s="30">
        <f>IFERROR(IF(3&lt;=$I$23,$J$23,0),"-")</f>
        <v>40.682400000000001</v>
      </c>
      <c r="F74" s="30">
        <f>IFERROR(IF(4&lt;=$I$23,$J$23,0),"-")</f>
        <v>40.682400000000001</v>
      </c>
      <c r="G74" s="30">
        <f>IFERROR(IF(5&lt;=$I$23,$J$23,0),"-")</f>
        <v>40.682400000000001</v>
      </c>
      <c r="H74" s="30">
        <f>IFERROR(IF(6&lt;=$I$23,$J$23,0),"-")</f>
        <v>0</v>
      </c>
      <c r="I74" s="30">
        <f>IFERROR(IF(7&lt;=$I$23,$J$23,0),"-")</f>
        <v>0</v>
      </c>
      <c r="J74" s="30">
        <f>IFERROR(IF(8&lt;=$I$23,$J$23,0),"-")</f>
        <v>0</v>
      </c>
    </row>
    <row r="75" spans="1:10" x14ac:dyDescent="0.2">
      <c r="B75" s="88" t="s">
        <v>431</v>
      </c>
      <c r="C75" s="107">
        <f>IFERROR(IF(1&lt;=$I$24,$J$24,0),"-")</f>
        <v>0</v>
      </c>
      <c r="D75" s="107">
        <f>IFERROR(IF(2&lt;=$I$24,$J$24,0),"-")</f>
        <v>0</v>
      </c>
      <c r="E75" s="107">
        <f>IFERROR(IF(3&lt;=$I$24,$J$24,0),"-")</f>
        <v>0</v>
      </c>
      <c r="F75" s="107">
        <f>IFERROR(IF(4&lt;=$I$24,$J$24,0),"-")</f>
        <v>0</v>
      </c>
      <c r="G75" s="107">
        <f>IFERROR(IF(5&lt;=$I$24,$J$24,0),"-")</f>
        <v>0</v>
      </c>
      <c r="H75" s="107">
        <f>IFERROR(IF(6&lt;=$I$24,$J$24,0),"-")</f>
        <v>0</v>
      </c>
      <c r="I75" s="107">
        <f>IFERROR(IF(7&lt;=$I$24,$J$24,0),"-")</f>
        <v>0</v>
      </c>
      <c r="J75" s="107">
        <f>IFERROR(IF(8&lt;=$I$24,$J$24,0),"-")</f>
        <v>0</v>
      </c>
    </row>
    <row r="76" spans="1:10" x14ac:dyDescent="0.2">
      <c r="B76" s="15" t="s">
        <v>432</v>
      </c>
      <c r="C76" s="30">
        <f>IFERROR(IF(1&lt;=$I$25,$J$25,0),"-")</f>
        <v>0</v>
      </c>
      <c r="D76" s="30">
        <f>IFERROR(IF(2&lt;=$I$25,$J$25,0),"-")</f>
        <v>0</v>
      </c>
      <c r="E76" s="30">
        <f>IFERROR(IF(3&lt;=$I$25,$J$25,0),"-")</f>
        <v>0</v>
      </c>
      <c r="F76" s="30">
        <f>IFERROR(IF(4&lt;=$I$25,$J$25,0),"-")</f>
        <v>0</v>
      </c>
      <c r="G76" s="30">
        <f>IFERROR(IF(5&lt;=$I$25,$J$25,0),"-")</f>
        <v>0</v>
      </c>
      <c r="H76" s="30">
        <f>IFERROR(IF(6&lt;=$I$25,$J$25,0),"-")</f>
        <v>0</v>
      </c>
      <c r="I76" s="30">
        <f>IFERROR(IF(7&lt;=$I$25,$J$25,0),"-")</f>
        <v>0</v>
      </c>
      <c r="J76" s="30">
        <f>IFERROR(IF(8&lt;=$I$25,$J$25,0),"-")</f>
        <v>0</v>
      </c>
    </row>
    <row r="77" spans="1:10" x14ac:dyDescent="0.2">
      <c r="B77" s="88" t="s">
        <v>461</v>
      </c>
      <c r="C77" s="107">
        <f>IFERROR(IF(1&lt;=$I$27,$J$27,0),"-")</f>
        <v>9.8700000000000045</v>
      </c>
      <c r="D77" s="107">
        <f>IFERROR(IF(2&lt;=$I$27,$J$27,0),"-")</f>
        <v>9.8700000000000045</v>
      </c>
      <c r="E77" s="107">
        <f>IFERROR(IF(3&lt;=$I$27,$J$27,0),"-")</f>
        <v>9.8700000000000045</v>
      </c>
      <c r="F77" s="107">
        <f>IFERROR(IF(4&lt;=$I$27,$J$27,0),"-")</f>
        <v>9.8700000000000045</v>
      </c>
      <c r="G77" s="107">
        <f>IFERROR(IF(5&lt;=$I$27,$J$27,0),"-")</f>
        <v>9.8700000000000045</v>
      </c>
      <c r="H77" s="107">
        <f>IFERROR(IF(6&lt;=$I$27,$J$27,0),"-")</f>
        <v>9.8700000000000045</v>
      </c>
      <c r="I77" s="107">
        <f>IFERROR(IF(7&lt;=$I$27,$J$27,0),"-")</f>
        <v>9.8700000000000045</v>
      </c>
      <c r="J77" s="107">
        <f>IFERROR(IF(8&lt;=$I$27,$J$27,0),"-")</f>
        <v>9.8700000000000045</v>
      </c>
    </row>
    <row r="78" spans="1:10" x14ac:dyDescent="0.2">
      <c r="B78" s="15" t="s">
        <v>462</v>
      </c>
      <c r="C78" s="30">
        <f>IFERROR(IF(1&lt;=$I$28,$J$28,0),"-")</f>
        <v>47.600000000000023</v>
      </c>
      <c r="D78" s="149"/>
      <c r="E78" s="149"/>
      <c r="F78" s="149"/>
      <c r="G78" s="149"/>
      <c r="H78" s="149"/>
      <c r="I78" s="149"/>
      <c r="J78" s="149"/>
    </row>
    <row r="79" spans="1:10" x14ac:dyDescent="0.2">
      <c r="B79" s="92" t="s">
        <v>463</v>
      </c>
      <c r="C79" s="93">
        <f>SUM(C69:C78)</f>
        <v>414.89394285714286</v>
      </c>
      <c r="D79" s="93">
        <f>SUM(D69:D78)</f>
        <v>367.29394285714284</v>
      </c>
      <c r="E79" s="93">
        <f>SUM(E69:E78)</f>
        <v>367.29394285714284</v>
      </c>
      <c r="F79" s="93">
        <f>SUM(F69:F78)</f>
        <v>367.29394285714284</v>
      </c>
      <c r="G79" s="93">
        <f>SUM(G69:G78)</f>
        <v>367.29394285714284</v>
      </c>
      <c r="H79" s="93">
        <f>SUM(H69:H78)</f>
        <v>326.61154285714287</v>
      </c>
      <c r="I79" s="93">
        <f>SUM(I69:I78)</f>
        <v>326.61154285714287</v>
      </c>
      <c r="J79" s="93">
        <f>SUM(J69:J78)</f>
        <v>152.25840000000002</v>
      </c>
    </row>
  </sheetData>
  <mergeCells count="15">
    <mergeCell ref="D8:E8"/>
    <mergeCell ref="A2:J2"/>
    <mergeCell ref="A4:E4"/>
    <mergeCell ref="D5:E5"/>
    <mergeCell ref="D6:E6"/>
    <mergeCell ref="D7:E7"/>
    <mergeCell ref="A16:E16"/>
    <mergeCell ref="A33:J33"/>
    <mergeCell ref="A66:J66"/>
    <mergeCell ref="D9:E9"/>
    <mergeCell ref="D10:E10"/>
    <mergeCell ref="D11:E11"/>
    <mergeCell ref="D12:E12"/>
    <mergeCell ref="D13:E13"/>
    <mergeCell ref="D14:E14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0BAB2-7DAE-1349-B45D-81263DB8005F}">
  <dimension ref="A1:O100"/>
  <sheetViews>
    <sheetView zoomScale="136" workbookViewId="0">
      <pane ySplit="5" topLeftCell="A77" activePane="bottomLeft" state="frozen"/>
      <selection pane="bottomLeft" activeCell="J95" sqref="J95"/>
    </sheetView>
  </sheetViews>
  <sheetFormatPr baseColWidth="10" defaultRowHeight="16" x14ac:dyDescent="0.2"/>
  <cols>
    <col min="1" max="1" width="10.83203125" style="1"/>
    <col min="2" max="2" width="28.6640625" style="1" customWidth="1"/>
    <col min="3" max="3" width="15.6640625" style="1" customWidth="1"/>
    <col min="4" max="4" width="17" style="1" customWidth="1"/>
    <col min="5" max="7" width="10.83203125" style="1"/>
    <col min="8" max="8" width="12.5" style="1" customWidth="1"/>
    <col min="9" max="16384" width="10.83203125" style="1"/>
  </cols>
  <sheetData>
    <row r="1" spans="1:15" x14ac:dyDescent="0.2">
      <c r="A1" s="82"/>
      <c r="B1" s="83" t="s">
        <v>77</v>
      </c>
      <c r="C1" s="136"/>
      <c r="D1" s="84" t="s">
        <v>78</v>
      </c>
      <c r="E1" s="136"/>
      <c r="F1" s="140" t="s">
        <v>142</v>
      </c>
      <c r="G1" s="136"/>
      <c r="H1" s="110" t="s">
        <v>303</v>
      </c>
      <c r="I1" s="136"/>
      <c r="J1" s="136"/>
      <c r="K1" s="136"/>
      <c r="L1" s="136"/>
      <c r="M1" s="136"/>
      <c r="N1" s="136"/>
      <c r="O1" s="136"/>
    </row>
    <row r="2" spans="1:15" ht="19" x14ac:dyDescent="0.25">
      <c r="A2" s="255" t="s">
        <v>628</v>
      </c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</row>
    <row r="3" spans="1:15" x14ac:dyDescent="0.2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2">
      <c r="B4" s="138" t="s">
        <v>464</v>
      </c>
      <c r="C4" s="266"/>
      <c r="D4" s="266"/>
      <c r="E4" s="136"/>
      <c r="F4" s="136"/>
      <c r="G4" s="136"/>
      <c r="H4" s="136"/>
      <c r="I4" s="3"/>
      <c r="J4" s="3"/>
      <c r="K4" s="3"/>
      <c r="L4" s="3"/>
      <c r="M4" s="3"/>
      <c r="N4" s="3"/>
      <c r="O4" s="3"/>
    </row>
    <row r="5" spans="1:15" x14ac:dyDescent="0.2">
      <c r="B5" s="151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</row>
    <row r="6" spans="1:15" x14ac:dyDescent="0.2">
      <c r="A6" s="262" t="s">
        <v>465</v>
      </c>
      <c r="B6" s="261"/>
      <c r="C6" s="261"/>
      <c r="D6" s="261"/>
      <c r="E6" s="261"/>
      <c r="F6" s="261"/>
      <c r="G6" s="261"/>
      <c r="H6" s="261"/>
      <c r="I6" s="3"/>
      <c r="J6" s="3"/>
      <c r="K6" s="3"/>
      <c r="L6" s="3"/>
      <c r="M6" s="3"/>
      <c r="N6" s="3"/>
      <c r="O6" s="3"/>
    </row>
    <row r="7" spans="1:15" ht="28" x14ac:dyDescent="0.2">
      <c r="B7" s="152" t="s">
        <v>466</v>
      </c>
      <c r="C7" s="141" t="s">
        <v>467</v>
      </c>
      <c r="D7" s="141" t="s">
        <v>468</v>
      </c>
      <c r="E7" s="137" t="s">
        <v>469</v>
      </c>
      <c r="F7" s="137" t="s">
        <v>470</v>
      </c>
      <c r="G7" s="137" t="s">
        <v>471</v>
      </c>
      <c r="H7" s="137" t="s">
        <v>472</v>
      </c>
      <c r="I7" s="3"/>
      <c r="J7" s="3"/>
      <c r="K7" s="3"/>
      <c r="L7" s="3"/>
      <c r="M7" s="3"/>
      <c r="N7" s="3"/>
      <c r="O7" s="3"/>
    </row>
    <row r="8" spans="1:15" x14ac:dyDescent="0.2">
      <c r="B8" s="92" t="s">
        <v>196</v>
      </c>
      <c r="C8" s="109">
        <f>'Acquirer Standalone'!C8</f>
        <v>26944</v>
      </c>
      <c r="D8" s="109">
        <f>'Target Standalone'!C8</f>
        <v>4445.1000000000004</v>
      </c>
      <c r="E8" s="109">
        <f>'Synergy Assumptions'!C10</f>
        <v>0</v>
      </c>
      <c r="F8" s="109"/>
      <c r="G8" s="109"/>
      <c r="H8" s="93">
        <f>SUM(C8:G8)</f>
        <v>31389.1</v>
      </c>
      <c r="I8" s="3"/>
      <c r="J8" s="3"/>
      <c r="K8" s="3"/>
      <c r="L8" s="3"/>
      <c r="M8" s="3"/>
      <c r="N8" s="3"/>
      <c r="O8" s="3"/>
    </row>
    <row r="9" spans="1:15" x14ac:dyDescent="0.2">
      <c r="B9" s="91" t="s">
        <v>197</v>
      </c>
      <c r="C9" s="153" t="s">
        <v>16</v>
      </c>
      <c r="D9" s="153" t="s">
        <v>16</v>
      </c>
      <c r="E9" s="153" t="s">
        <v>16</v>
      </c>
      <c r="F9" s="153" t="s">
        <v>16</v>
      </c>
      <c r="G9" s="153" t="s">
        <v>16</v>
      </c>
      <c r="H9" s="90">
        <f>IFERROR(H8/H8,"-")</f>
        <v>1</v>
      </c>
      <c r="I9" s="3"/>
      <c r="J9" s="3"/>
      <c r="K9" s="3"/>
      <c r="L9" s="3"/>
      <c r="M9" s="3"/>
      <c r="N9" s="3"/>
      <c r="O9" s="3"/>
    </row>
    <row r="10" spans="1:15" x14ac:dyDescent="0.2">
      <c r="B10" s="15" t="s">
        <v>198</v>
      </c>
      <c r="C10" s="30">
        <f>'Acquirer Standalone'!C10</f>
        <v>18892</v>
      </c>
      <c r="D10" s="30">
        <f>'Target Standalone'!C10</f>
        <v>1627.5</v>
      </c>
      <c r="E10" s="30"/>
      <c r="F10" s="30"/>
      <c r="G10" s="30"/>
      <c r="H10" s="30">
        <f>SUM(C10:G10)</f>
        <v>20519.5</v>
      </c>
      <c r="I10" s="3"/>
      <c r="J10" s="3"/>
      <c r="K10" s="3"/>
      <c r="L10" s="3"/>
      <c r="M10" s="3"/>
      <c r="N10" s="3"/>
      <c r="O10" s="3"/>
    </row>
    <row r="11" spans="1:15" x14ac:dyDescent="0.2">
      <c r="B11" s="92" t="s">
        <v>199</v>
      </c>
      <c r="C11" s="109">
        <f>'Acquirer Standalone'!C11</f>
        <v>8052</v>
      </c>
      <c r="D11" s="109">
        <f>'Target Standalone'!C11</f>
        <v>2817.6000000000004</v>
      </c>
      <c r="E11" s="109">
        <f>'Synergy Assumptions'!C10</f>
        <v>0</v>
      </c>
      <c r="F11" s="109">
        <f>-'PPA &amp; BS Adjustments'!E29</f>
        <v>0</v>
      </c>
      <c r="G11" s="109"/>
      <c r="H11" s="93">
        <f>SUM(C8:G8)-SUM(C10:G10)</f>
        <v>10869.599999999999</v>
      </c>
      <c r="I11" s="3"/>
      <c r="J11" s="3"/>
      <c r="K11" s="3"/>
      <c r="L11" s="3"/>
      <c r="M11" s="3"/>
      <c r="N11" s="3"/>
      <c r="O11" s="3"/>
    </row>
    <row r="12" spans="1:15" x14ac:dyDescent="0.2">
      <c r="B12" s="98" t="s">
        <v>200</v>
      </c>
      <c r="C12" s="149" t="s">
        <v>16</v>
      </c>
      <c r="D12" s="149" t="s">
        <v>16</v>
      </c>
      <c r="E12" s="149" t="s">
        <v>16</v>
      </c>
      <c r="F12" s="149" t="s">
        <v>16</v>
      </c>
      <c r="G12" s="149" t="s">
        <v>16</v>
      </c>
      <c r="H12" s="17">
        <f>IFERROR(H11/H8,"-")</f>
        <v>0.34628581259099495</v>
      </c>
      <c r="I12" s="3"/>
      <c r="J12" s="3"/>
      <c r="K12" s="3"/>
      <c r="L12" s="3"/>
      <c r="M12" s="3"/>
      <c r="N12" s="3"/>
      <c r="O12" s="3"/>
    </row>
    <row r="13" spans="1:15" x14ac:dyDescent="0.2">
      <c r="B13" s="88" t="s">
        <v>201</v>
      </c>
      <c r="C13" s="107">
        <f>'Acquirer Standalone'!C13</f>
        <v>1874</v>
      </c>
      <c r="D13" s="107">
        <f>'Target Standalone'!C13</f>
        <v>958.4</v>
      </c>
      <c r="E13" s="107"/>
      <c r="F13" s="107"/>
      <c r="G13" s="107"/>
      <c r="H13" s="107">
        <f>SUM(C13:G13)</f>
        <v>2832.4</v>
      </c>
      <c r="I13" s="3"/>
      <c r="J13" s="3"/>
      <c r="K13" s="3"/>
      <c r="L13" s="3"/>
      <c r="M13" s="3"/>
      <c r="N13" s="3"/>
      <c r="O13" s="3"/>
    </row>
    <row r="14" spans="1:15" x14ac:dyDescent="0.2">
      <c r="B14" s="15" t="s">
        <v>202</v>
      </c>
      <c r="C14" s="30">
        <f>'Acquirer Standalone'!C15</f>
        <v>4624</v>
      </c>
      <c r="D14" s="30">
        <f>'Target Standalone'!C15</f>
        <v>1169.5999999999999</v>
      </c>
      <c r="E14" s="30"/>
      <c r="F14" s="30"/>
      <c r="G14" s="30"/>
      <c r="H14" s="30">
        <f>SUM(C14:G14)</f>
        <v>5793.6</v>
      </c>
      <c r="I14" s="3"/>
      <c r="J14" s="3"/>
      <c r="K14" s="3"/>
      <c r="L14" s="3"/>
      <c r="M14" s="3"/>
      <c r="N14" s="3"/>
      <c r="O14" s="3"/>
    </row>
    <row r="15" spans="1:15" x14ac:dyDescent="0.2">
      <c r="B15" s="88" t="s">
        <v>203</v>
      </c>
      <c r="C15" s="107">
        <f>'Acquirer Standalone'!C17</f>
        <v>1030</v>
      </c>
      <c r="D15" s="107">
        <f>'Target Standalone'!C17</f>
        <v>37.1</v>
      </c>
      <c r="E15" s="107"/>
      <c r="F15" s="107"/>
      <c r="G15" s="107"/>
      <c r="H15" s="107">
        <f>SUM(C15:G15)</f>
        <v>1067.0999999999999</v>
      </c>
      <c r="I15" s="3"/>
      <c r="J15" s="3"/>
      <c r="K15" s="3"/>
      <c r="L15" s="3"/>
      <c r="M15" s="3"/>
      <c r="N15" s="3"/>
      <c r="O15" s="3"/>
    </row>
    <row r="16" spans="1:15" x14ac:dyDescent="0.2">
      <c r="B16" s="15" t="s">
        <v>473</v>
      </c>
      <c r="C16" s="30"/>
      <c r="D16" s="30"/>
      <c r="E16" s="30"/>
      <c r="F16" s="30">
        <f>'PPA &amp; BS Adjustments'!C69</f>
        <v>124.30733333333335</v>
      </c>
      <c r="G16" s="30"/>
      <c r="H16" s="30">
        <f>SUM(C16:G16)</f>
        <v>124.30733333333335</v>
      </c>
      <c r="I16" s="3"/>
      <c r="J16" s="3"/>
      <c r="K16" s="3"/>
      <c r="L16" s="3"/>
      <c r="M16" s="3"/>
      <c r="N16" s="3"/>
      <c r="O16" s="3"/>
    </row>
    <row r="17" spans="2:15" x14ac:dyDescent="0.2">
      <c r="B17" s="92" t="s">
        <v>204</v>
      </c>
      <c r="C17" s="109">
        <f>'Acquirer Standalone'!C18</f>
        <v>26420</v>
      </c>
      <c r="D17" s="109">
        <f>'Target Standalone'!C18</f>
        <v>2165.1</v>
      </c>
      <c r="E17" s="109">
        <f>-'Synergy Assumptions'!C18</f>
        <v>-125.32288868252469</v>
      </c>
      <c r="F17" s="109"/>
      <c r="G17" s="109"/>
      <c r="H17" s="93">
        <f>SUM(C13:G16)</f>
        <v>9817.4073333333345</v>
      </c>
      <c r="I17" s="3"/>
      <c r="J17" s="3"/>
      <c r="K17" s="3"/>
      <c r="L17" s="3"/>
      <c r="M17" s="3"/>
      <c r="N17" s="3"/>
      <c r="O17" s="3"/>
    </row>
    <row r="18" spans="2:15" x14ac:dyDescent="0.2">
      <c r="B18" s="92" t="s">
        <v>205</v>
      </c>
      <c r="C18" s="109">
        <f>'Acquirer Standalone'!C19</f>
        <v>524</v>
      </c>
      <c r="D18" s="109">
        <f>'Target Standalone'!C19</f>
        <v>652.50000000000045</v>
      </c>
      <c r="E18" s="109">
        <f>'Synergy Assumptions'!C20</f>
        <v>125.32288868252469</v>
      </c>
      <c r="F18" s="109"/>
      <c r="G18" s="109"/>
      <c r="H18" s="93">
        <f>H11-H17</f>
        <v>1052.1926666666641</v>
      </c>
      <c r="I18" s="3"/>
      <c r="J18" s="3"/>
      <c r="K18" s="3"/>
      <c r="L18" s="3"/>
      <c r="M18" s="3"/>
      <c r="N18" s="3"/>
      <c r="O18" s="3"/>
    </row>
    <row r="19" spans="2:15" x14ac:dyDescent="0.2">
      <c r="B19" s="91" t="s">
        <v>206</v>
      </c>
      <c r="C19" s="153" t="s">
        <v>16</v>
      </c>
      <c r="D19" s="153" t="s">
        <v>16</v>
      </c>
      <c r="E19" s="153" t="s">
        <v>16</v>
      </c>
      <c r="F19" s="153" t="s">
        <v>16</v>
      </c>
      <c r="G19" s="153" t="s">
        <v>16</v>
      </c>
      <c r="H19" s="90">
        <f>IFERROR(H18/H8,"-")</f>
        <v>3.3520956850201636E-2</v>
      </c>
      <c r="I19" s="3"/>
      <c r="J19" s="3"/>
      <c r="K19" s="3"/>
      <c r="L19" s="3"/>
      <c r="M19" s="3"/>
      <c r="N19" s="3"/>
      <c r="O19" s="3"/>
    </row>
    <row r="20" spans="2:15" x14ac:dyDescent="0.2">
      <c r="B20" s="15" t="s">
        <v>207</v>
      </c>
      <c r="C20" s="30">
        <f>'Acquirer Standalone'!C21</f>
        <v>2625</v>
      </c>
      <c r="D20" s="30">
        <f>'Target Standalone'!C21</f>
        <v>206.8</v>
      </c>
      <c r="E20" s="30"/>
      <c r="F20" s="30">
        <f>'PPA &amp; BS Adjustments'!C79</f>
        <v>414.89394285714286</v>
      </c>
      <c r="G20" s="30"/>
      <c r="H20" s="30">
        <f>SUM(C20:G20)</f>
        <v>3246.6939428571432</v>
      </c>
      <c r="I20" s="3"/>
      <c r="J20" s="3"/>
      <c r="K20" s="3"/>
      <c r="L20" s="3"/>
      <c r="M20" s="3"/>
      <c r="N20" s="3"/>
      <c r="O20" s="3"/>
    </row>
    <row r="21" spans="2:15" x14ac:dyDescent="0.2">
      <c r="B21" s="92" t="s">
        <v>208</v>
      </c>
      <c r="C21" s="109"/>
      <c r="D21" s="109"/>
      <c r="E21" s="109"/>
      <c r="F21" s="109"/>
      <c r="G21" s="109"/>
      <c r="H21" s="93">
        <f>H18+H20</f>
        <v>4298.8866095238072</v>
      </c>
      <c r="I21" s="3"/>
      <c r="J21" s="3"/>
      <c r="K21" s="3"/>
      <c r="L21" s="3"/>
      <c r="M21" s="3"/>
      <c r="N21" s="3"/>
      <c r="O21" s="3"/>
    </row>
    <row r="22" spans="2:15" x14ac:dyDescent="0.2">
      <c r="B22" s="98" t="s">
        <v>209</v>
      </c>
      <c r="C22" s="149" t="s">
        <v>16</v>
      </c>
      <c r="D22" s="149" t="s">
        <v>16</v>
      </c>
      <c r="E22" s="149" t="s">
        <v>16</v>
      </c>
      <c r="F22" s="149" t="s">
        <v>16</v>
      </c>
      <c r="G22" s="149" t="s">
        <v>16</v>
      </c>
      <c r="H22" s="17">
        <f>IFERROR(H21/H8,"-")</f>
        <v>0.13695475848379876</v>
      </c>
      <c r="I22" s="3"/>
      <c r="J22" s="3"/>
      <c r="K22" s="3"/>
      <c r="L22" s="3"/>
      <c r="M22" s="3"/>
      <c r="N22" s="3"/>
      <c r="O22" s="3"/>
    </row>
    <row r="23" spans="2:15" x14ac:dyDescent="0.2">
      <c r="B23" s="88" t="s">
        <v>474</v>
      </c>
      <c r="C23" s="107">
        <f>'Acquirer Standalone'!C24</f>
        <v>256</v>
      </c>
      <c r="D23" s="107">
        <f>'Target Standalone'!C24</f>
        <v>77</v>
      </c>
      <c r="E23" s="107"/>
      <c r="F23" s="107"/>
      <c r="G23" s="107"/>
      <c r="H23" s="107">
        <f>SUM(C23:G23)</f>
        <v>333</v>
      </c>
      <c r="I23" s="3"/>
      <c r="J23" s="3"/>
      <c r="K23" s="3"/>
      <c r="L23" s="3"/>
      <c r="M23" s="3"/>
      <c r="N23" s="3"/>
      <c r="O23" s="3"/>
    </row>
    <row r="24" spans="2:15" x14ac:dyDescent="0.2">
      <c r="B24" s="15" t="s">
        <v>211</v>
      </c>
      <c r="C24" s="30">
        <f>'Acquirer Standalone'!C25</f>
        <v>0</v>
      </c>
      <c r="D24" s="30">
        <f>'Target Standalone'!C25</f>
        <v>36.299999999999997</v>
      </c>
      <c r="E24" s="30"/>
      <c r="F24" s="30"/>
      <c r="G24" s="30"/>
      <c r="H24" s="30">
        <f>SUM(C24:G24)</f>
        <v>36.299999999999997</v>
      </c>
      <c r="I24" s="3"/>
      <c r="J24" s="3"/>
      <c r="K24" s="3"/>
      <c r="L24" s="3"/>
      <c r="M24" s="3"/>
      <c r="N24" s="3"/>
      <c r="O24" s="3"/>
    </row>
    <row r="25" spans="2:15" x14ac:dyDescent="0.2">
      <c r="B25" s="88" t="s">
        <v>299</v>
      </c>
      <c r="C25" s="107">
        <f>'Acquirer Standalone'!C26</f>
        <v>56</v>
      </c>
      <c r="D25" s="107">
        <f>'Target Standalone'!C26</f>
        <v>7.8</v>
      </c>
      <c r="E25" s="107"/>
      <c r="F25" s="107"/>
      <c r="G25" s="107"/>
      <c r="H25" s="107">
        <f>SUM(C25:G25)</f>
        <v>63.8</v>
      </c>
      <c r="I25" s="3"/>
      <c r="J25" s="3"/>
      <c r="K25" s="3"/>
      <c r="L25" s="3"/>
      <c r="M25" s="3"/>
      <c r="N25" s="3"/>
      <c r="O25" s="3"/>
    </row>
    <row r="26" spans="2:15" x14ac:dyDescent="0.2">
      <c r="B26" s="92" t="s">
        <v>213</v>
      </c>
      <c r="C26" s="109">
        <f>'Acquirer Standalone'!C27</f>
        <v>-442</v>
      </c>
      <c r="D26" s="109">
        <f>'Target Standalone'!C27</f>
        <v>265.2</v>
      </c>
      <c r="E26" s="109">
        <f>'Synergy Assumptions'!C20</f>
        <v>125.32288868252469</v>
      </c>
      <c r="F26" s="109"/>
      <c r="G26" s="109"/>
      <c r="H26" s="93">
        <f>H18-H23+H24-H25</f>
        <v>691.69266666666408</v>
      </c>
      <c r="I26" s="3"/>
      <c r="J26" s="3"/>
      <c r="K26" s="3"/>
      <c r="L26" s="3"/>
      <c r="M26" s="3"/>
      <c r="N26" s="3"/>
      <c r="O26" s="3"/>
    </row>
    <row r="27" spans="2:15" x14ac:dyDescent="0.2">
      <c r="B27" s="91" t="s">
        <v>214</v>
      </c>
      <c r="C27" s="153" t="s">
        <v>16</v>
      </c>
      <c r="D27" s="153" t="s">
        <v>16</v>
      </c>
      <c r="E27" s="153" t="s">
        <v>16</v>
      </c>
      <c r="F27" s="153" t="s">
        <v>16</v>
      </c>
      <c r="G27" s="153" t="s">
        <v>16</v>
      </c>
      <c r="H27" s="90">
        <f>IFERROR(H26/H8,"-")</f>
        <v>2.2036078341419924E-2</v>
      </c>
      <c r="I27" s="3"/>
      <c r="J27" s="3"/>
      <c r="K27" s="3"/>
      <c r="L27" s="3"/>
      <c r="M27" s="3"/>
      <c r="N27" s="3"/>
      <c r="O27" s="3"/>
    </row>
    <row r="28" spans="2:15" x14ac:dyDescent="0.2">
      <c r="B28" s="15" t="s">
        <v>215</v>
      </c>
      <c r="C28" s="30">
        <f>'Acquirer Standalone'!C29</f>
        <v>-120</v>
      </c>
      <c r="D28" s="30">
        <f>'Target Standalone'!C29</f>
        <v>7.4</v>
      </c>
      <c r="E28" s="30">
        <f>E26*0.21</f>
        <v>26.317806623330185</v>
      </c>
      <c r="F28" s="30">
        <f>H16*0.21</f>
        <v>26.10454</v>
      </c>
      <c r="G28" s="30"/>
      <c r="H28" s="30">
        <f>SUM(C28:G28)</f>
        <v>-60.177653376669809</v>
      </c>
      <c r="I28" s="3"/>
      <c r="J28" s="3"/>
      <c r="K28" s="3"/>
      <c r="L28" s="3"/>
      <c r="M28" s="3"/>
      <c r="N28" s="3"/>
      <c r="O28" s="3"/>
    </row>
    <row r="29" spans="2:15" x14ac:dyDescent="0.2">
      <c r="B29" s="91" t="s">
        <v>216</v>
      </c>
      <c r="C29" s="153" t="s">
        <v>16</v>
      </c>
      <c r="D29" s="153" t="s">
        <v>16</v>
      </c>
      <c r="E29" s="153" t="s">
        <v>16</v>
      </c>
      <c r="F29" s="153" t="s">
        <v>16</v>
      </c>
      <c r="G29" s="153" t="s">
        <v>16</v>
      </c>
      <c r="H29" s="90">
        <f>IFERROR(H28/H26,"-")</f>
        <v>-8.7000565824518455E-2</v>
      </c>
      <c r="I29" s="3"/>
      <c r="J29" s="3"/>
      <c r="K29" s="3"/>
      <c r="L29" s="3"/>
      <c r="M29" s="3"/>
      <c r="N29" s="3"/>
      <c r="O29" s="3"/>
    </row>
    <row r="30" spans="2:15" x14ac:dyDescent="0.2">
      <c r="B30" s="92" t="s">
        <v>475</v>
      </c>
      <c r="C30" s="109">
        <f>'Acquirer Standalone'!C31</f>
        <v>-322</v>
      </c>
      <c r="D30" s="109">
        <f>'Target Standalone'!C31</f>
        <v>257.8</v>
      </c>
      <c r="E30" s="109">
        <f>E26-E28</f>
        <v>99.005082059194507</v>
      </c>
      <c r="F30" s="109"/>
      <c r="G30" s="109"/>
      <c r="H30" s="93">
        <f>H26-H28</f>
        <v>751.87032004333389</v>
      </c>
      <c r="I30" s="3"/>
      <c r="J30" s="3"/>
      <c r="K30" s="3"/>
      <c r="L30" s="3"/>
      <c r="M30" s="3"/>
      <c r="N30" s="3"/>
      <c r="O30" s="3"/>
    </row>
    <row r="31" spans="2:15" x14ac:dyDescent="0.2">
      <c r="B31" s="91" t="s">
        <v>218</v>
      </c>
      <c r="C31" s="153" t="s">
        <v>16</v>
      </c>
      <c r="D31" s="153" t="s">
        <v>16</v>
      </c>
      <c r="E31" s="153" t="s">
        <v>16</v>
      </c>
      <c r="F31" s="153" t="s">
        <v>16</v>
      </c>
      <c r="G31" s="153" t="s">
        <v>16</v>
      </c>
      <c r="H31" s="90">
        <f>IFERROR(H30/H8,"-")</f>
        <v>2.3953229625676874E-2</v>
      </c>
      <c r="I31" s="3"/>
      <c r="J31" s="3"/>
      <c r="K31" s="3"/>
      <c r="L31" s="3"/>
      <c r="M31" s="3"/>
      <c r="N31" s="3"/>
      <c r="O31" s="3"/>
    </row>
    <row r="32" spans="2:15" x14ac:dyDescent="0.2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B33" s="12" t="s">
        <v>476</v>
      </c>
      <c r="C33" s="154"/>
      <c r="D33" s="154"/>
      <c r="E33" s="154"/>
      <c r="F33" s="154"/>
      <c r="G33" s="154"/>
      <c r="H33" s="154"/>
      <c r="I33" s="3"/>
      <c r="J33" s="3"/>
      <c r="K33" s="3"/>
      <c r="L33" s="3"/>
      <c r="M33" s="3"/>
      <c r="N33" s="3"/>
      <c r="O33" s="3"/>
    </row>
    <row r="34" spans="1:15" x14ac:dyDescent="0.2">
      <c r="B34" s="15" t="s">
        <v>219</v>
      </c>
      <c r="C34" s="76">
        <f>'Acquirer Standalone'!C33</f>
        <v>-0.24879999999999999</v>
      </c>
      <c r="D34" s="76">
        <f>'Target Standalone'!C33</f>
        <v>0.78026634382566595</v>
      </c>
      <c r="E34" s="77"/>
      <c r="F34" s="77"/>
      <c r="G34" s="77"/>
      <c r="H34" s="77">
        <f>IF(H36=0,0,H30/H36)</f>
        <v>0.58104352399021164</v>
      </c>
      <c r="I34" s="3"/>
      <c r="J34" s="3"/>
      <c r="K34" s="3"/>
      <c r="L34" s="3"/>
      <c r="M34" s="3"/>
      <c r="N34" s="3"/>
      <c r="O34" s="3"/>
    </row>
    <row r="35" spans="1:15" x14ac:dyDescent="0.2">
      <c r="B35" s="88" t="s">
        <v>220</v>
      </c>
      <c r="C35" s="144">
        <f>'Acquirer Standalone'!C34</f>
        <v>-0.24879999999999999</v>
      </c>
      <c r="D35" s="144">
        <f>'Target Standalone'!C34</f>
        <v>0.76909307875894994</v>
      </c>
      <c r="E35" s="135"/>
      <c r="F35" s="135"/>
      <c r="G35" s="135"/>
      <c r="H35" s="135">
        <f>IF(H37=0,0,H30/H37)</f>
        <v>0.58104352399021164</v>
      </c>
      <c r="I35" s="3"/>
      <c r="J35" s="3"/>
      <c r="K35" s="3"/>
      <c r="L35" s="3"/>
      <c r="M35" s="3"/>
      <c r="N35" s="3"/>
      <c r="O35" s="3"/>
    </row>
    <row r="36" spans="1:15" x14ac:dyDescent="0.2">
      <c r="B36" s="15" t="s">
        <v>477</v>
      </c>
      <c r="C36" s="19">
        <f>'Acquirer Standalone'!C35</f>
        <v>1294</v>
      </c>
      <c r="D36" s="19">
        <f>'Target Standalone'!C35</f>
        <v>330.4</v>
      </c>
      <c r="E36" s="20"/>
      <c r="F36" s="20"/>
      <c r="G36" s="20"/>
      <c r="H36" s="20">
        <f>C36</f>
        <v>1294</v>
      </c>
      <c r="I36" s="3"/>
      <c r="J36" s="3"/>
      <c r="K36" s="3"/>
      <c r="L36" s="3"/>
      <c r="M36" s="3"/>
      <c r="N36" s="3"/>
      <c r="O36" s="3"/>
    </row>
    <row r="37" spans="1:15" x14ac:dyDescent="0.2">
      <c r="B37" s="88" t="s">
        <v>478</v>
      </c>
      <c r="C37" s="155">
        <f>'Acquirer Standalone'!C36</f>
        <v>1294</v>
      </c>
      <c r="D37" s="155">
        <f>'Target Standalone'!C36</f>
        <v>335.2</v>
      </c>
      <c r="E37" s="145"/>
      <c r="F37" s="145"/>
      <c r="G37" s="145"/>
      <c r="H37" s="145">
        <f>C37</f>
        <v>1294</v>
      </c>
      <c r="I37" s="3"/>
      <c r="J37" s="3"/>
      <c r="K37" s="3"/>
      <c r="L37" s="3"/>
      <c r="M37" s="3"/>
      <c r="N37" s="3"/>
      <c r="O37" s="3"/>
    </row>
    <row r="38" spans="1:15" x14ac:dyDescent="0.2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262" t="s">
        <v>479</v>
      </c>
      <c r="B39" s="261"/>
      <c r="C39" s="261"/>
      <c r="D39" s="261"/>
      <c r="E39" s="261"/>
      <c r="F39" s="261"/>
      <c r="G39" s="261"/>
      <c r="H39" s="261"/>
      <c r="I39" s="3"/>
      <c r="J39" s="3"/>
      <c r="K39" s="3"/>
      <c r="L39" s="3"/>
      <c r="M39" s="3"/>
      <c r="N39" s="3"/>
      <c r="O39" s="3"/>
    </row>
    <row r="40" spans="1:15" ht="28" x14ac:dyDescent="0.2">
      <c r="B40" s="152" t="s">
        <v>480</v>
      </c>
      <c r="C40" s="141" t="s">
        <v>467</v>
      </c>
      <c r="D40" s="141" t="s">
        <v>468</v>
      </c>
      <c r="E40" s="137" t="s">
        <v>470</v>
      </c>
      <c r="F40" s="137" t="s">
        <v>443</v>
      </c>
      <c r="G40" s="137" t="s">
        <v>444</v>
      </c>
      <c r="H40" s="137" t="s">
        <v>445</v>
      </c>
      <c r="I40" s="3"/>
      <c r="J40" s="3"/>
      <c r="K40" s="3"/>
      <c r="L40" s="3"/>
      <c r="M40" s="3"/>
      <c r="N40" s="3"/>
      <c r="O40" s="3"/>
    </row>
    <row r="41" spans="1:15" x14ac:dyDescent="0.2">
      <c r="B41" s="12" t="s">
        <v>446</v>
      </c>
      <c r="C41" s="154"/>
      <c r="D41" s="154"/>
      <c r="E41" s="154"/>
      <c r="F41" s="154"/>
      <c r="G41" s="154"/>
      <c r="H41" s="154"/>
      <c r="I41" s="3"/>
      <c r="J41" s="3"/>
      <c r="K41" s="3"/>
      <c r="L41" s="3"/>
      <c r="M41" s="3"/>
      <c r="N41" s="3"/>
      <c r="O41" s="3"/>
    </row>
    <row r="42" spans="1:15" x14ac:dyDescent="0.2">
      <c r="B42" s="15" t="s">
        <v>224</v>
      </c>
      <c r="C42" s="30">
        <f>'Acquirer Standalone'!C40</f>
        <v>4621</v>
      </c>
      <c r="D42" s="30">
        <f>'Target Standalone'!C40</f>
        <v>1793.2</v>
      </c>
      <c r="E42" s="30">
        <f>'PPA &amp; BS Adjustments'!D36</f>
        <v>0</v>
      </c>
      <c r="F42" s="30">
        <f>'PPA &amp; BS Adjustments'!E36</f>
        <v>-3246</v>
      </c>
      <c r="G42" s="30"/>
      <c r="H42" s="30">
        <f>SUM(C42:G42)</f>
        <v>3168.2</v>
      </c>
      <c r="I42" s="3"/>
      <c r="J42" s="3"/>
      <c r="K42" s="3"/>
      <c r="L42" s="3"/>
      <c r="M42" s="3"/>
      <c r="N42" s="3"/>
      <c r="O42" s="3"/>
    </row>
    <row r="43" spans="1:15" x14ac:dyDescent="0.2">
      <c r="B43" s="88" t="s">
        <v>225</v>
      </c>
      <c r="C43" s="107">
        <f>'Acquirer Standalone'!C41</f>
        <v>7688</v>
      </c>
      <c r="D43" s="107">
        <f>'Target Standalone'!C41</f>
        <v>964.1</v>
      </c>
      <c r="E43" s="107">
        <f>'PPA &amp; BS Adjustments'!D37</f>
        <v>0</v>
      </c>
      <c r="F43" s="107">
        <f>'PPA &amp; BS Adjustments'!E37</f>
        <v>0</v>
      </c>
      <c r="G43" s="107"/>
      <c r="H43" s="107">
        <f>SUM(C43:G43)</f>
        <v>8652.1</v>
      </c>
      <c r="I43" s="3"/>
      <c r="J43" s="3"/>
      <c r="K43" s="3"/>
      <c r="L43" s="3"/>
      <c r="M43" s="3"/>
      <c r="N43" s="3"/>
      <c r="O43" s="3"/>
    </row>
    <row r="44" spans="1:15" x14ac:dyDescent="0.2">
      <c r="B44" s="15" t="s">
        <v>226</v>
      </c>
      <c r="C44" s="30">
        <f>'Acquirer Standalone'!C42</f>
        <v>2387</v>
      </c>
      <c r="D44" s="30">
        <f>'Target Standalone'!C42</f>
        <v>221.9</v>
      </c>
      <c r="E44" s="30">
        <f>'PPA &amp; BS Adjustments'!D38</f>
        <v>0</v>
      </c>
      <c r="F44" s="30">
        <f>'PPA &amp; BS Adjustments'!E38</f>
        <v>0</v>
      </c>
      <c r="G44" s="30"/>
      <c r="H44" s="30">
        <f>SUM(C44:G44)</f>
        <v>2608.9</v>
      </c>
      <c r="I44" s="3"/>
      <c r="J44" s="3"/>
      <c r="K44" s="3"/>
      <c r="L44" s="3"/>
      <c r="M44" s="3"/>
      <c r="N44" s="3"/>
      <c r="O44" s="3"/>
    </row>
    <row r="45" spans="1:15" x14ac:dyDescent="0.2">
      <c r="B45" s="88" t="s">
        <v>447</v>
      </c>
      <c r="C45" s="107">
        <f>'Acquirer Standalone'!C43</f>
        <v>992</v>
      </c>
      <c r="D45" s="107">
        <f>'Target Standalone'!C43</f>
        <v>292</v>
      </c>
      <c r="E45" s="107">
        <f>'PPA &amp; BS Adjustments'!D39</f>
        <v>0</v>
      </c>
      <c r="F45" s="107">
        <f>'PPA &amp; BS Adjustments'!E39</f>
        <v>0</v>
      </c>
      <c r="G45" s="107"/>
      <c r="H45" s="107">
        <f>SUM(C45:G45)</f>
        <v>1284</v>
      </c>
      <c r="I45" s="3"/>
      <c r="J45" s="3"/>
      <c r="K45" s="3"/>
      <c r="L45" s="3"/>
      <c r="M45" s="3"/>
      <c r="N45" s="3"/>
      <c r="O45" s="3"/>
    </row>
    <row r="46" spans="1:15" x14ac:dyDescent="0.2">
      <c r="B46" s="92" t="s">
        <v>228</v>
      </c>
      <c r="C46" s="93">
        <f t="shared" ref="C46:H46" si="0">SUM(C42:C45)</f>
        <v>15688</v>
      </c>
      <c r="D46" s="93">
        <f t="shared" si="0"/>
        <v>3271.2000000000003</v>
      </c>
      <c r="E46" s="93">
        <f t="shared" si="0"/>
        <v>0</v>
      </c>
      <c r="F46" s="93">
        <f t="shared" si="0"/>
        <v>-3246</v>
      </c>
      <c r="G46" s="93">
        <f t="shared" si="0"/>
        <v>0</v>
      </c>
      <c r="H46" s="93">
        <f t="shared" si="0"/>
        <v>15713.199999999999</v>
      </c>
      <c r="I46" s="3"/>
      <c r="J46" s="3"/>
      <c r="K46" s="3"/>
      <c r="L46" s="3"/>
      <c r="M46" s="3"/>
      <c r="N46" s="3"/>
      <c r="O46" s="3"/>
    </row>
    <row r="47" spans="1:15" x14ac:dyDescent="0.2">
      <c r="B47" s="88" t="s">
        <v>481</v>
      </c>
      <c r="C47" s="107">
        <f>'Acquirer Standalone'!C46</f>
        <v>6054</v>
      </c>
      <c r="D47" s="107">
        <f>'Target Standalone'!C46</f>
        <v>946.9</v>
      </c>
      <c r="E47" s="107">
        <f>'PPA &amp; BS Adjustments'!D41</f>
        <v>98.700000000000045</v>
      </c>
      <c r="F47" s="107">
        <f>'PPA &amp; BS Adjustments'!E41</f>
        <v>0</v>
      </c>
      <c r="G47" s="107"/>
      <c r="H47" s="107">
        <f>SUM(C47:G47)</f>
        <v>7099.5999999999995</v>
      </c>
      <c r="I47" s="3"/>
      <c r="J47" s="3"/>
      <c r="K47" s="3"/>
      <c r="L47" s="3"/>
      <c r="M47" s="3"/>
      <c r="N47" s="3"/>
      <c r="O47" s="3"/>
    </row>
    <row r="48" spans="1:15" x14ac:dyDescent="0.2">
      <c r="B48" s="15" t="s">
        <v>231</v>
      </c>
      <c r="C48" s="30">
        <f>'Acquirer Standalone'!C47</f>
        <v>18306</v>
      </c>
      <c r="D48" s="30">
        <f>'Target Standalone'!C47</f>
        <v>3669.6</v>
      </c>
      <c r="E48" s="30">
        <f>'PPA &amp; BS Adjustments'!D42</f>
        <v>6491.9874800000025</v>
      </c>
      <c r="F48" s="30">
        <f>'PPA &amp; BS Adjustments'!E42</f>
        <v>0</v>
      </c>
      <c r="G48" s="30"/>
      <c r="H48" s="30">
        <f>SUM(C48:G48)</f>
        <v>28467.587480000002</v>
      </c>
      <c r="I48" s="3"/>
      <c r="J48" s="3"/>
      <c r="K48" s="3"/>
      <c r="L48" s="3"/>
      <c r="M48" s="3"/>
      <c r="N48" s="3"/>
      <c r="O48" s="3"/>
    </row>
    <row r="49" spans="2:15" x14ac:dyDescent="0.2">
      <c r="B49" s="88" t="s">
        <v>449</v>
      </c>
      <c r="C49" s="107">
        <f>'Acquirer Standalone'!C48</f>
        <v>1128</v>
      </c>
      <c r="D49" s="107">
        <f>'Target Standalone'!C48</f>
        <v>266.7</v>
      </c>
      <c r="E49" s="107">
        <f>'PPA &amp; BS Adjustments'!D43</f>
        <v>3333.0879999999993</v>
      </c>
      <c r="F49" s="107">
        <f>'PPA &amp; BS Adjustments'!E43</f>
        <v>0</v>
      </c>
      <c r="G49" s="107"/>
      <c r="H49" s="107">
        <f>SUM(C49:G49)</f>
        <v>4727.7879999999996</v>
      </c>
      <c r="I49" s="3"/>
      <c r="J49" s="3"/>
      <c r="K49" s="3"/>
      <c r="L49" s="3"/>
      <c r="M49" s="3"/>
      <c r="N49" s="3"/>
      <c r="O49" s="3"/>
    </row>
    <row r="50" spans="2:15" x14ac:dyDescent="0.2">
      <c r="B50" s="15" t="s">
        <v>234</v>
      </c>
      <c r="C50" s="30">
        <f>'Acquirer Standalone'!C52-'Acquirer Standalone'!C44-'Acquirer Standalone'!C46-'Acquirer Standalone'!C47-'Acquirer Standalone'!C48</f>
        <v>10627</v>
      </c>
      <c r="D50" s="30">
        <f>'Target Standalone'!C49+'Target Standalone'!C50</f>
        <v>1223.9000000000001</v>
      </c>
      <c r="E50" s="30">
        <f>'PPA &amp; BS Adjustments'!D44</f>
        <v>0</v>
      </c>
      <c r="F50" s="30">
        <f>'PPA &amp; BS Adjustments'!E44</f>
        <v>0</v>
      </c>
      <c r="G50" s="30"/>
      <c r="H50" s="30">
        <f>SUM(C50:G50)</f>
        <v>11850.9</v>
      </c>
      <c r="I50" s="3"/>
      <c r="J50" s="3"/>
      <c r="K50" s="3"/>
      <c r="L50" s="3"/>
      <c r="M50" s="3"/>
      <c r="N50" s="3"/>
      <c r="O50" s="3"/>
    </row>
    <row r="51" spans="2:15" x14ac:dyDescent="0.2">
      <c r="B51" s="92" t="s">
        <v>450</v>
      </c>
      <c r="C51" s="93">
        <f t="shared" ref="C51:H51" si="1">C46+C47+C48+C49+C50</f>
        <v>51803</v>
      </c>
      <c r="D51" s="93">
        <f t="shared" si="1"/>
        <v>9378.3000000000011</v>
      </c>
      <c r="E51" s="93">
        <f t="shared" si="1"/>
        <v>9923.7754800000021</v>
      </c>
      <c r="F51" s="93">
        <f t="shared" si="1"/>
        <v>-3246</v>
      </c>
      <c r="G51" s="93">
        <f t="shared" si="1"/>
        <v>0</v>
      </c>
      <c r="H51" s="93">
        <f t="shared" si="1"/>
        <v>67859.07548</v>
      </c>
      <c r="I51" s="3"/>
      <c r="J51" s="3"/>
      <c r="K51" s="3"/>
      <c r="L51" s="3"/>
      <c r="M51" s="3"/>
      <c r="N51" s="3"/>
      <c r="O51" s="3"/>
    </row>
    <row r="52" spans="2:15" x14ac:dyDescent="0.2">
      <c r="B52" s="12" t="s">
        <v>451</v>
      </c>
      <c r="C52" s="154"/>
      <c r="D52" s="154"/>
      <c r="E52" s="154"/>
      <c r="F52" s="154"/>
      <c r="G52" s="154"/>
      <c r="H52" s="154"/>
      <c r="I52" s="3"/>
      <c r="J52" s="3"/>
      <c r="K52" s="3"/>
      <c r="L52" s="3"/>
      <c r="M52" s="3"/>
      <c r="N52" s="3"/>
      <c r="O52" s="3"/>
    </row>
    <row r="53" spans="2:15" x14ac:dyDescent="0.2">
      <c r="B53" s="88" t="s">
        <v>238</v>
      </c>
      <c r="C53" s="107">
        <f>'Acquirer Standalone'!C54</f>
        <v>5595</v>
      </c>
      <c r="D53" s="107">
        <f>'PPA &amp; BS Adjustments'!C48</f>
        <v>295.10000000000002</v>
      </c>
      <c r="E53" s="107">
        <f>'PPA &amp; BS Adjustments'!D48</f>
        <v>0</v>
      </c>
      <c r="F53" s="107">
        <f>'PPA &amp; BS Adjustments'!E48</f>
        <v>0</v>
      </c>
      <c r="G53" s="107"/>
      <c r="H53" s="107">
        <f>SUM(C53:G53)</f>
        <v>5890.1</v>
      </c>
      <c r="I53" s="3"/>
      <c r="J53" s="3"/>
      <c r="K53" s="3"/>
      <c r="L53" s="3"/>
      <c r="M53" s="3"/>
      <c r="N53" s="3"/>
      <c r="O53" s="3"/>
    </row>
    <row r="54" spans="2:15" x14ac:dyDescent="0.2">
      <c r="B54" s="15" t="s">
        <v>452</v>
      </c>
      <c r="C54" s="30">
        <f>'Acquirer Standalone'!C55</f>
        <v>4425</v>
      </c>
      <c r="D54" s="30">
        <f>'PPA &amp; BS Adjustments'!C49</f>
        <v>46.4</v>
      </c>
      <c r="E54" s="30">
        <f>'PPA &amp; BS Adjustments'!D49</f>
        <v>0</v>
      </c>
      <c r="F54" s="30">
        <f>'PPA &amp; BS Adjustments'!E49</f>
        <v>0</v>
      </c>
      <c r="G54" s="30"/>
      <c r="H54" s="30">
        <f>SUM(C54:G54)</f>
        <v>4471.3999999999996</v>
      </c>
      <c r="I54" s="3"/>
      <c r="J54" s="3"/>
      <c r="K54" s="3"/>
      <c r="L54" s="3"/>
      <c r="M54" s="3"/>
      <c r="N54" s="3"/>
      <c r="O54" s="3"/>
    </row>
    <row r="55" spans="2:15" x14ac:dyDescent="0.2">
      <c r="B55" s="88" t="s">
        <v>240</v>
      </c>
      <c r="C55" s="107">
        <f>'Acquirer Standalone'!C56</f>
        <v>1522</v>
      </c>
      <c r="D55" s="107">
        <f>'PPA &amp; BS Adjustments'!C50</f>
        <v>292.2</v>
      </c>
      <c r="E55" s="107">
        <f>'PPA &amp; BS Adjustments'!D50</f>
        <v>0</v>
      </c>
      <c r="F55" s="107">
        <f>'PPA &amp; BS Adjustments'!E50</f>
        <v>0</v>
      </c>
      <c r="G55" s="107"/>
      <c r="H55" s="107">
        <f>SUM(C55:G55)</f>
        <v>1814.2</v>
      </c>
      <c r="I55" s="3"/>
      <c r="J55" s="3"/>
      <c r="K55" s="3"/>
      <c r="L55" s="3"/>
      <c r="M55" s="3"/>
      <c r="N55" s="3"/>
      <c r="O55" s="3"/>
    </row>
    <row r="56" spans="2:15" x14ac:dyDescent="0.2">
      <c r="B56" s="15" t="s">
        <v>241</v>
      </c>
      <c r="C56" s="30">
        <f>'Acquirer Standalone'!C57</f>
        <v>7431</v>
      </c>
      <c r="D56" s="30">
        <f>'PPA &amp; BS Adjustments'!C51</f>
        <v>1470.3</v>
      </c>
      <c r="E56" s="30">
        <f>'PPA &amp; BS Adjustments'!D51</f>
        <v>0</v>
      </c>
      <c r="F56" s="30">
        <f>'PPA &amp; BS Adjustments'!E51</f>
        <v>0</v>
      </c>
      <c r="G56" s="30"/>
      <c r="H56" s="30">
        <f>SUM(C56:G56)</f>
        <v>8901.2999999999993</v>
      </c>
      <c r="I56" s="3"/>
      <c r="J56" s="3"/>
      <c r="K56" s="3"/>
      <c r="L56" s="3"/>
      <c r="M56" s="3"/>
      <c r="N56" s="3"/>
      <c r="O56" s="3"/>
    </row>
    <row r="57" spans="2:15" x14ac:dyDescent="0.2">
      <c r="B57" s="92" t="s">
        <v>242</v>
      </c>
      <c r="C57" s="93">
        <f t="shared" ref="C57:H57" si="2">SUM(C53:C56)</f>
        <v>18973</v>
      </c>
      <c r="D57" s="93">
        <f t="shared" si="2"/>
        <v>2104</v>
      </c>
      <c r="E57" s="93">
        <f t="shared" si="2"/>
        <v>0</v>
      </c>
      <c r="F57" s="93">
        <f t="shared" si="2"/>
        <v>0</v>
      </c>
      <c r="G57" s="93">
        <f t="shared" si="2"/>
        <v>0</v>
      </c>
      <c r="H57" s="93">
        <f t="shared" si="2"/>
        <v>21077</v>
      </c>
      <c r="I57" s="3"/>
      <c r="J57" s="3"/>
      <c r="K57" s="3"/>
      <c r="L57" s="3"/>
      <c r="M57" s="3"/>
      <c r="N57" s="3"/>
      <c r="O57" s="3"/>
    </row>
    <row r="58" spans="2:15" x14ac:dyDescent="0.2">
      <c r="B58" s="15" t="s">
        <v>482</v>
      </c>
      <c r="C58" s="30">
        <f>'Acquirer Standalone'!C60</f>
        <v>9395</v>
      </c>
      <c r="D58" s="30">
        <f>'PPA &amp; BS Adjustments'!C53</f>
        <v>1699.7</v>
      </c>
      <c r="E58" s="30">
        <f>'PPA &amp; BS Adjustments'!D53</f>
        <v>0</v>
      </c>
      <c r="F58" s="30">
        <f>'PPA &amp; BS Adjustments'!E53</f>
        <v>10000</v>
      </c>
      <c r="G58" s="30"/>
      <c r="H58" s="30">
        <f>SUM(C58:G58)</f>
        <v>21094.7</v>
      </c>
      <c r="I58" s="3"/>
      <c r="J58" s="3"/>
      <c r="K58" s="3"/>
      <c r="L58" s="3"/>
      <c r="M58" s="3"/>
      <c r="N58" s="3"/>
      <c r="O58" s="3"/>
    </row>
    <row r="59" spans="2:15" x14ac:dyDescent="0.2">
      <c r="B59" s="88" t="s">
        <v>454</v>
      </c>
      <c r="C59" s="107">
        <f>'Acquirer Standalone'!C61</f>
        <v>311</v>
      </c>
      <c r="D59" s="107">
        <f>'PPA &amp; BS Adjustments'!C54</f>
        <v>12</v>
      </c>
      <c r="E59" s="107">
        <f>'PPA &amp; BS Adjustments'!D54</f>
        <v>720.67547999999988</v>
      </c>
      <c r="F59" s="107">
        <f>'PPA &amp; BS Adjustments'!E54</f>
        <v>0</v>
      </c>
      <c r="G59" s="107"/>
      <c r="H59" s="107">
        <f>SUM(C59:G59)</f>
        <v>1043.6754799999999</v>
      </c>
      <c r="I59" s="3"/>
      <c r="J59" s="3"/>
      <c r="K59" s="3"/>
      <c r="L59" s="3"/>
      <c r="M59" s="3"/>
      <c r="N59" s="3"/>
      <c r="O59" s="3"/>
    </row>
    <row r="60" spans="2:15" x14ac:dyDescent="0.2">
      <c r="B60" s="15" t="s">
        <v>246</v>
      </c>
      <c r="C60" s="30">
        <f>'Acquirer Standalone'!C62</f>
        <v>5789</v>
      </c>
      <c r="D60" s="30">
        <f>'PPA &amp; BS Adjustments'!C55</f>
        <v>1210.0999999999999</v>
      </c>
      <c r="E60" s="30">
        <f>'PPA &amp; BS Adjustments'!D55</f>
        <v>0</v>
      </c>
      <c r="F60" s="30">
        <f>'PPA &amp; BS Adjustments'!E55</f>
        <v>0</v>
      </c>
      <c r="G60" s="30"/>
      <c r="H60" s="30">
        <f>SUM(C60:G60)</f>
        <v>6999.1</v>
      </c>
      <c r="I60" s="3"/>
      <c r="J60" s="3"/>
      <c r="K60" s="3"/>
      <c r="L60" s="3"/>
      <c r="M60" s="3"/>
      <c r="N60" s="3"/>
      <c r="O60" s="3"/>
    </row>
    <row r="61" spans="2:15" x14ac:dyDescent="0.2">
      <c r="B61" s="92" t="s">
        <v>455</v>
      </c>
      <c r="C61" s="93">
        <f t="shared" ref="C61:H61" si="3">C57+C58+C59+C60</f>
        <v>34468</v>
      </c>
      <c r="D61" s="93">
        <f t="shared" si="3"/>
        <v>5025.7999999999993</v>
      </c>
      <c r="E61" s="93">
        <f t="shared" si="3"/>
        <v>720.67547999999988</v>
      </c>
      <c r="F61" s="93">
        <f t="shared" si="3"/>
        <v>10000</v>
      </c>
      <c r="G61" s="93">
        <f t="shared" si="3"/>
        <v>0</v>
      </c>
      <c r="H61" s="93">
        <f t="shared" si="3"/>
        <v>50214.475479999994</v>
      </c>
      <c r="I61" s="3"/>
      <c r="J61" s="3"/>
      <c r="K61" s="3"/>
      <c r="L61" s="3"/>
      <c r="M61" s="3"/>
      <c r="N61" s="3"/>
      <c r="O61" s="3"/>
    </row>
    <row r="62" spans="2:15" x14ac:dyDescent="0.2">
      <c r="B62" s="15" t="s">
        <v>483</v>
      </c>
      <c r="C62" s="30">
        <f>C51-C61</f>
        <v>17335</v>
      </c>
      <c r="D62" s="30">
        <f>D51-D61</f>
        <v>4352.5000000000018</v>
      </c>
      <c r="E62" s="30">
        <f>'PPA &amp; BS Adjustments'!D62</f>
        <v>9203.1</v>
      </c>
      <c r="F62" s="30">
        <f>'PPA &amp; BS Adjustments'!E62</f>
        <v>-13246</v>
      </c>
      <c r="G62" s="30"/>
      <c r="H62" s="30">
        <f>SUM(C62:G62)</f>
        <v>17644.599999999999</v>
      </c>
      <c r="I62" s="3"/>
      <c r="J62" s="3"/>
      <c r="K62" s="3"/>
      <c r="L62" s="3"/>
      <c r="M62" s="3"/>
      <c r="N62" s="3"/>
      <c r="O62" s="3"/>
    </row>
    <row r="63" spans="2:15" x14ac:dyDescent="0.2">
      <c r="B63" s="106" t="s">
        <v>458</v>
      </c>
      <c r="C63" s="65">
        <f t="shared" ref="C63:H63" si="4">C61+C62</f>
        <v>51803</v>
      </c>
      <c r="D63" s="65">
        <f t="shared" si="4"/>
        <v>9378.3000000000011</v>
      </c>
      <c r="E63" s="65">
        <f t="shared" si="4"/>
        <v>9923.7754800000002</v>
      </c>
      <c r="F63" s="65">
        <f t="shared" si="4"/>
        <v>-3246</v>
      </c>
      <c r="G63" s="65">
        <f t="shared" si="4"/>
        <v>0</v>
      </c>
      <c r="H63" s="65">
        <f t="shared" si="4"/>
        <v>67859.07548</v>
      </c>
      <c r="I63" s="3"/>
      <c r="J63" s="3"/>
      <c r="K63" s="3"/>
      <c r="L63" s="3"/>
      <c r="M63" s="3"/>
      <c r="N63" s="3"/>
      <c r="O63" s="3"/>
    </row>
    <row r="64" spans="2:15" x14ac:dyDescent="0.2">
      <c r="B64" s="106" t="s">
        <v>484</v>
      </c>
      <c r="C64" s="282" t="str">
        <f t="shared" ref="C64:H64" si="5">IFERROR(IF(ABS(C51-C63)&lt;1,"✓","✗ "&amp;TEXT(C51-C63,"$#,##0")),"-")</f>
        <v>✓</v>
      </c>
      <c r="D64" s="282" t="str">
        <f t="shared" si="5"/>
        <v>✓</v>
      </c>
      <c r="E64" s="282" t="str">
        <f t="shared" si="5"/>
        <v>✓</v>
      </c>
      <c r="F64" s="282" t="str">
        <f t="shared" si="5"/>
        <v>✓</v>
      </c>
      <c r="G64" s="282" t="str">
        <f t="shared" si="5"/>
        <v>✓</v>
      </c>
      <c r="H64" s="282" t="str">
        <f t="shared" si="5"/>
        <v>✓</v>
      </c>
      <c r="I64" s="3"/>
      <c r="J64" s="3"/>
      <c r="K64" s="3"/>
      <c r="L64" s="3"/>
      <c r="M64" s="3"/>
      <c r="N64" s="3"/>
      <c r="O64" s="3"/>
    </row>
    <row r="65" spans="1:15" x14ac:dyDescent="0.2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 x14ac:dyDescent="0.2">
      <c r="A66" s="262" t="s">
        <v>485</v>
      </c>
      <c r="B66" s="261"/>
      <c r="C66" s="261"/>
      <c r="D66" s="261"/>
      <c r="E66" s="261"/>
      <c r="F66" s="261"/>
      <c r="G66" s="261"/>
      <c r="H66" s="261"/>
      <c r="I66" s="3"/>
      <c r="J66" s="3"/>
      <c r="K66" s="3"/>
      <c r="L66" s="3"/>
      <c r="M66" s="3"/>
      <c r="N66" s="3"/>
      <c r="O66" s="3"/>
    </row>
    <row r="67" spans="1:15" x14ac:dyDescent="0.2">
      <c r="B67" s="152" t="s">
        <v>486</v>
      </c>
      <c r="C67" s="141" t="s">
        <v>467</v>
      </c>
      <c r="D67" s="141" t="s">
        <v>468</v>
      </c>
      <c r="E67" s="137" t="s">
        <v>469</v>
      </c>
      <c r="F67" s="137" t="s">
        <v>470</v>
      </c>
      <c r="G67" s="137" t="s">
        <v>487</v>
      </c>
      <c r="H67" s="137" t="s">
        <v>488</v>
      </c>
      <c r="I67" s="3"/>
      <c r="J67" s="3"/>
      <c r="K67" s="3"/>
      <c r="L67" s="3"/>
      <c r="M67" s="3"/>
      <c r="N67" s="3"/>
      <c r="O67" s="3"/>
    </row>
    <row r="68" spans="1:15" x14ac:dyDescent="0.2">
      <c r="B68" s="15" t="s">
        <v>475</v>
      </c>
      <c r="C68" s="30">
        <f>'Acquirer Standalone'!C76</f>
        <v>-322</v>
      </c>
      <c r="D68" s="30">
        <f>'Target Standalone'!C76</f>
        <v>257.8</v>
      </c>
      <c r="E68" s="30"/>
      <c r="F68" s="30">
        <f>-'PPA &amp; BS Adjustments'!C79*(1-0.21)</f>
        <v>-327.76621485714287</v>
      </c>
      <c r="G68" s="30"/>
      <c r="H68" s="30">
        <f>SUM(C68:G68)</f>
        <v>-391.96621485714286</v>
      </c>
      <c r="I68" s="3"/>
      <c r="J68" s="3"/>
      <c r="K68" s="3"/>
      <c r="L68" s="3"/>
      <c r="M68" s="3"/>
      <c r="N68" s="3"/>
      <c r="O68" s="3"/>
    </row>
    <row r="69" spans="1:15" x14ac:dyDescent="0.2">
      <c r="B69" s="88" t="s">
        <v>489</v>
      </c>
      <c r="C69" s="107">
        <f>'Acquirer Standalone'!C77</f>
        <v>2625</v>
      </c>
      <c r="D69" s="107">
        <f>'Target Standalone'!C77</f>
        <v>206.8</v>
      </c>
      <c r="E69" s="107"/>
      <c r="F69" s="107">
        <f>'PPA &amp; BS Adjustments'!C79</f>
        <v>414.89394285714286</v>
      </c>
      <c r="G69" s="107"/>
      <c r="H69" s="107">
        <f>SUM(C69:G69)</f>
        <v>3246.6939428571432</v>
      </c>
      <c r="I69" s="3"/>
      <c r="J69" s="3"/>
      <c r="K69" s="3"/>
      <c r="L69" s="3"/>
      <c r="M69" s="3"/>
      <c r="N69" s="3"/>
      <c r="O69" s="3"/>
    </row>
    <row r="70" spans="1:15" x14ac:dyDescent="0.2">
      <c r="B70" s="15" t="s">
        <v>490</v>
      </c>
      <c r="C70" s="30">
        <f>'Acquirer Standalone'!C78</f>
        <v>-2246</v>
      </c>
      <c r="D70" s="30">
        <f>'Target Standalone'!C78</f>
        <v>-90.5</v>
      </c>
      <c r="E70" s="30"/>
      <c r="F70" s="30"/>
      <c r="G70" s="30"/>
      <c r="H70" s="30">
        <f>SUM(C70:G70)</f>
        <v>-2336.5</v>
      </c>
      <c r="I70" s="3"/>
      <c r="J70" s="3"/>
      <c r="K70" s="3"/>
      <c r="L70" s="3"/>
      <c r="M70" s="3"/>
      <c r="N70" s="3"/>
      <c r="O70" s="3"/>
    </row>
    <row r="71" spans="1:15" x14ac:dyDescent="0.2">
      <c r="B71" s="88" t="s">
        <v>491</v>
      </c>
      <c r="C71" s="107">
        <f>'Acquirer Standalone'!C79</f>
        <v>2183</v>
      </c>
      <c r="D71" s="107">
        <f>'Target Standalone'!C79</f>
        <v>232.3</v>
      </c>
      <c r="E71" s="107"/>
      <c r="F71" s="107">
        <f>'Sources &amp; Uses'!G16</f>
        <v>210</v>
      </c>
      <c r="G71" s="107"/>
      <c r="H71" s="107">
        <f>SUM(C71:G71)</f>
        <v>2625.3</v>
      </c>
      <c r="I71" s="3"/>
      <c r="J71" s="3"/>
      <c r="K71" s="3"/>
      <c r="L71" s="3"/>
      <c r="M71" s="3"/>
      <c r="N71" s="3"/>
      <c r="O71" s="3"/>
    </row>
    <row r="72" spans="1:15" x14ac:dyDescent="0.2">
      <c r="B72" s="92" t="s">
        <v>262</v>
      </c>
      <c r="C72" s="109"/>
      <c r="D72" s="109"/>
      <c r="E72" s="109"/>
      <c r="F72" s="109"/>
      <c r="G72" s="109"/>
      <c r="H72" s="93">
        <f>SUM(H68:H71)</f>
        <v>3143.5277280000005</v>
      </c>
      <c r="I72" s="3"/>
      <c r="J72" s="3"/>
      <c r="K72" s="3"/>
      <c r="L72" s="3"/>
      <c r="M72" s="3"/>
      <c r="N72" s="3"/>
      <c r="O72" s="3"/>
    </row>
    <row r="73" spans="1:15" x14ac:dyDescent="0.2">
      <c r="B73" s="88" t="s">
        <v>264</v>
      </c>
      <c r="C73" s="107">
        <f>'Acquirer Standalone'!C82</f>
        <v>-2383</v>
      </c>
      <c r="D73" s="107">
        <f>'Target Standalone'!C82</f>
        <v>-100.4</v>
      </c>
      <c r="E73" s="107"/>
      <c r="F73" s="107"/>
      <c r="G73" s="107"/>
      <c r="H73" s="107">
        <f>SUM(C73:G73)</f>
        <v>-2483.4</v>
      </c>
      <c r="I73" s="3"/>
      <c r="J73" s="3"/>
      <c r="K73" s="3"/>
      <c r="L73" s="3"/>
      <c r="M73" s="3"/>
      <c r="N73" s="3"/>
      <c r="O73" s="3"/>
    </row>
    <row r="74" spans="1:15" x14ac:dyDescent="0.2">
      <c r="B74" s="15" t="s">
        <v>267</v>
      </c>
      <c r="C74" s="30">
        <f>'Acquirer Standalone'!C83+'Acquirer Standalone'!C84+'Acquirer Standalone'!C85</f>
        <v>-195</v>
      </c>
      <c r="D74" s="30">
        <f>'Target Standalone'!C83+'Target Standalone'!C84+'Target Standalone'!C85</f>
        <v>-188.5</v>
      </c>
      <c r="E74" s="30">
        <f>-('Sources &amp; Uses'!G9)</f>
        <v>-13036</v>
      </c>
      <c r="F74" s="30"/>
      <c r="G74" s="30"/>
      <c r="H74" s="30">
        <f>SUM(C74:G74)</f>
        <v>-13419.5</v>
      </c>
      <c r="I74" s="3"/>
      <c r="J74" s="3"/>
      <c r="K74" s="3"/>
      <c r="L74" s="3"/>
      <c r="M74" s="3"/>
      <c r="N74" s="3"/>
      <c r="O74" s="3"/>
    </row>
    <row r="75" spans="1:15" x14ac:dyDescent="0.2">
      <c r="B75" s="92" t="s">
        <v>268</v>
      </c>
      <c r="C75" s="109"/>
      <c r="D75" s="109"/>
      <c r="E75" s="109"/>
      <c r="F75" s="109"/>
      <c r="G75" s="109"/>
      <c r="H75" s="93">
        <f>H73+H74</f>
        <v>-15902.9</v>
      </c>
      <c r="I75" s="3"/>
      <c r="J75" s="3"/>
      <c r="K75" s="3"/>
      <c r="L75" s="3"/>
      <c r="M75" s="3"/>
      <c r="N75" s="3"/>
      <c r="O75" s="3"/>
    </row>
    <row r="76" spans="1:15" x14ac:dyDescent="0.2">
      <c r="B76" s="15" t="s">
        <v>270</v>
      </c>
      <c r="C76" s="30">
        <f>'Acquirer Standalone'!C88</f>
        <v>1908</v>
      </c>
      <c r="D76" s="30">
        <f>'Target Standalone'!C88</f>
        <v>363.3</v>
      </c>
      <c r="E76" s="30">
        <f>'Sources &amp; Uses'!C19</f>
        <v>10000</v>
      </c>
      <c r="F76" s="30"/>
      <c r="G76" s="30"/>
      <c r="H76" s="30">
        <f>SUM(C76:G76)</f>
        <v>12271.3</v>
      </c>
      <c r="I76" s="3"/>
      <c r="J76" s="3"/>
      <c r="K76" s="3"/>
      <c r="L76" s="3"/>
      <c r="M76" s="3"/>
      <c r="N76" s="3"/>
      <c r="O76" s="3"/>
    </row>
    <row r="77" spans="1:15" x14ac:dyDescent="0.2">
      <c r="B77" s="88" t="s">
        <v>492</v>
      </c>
      <c r="C77" s="107"/>
      <c r="D77" s="107"/>
      <c r="E77" s="107">
        <f>-'Sources &amp; Uses'!G16</f>
        <v>-210</v>
      </c>
      <c r="F77" s="107"/>
      <c r="G77" s="107"/>
      <c r="H77" s="107">
        <f>SUM(C77:G77)</f>
        <v>-210</v>
      </c>
      <c r="I77" s="3"/>
      <c r="J77" s="3"/>
      <c r="K77" s="3"/>
      <c r="L77" s="3"/>
      <c r="M77" s="3"/>
      <c r="N77" s="3"/>
      <c r="O77" s="3"/>
    </row>
    <row r="78" spans="1:15" x14ac:dyDescent="0.2">
      <c r="B78" s="15" t="s">
        <v>272</v>
      </c>
      <c r="C78" s="30">
        <f>'Acquirer Standalone'!C90</f>
        <v>-618</v>
      </c>
      <c r="D78" s="30">
        <f>'Target Standalone'!C90</f>
        <v>-264.10000000000002</v>
      </c>
      <c r="E78" s="30"/>
      <c r="F78" s="30"/>
      <c r="G78" s="30"/>
      <c r="H78" s="30">
        <f>SUM(C78:G78)</f>
        <v>-882.1</v>
      </c>
      <c r="I78" s="3"/>
      <c r="J78" s="3"/>
      <c r="K78" s="3"/>
      <c r="L78" s="3"/>
      <c r="M78" s="3"/>
      <c r="N78" s="3"/>
      <c r="O78" s="3"/>
    </row>
    <row r="79" spans="1:15" x14ac:dyDescent="0.2">
      <c r="B79" s="88" t="s">
        <v>273</v>
      </c>
      <c r="C79" s="107">
        <f>'Acquirer Standalone'!C89+'Acquirer Standalone'!C91</f>
        <v>-398</v>
      </c>
      <c r="D79" s="107">
        <f>'Target Standalone'!C89+'Target Standalone'!C91</f>
        <v>-321.59999999999997</v>
      </c>
      <c r="E79" s="107">
        <f>0</f>
        <v>0</v>
      </c>
      <c r="F79" s="107"/>
      <c r="G79" s="107"/>
      <c r="H79" s="107">
        <f>SUM(C79:G79)</f>
        <v>-719.59999999999991</v>
      </c>
      <c r="I79" s="3"/>
      <c r="J79" s="3"/>
      <c r="K79" s="3"/>
      <c r="L79" s="3"/>
      <c r="M79" s="3"/>
      <c r="N79" s="3"/>
      <c r="O79" s="3"/>
    </row>
    <row r="80" spans="1:15" x14ac:dyDescent="0.2">
      <c r="B80" s="92" t="s">
        <v>274</v>
      </c>
      <c r="C80" s="109"/>
      <c r="D80" s="109"/>
      <c r="E80" s="109"/>
      <c r="F80" s="109"/>
      <c r="G80" s="109"/>
      <c r="H80" s="93">
        <f>SUM(H76:H79)</f>
        <v>10459.599999999999</v>
      </c>
      <c r="I80" s="3"/>
      <c r="J80" s="3"/>
      <c r="K80" s="3"/>
      <c r="L80" s="3"/>
      <c r="M80" s="3"/>
      <c r="N80" s="3"/>
      <c r="O80" s="3"/>
    </row>
    <row r="81" spans="1:15" x14ac:dyDescent="0.2">
      <c r="B81" s="92" t="s">
        <v>275</v>
      </c>
      <c r="C81" s="109"/>
      <c r="D81" s="109"/>
      <c r="E81" s="109"/>
      <c r="F81" s="109"/>
      <c r="G81" s="109"/>
      <c r="H81" s="93">
        <f>H72+H75+H80</f>
        <v>-2299.7722720000002</v>
      </c>
      <c r="I81" s="3"/>
      <c r="J81" s="3"/>
      <c r="K81" s="3"/>
      <c r="L81" s="3"/>
      <c r="M81" s="3"/>
      <c r="N81" s="3"/>
      <c r="O81" s="3"/>
    </row>
    <row r="82" spans="1:15" x14ac:dyDescent="0.2">
      <c r="B82" s="15" t="s">
        <v>276</v>
      </c>
      <c r="C82" s="30"/>
      <c r="D82" s="30"/>
      <c r="E82" s="30"/>
      <c r="F82" s="30"/>
      <c r="G82" s="30"/>
      <c r="H82" s="30">
        <f>H42</f>
        <v>3168.2</v>
      </c>
      <c r="I82" s="3"/>
      <c r="J82" s="3"/>
      <c r="K82" s="3"/>
      <c r="L82" s="3"/>
      <c r="M82" s="3"/>
      <c r="N82" s="3"/>
      <c r="O82" s="3"/>
    </row>
    <row r="83" spans="1:15" x14ac:dyDescent="0.2">
      <c r="B83" s="92" t="s">
        <v>277</v>
      </c>
      <c r="C83" s="109"/>
      <c r="D83" s="109"/>
      <c r="E83" s="109"/>
      <c r="F83" s="109"/>
      <c r="G83" s="109"/>
      <c r="H83" s="93">
        <f>H81+H82</f>
        <v>868.42772799999966</v>
      </c>
      <c r="I83" s="3"/>
      <c r="J83" s="3"/>
      <c r="K83" s="3"/>
      <c r="L83" s="3"/>
      <c r="M83" s="3"/>
      <c r="N83" s="3"/>
      <c r="O83" s="3"/>
    </row>
    <row r="84" spans="1:15" x14ac:dyDescent="0.2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1:15" x14ac:dyDescent="0.2">
      <c r="A85" s="262" t="s">
        <v>493</v>
      </c>
      <c r="B85" s="261"/>
      <c r="C85" s="261"/>
      <c r="D85" s="261"/>
      <c r="E85" s="261"/>
      <c r="F85" s="261"/>
      <c r="G85" s="261"/>
      <c r="H85" s="261"/>
      <c r="I85" s="3"/>
      <c r="J85" s="3"/>
      <c r="K85" s="3"/>
      <c r="L85" s="3"/>
      <c r="M85" s="3"/>
      <c r="N85" s="3"/>
      <c r="O85" s="3"/>
    </row>
    <row r="86" spans="1:15" x14ac:dyDescent="0.2">
      <c r="B86" s="152" t="s">
        <v>494</v>
      </c>
      <c r="C86" s="137" t="s">
        <v>495</v>
      </c>
      <c r="D86" s="137" t="s">
        <v>496</v>
      </c>
      <c r="E86" s="137" t="s">
        <v>488</v>
      </c>
      <c r="F86" s="3"/>
      <c r="G86" s="3"/>
      <c r="H86" s="3"/>
      <c r="I86" s="3"/>
      <c r="J86" s="3"/>
      <c r="K86" s="3"/>
      <c r="L86" s="3"/>
      <c r="M86" s="3"/>
      <c r="N86" s="3"/>
      <c r="O86" s="3"/>
    </row>
    <row r="87" spans="1:15" x14ac:dyDescent="0.2">
      <c r="B87" s="88" t="s">
        <v>497</v>
      </c>
      <c r="C87" s="107">
        <f>H8</f>
        <v>31389.1</v>
      </c>
      <c r="D87" s="107">
        <f>H8+'Synergy Assumptions'!G20</f>
        <v>31890.391554730097</v>
      </c>
      <c r="E87" s="107">
        <f>H8</f>
        <v>31389.1</v>
      </c>
      <c r="F87" s="3"/>
      <c r="G87" s="3"/>
      <c r="H87" s="3"/>
      <c r="I87" s="3"/>
      <c r="J87" s="3"/>
      <c r="K87" s="3"/>
      <c r="L87" s="3"/>
      <c r="M87" s="3"/>
      <c r="N87" s="3"/>
      <c r="O87" s="3"/>
    </row>
    <row r="88" spans="1:15" x14ac:dyDescent="0.2">
      <c r="B88" s="102" t="s">
        <v>498</v>
      </c>
      <c r="C88" s="93">
        <f>H21</f>
        <v>4298.8866095238072</v>
      </c>
      <c r="D88" s="93">
        <f>H21+'Synergy Assumptions'!G20</f>
        <v>4800.1781642539063</v>
      </c>
      <c r="E88" s="93">
        <f>H21</f>
        <v>4298.8866095238072</v>
      </c>
      <c r="F88" s="3"/>
      <c r="G88" s="3"/>
      <c r="H88" s="3"/>
      <c r="I88" s="3"/>
      <c r="J88" s="3"/>
      <c r="K88" s="3"/>
      <c r="L88" s="3"/>
      <c r="M88" s="3"/>
      <c r="N88" s="3"/>
      <c r="O88" s="3"/>
    </row>
    <row r="89" spans="1:15" x14ac:dyDescent="0.2">
      <c r="B89" s="88" t="s">
        <v>499</v>
      </c>
      <c r="C89" s="90">
        <f>IFERROR(H21/H8,0)</f>
        <v>0.13695475848379876</v>
      </c>
      <c r="D89" s="90">
        <f>IFERROR((H21+G27)/(H8+G27),0)</f>
        <v>0</v>
      </c>
      <c r="E89" s="90">
        <f>IFERROR(H21/H8,0)</f>
        <v>0.13695475848379876</v>
      </c>
      <c r="F89" s="3"/>
      <c r="G89" s="3"/>
      <c r="H89" s="3"/>
      <c r="I89" s="3"/>
      <c r="J89" s="3"/>
      <c r="K89" s="3"/>
      <c r="L89" s="3"/>
      <c r="M89" s="3"/>
      <c r="N89" s="3"/>
      <c r="O89" s="3"/>
    </row>
    <row r="90" spans="1:15" x14ac:dyDescent="0.2">
      <c r="B90" s="15" t="s">
        <v>500</v>
      </c>
      <c r="C90" s="30">
        <f>H18</f>
        <v>1052.1926666666641</v>
      </c>
      <c r="D90" s="30">
        <f>H18+'Synergy Assumptions'!G20</f>
        <v>1553.4842213967629</v>
      </c>
      <c r="E90" s="30">
        <f>H18</f>
        <v>1052.1926666666641</v>
      </c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1:15" x14ac:dyDescent="0.2">
      <c r="B91" s="88" t="s">
        <v>501</v>
      </c>
      <c r="C91" s="107">
        <f>H30</f>
        <v>751.87032004333389</v>
      </c>
      <c r="D91" s="107">
        <f>H30+'Synergy Assumptions'!G20*(1-0.21)</f>
        <v>1147.8906482801119</v>
      </c>
      <c r="E91" s="107">
        <f>H30</f>
        <v>751.87032004333389</v>
      </c>
      <c r="F91" s="3"/>
      <c r="G91" s="3"/>
      <c r="H91" s="3"/>
      <c r="I91" s="3"/>
      <c r="J91" s="3"/>
      <c r="K91" s="3"/>
      <c r="L91" s="3"/>
      <c r="M91" s="3"/>
      <c r="N91" s="3"/>
      <c r="O91" s="3"/>
    </row>
    <row r="92" spans="1:15" x14ac:dyDescent="0.2">
      <c r="B92" s="102" t="s">
        <v>502</v>
      </c>
      <c r="C92" s="93">
        <f>H72+H73</f>
        <v>660.12772800000039</v>
      </c>
      <c r="D92" s="109">
        <f>H72+H73</f>
        <v>660.12772800000039</v>
      </c>
      <c r="E92" s="93">
        <f>H72+H73</f>
        <v>660.12772800000039</v>
      </c>
      <c r="F92" s="3"/>
      <c r="G92" s="3"/>
      <c r="H92" s="3"/>
      <c r="I92" s="3"/>
      <c r="J92" s="3"/>
      <c r="K92" s="3"/>
      <c r="L92" s="3"/>
      <c r="M92" s="3"/>
      <c r="N92" s="3"/>
      <c r="O92" s="3"/>
    </row>
    <row r="93" spans="1:15" x14ac:dyDescent="0.2">
      <c r="B93" s="88" t="s">
        <v>503</v>
      </c>
      <c r="C93" s="107">
        <f>H54+H58</f>
        <v>25566.1</v>
      </c>
      <c r="D93" s="107">
        <f>H54+H58</f>
        <v>25566.1</v>
      </c>
      <c r="E93" s="107">
        <f>H54+H58</f>
        <v>25566.1</v>
      </c>
      <c r="F93" s="3"/>
      <c r="G93" s="3"/>
      <c r="H93" s="3"/>
      <c r="I93" s="3"/>
      <c r="J93" s="3"/>
      <c r="K93" s="3"/>
      <c r="L93" s="3"/>
      <c r="M93" s="3"/>
      <c r="N93" s="3"/>
      <c r="O93" s="3"/>
    </row>
    <row r="94" spans="1:15" x14ac:dyDescent="0.2">
      <c r="B94" s="15" t="s">
        <v>504</v>
      </c>
      <c r="C94" s="30">
        <f>H42</f>
        <v>3168.2</v>
      </c>
      <c r="D94" s="30">
        <f>H42</f>
        <v>3168.2</v>
      </c>
      <c r="E94" s="30">
        <f>H42</f>
        <v>3168.2</v>
      </c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1:15" x14ac:dyDescent="0.2">
      <c r="B95" s="102" t="s">
        <v>287</v>
      </c>
      <c r="C95" s="93">
        <f>IFERROR(C93-C94,0)</f>
        <v>22397.899999999998</v>
      </c>
      <c r="D95" s="93">
        <f>IFERROR(D93-D94,0)</f>
        <v>22397.899999999998</v>
      </c>
      <c r="E95" s="93">
        <f>IFERROR(E93-E94,0)</f>
        <v>22397.899999999998</v>
      </c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1:15" x14ac:dyDescent="0.2">
      <c r="B96" s="15" t="s">
        <v>505</v>
      </c>
      <c r="C96" s="50">
        <f>IFERROR(C93/H21,0)</f>
        <v>5.9471445335079416</v>
      </c>
      <c r="D96" s="50">
        <f>IFERROR(D93/(H21+'Synergy Assumptions'!G20),0)</f>
        <v>5.3260731425317314</v>
      </c>
      <c r="E96" s="50">
        <f>IFERROR(E93/H21,0)</f>
        <v>5.9471445335079416</v>
      </c>
      <c r="F96" s="3"/>
      <c r="G96" s="3"/>
      <c r="H96" s="3"/>
      <c r="I96" s="3"/>
      <c r="J96" s="3"/>
      <c r="K96" s="3"/>
      <c r="L96" s="3"/>
      <c r="M96" s="3"/>
      <c r="N96" s="3"/>
      <c r="O96" s="3"/>
    </row>
    <row r="97" spans="2:15" x14ac:dyDescent="0.2">
      <c r="B97" s="88" t="s">
        <v>506</v>
      </c>
      <c r="C97" s="143">
        <f>IFERROR(C95/H21,0)</f>
        <v>5.210163010668718</v>
      </c>
      <c r="D97" s="143">
        <f>IFERROR(D95/(H21+'Synergy Assumptions'!G20),0)</f>
        <v>4.6660559740872269</v>
      </c>
      <c r="E97" s="143">
        <f>IFERROR(E95/H21,0)</f>
        <v>5.210163010668718</v>
      </c>
      <c r="F97" s="3"/>
      <c r="G97" s="3"/>
      <c r="H97" s="3"/>
      <c r="I97" s="3"/>
      <c r="J97" s="3"/>
      <c r="K97" s="3"/>
      <c r="L97" s="3"/>
      <c r="M97" s="3"/>
      <c r="N97" s="3"/>
      <c r="O97" s="3"/>
    </row>
    <row r="98" spans="2:15" x14ac:dyDescent="0.2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spans="2:15" x14ac:dyDescent="0.2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2:15" x14ac:dyDescent="0.2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</sheetData>
  <mergeCells count="6">
    <mergeCell ref="A85:H85"/>
    <mergeCell ref="A2:O2"/>
    <mergeCell ref="C4:D4"/>
    <mergeCell ref="A6:H6"/>
    <mergeCell ref="A39:H39"/>
    <mergeCell ref="A66:H66"/>
  </mergeCells>
  <pageMargins left="0.7" right="0.7" top="0.75" bottom="0.75" header="0.3" footer="0.3"/>
  <ignoredErrors>
    <ignoredError sqref="H57 H61 H4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</vt:lpstr>
      <vt:lpstr>ToC</vt:lpstr>
      <vt:lpstr>Executive Summary</vt:lpstr>
      <vt:lpstr>Transaction Assumptions</vt:lpstr>
      <vt:lpstr>Synergy Assumptions</vt:lpstr>
      <vt:lpstr>Acquirer Standalone</vt:lpstr>
      <vt:lpstr>Target Standalone</vt:lpstr>
      <vt:lpstr>Valuation</vt:lpstr>
      <vt:lpstr>Sources &amp; Uses</vt:lpstr>
      <vt:lpstr>Accretion-Dilution Analysis</vt:lpstr>
      <vt:lpstr>PPA &amp; BS Adjustments</vt:lpstr>
      <vt:lpstr>Pro forma Financials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Divij Budhiraja</dc:creator>
  <cp:lastModifiedBy>Divij Budhiraja</cp:lastModifiedBy>
  <dcterms:created xsi:type="dcterms:W3CDTF">2026-03-26T20:09:13Z</dcterms:created>
  <dcterms:modified xsi:type="dcterms:W3CDTF">2026-03-27T21:14:38Z</dcterms:modified>
</cp:coreProperties>
</file>