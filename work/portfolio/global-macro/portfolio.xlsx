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divijbudhiraja/Desktop/Fin_work/Portfolio Analysis/Global Macro Thematic Portfolio/"/>
    </mc:Choice>
  </mc:AlternateContent>
  <xr:revisionPtr revIDLastSave="0" documentId="13_ncr:1_{FCF8306D-CEDD-C54F-B518-D2F83CABDCFF}" xr6:coauthVersionLast="47" xr6:coauthVersionMax="47" xr10:uidLastSave="{00000000-0000-0000-0000-000000000000}"/>
  <bookViews>
    <workbookView xWindow="3080" yWindow="2160" windowWidth="31120" windowHeight="17180" firstSheet="1" activeTab="7" xr2:uid="{99D54DD8-338F-A742-981D-AEDF8C8EDA98}"/>
  </bookViews>
  <sheets>
    <sheet name="Cover &amp; Methodology" sheetId="1" r:id="rId1"/>
    <sheet name="Macro Scorecard" sheetId="2" r:id="rId2"/>
    <sheet name="Theme Baskets" sheetId="3" r:id="rId3"/>
    <sheet name="Rebalancing Framework" sheetId="4" r:id="rId4"/>
    <sheet name="Backtest Engine" sheetId="5" r:id="rId5"/>
    <sheet name="Attribution" sheetId="6" r:id="rId6"/>
    <sheet name="Risk Dashboard" sheetId="7" r:id="rId7"/>
    <sheet name="Investor Summary" sheetId="8" r:id="rId8"/>
  </sheets>
  <definedNames>
    <definedName name="MacroScore">'Macro Scorecard'!$E$11</definedName>
    <definedName name="MacroSignal">'Macro Scorecard'!$E$12</definedName>
    <definedName name="RiskFreeRate">'Macro Scorecard'!$C$23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D27" i="7"/>
  <c r="C27" i="7"/>
  <c r="E26" i="7"/>
  <c r="C26" i="7"/>
  <c r="E25" i="7"/>
  <c r="D25" i="7"/>
  <c r="D9" i="7"/>
  <c r="H8" i="6"/>
  <c r="G8" i="6"/>
  <c r="H7" i="6"/>
  <c r="G7" i="6"/>
  <c r="I7" i="6" s="1"/>
  <c r="H6" i="6"/>
  <c r="G6" i="6"/>
  <c r="D69" i="5"/>
  <c r="D67" i="5"/>
  <c r="D7" i="7" s="1"/>
  <c r="D66" i="5" a="1"/>
  <c r="D66" i="5" s="1"/>
  <c r="G61" i="5" a="1"/>
  <c r="G61" i="5" s="1"/>
  <c r="F61" i="5" a="1"/>
  <c r="F61" i="5" s="1"/>
  <c r="D61" i="5" a="1"/>
  <c r="D61" i="5" s="1"/>
  <c r="G60" i="5" a="1"/>
  <c r="G60" i="5"/>
  <c r="F60" i="5" a="1"/>
  <c r="F60" i="5" s="1"/>
  <c r="D60" i="5" a="1"/>
  <c r="D60" i="5" s="1"/>
  <c r="G59" i="5" a="1"/>
  <c r="G59" i="5"/>
  <c r="F59" i="5" a="1"/>
  <c r="F59" i="5" s="1"/>
  <c r="D59" i="5" a="1"/>
  <c r="D59" i="5" s="1"/>
  <c r="G58" i="5" a="1"/>
  <c r="G58" i="5" s="1"/>
  <c r="F58" i="5" a="1"/>
  <c r="F58" i="5" s="1"/>
  <c r="D58" i="5" a="1"/>
  <c r="D58" i="5" s="1"/>
  <c r="K6" i="5"/>
  <c r="K7" i="5" s="1"/>
  <c r="K8" i="5" s="1"/>
  <c r="K9" i="5" s="1"/>
  <c r="K10" i="5" s="1"/>
  <c r="K11" i="5" s="1"/>
  <c r="K12" i="5" s="1"/>
  <c r="K13" i="5" s="1"/>
  <c r="K14" i="5" s="1"/>
  <c r="K15" i="5" s="1"/>
  <c r="K16" i="5" s="1"/>
  <c r="K17" i="5" s="1"/>
  <c r="K18" i="5" s="1"/>
  <c r="K19" i="5" s="1"/>
  <c r="K20" i="5" s="1"/>
  <c r="K21" i="5" s="1"/>
  <c r="K22" i="5" s="1"/>
  <c r="K23" i="5" s="1"/>
  <c r="K24" i="5" s="1"/>
  <c r="K25" i="5" s="1"/>
  <c r="K26" i="5" s="1"/>
  <c r="K27" i="5" s="1"/>
  <c r="K28" i="5" s="1"/>
  <c r="K29" i="5" s="1"/>
  <c r="K30" i="5" s="1"/>
  <c r="K31" i="5" s="1"/>
  <c r="K32" i="5" s="1"/>
  <c r="K33" i="5" s="1"/>
  <c r="K34" i="5" s="1"/>
  <c r="K35" i="5" s="1"/>
  <c r="K36" i="5" s="1"/>
  <c r="K37" i="5" s="1"/>
  <c r="K38" i="5" s="1"/>
  <c r="K39" i="5" s="1"/>
  <c r="K40" i="5" s="1"/>
  <c r="K41" i="5" s="1"/>
  <c r="K42" i="5" s="1"/>
  <c r="K43" i="5" s="1"/>
  <c r="K44" i="5" s="1"/>
  <c r="K45" i="5" s="1"/>
  <c r="K46" i="5" s="1"/>
  <c r="K47" i="5" s="1"/>
  <c r="K48" i="5" s="1"/>
  <c r="K49" i="5" s="1"/>
  <c r="K50" i="5" s="1"/>
  <c r="K51" i="5" s="1"/>
  <c r="K52" i="5" s="1"/>
  <c r="K53" i="5" s="1"/>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M55" i="3"/>
  <c r="M54" i="3"/>
  <c r="M53" i="3"/>
  <c r="M52" i="3"/>
  <c r="M51" i="3"/>
  <c r="M50" i="3"/>
  <c r="M49" i="3"/>
  <c r="M48" i="3"/>
  <c r="M37" i="3"/>
  <c r="M36" i="3"/>
  <c r="M35" i="3"/>
  <c r="M34" i="3"/>
  <c r="M33" i="3"/>
  <c r="M32" i="3"/>
  <c r="M31" i="3"/>
  <c r="M30" i="3"/>
  <c r="M19" i="3"/>
  <c r="M18" i="3"/>
  <c r="M17" i="3"/>
  <c r="M16" i="3"/>
  <c r="M15" i="3"/>
  <c r="M14" i="3"/>
  <c r="M13" i="3"/>
  <c r="M12" i="3"/>
  <c r="E9" i="2"/>
  <c r="G9" i="2" s="1"/>
  <c r="E8" i="2"/>
  <c r="G8" i="2" s="1"/>
  <c r="E7" i="2"/>
  <c r="G7" i="2" s="1"/>
  <c r="E6" i="2"/>
  <c r="G6" i="2" s="1"/>
  <c r="E5" i="2"/>
  <c r="G5" i="2" s="1"/>
  <c r="E11" i="2" s="1"/>
  <c r="E12" i="2" s="1"/>
  <c r="I6" i="6" l="1"/>
  <c r="H9" i="6"/>
  <c r="I8" i="6"/>
  <c r="D68" i="5"/>
  <c r="D8" i="7" s="1"/>
  <c r="C59" i="5" a="1"/>
  <c r="C59" i="5" s="1"/>
  <c r="E59" i="5" s="1"/>
  <c r="D6" i="7"/>
  <c r="C61" i="5" a="1"/>
  <c r="C61" i="5" s="1"/>
  <c r="E61" i="5" s="1"/>
  <c r="C73" i="5" a="1"/>
  <c r="C73" i="5" s="1"/>
  <c r="C66" i="5" a="1"/>
  <c r="C66" i="5" s="1"/>
  <c r="G9" i="6"/>
  <c r="C60" i="5" a="1"/>
  <c r="C60" i="5" s="1"/>
  <c r="E60" i="5" s="1"/>
  <c r="J6" i="5"/>
  <c r="C70" i="5"/>
  <c r="C67" i="5"/>
  <c r="C71" i="5" a="1"/>
  <c r="C71" i="5" s="1"/>
  <c r="C58" i="5" a="1"/>
  <c r="C58" i="5" s="1"/>
  <c r="E58" i="5" s="1"/>
  <c r="I9" i="6" l="1"/>
  <c r="B25" i="8"/>
  <c r="C6" i="7"/>
  <c r="E6" i="7" s="1"/>
  <c r="C68" i="5"/>
  <c r="C25" i="8"/>
  <c r="C7" i="7"/>
  <c r="E7" i="7" s="1"/>
  <c r="C72" i="5"/>
  <c r="C11" i="7"/>
  <c r="E11" i="7" s="1"/>
  <c r="G25" i="8"/>
  <c r="F25" i="8"/>
  <c r="C10" i="7"/>
  <c r="L8" i="5"/>
  <c r="M8" i="5" s="1"/>
  <c r="L6" i="5"/>
  <c r="M6" i="5" s="1"/>
  <c r="L15" i="5"/>
  <c r="M15" i="5" s="1"/>
  <c r="L13" i="5"/>
  <c r="M13" i="5" s="1"/>
  <c r="L11" i="5"/>
  <c r="M11" i="5" s="1"/>
  <c r="J7" i="5"/>
  <c r="J8" i="5" s="1"/>
  <c r="J9" i="5" s="1"/>
  <c r="J10" i="5" s="1"/>
  <c r="J11" i="5" s="1"/>
  <c r="J12" i="5" s="1"/>
  <c r="J13" i="5" s="1"/>
  <c r="J14" i="5" s="1"/>
  <c r="J15" i="5" s="1"/>
  <c r="J16" i="5" s="1"/>
  <c r="J17" i="5" s="1"/>
  <c r="J18" i="5" s="1"/>
  <c r="J19" i="5" s="1"/>
  <c r="J20" i="5" s="1"/>
  <c r="J21" i="5" s="1"/>
  <c r="J22" i="5" s="1"/>
  <c r="J23" i="5" s="1"/>
  <c r="J24" i="5" s="1"/>
  <c r="J25" i="5" s="1"/>
  <c r="J26" i="5" s="1"/>
  <c r="J27" i="5" s="1"/>
  <c r="J28" i="5" s="1"/>
  <c r="J29" i="5" s="1"/>
  <c r="J30" i="5" s="1"/>
  <c r="J31" i="5" s="1"/>
  <c r="J32" i="5" s="1"/>
  <c r="J33" i="5" s="1"/>
  <c r="J34" i="5" s="1"/>
  <c r="J35" i="5" s="1"/>
  <c r="J36" i="5" s="1"/>
  <c r="J37" i="5" s="1"/>
  <c r="J38" i="5" s="1"/>
  <c r="J39" i="5" s="1"/>
  <c r="J40" i="5" s="1"/>
  <c r="J41" i="5" s="1"/>
  <c r="J42" i="5" s="1"/>
  <c r="J43" i="5" s="1"/>
  <c r="J44" i="5" s="1"/>
  <c r="J45" i="5" s="1"/>
  <c r="J46" i="5" s="1"/>
  <c r="J47" i="5" s="1"/>
  <c r="J48" i="5" s="1"/>
  <c r="J49" i="5" s="1"/>
  <c r="J50" i="5" s="1"/>
  <c r="J51" i="5" s="1"/>
  <c r="J52" i="5" s="1"/>
  <c r="J53" i="5" s="1"/>
  <c r="L42" i="5" l="1"/>
  <c r="M42" i="5" s="1"/>
  <c r="C8" i="7"/>
  <c r="E8" i="7" s="1"/>
  <c r="D25" i="8"/>
  <c r="L41" i="5"/>
  <c r="M41" i="5" s="1"/>
  <c r="L43" i="5"/>
  <c r="M43" i="5" s="1"/>
  <c r="L28" i="5"/>
  <c r="M28" i="5" s="1"/>
  <c r="L23" i="5"/>
  <c r="M23" i="5" s="1"/>
  <c r="L10" i="5"/>
  <c r="M10" i="5" s="1"/>
  <c r="L40" i="5"/>
  <c r="M40" i="5" s="1"/>
  <c r="L14" i="5"/>
  <c r="M14" i="5" s="1"/>
  <c r="L24" i="5"/>
  <c r="M24" i="5" s="1"/>
  <c r="L26" i="5"/>
  <c r="M26" i="5" s="1"/>
  <c r="L38" i="5"/>
  <c r="M38" i="5" s="1"/>
  <c r="L25" i="5"/>
  <c r="M25" i="5" s="1"/>
  <c r="L27" i="5"/>
  <c r="M27" i="5" s="1"/>
  <c r="L12" i="5"/>
  <c r="M12" i="5" s="1"/>
  <c r="L7" i="5"/>
  <c r="M7" i="5" s="1"/>
  <c r="L29" i="5"/>
  <c r="M29" i="5" s="1"/>
  <c r="L9" i="5"/>
  <c r="M9" i="5" s="1"/>
  <c r="L39" i="5"/>
  <c r="M39" i="5" s="1"/>
  <c r="L22" i="5"/>
  <c r="M22" i="5" s="1"/>
  <c r="L45" i="5"/>
  <c r="M45" i="5" s="1"/>
  <c r="L44" i="5"/>
  <c r="M44" i="5" s="1"/>
  <c r="L30" i="5"/>
  <c r="M30" i="5" s="1"/>
  <c r="L33" i="5"/>
  <c r="M33" i="5" s="1"/>
  <c r="L16" i="5"/>
  <c r="M16" i="5" s="1"/>
  <c r="L32" i="5"/>
  <c r="M32" i="5" s="1"/>
  <c r="L48" i="5"/>
  <c r="M48" i="5" s="1"/>
  <c r="L31" i="5"/>
  <c r="M31" i="5" s="1"/>
  <c r="L47" i="5"/>
  <c r="M47" i="5" s="1"/>
  <c r="L46" i="5"/>
  <c r="M46" i="5" s="1"/>
  <c r="L17" i="5"/>
  <c r="M17" i="5" s="1"/>
  <c r="L49" i="5"/>
  <c r="M49" i="5" s="1"/>
  <c r="L19" i="5"/>
  <c r="M19" i="5" s="1"/>
  <c r="L35" i="5"/>
  <c r="M35" i="5" s="1"/>
  <c r="L51" i="5"/>
  <c r="M51" i="5" s="1"/>
  <c r="L18" i="5"/>
  <c r="M18" i="5" s="1"/>
  <c r="L34" i="5"/>
  <c r="M34" i="5" s="1"/>
  <c r="L50" i="5"/>
  <c r="M50" i="5" s="1"/>
  <c r="L21" i="5"/>
  <c r="M21" i="5" s="1"/>
  <c r="L37" i="5"/>
  <c r="M37" i="5" s="1"/>
  <c r="L53" i="5"/>
  <c r="M53" i="5" s="1"/>
  <c r="L20" i="5"/>
  <c r="M20" i="5" s="1"/>
  <c r="L36" i="5"/>
  <c r="M36" i="5" s="1"/>
  <c r="L52" i="5"/>
  <c r="M52" i="5" s="1"/>
  <c r="C69" i="5" l="1"/>
  <c r="E25" i="8" l="1"/>
  <c r="C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<sst xmlns="http://schemas.openxmlformats.org/spreadsheetml/2006/main" count="586" uniqueCount="432">
  <si>
    <t>GLOBAL MACRO THEMATIC PORTFOLIO</t>
  </si>
  <si>
    <t>A Rules-Based, Macro-Driven Thematic Investment Strategy  |  March 2026</t>
  </si>
  <si>
    <t>This portfolio deploys a top-down, macro-thematic investment approach, identifying structural investment opportunities driven by durable macroeconomic catalysts across global markets. Three high-conviction themes — AI Infrastructure Buildout, European Defence Rearmament, and Emerging Market Consumer Emergence — are constructed as diversified baskets of single stocks and ETFs, with weights determined by a rules-based macro scoring framework. Theme allocation is rebalanced quarterly in response to changes in a composite macro signal derived from five leading indicators. The portfolio is benchmarked against the MSCI ACWI and targets net alpha generation through disciplined thematic exposure rather than factor timing or leverage.</t>
  </si>
  <si>
    <t xml:space="preserve">  METHODOLOGY</t>
  </si>
  <si>
    <t>Themes are selected based on three criteria: (1) a clearly identifiable macro catalyst already underway, (2) global investability across multiple instruments and geographies, and (3) differentiation from co-existing themes in both sector and regional exposure. Themes are reviewed annually or following a significant macro regime shift.</t>
  </si>
  <si>
    <t>Each theme basket holds 8 positions: 5 single-name equities and 3 ETFs. Stocks are selected for direct thematic exposure, liquidity (minimum $2bn market cap), and geographic diversity within the theme. ETFs provide broad exposure and reduce idiosyncratic risk. Position sizing is equal-weight within each basket by default, subject to PM discretion.</t>
  </si>
  <si>
    <t>The portfolio is rebalanced quarterly, triggered by changes in the Macro Scorecard signal (Tab 1). A minimum holding period of 90 days applies between rebalances. Theme weights shift according to the three-scenario framework in Tab 3 (Risk-On / Neutral / Risk-Off). Intra-basket holdings are reviewed but only replaced if a position loses thematic relevance or liquidity.</t>
  </si>
  <si>
    <t>Bloomberg Terminal (price data, market cap, earnings revisions), FRED / St. Louis Fed (yield curve, PMI), ICE BofA (credit spreads), MSCI (benchmark returns and country weights), IMF World Economic Outlook (macro forecasts). All return inputs in Tab 4 are user-populated from primary sources.</t>
  </si>
  <si>
    <t xml:space="preserve">  MACRO SIGNAL FRAMEWORK</t>
  </si>
  <si>
    <t>A change in the composite signal category (e.g., from Neutral to Risk-On) triggers a rebalancing review. The PM confirms the signal has persisted for at least two consecutive weeks before executing a rebalance, to avoid whipsaw. Minimum 90-day holding period between rebalances applies regardless of signal movement.</t>
  </si>
  <si>
    <t>No single theme may exceed 55% of the portfolio in any scenario. Minimum allocation per theme is 20% to maintain diversification. Intra-basket position sizes are bounded at 20% per holding (max) and 5% (min).</t>
  </si>
  <si>
    <t>Theme</t>
  </si>
  <si>
    <t>Target Weight</t>
  </si>
  <si>
    <t>Horizon</t>
  </si>
  <si>
    <t>AI Infrastructure Buildout</t>
  </si>
  <si>
    <t>3–5 Years</t>
  </si>
  <si>
    <t>European Defence Rearmament</t>
  </si>
  <si>
    <t>NATO member states face binding commitments to increase defence spending to 2%+ of GDP, driving a generational procurement cycle in missiles, aerospace, and cybersecurity with near-zero political risk of reversal.</t>
  </si>
  <si>
    <t>3–7 Years</t>
  </si>
  <si>
    <t>EM Consumer Emergence</t>
  </si>
  <si>
    <t>5–10 Years</t>
  </si>
  <si>
    <t>Name</t>
  </si>
  <si>
    <t>MACRO SCORECARD</t>
  </si>
  <si>
    <t xml:space="preserve">  MACRO INDICATOR SCORING TABLE</t>
  </si>
  <si>
    <t>Macro Indicator</t>
  </si>
  <si>
    <t>Signal Threshold</t>
  </si>
  <si>
    <t>Weight</t>
  </si>
  <si>
    <t>Global PMI Composite</t>
  </si>
  <si>
    <t>US 10Y–2Y Yield Curve Slope (bps)</t>
  </si>
  <si>
    <t>MSCI ACWI Earnings Revision Ratio</t>
  </si>
  <si>
    <t>USD Index (DXY) — 3-Month Change (%)</t>
  </si>
  <si>
    <t>Global Credit Spreads — IG OAS (bps)</t>
  </si>
  <si>
    <t>MACRO SIGNAL</t>
  </si>
  <si>
    <t>Indicator</t>
  </si>
  <si>
    <t>What It Measures</t>
  </si>
  <si>
    <t>Why Relevant to Thematic Rotation</t>
  </si>
  <si>
    <t>US 10Y–2Y Yield Curve Slope</t>
  </si>
  <si>
    <t>USD Index (DXY) — 3-Month Change</t>
  </si>
  <si>
    <t>Global Credit Spreads — IG OAS</t>
  </si>
  <si>
    <t>Risk-Free Rate (annualised):</t>
  </si>
  <si>
    <t>Strategy Overview</t>
  </si>
  <si>
    <t>Theme Selection</t>
  </si>
  <si>
    <t>Basket Construction</t>
  </si>
  <si>
    <t>Rebalancing Rules</t>
  </si>
  <si>
    <t>Benchmark</t>
  </si>
  <si>
    <t>The portfolio is benchmarked against the MSCI ACWI (All Country World Index), representing the global investable equity universe. Individual theme baskets may also be compared to relevant sector or regional indices as noted in Tab 2.</t>
  </si>
  <si>
    <t>Data Sources</t>
  </si>
  <si>
    <t>Composite Signal</t>
  </si>
  <si>
    <t>A weighted average of five macro indicators — Global PMI, US Yield Curve, MSCI ACWI Earnings Revision Ratio, DXY 3-Month Change, and Global IG Credit Spreads — generates a score between 1.0 and 3.0. Scores above 2.0 indicate a Risk-On environment favouring cyclical and growth themes; 1.5–2.0 is Neutral; below 1.5 is Risk-Off, favouring defensive positioning.</t>
  </si>
  <si>
    <t>Rebalancing Trigger</t>
  </si>
  <si>
    <t>Weight Limits</t>
  </si>
  <si>
    <t xml:space="preserve">  INVESTMENT THESES — ONE-LINE SUMMARY PER THEME</t>
  </si>
  <si>
    <t>Investment Thesis</t>
  </si>
  <si>
    <t>Hyperscaler capex commitments exceeding $300bn in 2025 are creating a multi-year supercycle in power, semiconductor, and networking infrastructure that is far from fully priced in.</t>
  </si>
  <si>
    <t>Rising middle-class formation in India, Southeast Asia, and Latin America, combined with digital payments penetration, is creating compounding consumer demand in markets trading at significant valuation discounts to DM peers.</t>
  </si>
  <si>
    <t>Rules-based macro signal dashboard — drives theme allocation weights  |  Yellow cells = user inputs  |  Score cells update automatically</t>
  </si>
  <si>
    <t>Score
(1–3)</t>
  </si>
  <si>
    <t>Weighted
Score</t>
  </si>
  <si>
    <t>COMPOSITE MACRO SCORE  (sum of weighted scores)</t>
  </si>
  <si>
    <t xml:space="preserve">  INDICATOR NOTES — What Each Indicator Measures &amp; Why It Drives Thematic Rotation</t>
  </si>
  <si>
    <t>Measures manufacturing and services activity across 40+ countries. Above 50 = expansion; below 50 = contraction. Published monthly by S&amp;P Global.</t>
  </si>
  <si>
    <t>The single best real-time gauge of global growth momentum. Risk-On PMI readings favour cyclical themes (AI capex, EM consumer). A PMI below 50 for two consecutive months triggers a defensive pivot.</t>
  </si>
  <si>
    <t>Spread between 10-year and 2-year US Treasury yields in basis points. Positive = normal curve; negative = inverted. Inversion has preceded every US recession since 1955.</t>
  </si>
  <si>
    <t>A steepening curve signals improving growth and rising inflation expectations — bullish for AI capex (duration-exposed tech) and EM financials. Inversion is a leading recession indicator and triggers a shift to defensive positioning.</t>
  </si>
  <si>
    <t>Ratio of upward to downward earnings estimate revisions across global equities. Above 1.0 = more upgrades than downgrades. Sourced from Bloomberg consensus data.</t>
  </si>
  <si>
    <t>Earnings revisions are the most direct driver of forward equity returns. Rising revisions support cyclical and growth themes. A deteriorating ratio signals analyst forecast cuts — a leading indicator of drawdown risk across all three baskets.</t>
  </si>
  <si>
    <t>3-month percentage change in the DXY Dollar Index, measuring USD strength vs. a basket of EUR, JPY, GBP, CAD, SEK, CHF. Published daily by ICE.</t>
  </si>
  <si>
    <t>USD direction is critical for the EM Consumer theme — a strengthening dollar tightens EM financial conditions and compresses local-currency returns for unhedged investors. USD weakness is risk-on for EM and commodities. A spike above +2% triggers a defensive rebalance.</t>
  </si>
  <si>
    <t>Investment-grade option-adjusted spread over Treasuries from the ICE BofA IG Corporate Index (C0A0). Measures the additional yield investors demand to hold corporate vs. government bonds.</t>
  </si>
  <si>
    <t>Credit spreads are the market's risk-on/risk-off barometer. Tight spreads (&lt;100bps) indicate abundant liquidity and strong risk appetite — supportive of all three themes. Widening above 150bps signals funding stress and triggers a full defensive pivot.</t>
  </si>
  <si>
    <t xml:space="preserve">  GLOBAL ASSUMPTIONS  —  Referenced by formulas across all tabs</t>
  </si>
  <si>
    <t>← User input: current risk-free rate used for Sharpe Ratio in Tab 4  (default: 3.5%)</t>
  </si>
  <si>
    <t>&gt; 52: Expansion  |  50–52: Neutral  |  &lt; 50: Contraction</t>
  </si>
  <si>
    <t>&gt; 50bps: Steepening  |  0–50bps: Flat  |  &lt; 0bps: Inverted</t>
  </si>
  <si>
    <t>&gt; 1.1: Positive Revisions  |  0.9–1.1: Neutral  |  &lt; 0.9: Negative</t>
  </si>
  <si>
    <t>&lt; –2%: USD Weakening  |  –2% to +2%: Stable  |  &gt; +2%: Strengthening</t>
  </si>
  <si>
    <t>&lt; 100bps: Risk-On  |  100–150bps: Normal  |  &gt; 150bps: Stressed</t>
  </si>
  <si>
    <t>THEME BASKETS</t>
  </si>
  <si>
    <t>Three high-conviction thematic baskets  |  8 positions per theme (5 stocks + 3 ETFs)  |  Yellow cells = user inputs  |  Weights sum to 100% across themes</t>
  </si>
  <si>
    <t xml:space="preserve">  THEME 1 — AI INFRASTRUCTURE BUILDOUT</t>
  </si>
  <si>
    <t>Investment Thesis:</t>
  </si>
  <si>
    <t>Hyperscaler capital expenditure — led by Microsoft, Google, Amazon, and Meta — surpassed $250bn in 2025 and is accelerating into 2026 driven by generative AI model training and inference demand. This supercycle is not limited to semiconductors: it spans power infrastructure (data centre electricity demand growing at 25%+ per annum), networking (optical interconnects, high-bandwidth memory), and cooling technology. Supply bottlenecks in advanced packaging and HBM memory create pricing power for incumbents. With sovereign AI programmes in Europe, Japan, and the Middle East adding a second demand layer, this theme has a 3–5 year structural runway well beyond the current hype cycle.</t>
  </si>
  <si>
    <t>Basket Benchmark:</t>
  </si>
  <si>
    <t>SOXX (iShares Semiconductor ETF) as primary + IGV (iShares Expanded Tech-Software ETF) as secondary</t>
  </si>
  <si>
    <t>Target Portfolio Weight:</t>
  </si>
  <si>
    <t>40%   (Risk-On: 45% | Neutral: 40% | Risk-Off: 30%)</t>
  </si>
  <si>
    <t>Investment Horizon:</t>
  </si>
  <si>
    <t>Key Risk:</t>
  </si>
  <si>
    <t>Valuation compression if AI monetisation disappoints; China export controls disrupting supply chains; power grid bottlenecks delaying data centre build-out</t>
  </si>
  <si>
    <t>Ticker</t>
  </si>
  <si>
    <t>Type</t>
  </si>
  <si>
    <t>Country</t>
  </si>
  <si>
    <t>Sector / Exposure</t>
  </si>
  <si>
    <t>Rationale</t>
  </si>
  <si>
    <t>Weight %</t>
  </si>
  <si>
    <t>Mkt Cap ($bn) / TER</t>
  </si>
  <si>
    <t>Current Price ★</t>
  </si>
  <si>
    <t>Entry Price ★</t>
  </si>
  <si>
    <t>Target Price ★</t>
  </si>
  <si>
    <t>Exp. Return %</t>
  </si>
  <si>
    <t>NVIDIA Corporation</t>
  </si>
  <si>
    <t>NVDA US</t>
  </si>
  <si>
    <t>Stock</t>
  </si>
  <si>
    <t>USA</t>
  </si>
  <si>
    <t>Semiconductors</t>
  </si>
  <si>
    <t>Dominant GPU supplier for AI training; H100/H200/Blackwell demand backlogged 12+ months; 70%+ data centre market share creates durable pricing power.</t>
  </si>
  <si>
    <t>$2,650bn</t>
  </si>
  <si>
    <t>Broadcom Inc.</t>
  </si>
  <si>
    <t>AVGO US</t>
  </si>
  <si>
    <t>Semiconductors / Networking</t>
  </si>
  <si>
    <t>Custom ASIC and networking silicon for hyperscaler AI clusters; VMware acquisition adds recurring software revenue; $60bn+ AI revenue guided for FY26.</t>
  </si>
  <si>
    <t>$850bn</t>
  </si>
  <si>
    <t>Eaton Corporation</t>
  </si>
  <si>
    <t>ETN US</t>
  </si>
  <si>
    <t>Ireland/USA</t>
  </si>
  <si>
    <t>Power Infrastructure</t>
  </si>
  <si>
    <t>Leading supplier of power management systems for data centres; data centre division growing 30%+ YoY as electricity demand from AI surges globally.</t>
  </si>
  <si>
    <t>$135bn</t>
  </si>
  <si>
    <t>Vertiv Holdings</t>
  </si>
  <si>
    <t>VRT US</t>
  </si>
  <si>
    <t>Data Centre Cooling</t>
  </si>
  <si>
    <t>Critical thermal management and power distribution for hyperscale AI facilities; 90%+ revenue from data centre; fastest-growing pure-play AI infrastructure name.</t>
  </si>
  <si>
    <t>$42bn</t>
  </si>
  <si>
    <t>TSMC</t>
  </si>
  <si>
    <t>TSM US</t>
  </si>
  <si>
    <t>Taiwan</t>
  </si>
  <si>
    <t>Semiconductors / Foundry</t>
  </si>
  <si>
    <t>Sole high-volume manufacturer of leading-edge AI chips (3nm/2nm); monopoly position in advanced packaging; geographic risk hedged by Arizona fab expansion.</t>
  </si>
  <si>
    <t>iShares Semiconductor ETF</t>
  </si>
  <si>
    <t>SOXX US</t>
  </si>
  <si>
    <t>ETF</t>
  </si>
  <si>
    <t>USA/Global</t>
  </si>
  <si>
    <t>Semiconductors (Broad)</t>
  </si>
  <si>
    <t>Diversified exposure to 30 semiconductor names; captures full AI chip ecosystem from design to manufacturing; TER 0.35%.</t>
  </si>
  <si>
    <t>TER: 0.35%</t>
  </si>
  <si>
    <t>Global X Data Centre REIT ETF</t>
  </si>
  <si>
    <t>DTCR US</t>
  </si>
  <si>
    <t>Data Centre REITs</t>
  </si>
  <si>
    <t>Pure-play data centre REIT exposure; benefits from hyperscaler long-term leasing of AI-optimised facilities; income-generating with growth; TER 0.50%.</t>
  </si>
  <si>
    <t>TER: 0.50%</t>
  </si>
  <si>
    <t>First Trust NASDAQ Cybersecurity</t>
  </si>
  <si>
    <t>CIBR US</t>
  </si>
  <si>
    <t>Cybersecurity</t>
  </si>
  <si>
    <t>AI-driven security infrastructure demand; zero-trust architecture adoption accelerating as data centre attack surface expands; TER 0.60%.</t>
  </si>
  <si>
    <t>TER: 0.60%</t>
  </si>
  <si>
    <t xml:space="preserve">  THEME 1 SUMMARY  |  Total Holdings: 8  |  Geographic Mix: 85% USA · 10% Taiwan · 5% Ireland  |  Avg Mkt Cap (stocks): ~$905bn  |  Risks: AI monetisation miss; China export controls; power grid delays</t>
  </si>
  <si>
    <t xml:space="preserve">  THEME 2 — EUROPEAN DEFENCE REARMAMENT</t>
  </si>
  <si>
    <t>The geopolitical reset triggered by Russia's invasion of Ukraine has permanently altered European security doctrine. NATO's 2% GDP defence spending target — long aspirational — is now legally binding in Germany, Poland, and the UK, with France, Norway, and Sweden all exceeding it. European defence budgets grew 17% in 2024 and are projected to grow a further 14% in 2025–26, creating the largest sustained procurement cycle since the Cold War. Demand spans legacy platforms (artillery, armoured vehicles), next-generation systems (hypersonic missiles, air defence), and cyber warfare capabilities. With 10–15 year procurement lead times, order books are visible and contracted, making this one of the most earnings-visible themes in global equities.</t>
  </si>
  <si>
    <t>EUAD (Invesco European Defence ETF) + MSCI Europe Industrials Index</t>
  </si>
  <si>
    <t>35%   (Risk-On: 35% | Neutral: 35% | Risk-Off: 40%)</t>
  </si>
  <si>
    <t>Peace settlement collapsing defence budgets; domestic political risk (far-left governments defunding); US pressure to reduce European autonomy; supply chain bottlenecks in titanium and rare earths</t>
  </si>
  <si>
    <t>BAE Systems</t>
  </si>
  <si>
    <t>BA/ LN</t>
  </si>
  <si>
    <t>United Kingdom</t>
  </si>
  <si>
    <t>Aerospace &amp; Defence</t>
  </si>
  <si>
    <t>Largest UK defence prime; submarines, combat aircraft, and cyber; record £37bn order book; earnings visibility 5+ years; direct beneficiary of NATO budget commitments.</t>
  </si>
  <si>
    <t>$45bn</t>
  </si>
  <si>
    <t>Rheinmetall AG</t>
  </si>
  <si>
    <t>RHM GY</t>
  </si>
  <si>
    <t>Germany</t>
  </si>
  <si>
    <t>Ground Systems</t>
  </si>
  <si>
    <t>Germany's leading defence industrial company; artillery shells, armoured vehicles, and air defence; direct beneficiary of €100bn German Sondervermögen defence fund.</t>
  </si>
  <si>
    <t>Leonardo S.p.A.</t>
  </si>
  <si>
    <t>LDO IM</t>
  </si>
  <si>
    <t>Italy</t>
  </si>
  <si>
    <t>Aerospace / Electronics</t>
  </si>
  <si>
    <t>Multi-domain Italian prime; avionics, helicopters, and cybersecurity; NATO interoperability push driving demand across all divisions; strong order intake.</t>
  </si>
  <si>
    <t>$14bn</t>
  </si>
  <si>
    <t>Thales S.A.</t>
  </si>
  <si>
    <t>HO FP</t>
  </si>
  <si>
    <t>France</t>
  </si>
  <si>
    <t>Defence Electronics</t>
  </si>
  <si>
    <t>Leading supplier of radar, sonar, and missile guidance systems; cyber division growing at 20%+ pa; key supplier to EU joint procurement programmes.</t>
  </si>
  <si>
    <t>$27bn</t>
  </si>
  <si>
    <t>Saab AB</t>
  </si>
  <si>
    <t>SAAB SS</t>
  </si>
  <si>
    <t>Sweden</t>
  </si>
  <si>
    <t>Air Defence / Missiles</t>
  </si>
  <si>
    <t>Gripen fighter jet and Carl-Gustaf weapons system producer; Sweden's NATO accession directly boosts procurement pipeline; strong export order book.</t>
  </si>
  <si>
    <t>Invesco European Def. ETF</t>
  </si>
  <si>
    <t>EUAD LN</t>
  </si>
  <si>
    <t>Europe</t>
  </si>
  <si>
    <t>European Defence (Broad)</t>
  </si>
  <si>
    <t>Tracks MSCI Europe Defence Index; 30+ European defence companies; broadest pure-play European defence exposure available; TER 0.25%.</t>
  </si>
  <si>
    <t>TER: 0.25%</t>
  </si>
  <si>
    <t>iShares MSCI Europe ETF</t>
  </si>
  <si>
    <t>EZU US</t>
  </si>
  <si>
    <t>European Equity (Broad)</t>
  </si>
  <si>
    <t>Strategic European allocation providing diversification across defence beneficiaries in industrials, aerospace, and advanced manufacturing; TER 0.48%.</t>
  </si>
  <si>
    <t>TER: 0.48%</t>
  </si>
  <si>
    <t>VanEck Defense ETF</t>
  </si>
  <si>
    <t>DFNS US</t>
  </si>
  <si>
    <t>Global</t>
  </si>
  <si>
    <t>Global Defence</t>
  </si>
  <si>
    <t>Global defence and aerospace exposure; includes US primes (LMT, RTX) alongside European names; provides US-allied supply chain diversification; TER 0.55%.</t>
  </si>
  <si>
    <t>TER: 0.55%</t>
  </si>
  <si>
    <t xml:space="preserve">  THEME 2 SUMMARY  |  Total Holdings: 8  |  Geographic Mix: 60% Europe · 25% UK · 15% Global  |  Avg Mkt Cap (stocks): ~$28bn  |  Risks: Peace deal; political reversal; rare earth supply disruption</t>
  </si>
  <si>
    <t xml:space="preserve">  THEME 3 — EMERGING MARKET CONSUMER EMERGENCE</t>
  </si>
  <si>
    <t>The structural rise of the middle class in India, Southeast Asia, Indonesia, and Latin America represents one of the most durable multi-decade investment themes in global markets. India alone is adding 50 million new middle-class consumers annually, with smartphone penetration driving formalisation of retail, financial services, and consumer staples. Digital payments infrastructure has leapfrogged card systems in markets like India (UPI), Indonesia, and Brazil, creating platform economics for domestic payment processors and super-apps. These markets trade at 30–50% valuation discounts to comparable DM consumer franchises, despite superior long-run growth rates. USD sensitivity requires hedging or careful position sizing, but the structural demand story is independent of the US rate cycle.</t>
  </si>
  <si>
    <t>MSCI Emerging Markets Consumer Discretionary + Staples Index; EEM (iShares MSCI EM ETF) as secondary</t>
  </si>
  <si>
    <t>25%   (Risk-On: 20% | Neutral: 25% | Risk-Off: 30%)</t>
  </si>
  <si>
    <t>USD strengthening compressing EM returns; China macro slowdown spilling into ASEAN; domestic political instability (Brazil, Indonesia election risk); EM corporate governance concerns</t>
  </si>
  <si>
    <t>Reliance Industries</t>
  </si>
  <si>
    <t>RIL IN</t>
  </si>
  <si>
    <t>India</t>
  </si>
  <si>
    <t>Consumer / Telecom / Retail</t>
  </si>
  <si>
    <t>India's largest consumer-facing conglomerate; Jio Platforms connects 450mn+ subscribers; Reliance Retail is India's largest retailer; dual exposure to digital and physical consumer economy.</t>
  </si>
  <si>
    <t>$215bn</t>
  </si>
  <si>
    <t>MercadoLibre Inc.</t>
  </si>
  <si>
    <t>MELI US</t>
  </si>
  <si>
    <t>Latin America</t>
  </si>
  <si>
    <t>E-Commerce / Fintech</t>
  </si>
  <si>
    <t>Dominant e-commerce and digital payments platform across Brazil, Mexico, and Argentina; Mercado Pago's fintech unit is a structural beneficiary of financial inclusion in LATAM.</t>
  </si>
  <si>
    <t>$95bn</t>
  </si>
  <si>
    <t>Sea Limited</t>
  </si>
  <si>
    <t>SE US</t>
  </si>
  <si>
    <t>Southeast Asia</t>
  </si>
  <si>
    <t>Super-App / Gaming / Fintech</t>
  </si>
  <si>
    <t>Singapore-listed platform commanding e-commerce, digital entertainment, and fintech across SE Asia; Shopee and SeaMoney positioned to capture SE Asian middle-class formation.</t>
  </si>
  <si>
    <t>$48bn</t>
  </si>
  <si>
    <t>HDFC Bank</t>
  </si>
  <si>
    <t>HDB US</t>
  </si>
  <si>
    <t>Financials / Banking</t>
  </si>
  <si>
    <t>India's largest private-sector bank by assets; direct beneficiary of India's credit penetration growth; mortgage and retail lending growing at 15%+ pa in a structurally underpenetrated market.</t>
  </si>
  <si>
    <t>$150bn</t>
  </si>
  <si>
    <t>Grupo Financiero Banorte</t>
  </si>
  <si>
    <t>GFNORTEO MX</t>
  </si>
  <si>
    <t>Mexico</t>
  </si>
  <si>
    <t>Mexico's leading domestic bank; beneficiary of nearshoring boom and growing Mexican middle class; superior ROE vs. peers; peso strength a tailwind in USD-hedged portfolios.</t>
  </si>
  <si>
    <t>$19bn</t>
  </si>
  <si>
    <t>iShares MSCI India ETF</t>
  </si>
  <si>
    <t>INDA US</t>
  </si>
  <si>
    <t>India Broad Equity</t>
  </si>
  <si>
    <t>Broadest liquid India equity exposure; captures consumer, IT services, financials, and infrastructure beneficiaries of India's 6%+ GDP growth trajectory; TER 0.65%.</t>
  </si>
  <si>
    <t>TER: 0.65%</t>
  </si>
  <si>
    <t>iShares MSCI EM ex-China ETF</t>
  </si>
  <si>
    <t>EMXC US</t>
  </si>
  <si>
    <t>EM ex-China</t>
  </si>
  <si>
    <t>EM ex-China Equity</t>
  </si>
  <si>
    <t>Targeted EM exposure excluding China; captures India, Taiwan, Korea, Brazil, Mexico beneficiaries without China regulatory risk; TER 0.25%.</t>
  </si>
  <si>
    <t>Global X MSCI ASEAN ETF</t>
  </si>
  <si>
    <t>ASEA US</t>
  </si>
  <si>
    <t>SE Asia</t>
  </si>
  <si>
    <t>ASEAN Equity</t>
  </si>
  <si>
    <t>Pure-play ASEAN consumer and financial services exposure across Indonesia, Thailand, Malaysia, Philippines; captures demographic dividend with 650mn population base; TER 0.65%.</t>
  </si>
  <si>
    <t xml:space="preserve">  THEME 3 SUMMARY  |  Total Holdings: 8  |  Geographic Mix: 35% India · 25% LatAm · 30% SE Asia · 10% Global  |  Avg Mkt Cap (stocks): ~$105bn  |  Risks: USD spike; China contagion; political risk</t>
  </si>
  <si>
    <t>MACRO REBALANCING FRAMEWORK</t>
  </si>
  <si>
    <t xml:space="preserve">  SCENARIO ALLOCATION TABLE  —  Theme Weights by Macro Signal</t>
  </si>
  <si>
    <t>🟢  Risk-On
(Score &gt; 2.0)</t>
  </si>
  <si>
    <t>🟡  Neutral
(Score 1.5 – 2.0)</t>
  </si>
  <si>
    <t>🔴  Risk-Off
(Score &lt; 1.5)</t>
  </si>
  <si>
    <t>TOTAL</t>
  </si>
  <si>
    <t xml:space="preserve">  REBALANCING TRIGGER RULES</t>
  </si>
  <si>
    <t>Rule 1 — Signal Category Change</t>
  </si>
  <si>
    <t>A rebalance is triggered whenever the Macro Scorecard composite score crosses one of the two thresholds: above 2.0 (enters Risk-On), between 1.5–2.0 (enters Neutral), or below 1.5 (enters Risk-Off). The signal must persist for two consecutive weekly readings before a rebalance is executed, to filter short-term noise. This applies regardless of how recently the last rebalance occurred, subject to Rule 3.</t>
  </si>
  <si>
    <t>Rule 2 — Magnitude of Weight Shift</t>
  </si>
  <si>
    <t>Upon a signal category change, all theme weights shift to the target weights defined in the Scenario Allocation Table above. Shifts are executed at the next month-end NAV after the two-week confirmation period. No partial rebalancing is permitted — weights move to full scenario targets.</t>
  </si>
  <si>
    <t>Rule 3 — Minimum Holding Period</t>
  </si>
  <si>
    <t>A minimum of 90 calendar days must elapse between rebalancing events. If the macro signal changes within the 90-day window, the signal is logged but the portfolio is not rebalanced until the window expires. If the signal has reversed back to the prior category by that point, no rebalance occurs.</t>
  </si>
  <si>
    <t>Rule 4 — Intra-Basket Review</t>
  </si>
  <si>
    <t>Intra-basket positions are reviewed at each quarterly rebalance. An individual holding may be replaced if it has lost direct thematic relevance (e.g., divestiture, business model change), if its market cap falls below $1bn (liquidity floor), or if a significantly more compelling substitute exists. Replacements require PM sign-off and must be documented in the rebalancing log.</t>
  </si>
  <si>
    <t>Rule 5 — Concentration Limits</t>
  </si>
  <si>
    <t>No single theme may exceed 55% of the portfolio total. No single stock holding may exceed 5% of total portfolio value (i.e., 20% of a 25% theme basket). ETF positions within a basket are not subject to this cap. If a holding drifts above the cap due to price appreciation, it is trimmed at the next rebalance to restore compliance.</t>
  </si>
  <si>
    <t xml:space="preserve">  REBALANCING LOG  —  Fill in after each rebalancing event</t>
  </si>
  <si>
    <t>Date</t>
  </si>
  <si>
    <t>Previous Weights
(AI% | DEF% | EM%)</t>
  </si>
  <si>
    <t>New Weights
(AI% | DEF% | EM%)</t>
  </si>
  <si>
    <t>Trigger Indicator</t>
  </si>
  <si>
    <t>Macro Signal at Rebalance</t>
  </si>
  <si>
    <t>PM Notes / Comments</t>
  </si>
  <si>
    <t>March 2026 (Inception)</t>
  </si>
  <si>
    <t>—  (Initial allocation)</t>
  </si>
  <si>
    <t>40% | 35% | 25%</t>
  </si>
  <si>
    <t>—</t>
  </si>
  <si>
    <t>Neutral  (Base case)</t>
  </si>
  <si>
    <t>Portfolio inception — Neutral scenario weights applied</t>
  </si>
  <si>
    <t>BACKTEST ENGINE</t>
  </si>
  <si>
    <t>Jan 2022 – Dec 2025  (48 months)  |  Yellow cells = enter monthly returns from Bloomberg / Yahoo Finance  |  All stats auto-calculate</t>
  </si>
  <si>
    <t xml:space="preserve">  SECTION 1 — MONTHLY RETURN INPUTS  (enter as decimals e.g. 0.032 = 3.2%)</t>
  </si>
  <si>
    <t>Month</t>
  </si>
  <si>
    <t>AI Infrastructure
Return</t>
  </si>
  <si>
    <t>EU Defence
Return</t>
  </si>
  <si>
    <t>EM Consumer
Return</t>
  </si>
  <si>
    <t>MSCI ACWI
Return</t>
  </si>
  <si>
    <t>Portfolio Blended
Return (formula)</t>
  </si>
  <si>
    <t xml:space="preserve">  SECTION 2 — CUMULATIVE NAV  (Base = 100 at Jan 2022)</t>
  </si>
  <si>
    <t>Portfolio NAV</t>
  </si>
  <si>
    <t>Benchmark NAV</t>
  </si>
  <si>
    <t>Rolling Peak (Port.)</t>
  </si>
  <si>
    <t>Drawdown (Port.)</t>
  </si>
  <si>
    <t xml:space="preserve">  SECTION 3 — ANNUAL PERFORMANCE SUMMARY</t>
  </si>
  <si>
    <t>Year</t>
  </si>
  <si>
    <t>Portfolio Return</t>
  </si>
  <si>
    <t>Benchmark Return</t>
  </si>
  <si>
    <t>Alpha</t>
  </si>
  <si>
    <t>Best Theme</t>
  </si>
  <si>
    <t>Worst Theme</t>
  </si>
  <si>
    <t xml:space="preserve">  SECTION 4 — SUMMARY STATISTICS  (all formula-driven from inputs above)</t>
  </si>
  <si>
    <t>Metric</t>
  </si>
  <si>
    <t>Portfolio</t>
  </si>
  <si>
    <t>Benchmark (MSCI ACWI)</t>
  </si>
  <si>
    <t>Notes</t>
  </si>
  <si>
    <t>Annualised Return</t>
  </si>
  <si>
    <t>Annualised Volatility</t>
  </si>
  <si>
    <t>Sharpe Ratio (3.5% Rf)</t>
  </si>
  <si>
    <t>Max Drawdown</t>
  </si>
  <si>
    <t>Beta vs MSCI ACWI</t>
  </si>
  <si>
    <t>Tracking Error</t>
  </si>
  <si>
    <t>Information Ratio</t>
  </si>
  <si>
    <t>% Months Outperforming</t>
  </si>
  <si>
    <t>Geometric annualised return (compounded)</t>
  </si>
  <si>
    <t>Monthly std dev of returns × √12</t>
  </si>
  <si>
    <t>Uses RiskFreeRate named range (Macro Scorecard tab, C24)</t>
  </si>
  <si>
    <t>Portfolio uses rolling-peak drawdown col M; Benchmark uses worst monthly return</t>
  </si>
  <si>
    <t>Cov(portfolio returns, benchmark returns) / Var(benchmark returns)</t>
  </si>
  <si>
    <t>Annualised standard deviation of monthly portfolio-benchmark return spreads</t>
  </si>
  <si>
    <t>Annualised excess return over benchmark ÷ Tracking Error</t>
  </si>
  <si>
    <t>Share of months where portfolio monthly return &gt; benchmark monthly return</t>
  </si>
  <si>
    <t>THEME PERFORMANCE ATTRIBUTION</t>
  </si>
  <si>
    <t>Brinson-Hood-Beebower attribution adapted for thematic portfolios  |  Splits alpha into allocation effect (weight decisions) and selection effect (stock picking)</t>
  </si>
  <si>
    <t xml:space="preserve">  BRINSON-HOOD-BEEBOWER ATTRIBUTION TABLE  —  Yellow cells = enter period returns</t>
  </si>
  <si>
    <t>Portfolio
Weight (Wp)</t>
  </si>
  <si>
    <t>Benchmark
Weight (Wb)</t>
  </si>
  <si>
    <t>Portfolio
Return (Rp)</t>
  </si>
  <si>
    <t>Benchmark
Return (Rb)</t>
  </si>
  <si>
    <t>Allocation
Effect</t>
  </si>
  <si>
    <t>Selection
Effect</t>
  </si>
  <si>
    <t>Total Active
Contribution</t>
  </si>
  <si>
    <t>TOTAL ALPHA</t>
  </si>
  <si>
    <t>← Allocation Effect</t>
  </si>
  <si>
    <t>← Selection Effect</t>
  </si>
  <si>
    <t>← Total Alpha</t>
  </si>
  <si>
    <t xml:space="preserve">  INTERPRETATION GUIDE  —  How to Read This Attribution Table</t>
  </si>
  <si>
    <t>Allocation Effect
(Column G)</t>
  </si>
  <si>
    <t>Measures whether the decision to overweight or underweight a theme relative to its benchmark proxy added value. A positive allocation effect means overweighting a theme that outperformed the benchmark average, or underweighting one that underperformed. This reflects the quality of your top-down macro signal.</t>
  </si>
  <si>
    <t>Selection Effect
(Column H)</t>
  </si>
  <si>
    <t>Measures whether the specific securities chosen within each theme outperformed their benchmark equivalent. A positive selection effect means the stocks and ETFs selected beat the relevant sector index. This reflects the quality of the individual security research within each basket.</t>
  </si>
  <si>
    <t>Total Alpha
(Column I)</t>
  </si>
  <si>
    <t>The sum of allocation and selection effects. This is the total value added by the portfolio relative to holding a passive benchmark exposure to the same themes. Positive total alpha validates the active management approach. A negative total alpha would suggest the passive benchmark weight allocation and/or security selection detracted value.</t>
  </si>
  <si>
    <t>How to Present This to a Client</t>
  </si>
  <si>
    <t>Split the conversation in two: 'Our macro signal added X basis points by correctly overweighting [best theme] when it outperformed. Within that basket, our security selection added a further Y basis points above the sector index.' If selection is negative but allocation is positive, the signal is working but stock picks need improvement — and vice versa.</t>
  </si>
  <si>
    <t>RISK DASHBOARD</t>
  </si>
  <si>
    <t>Weekly PM review — 4 sections: Portfolio risk metrics | Concentration analysis | Correlation matrix | Macro risk watchlist</t>
  </si>
  <si>
    <t xml:space="preserve">  SECTION 1 — PORTFOLIO-LEVEL RISK METRICS  (linked from Backtest Engine tab)</t>
  </si>
  <si>
    <t>vs Benchmark</t>
  </si>
  <si>
    <t>Signal</t>
  </si>
  <si>
    <t>Sharpe Ratio</t>
  </si>
  <si>
    <t>Beta vs ACWI</t>
  </si>
  <si>
    <t xml:space="preserve">  SECTION 2 — CONCENTRATION ANALYSIS  (⚠ cells flagged amber if &gt; 40%)</t>
  </si>
  <si>
    <t>Geographic Exposure (Aggregated Across All Baskets)</t>
  </si>
  <si>
    <t>Sector Exposure (Aggregated Across All Baskets)</t>
  </si>
  <si>
    <t>North America</t>
  </si>
  <si>
    <t>Technology / AI</t>
  </si>
  <si>
    <t>Industrials / Defence</t>
  </si>
  <si>
    <t>Asia-Pacific</t>
  </si>
  <si>
    <t>Financials</t>
  </si>
  <si>
    <t>Emerging Markets</t>
  </si>
  <si>
    <t>Consumer</t>
  </si>
  <si>
    <t>Other / Global</t>
  </si>
  <si>
    <t>Energy / Utilities</t>
  </si>
  <si>
    <t>Healthcare</t>
  </si>
  <si>
    <t>Other</t>
  </si>
  <si>
    <t xml:space="preserve">  SECTION 3 — THEME CORRELATION MATRIX  (flag if correlation &gt; 0.7 — themes not truly diversifying)</t>
  </si>
  <si>
    <t>AI Infrastructure</t>
  </si>
  <si>
    <t>EU Defence</t>
  </si>
  <si>
    <t>EM Consumer</t>
  </si>
  <si>
    <t xml:space="preserve">  ⚠  If any pair shows correlation above 0.70, the themes are not truly diversifying each other — consider replacing the higher-correlated basket or adding an uncorrelated hedge.</t>
  </si>
  <si>
    <t xml:space="preserve">  SECTION 4 — KEY MACRO RISK WATCHLIST  —  Probability and Impact are manual inputs</t>
  </si>
  <si>
    <t>Risk</t>
  </si>
  <si>
    <t>Affected Theme(s)</t>
  </si>
  <si>
    <t>Probability ★</t>
  </si>
  <si>
    <t>Impact ★</t>
  </si>
  <si>
    <t>Description &amp; Mitigation</t>
  </si>
  <si>
    <t>Fed Policy Reversal — Rate Spike</t>
  </si>
  <si>
    <t>Medium</t>
  </si>
  <si>
    <t>High</t>
  </si>
  <si>
    <t>A re-acceleration of US inflation forces the Fed to hike rates, spiking the 10Y yield. Compresses high-multiple AI infrastructure valuations. Mitigation: Monitor DXY and IG OAS; reduce AI basket on Risk-Off signal.</t>
  </si>
  <si>
    <t>China Macro Slowdown / Crisis</t>
  </si>
  <si>
    <t>EM Consumer; AI Infrastructure</t>
  </si>
  <si>
    <t>A hard landing in China spills into ASEAN supply chains and EM consumer demand. Taiwan Strait tensions disrupt TSMC operations. Mitigation: EMXC ETF (ex-China) in EM basket; diversified AI supply chain holdings.</t>
  </si>
  <si>
    <t>USD Spike (+5% in 3 months)</t>
  </si>
  <si>
    <t>Rapid dollar strengthening triggers capital outflows from EM, tightens local financial conditions, and compresses unhedged EM equity returns. Mitigation: Monitor DXY 3M change; reduce EM weight to 20% (Risk-Off).</t>
  </si>
  <si>
    <t>Peace Settlement in Ukraine</t>
  </si>
  <si>
    <t>Low</t>
  </si>
  <si>
    <t>A sudden peace deal collapses the political consensus for sustained defence spending increases. Mitigation: Focus on structural NATO commitments; monitor Rheinmetall/BAE order book data vs. budget announcements.</t>
  </si>
  <si>
    <t>AI Monetisation Disappointment</t>
  </si>
  <si>
    <t>Hyperscaler capex guidance is cut as ROI on AI models fails to materialise in revenue growth. Multiple compression for AI infrastructure names. Mitigation: Diversify into lower-multiple power/cooling names; hold SOXX ETF.</t>
  </si>
  <si>
    <t>EM Political Instability</t>
  </si>
  <si>
    <t>Election outcomes in India, Brazil, or Indonesia produce policy uncertainty or capital controls. Mitigation: Geographic diversification across 5+ EM geographies; INDA/EMXC ETFs limit single-country concentration.</t>
  </si>
  <si>
    <t>Investor Summary  |  March 2026  |  Institutional Strategy Factsheet</t>
  </si>
  <si>
    <t>Strategy Type</t>
  </si>
  <si>
    <t>Inception Date</t>
  </si>
  <si>
    <t>No. of Holdings</t>
  </si>
  <si>
    <t>AUM (Placeholder)</t>
  </si>
  <si>
    <t>Risk Profile</t>
  </si>
  <si>
    <t>Global Macro Thematic</t>
  </si>
  <si>
    <t>MSCI ACWI</t>
  </si>
  <si>
    <t>24 positions</t>
  </si>
  <si>
    <t>Equity Long-Only</t>
  </si>
  <si>
    <t xml:space="preserve">  STRATEGY OVERVIEW</t>
  </si>
  <si>
    <t>A top-down, rules-based thematic equity strategy investing across three structural macro themes. Theme weights are driven by a composite macro signal (PMI, yield curve, earnings revisions, DXY, credit spreads) and rebalanced quarterly. Benchmarked against MSCI ACWI. Target alpha through disciplined thematic exposure, not factor timing or leverage.</t>
  </si>
  <si>
    <t xml:space="preserve">  INVESTMENT THEMES</t>
  </si>
  <si>
    <t>Theme 1 — AI Infrastructure Buildout (40%)</t>
  </si>
  <si>
    <t>Hyperscaler capex surpassing $300bn in 2025 is creating a multi-year supercycle in semiconductors, power infrastructure, and networking. Supply bottlenecks and sovereign AI programmes extend the structural runway to 2030+.</t>
  </si>
  <si>
    <t>Theme 2 — European Defence Rearmament (35%)</t>
  </si>
  <si>
    <t>Binding NATO commitments at 2%+ of GDP are driving the largest European defence procurement cycle since the Cold War. Contracted order books provide multi-year earnings visibility across aerospace, missiles, and cybersecurity.</t>
  </si>
  <si>
    <t>Theme 3 — EM Consumer Emergence (25%)</t>
  </si>
  <si>
    <t>Middle-class formation in India, SE Asia, and Latin America is compounding at 50mn new consumers per annum. Digital payments leapfrogging creates platform economics at 30–50% valuation discounts to DM peers.</t>
  </si>
  <si>
    <t xml:space="preserve">  TOP 5 HOLDINGS BY PORTFOLIO WEIGHT</t>
  </si>
  <si>
    <t>Holding</t>
  </si>
  <si>
    <t>Portfolio Weight</t>
  </si>
  <si>
    <t>Sector</t>
  </si>
  <si>
    <t>iShares Semiconductor ETF (SOXX)</t>
  </si>
  <si>
    <t>USA / Global</t>
  </si>
  <si>
    <t>Invesco European Defence ETF (EUAD)</t>
  </si>
  <si>
    <t>European Defence</t>
  </si>
  <si>
    <t>Global X Data Centre REIT ETF (DTCR)</t>
  </si>
  <si>
    <t>iShares MSCI India ETF (INDA)</t>
  </si>
  <si>
    <t>EM Equity</t>
  </si>
  <si>
    <t xml:space="preserve">  RISK METRICS SUMMARY  (linked from Backtest Engine — populate once returns are entered)</t>
  </si>
  <si>
    <t xml:space="preserve">  Attribution Period: January 2022 – December 2025 (48 months, full backtest period)  |  Rp = theme basket return  |  Rb = sector benchmark proxy return</t>
  </si>
  <si>
    <t>⚠ &gt;40% — monitor</t>
  </si>
  <si>
    <t xml:space="preserve">  YTD PERFORMANCE vs BENCHMARK  (January – March 2026)</t>
  </si>
  <si>
    <t>Portfolio YTD</t>
  </si>
  <si>
    <t>Benchmark YTD</t>
  </si>
  <si>
    <t>Alpha YTD</t>
  </si>
  <si>
    <t>Best Theme YTD</t>
  </si>
  <si>
    <t>EU Defence Rearmament</t>
  </si>
  <si>
    <t>🟢  Risk-On</t>
  </si>
  <si>
    <t>Current Reading ★
(Mar 2026)</t>
  </si>
  <si>
    <t>Current Macro Signal (live):</t>
  </si>
  <si>
    <t>← Updates automatically when macro inputs change in Tab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</si>
</sst>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0"/>
    <numFmt numFmtId="166" formatCode="0.0"/>
  </numFmts>
  <fonts count="63" x14ac:knownFonts="1">
    <font>
      <sz val="12"/>
      <color theme="1"/>
      <name val="Aptos Narrow"/>
      <family val="2"/>
      <scheme val="minor"/>
    </font>
    <font>
      <b/>
      <sz val="12"/>
      <color theme="0"/>
      <name val="Aptos Narrow"/>
      <family val="2"/>
      <scheme val="minor"/>
    </font>
    <font>
      <b/>
      <sz val="12"/>
      <color theme="1"/>
      <name val="Aptos Narrow"/>
      <family val="2"/>
      <scheme val="minor"/>
    </font>
    <font>
      <b/>
      <sz val="32"/>
      <color rgb="FFFFFFFF"/>
      <name val="Calibri"/>
      <family val="2"/>
    </font>
    <font>
      <i/>
      <sz val="13"/>
      <color rgb="FFFFFFFF"/>
      <name val="Calibri"/>
      <family val="2"/>
    </font>
    <font>
      <b/>
      <sz val="12"/>
      <color rgb="FF0A1628"/>
      <name val="Aptos Narrow"/>
      <family val="2"/>
      <scheme val="minor"/>
    </font>
    <font>
      <b/>
      <sz val="12"/>
      <color rgb="FFFFFFFF"/>
      <name val="Aptos Narrow"/>
      <family val="2"/>
      <scheme val="minor"/>
    </font>
    <font>
      <sz val="12"/>
      <color rgb="FF1A1A1A"/>
      <name val="Aptos Narrow"/>
      <family val="2"/>
      <scheme val="minor"/>
    </font>
    <font>
      <b/>
      <sz val="10"/>
      <color rgb="FFFFFFFF"/>
      <name val="Aptos Narrow"/>
      <family val="2"/>
      <scheme val="minor"/>
    </font>
    <font>
      <b/>
      <sz val="12"/>
      <color rgb="FF1A3A5C"/>
      <name val="Aptos Narrow"/>
      <family val="2"/>
      <scheme val="minor"/>
    </font>
    <font>
      <b/>
      <sz val="11"/>
      <color rgb="FFFFFFFF"/>
      <name val="Aptos Narrow"/>
      <family val="2"/>
      <scheme val="minor"/>
    </font>
    <font>
      <sz val="9"/>
      <color theme="1"/>
      <name val="Aptos Narrow"/>
      <family val="2"/>
      <scheme val="minor"/>
    </font>
    <font>
      <i/>
      <sz val="10"/>
      <color rgb="FF666666"/>
      <name val="Aptos Narrow"/>
      <family val="2"/>
      <scheme val="minor"/>
    </font>
    <font>
      <sz val="9"/>
      <color rgb="FF444444"/>
      <name val="Aptos Narrow"/>
      <family val="2"/>
      <scheme val="minor"/>
    </font>
    <font>
      <i/>
      <sz val="9"/>
      <color rgb="FF666666"/>
      <name val="Aptos Narrow"/>
      <family val="2"/>
      <scheme val="minor"/>
    </font>
    <font>
      <b/>
      <sz val="13"/>
      <color rgb="FFFFFFFF"/>
      <name val="Aptos Narrow"/>
      <family val="2"/>
      <scheme val="minor"/>
    </font>
    <font>
      <b/>
      <sz val="34"/>
      <color rgb="FFFFFFFF"/>
      <name val="Calibri"/>
      <family val="2"/>
    </font>
    <font>
      <i/>
      <sz val="12"/>
      <color rgb="FFD0D8E8"/>
      <name val="Calibri"/>
      <family val="2"/>
    </font>
    <font>
      <sz val="11"/>
      <color theme="1"/>
      <name val="Aptos Narrow"/>
      <family val="2"/>
      <scheme val="minor"/>
    </font>
    <font>
      <sz val="11"/>
      <color rgb="FF1A1A1A"/>
      <name val="Aptos Narrow"/>
      <family val="2"/>
      <scheme val="minor"/>
    </font>
    <font>
      <b/>
      <sz val="10"/>
      <color rgb="FF0A1628"/>
      <name val="Aptos Narrow"/>
      <family val="2"/>
      <scheme val="minor"/>
    </font>
    <font>
      <sz val="10"/>
      <color rgb="FF1A1A1A"/>
      <name val="Aptos Narrow"/>
      <family val="2"/>
      <scheme val="minor"/>
    </font>
    <font>
      <sz val="10"/>
      <color theme="1"/>
      <name val="Aptos Narrow"/>
      <family val="2"/>
      <scheme val="minor"/>
    </font>
    <font>
      <sz val="12"/>
      <color rgb="FF444444"/>
      <name val="Aptos Narrow"/>
      <family val="2"/>
      <scheme val="minor"/>
    </font>
    <font>
      <b/>
      <sz val="28"/>
      <color rgb="FF0A1628"/>
      <name val="Calibri"/>
      <family val="2"/>
    </font>
    <font>
      <b/>
      <sz val="11"/>
      <color rgb="FF0000FF"/>
      <name val="Aptos Narrow"/>
      <family val="2"/>
      <scheme val="minor"/>
    </font>
    <font>
      <b/>
      <sz val="16"/>
      <color theme="1"/>
      <name val="Aptos Narrow"/>
      <family val="2"/>
      <scheme val="minor"/>
    </font>
    <font>
      <sz val="10"/>
      <color rgb="FF0A1628"/>
      <name val="Aptos Narrow"/>
      <family val="2"/>
      <scheme val="minor"/>
    </font>
    <font>
      <b/>
      <sz val="22"/>
      <color rgb="FFFFFFFF"/>
      <name val="Aptos Narrow"/>
      <family val="2"/>
      <scheme val="minor"/>
    </font>
    <font>
      <sz val="9"/>
      <color rgb="FF333333"/>
      <name val="Aptos Narrow"/>
      <family val="2"/>
      <scheme val="minor"/>
    </font>
    <font>
      <b/>
      <sz val="12"/>
      <color rgb="FF0000FF"/>
      <name val="Aptos Narrow"/>
      <family val="2"/>
      <scheme val="minor"/>
    </font>
    <font>
      <sz val="10"/>
      <color rgb="FF333333"/>
      <name val="Aptos Narrow"/>
      <family val="2"/>
      <scheme val="minor"/>
    </font>
    <font>
      <b/>
      <sz val="26"/>
      <color rgb="FFFFFFFF"/>
      <name val="Aptos Narrow"/>
      <family val="2"/>
      <scheme val="minor"/>
    </font>
    <font>
      <b/>
      <sz val="10"/>
      <color rgb="FF0A3A6E"/>
      <name val="Aptos Narrow"/>
      <family val="2"/>
      <scheme val="minor"/>
    </font>
    <font>
      <b/>
      <sz val="9"/>
      <color rgb="FFFFFFFF"/>
      <name val="Aptos Narrow"/>
      <family val="2"/>
      <scheme val="minor"/>
    </font>
    <font>
      <b/>
      <sz val="10"/>
      <color rgb="FF1A3A5C"/>
      <name val="Aptos Narrow"/>
      <family val="2"/>
      <scheme val="minor"/>
    </font>
    <font>
      <sz val="9"/>
      <color rgb="FF1A1A1A"/>
      <name val="Aptos Narrow"/>
      <family val="2"/>
      <scheme val="minor"/>
    </font>
    <font>
      <sz val="10"/>
      <color rgb="FF0000FF"/>
      <name val="Aptos Narrow"/>
      <family val="2"/>
      <scheme val="minor"/>
    </font>
    <font>
      <b/>
      <sz val="10"/>
      <color rgb="FF1A3A18"/>
      <name val="Aptos Narrow"/>
      <family val="2"/>
      <scheme val="minor"/>
    </font>
    <font>
      <b/>
      <sz val="10"/>
      <color rgb="FF5C2A00"/>
      <name val="Aptos Narrow"/>
      <family val="2"/>
      <scheme val="minor"/>
    </font>
    <font>
      <b/>
      <sz val="13"/>
      <color rgb="FF0A1628"/>
      <name val="Aptos Narrow"/>
      <family val="2"/>
      <scheme val="minor"/>
    </font>
    <font>
      <sz val="13"/>
      <color rgb="FF0A1628"/>
      <name val="Aptos Narrow"/>
      <family val="2"/>
      <scheme val="minor"/>
    </font>
    <font>
      <b/>
      <sz val="9"/>
      <color theme="1"/>
      <name val="Aptos Narrow"/>
      <family val="2"/>
      <scheme val="minor"/>
    </font>
    <font>
      <b/>
      <sz val="9"/>
      <color rgb="FF0A1628"/>
      <name val="Aptos Narrow"/>
      <family val="2"/>
      <scheme val="minor"/>
    </font>
    <font>
      <sz val="9"/>
      <color rgb="FF0000FF"/>
      <name val="Aptos Narrow"/>
      <family val="2"/>
      <scheme val="minor"/>
    </font>
    <font>
      <sz val="9"/>
      <color rgb="FF000000"/>
      <name val="Aptos Narrow"/>
      <family val="2"/>
      <scheme val="minor"/>
    </font>
    <font>
      <b/>
      <sz val="11"/>
      <color theme="1"/>
      <name val="Aptos Narrow"/>
      <family val="2"/>
      <scheme val="minor"/>
    </font>
    <font>
      <i/>
      <sz val="8"/>
      <color rgb="FF666666"/>
      <name val="Aptos Narrow"/>
      <family val="2"/>
      <scheme val="minor"/>
    </font>
    <font>
      <i/>
      <sz val="9"/>
      <color rgb="FF6D4C00"/>
      <name val="Aptos Narrow"/>
      <family val="2"/>
      <scheme val="minor"/>
    </font>
    <font>
      <sz val="9"/>
      <color rgb="FF1A3A5C"/>
      <name val="Aptos Narrow"/>
      <family val="2"/>
      <scheme val="minor"/>
    </font>
    <font>
      <b/>
      <sz val="10"/>
      <color rgb="FF0000FF"/>
      <name val="Aptos Narrow"/>
      <family val="2"/>
      <scheme val="minor"/>
    </font>
    <font>
      <b/>
      <sz val="11"/>
      <color rgb="FF0A1628"/>
      <name val="Aptos Narrow"/>
      <family val="2"/>
      <scheme val="minor"/>
    </font>
    <font>
      <b/>
      <sz val="28"/>
      <color rgb="FFFFFFFF"/>
      <name val="Aptos Narrow"/>
      <family val="2"/>
      <scheme val="minor"/>
    </font>
    <font>
      <i/>
      <sz val="11"/>
      <color rgb="FFD0D8E8"/>
      <name val="Aptos Narrow"/>
      <family val="2"/>
      <scheme val="minor"/>
    </font>
    <font>
      <b/>
      <sz val="8"/>
      <color rgb="FF666666"/>
      <name val="Aptos Narrow"/>
      <family val="2"/>
      <scheme val="minor"/>
    </font>
    <font>
      <b/>
      <sz val="9"/>
      <color rgb="FF1A3A5C"/>
      <name val="Aptos Narrow"/>
      <family val="2"/>
      <scheme val="minor"/>
    </font>
    <font>
      <b/>
      <sz val="11"/>
      <color rgb="FF1A7A3C"/>
      <name val="Aptos Narrow"/>
      <family val="2"/>
      <scheme val="minor"/>
    </font>
    <font>
      <i/>
      <sz val="9"/>
      <color rgb="FF1A3A5C"/>
      <name val="Aptos Narrow"/>
      <family val="2"/>
      <scheme val="minor"/>
    </font>
    <font>
      <b/>
      <sz val="8"/>
      <color rgb="FFD97B00"/>
      <name val="Aptos Narrow"/>
      <family val="2"/>
      <scheme val="minor"/>
    </font>
    <font>
      <b/>
      <i/>
      <sz val="10"/>
      <color rgb="FF0A1628"/>
      <name val="Aptos Narrow"/>
      <family val="2"/>
      <scheme val="minor"/>
    </font>
    <font>
      <b/>
      <i/>
      <sz val="11"/>
      <color rgb="FF666666"/>
      <name val="Aptos Narrow"/>
      <family val="2"/>
      <scheme val="minor"/>
    </font>
    <font>
      <i/>
      <sz val="9"/>
      <color rgb="FF888888"/>
      <name val="Aptos Narrow"/>
      <family val="2"/>
      <scheme val="minor"/>
    </font>
    <font>
      <b/>
      <sz val="11"/>
      <color theme="0"/>
      <name val="Aptos Narrow"/>
      <family val="2"/>
      <scheme val="minor"/>
    </font>
  </fonts>
  <fills count="26">
    <fill>
      <patternFill patternType="none"/>
    </fill>
    <fill>
      <patternFill patternType="gray125"/>
    </fill>
    <fill>
      <patternFill patternType="solid">
        <fgColor rgb="FF0A1628"/>
        <bgColor indexed="64"/>
      </patternFill>
    </fill>
    <fill>
      <patternFill patternType="solid">
        <fgColor rgb="FF1A3A5C"/>
        <bgColor indexed="64"/>
      </patternFill>
    </fill>
    <fill>
      <patternFill patternType="solid">
        <fgColor rgb="FFFFFFFF"/>
        <bgColor indexed="64"/>
      </patternFill>
    </fill>
    <fill>
      <patternFill patternType="solid">
        <fgColor rgb="FFF8F8F8"/>
        <bgColor indexed="64"/>
      </patternFill>
    </fill>
    <fill>
      <patternFill patternType="solid">
        <fgColor rgb="FFE8EDF5"/>
        <bgColor indexed="64"/>
      </patternFill>
    </fill>
    <fill>
      <patternFill patternType="solid">
        <fgColor rgb="FFFFFBEA"/>
        <bgColor indexed="64"/>
      </patternFill>
    </fill>
    <fill>
      <patternFill patternType="solid">
        <fgColor rgb="FF0A3A6E"/>
        <bgColor indexed="64"/>
      </patternFill>
    </fill>
    <fill>
      <patternFill patternType="solid">
        <fgColor rgb="FFEEF3FA"/>
        <bgColor indexed="64"/>
      </patternFill>
    </fill>
    <fill>
      <patternFill patternType="solid">
        <fgColor rgb="FFD0DCEA"/>
        <bgColor indexed="64"/>
      </patternFill>
    </fill>
    <fill>
      <patternFill patternType="solid">
        <fgColor rgb="FF1A3A18"/>
        <bgColor indexed="64"/>
      </patternFill>
    </fill>
    <fill>
      <patternFill patternType="solid">
        <fgColor rgb="FFEEF5EE"/>
        <bgColor indexed="64"/>
      </patternFill>
    </fill>
    <fill>
      <patternFill patternType="solid">
        <fgColor rgb="FFC0D4C0"/>
        <bgColor indexed="64"/>
      </patternFill>
    </fill>
    <fill>
      <patternFill patternType="solid">
        <fgColor rgb="FF5C2A00"/>
        <bgColor indexed="64"/>
      </patternFill>
    </fill>
    <fill>
      <patternFill patternType="solid">
        <fgColor rgb="FFFDF0E8"/>
        <bgColor indexed="64"/>
      </patternFill>
    </fill>
    <fill>
      <patternFill patternType="solid">
        <fgColor rgb="FFD4B89A"/>
        <bgColor indexed="64"/>
      </patternFill>
    </fill>
    <fill>
      <patternFill patternType="solid">
        <fgColor rgb="FFE8F5E9"/>
        <bgColor indexed="64"/>
      </patternFill>
    </fill>
    <fill>
      <patternFill patternType="solid">
        <fgColor rgb="FFFFFDE7"/>
        <bgColor indexed="64"/>
      </patternFill>
    </fill>
    <fill>
      <patternFill patternType="solid">
        <fgColor rgb="FFFFEBEE"/>
        <bgColor indexed="64"/>
      </patternFill>
    </fill>
    <fill>
      <patternFill patternType="solid">
        <fgColor rgb="FFFFF7D6"/>
        <bgColor indexed="64"/>
      </patternFill>
    </fill>
    <fill>
      <patternFill patternType="solid">
        <fgColor rgb="FFD4E8FF"/>
        <bgColor indexed="64"/>
      </patternFill>
    </fill>
    <fill>
      <patternFill patternType="solid">
        <fgColor rgb="FFD0E8FF"/>
        <bgColor indexed="64"/>
      </patternFill>
    </fill>
    <fill>
      <patternFill patternType="solid">
        <fgColor rgb="FFFFF8E1"/>
        <bgColor indexed="64"/>
      </patternFill>
    </fill>
    <fill>
      <patternFill patternType="solid">
        <fgColor rgb="FFF5F8FF"/>
        <bgColor indexed="64"/>
      </patternFill>
    </fill>
    <fill>
      <patternFill patternType="solid">
        <fgColor theme="0"/>
        <bgColor indexed="64"/>
      </patternFill>
    </fill>
  </fills>
  <borders count="82">
    <border>
      <left/>
      <right/>
      <top/>
      <bottom/>
      <diagonal/>
    </border>
    <border>
      <left/>
      <right/>
      <top style="thin">
        <color rgb="FFC8D0DC"/>
      </top>
      <bottom style="thin">
        <color rgb="FFC8D0DC"/>
      </bottom>
      <diagonal/>
    </border>
    <border>
      <left style="thin">
        <color rgb="FFC8D0DC"/>
      </left>
      <right style="thin">
        <color rgb="FFC8D0DC"/>
      </right>
      <top style="thin">
        <color rgb="FFC8D0DC"/>
      </top>
      <bottom style="thin">
        <color rgb="FFC8D0DC"/>
      </bottom>
      <diagonal/>
    </border>
    <border>
      <left/>
      <right style="thin">
        <color rgb="FFC8D0DC"/>
      </right>
      <top style="thin">
        <color rgb="FFC8D0DC"/>
      </top>
      <bottom style="thin">
        <color rgb="FFC8D0DC"/>
      </bottom>
      <diagonal/>
    </border>
    <border>
      <left style="thin">
        <color rgb="FF0A1628"/>
      </left>
      <right style="thin">
        <color rgb="FFC8D0DC"/>
      </right>
      <top style="thin">
        <color rgb="FFC8D0DC"/>
      </top>
      <bottom style="thin">
        <color rgb="FFC8D0DC"/>
      </bottom>
      <diagonal/>
    </border>
    <border>
      <left/>
      <right/>
      <top/>
      <bottom style="thin">
        <color rgb="FF0A1628"/>
      </bottom>
      <diagonal/>
    </border>
    <border>
      <left/>
      <right/>
      <top style="thin">
        <color rgb="FF0A1628"/>
      </top>
      <bottom/>
      <diagonal/>
    </border>
    <border>
      <left style="thin">
        <color rgb="FF0A1628"/>
      </left>
      <right style="thin">
        <color rgb="FFC8D0DC"/>
      </right>
      <top style="thin">
        <color rgb="FF0A1628"/>
      </top>
      <bottom style="thin">
        <color rgb="FFC8D0DC"/>
      </bottom>
      <diagonal/>
    </border>
    <border>
      <left style="thin">
        <color rgb="FFC8D0DC"/>
      </left>
      <right style="thin">
        <color rgb="FFC8D0DC"/>
      </right>
      <top style="thin">
        <color rgb="FF0A1628"/>
      </top>
      <bottom style="thin">
        <color rgb="FFC8D0DC"/>
      </bottom>
      <diagonal/>
    </border>
    <border>
      <left style="thin">
        <color rgb="FFC8D0DC"/>
      </left>
      <right style="thin">
        <color rgb="FF0A1628"/>
      </right>
      <top style="thin">
        <color rgb="FF0A1628"/>
      </top>
      <bottom style="thin">
        <color rgb="FFC8D0DC"/>
      </bottom>
      <diagonal/>
    </border>
    <border>
      <left style="thin">
        <color rgb="FFC8D0DC"/>
      </left>
      <right style="thin">
        <color rgb="FF0A1628"/>
      </right>
      <top style="thin">
        <color rgb="FFC8D0DC"/>
      </top>
      <bottom style="thin">
        <color rgb="FFC8D0DC"/>
      </bottom>
      <diagonal/>
    </border>
    <border>
      <left style="thin">
        <color rgb="FF0A1628"/>
      </left>
      <right style="thin">
        <color rgb="FFC8D0DC"/>
      </right>
      <top style="thin">
        <color rgb="FFC8D0DC"/>
      </top>
      <bottom style="thin">
        <color rgb="FF0A1628"/>
      </bottom>
      <diagonal/>
    </border>
    <border>
      <left style="thin">
        <color rgb="FFC8D0DC"/>
      </left>
      <right style="thin">
        <color rgb="FFC8D0DC"/>
      </right>
      <top style="thin">
        <color rgb="FFC8D0DC"/>
      </top>
      <bottom style="thin">
        <color rgb="FF0A1628"/>
      </bottom>
      <diagonal/>
    </border>
    <border>
      <left style="thin">
        <color rgb="FFC8D0DC"/>
      </left>
      <right style="thin">
        <color rgb="FF0A1628"/>
      </right>
      <top style="thin">
        <color rgb="FFC8D0DC"/>
      </top>
      <bottom style="thin">
        <color rgb="FF0A1628"/>
      </bottom>
      <diagonal/>
    </border>
    <border>
      <left/>
      <right style="thin">
        <color rgb="FFC8D0DC"/>
      </right>
      <top style="thin">
        <color rgb="FF0A1628"/>
      </top>
      <bottom style="thin">
        <color rgb="FFC8D0DC"/>
      </bottom>
      <diagonal/>
    </border>
    <border>
      <left/>
      <right style="thin">
        <color rgb="FFC8D0DC"/>
      </right>
      <top style="thin">
        <color rgb="FFC8D0DC"/>
      </top>
      <bottom style="thin">
        <color rgb="FF0A1628"/>
      </bottom>
      <diagonal/>
    </border>
    <border>
      <left style="thin">
        <color rgb="FF1A7A9C"/>
      </left>
      <right style="thin">
        <color rgb="FFC8D0DC"/>
      </right>
      <top style="thin">
        <color rgb="FF0A1628"/>
      </top>
      <bottom style="thin">
        <color rgb="FFC8D0DC"/>
      </bottom>
      <diagonal/>
    </border>
    <border>
      <left style="thin">
        <color rgb="FF1A7A9C"/>
      </left>
      <right style="thin">
        <color rgb="FFC8D0DC"/>
      </right>
      <top style="thin">
        <color rgb="FFC8D0DC"/>
      </top>
      <bottom style="thin">
        <color rgb="FFC8D0DC"/>
      </bottom>
      <diagonal/>
    </border>
    <border>
      <left style="thin">
        <color rgb="FF1A7A9C"/>
      </left>
      <right style="thin">
        <color rgb="FFC8D0DC"/>
      </right>
      <top style="thin">
        <color rgb="FFC8D0DC"/>
      </top>
      <bottom style="thin">
        <color rgb="FF0A1628"/>
      </bottom>
      <diagonal/>
    </border>
    <border>
      <left style="thin">
        <color rgb="FF0A1628"/>
      </left>
      <right style="thin">
        <color rgb="FFC8D0DC"/>
      </right>
      <top style="thin">
        <color rgb="FF0A1628"/>
      </top>
      <bottom/>
      <diagonal/>
    </border>
    <border>
      <left style="thin">
        <color rgb="FF0A3A6E"/>
      </left>
      <right/>
      <top style="thin">
        <color rgb="FF0A3A6E"/>
      </top>
      <bottom style="thin">
        <color rgb="FFC8D0DC"/>
      </bottom>
      <diagonal/>
    </border>
    <border>
      <left/>
      <right/>
      <top style="thin">
        <color rgb="FF0A3A6E"/>
      </top>
      <bottom style="thin">
        <color rgb="FFC8D0DC"/>
      </bottom>
      <diagonal/>
    </border>
    <border>
      <left/>
      <right style="thin">
        <color rgb="FF0A3A6E"/>
      </right>
      <top style="thin">
        <color rgb="FF0A3A6E"/>
      </top>
      <bottom style="thin">
        <color rgb="FFC8D0DC"/>
      </bottom>
      <diagonal/>
    </border>
    <border>
      <left style="thin">
        <color rgb="FF0A3A6E"/>
      </left>
      <right/>
      <top style="thin">
        <color rgb="FFC8D0DC"/>
      </top>
      <bottom style="thin">
        <color rgb="FFC8D0DC"/>
      </bottom>
      <diagonal/>
    </border>
    <border>
      <left/>
      <right style="thin">
        <color rgb="FF0A3A6E"/>
      </right>
      <top style="thin">
        <color rgb="FFC8D0DC"/>
      </top>
      <bottom style="thin">
        <color rgb="FFC8D0DC"/>
      </bottom>
      <diagonal/>
    </border>
    <border>
      <left style="thin">
        <color rgb="FF0A3A6E"/>
      </left>
      <right/>
      <top style="thin">
        <color rgb="FFC8D0DC"/>
      </top>
      <bottom style="thin">
        <color rgb="FF0A3A6E"/>
      </bottom>
      <diagonal/>
    </border>
    <border>
      <left/>
      <right/>
      <top style="thin">
        <color rgb="FFC8D0DC"/>
      </top>
      <bottom style="thin">
        <color rgb="FF0A3A6E"/>
      </bottom>
      <diagonal/>
    </border>
    <border>
      <left/>
      <right style="thin">
        <color rgb="FF0A3A6E"/>
      </right>
      <top style="thin">
        <color rgb="FFC8D0DC"/>
      </top>
      <bottom style="thin">
        <color rgb="FF0A3A6E"/>
      </bottom>
      <diagonal/>
    </border>
    <border>
      <left style="thin">
        <color rgb="FF0A3A6E"/>
      </left>
      <right style="thin">
        <color rgb="FFC8D0DC"/>
      </right>
      <top style="thin">
        <color rgb="FF0A3A6E"/>
      </top>
      <bottom style="thin">
        <color rgb="FFC8D0DC"/>
      </bottom>
      <diagonal/>
    </border>
    <border>
      <left style="thin">
        <color rgb="FFC8D0DC"/>
      </left>
      <right style="thin">
        <color rgb="FFC8D0DC"/>
      </right>
      <top style="thin">
        <color rgb="FF0A3A6E"/>
      </top>
      <bottom style="thin">
        <color rgb="FFC8D0DC"/>
      </bottom>
      <diagonal/>
    </border>
    <border>
      <left style="thin">
        <color rgb="FFC8D0DC"/>
      </left>
      <right style="thin">
        <color rgb="FF0A3A6E"/>
      </right>
      <top style="thin">
        <color rgb="FF0A3A6E"/>
      </top>
      <bottom style="thin">
        <color rgb="FFC8D0DC"/>
      </bottom>
      <diagonal/>
    </border>
    <border>
      <left style="thin">
        <color rgb="FF0A3A6E"/>
      </left>
      <right style="thin">
        <color rgb="FFC8D0DC"/>
      </right>
      <top style="thin">
        <color rgb="FFC8D0DC"/>
      </top>
      <bottom style="thin">
        <color rgb="FFC8D0DC"/>
      </bottom>
      <diagonal/>
    </border>
    <border>
      <left style="thin">
        <color rgb="FFC8D0DC"/>
      </left>
      <right style="thin">
        <color rgb="FF0A3A6E"/>
      </right>
      <top style="thin">
        <color rgb="FFC8D0DC"/>
      </top>
      <bottom style="thin">
        <color rgb="FFC8D0DC"/>
      </bottom>
      <diagonal/>
    </border>
    <border>
      <left style="thin">
        <color rgb="FF0A3A6E"/>
      </left>
      <right style="thin">
        <color rgb="FFC8D0DC"/>
      </right>
      <top style="thin">
        <color rgb="FFC8D0DC"/>
      </top>
      <bottom style="thin">
        <color rgb="FF0A3A6E"/>
      </bottom>
      <diagonal/>
    </border>
    <border>
      <left style="thin">
        <color rgb="FFC8D0DC"/>
      </left>
      <right style="thin">
        <color rgb="FFC8D0DC"/>
      </right>
      <top style="thin">
        <color rgb="FFC8D0DC"/>
      </top>
      <bottom style="thin">
        <color rgb="FF0A3A6E"/>
      </bottom>
      <diagonal/>
    </border>
    <border>
      <left style="thin">
        <color rgb="FFC8D0DC"/>
      </left>
      <right style="thin">
        <color rgb="FF0A3A6E"/>
      </right>
      <top style="thin">
        <color rgb="FFC8D0DC"/>
      </top>
      <bottom style="thin">
        <color rgb="FF0A3A6E"/>
      </bottom>
      <diagonal/>
    </border>
    <border>
      <left style="thin">
        <color rgb="FF1A3A18"/>
      </left>
      <right/>
      <top style="thin">
        <color rgb="FF1A3A18"/>
      </top>
      <bottom style="thin">
        <color rgb="FFC8D0DC"/>
      </bottom>
      <diagonal/>
    </border>
    <border>
      <left/>
      <right/>
      <top style="thin">
        <color rgb="FF1A3A18"/>
      </top>
      <bottom style="thin">
        <color rgb="FFC8D0DC"/>
      </bottom>
      <diagonal/>
    </border>
    <border>
      <left/>
      <right style="thin">
        <color rgb="FF1A3A18"/>
      </right>
      <top style="thin">
        <color rgb="FF1A3A18"/>
      </top>
      <bottom style="thin">
        <color rgb="FFC8D0DC"/>
      </bottom>
      <diagonal/>
    </border>
    <border>
      <left style="thin">
        <color rgb="FF1A3A18"/>
      </left>
      <right/>
      <top style="thin">
        <color rgb="FFC8D0DC"/>
      </top>
      <bottom style="thin">
        <color rgb="FFC8D0DC"/>
      </bottom>
      <diagonal/>
    </border>
    <border>
      <left/>
      <right style="thin">
        <color rgb="FF1A3A18"/>
      </right>
      <top style="thin">
        <color rgb="FFC8D0DC"/>
      </top>
      <bottom style="thin">
        <color rgb="FFC8D0DC"/>
      </bottom>
      <diagonal/>
    </border>
    <border>
      <left style="thin">
        <color rgb="FF1A3A18"/>
      </left>
      <right/>
      <top style="thin">
        <color rgb="FFC8D0DC"/>
      </top>
      <bottom style="thin">
        <color rgb="FF1A3A18"/>
      </bottom>
      <diagonal/>
    </border>
    <border>
      <left/>
      <right/>
      <top style="thin">
        <color rgb="FFC8D0DC"/>
      </top>
      <bottom style="thin">
        <color rgb="FF1A3A18"/>
      </bottom>
      <diagonal/>
    </border>
    <border>
      <left/>
      <right style="thin">
        <color rgb="FF1A3A18"/>
      </right>
      <top style="thin">
        <color rgb="FFC8D0DC"/>
      </top>
      <bottom style="thin">
        <color rgb="FF1A3A18"/>
      </bottom>
      <diagonal/>
    </border>
    <border>
      <left style="thin">
        <color rgb="FF1A3A18"/>
      </left>
      <right style="thin">
        <color rgb="FFC8D0DC"/>
      </right>
      <top style="thin">
        <color rgb="FF1A3A18"/>
      </top>
      <bottom style="thin">
        <color rgb="FFC8D0DC"/>
      </bottom>
      <diagonal/>
    </border>
    <border>
      <left style="thin">
        <color rgb="FFC8D0DC"/>
      </left>
      <right style="thin">
        <color rgb="FFC8D0DC"/>
      </right>
      <top style="thin">
        <color rgb="FF1A3A18"/>
      </top>
      <bottom style="thin">
        <color rgb="FFC8D0DC"/>
      </bottom>
      <diagonal/>
    </border>
    <border>
      <left style="thin">
        <color rgb="FFC8D0DC"/>
      </left>
      <right style="thin">
        <color rgb="FF1A3A18"/>
      </right>
      <top style="thin">
        <color rgb="FF1A3A18"/>
      </top>
      <bottom style="thin">
        <color rgb="FFC8D0DC"/>
      </bottom>
      <diagonal/>
    </border>
    <border>
      <left style="thin">
        <color rgb="FF1A3A18"/>
      </left>
      <right style="thin">
        <color rgb="FFC8D0DC"/>
      </right>
      <top style="thin">
        <color rgb="FFC8D0DC"/>
      </top>
      <bottom style="thin">
        <color rgb="FFC8D0DC"/>
      </bottom>
      <diagonal/>
    </border>
    <border>
      <left style="thin">
        <color rgb="FFC8D0DC"/>
      </left>
      <right style="thin">
        <color rgb="FF1A3A18"/>
      </right>
      <top style="thin">
        <color rgb="FFC8D0DC"/>
      </top>
      <bottom style="thin">
        <color rgb="FFC8D0DC"/>
      </bottom>
      <diagonal/>
    </border>
    <border>
      <left style="thin">
        <color rgb="FF1A3A18"/>
      </left>
      <right style="thin">
        <color rgb="FFC8D0DC"/>
      </right>
      <top style="thin">
        <color rgb="FFC8D0DC"/>
      </top>
      <bottom style="thin">
        <color rgb="FF1A3A18"/>
      </bottom>
      <diagonal/>
    </border>
    <border>
      <left style="thin">
        <color rgb="FFC8D0DC"/>
      </left>
      <right style="thin">
        <color rgb="FFC8D0DC"/>
      </right>
      <top style="thin">
        <color rgb="FFC8D0DC"/>
      </top>
      <bottom style="thin">
        <color rgb="FF1A3A18"/>
      </bottom>
      <diagonal/>
    </border>
    <border>
      <left style="thin">
        <color rgb="FFC8D0DC"/>
      </left>
      <right style="thin">
        <color rgb="FF1A3A18"/>
      </right>
      <top style="thin">
        <color rgb="FFC8D0DC"/>
      </top>
      <bottom style="thin">
        <color rgb="FF1A3A18"/>
      </bottom>
      <diagonal/>
    </border>
    <border>
      <left style="thin">
        <color rgb="FF5C2A00"/>
      </left>
      <right/>
      <top style="thin">
        <color rgb="FF5C2A00"/>
      </top>
      <bottom style="thin">
        <color rgb="FFC8D0DC"/>
      </bottom>
      <diagonal/>
    </border>
    <border>
      <left/>
      <right/>
      <top style="thin">
        <color rgb="FF5C2A00"/>
      </top>
      <bottom style="thin">
        <color rgb="FFC8D0DC"/>
      </bottom>
      <diagonal/>
    </border>
    <border>
      <left/>
      <right style="thin">
        <color rgb="FF5C2A00"/>
      </right>
      <top style="thin">
        <color rgb="FF5C2A00"/>
      </top>
      <bottom style="thin">
        <color rgb="FFC8D0DC"/>
      </bottom>
      <diagonal/>
    </border>
    <border>
      <left style="thin">
        <color rgb="FF5C2A00"/>
      </left>
      <right/>
      <top style="thin">
        <color rgb="FFC8D0DC"/>
      </top>
      <bottom style="thin">
        <color rgb="FFC8D0DC"/>
      </bottom>
      <diagonal/>
    </border>
    <border>
      <left/>
      <right style="thin">
        <color rgb="FF5C2A00"/>
      </right>
      <top style="thin">
        <color rgb="FFC8D0DC"/>
      </top>
      <bottom style="thin">
        <color rgb="FFC8D0DC"/>
      </bottom>
      <diagonal/>
    </border>
    <border>
      <left style="thin">
        <color rgb="FF5C2A00"/>
      </left>
      <right/>
      <top style="thin">
        <color rgb="FFC8D0DC"/>
      </top>
      <bottom style="thin">
        <color rgb="FF5C2A00"/>
      </bottom>
      <diagonal/>
    </border>
    <border>
      <left/>
      <right/>
      <top style="thin">
        <color rgb="FFC8D0DC"/>
      </top>
      <bottom style="thin">
        <color rgb="FF5C2A00"/>
      </bottom>
      <diagonal/>
    </border>
    <border>
      <left/>
      <right style="thin">
        <color rgb="FF5C2A00"/>
      </right>
      <top style="thin">
        <color rgb="FFC8D0DC"/>
      </top>
      <bottom style="thin">
        <color rgb="FF5C2A00"/>
      </bottom>
      <diagonal/>
    </border>
    <border>
      <left style="thin">
        <color rgb="FF5C2A00"/>
      </left>
      <right style="thin">
        <color rgb="FFC8D0DC"/>
      </right>
      <top style="thin">
        <color rgb="FF5C2A00"/>
      </top>
      <bottom style="thin">
        <color rgb="FFC8D0DC"/>
      </bottom>
      <diagonal/>
    </border>
    <border>
      <left style="thin">
        <color rgb="FFC8D0DC"/>
      </left>
      <right style="thin">
        <color rgb="FFC8D0DC"/>
      </right>
      <top style="thin">
        <color rgb="FF5C2A00"/>
      </top>
      <bottom style="thin">
        <color rgb="FFC8D0DC"/>
      </bottom>
      <diagonal/>
    </border>
    <border>
      <left style="thin">
        <color rgb="FFC8D0DC"/>
      </left>
      <right style="thin">
        <color rgb="FF5C2A00"/>
      </right>
      <top style="thin">
        <color rgb="FF5C2A00"/>
      </top>
      <bottom style="thin">
        <color rgb="FFC8D0DC"/>
      </bottom>
      <diagonal/>
    </border>
    <border>
      <left style="thin">
        <color rgb="FF5C2A00"/>
      </left>
      <right style="thin">
        <color rgb="FFC8D0DC"/>
      </right>
      <top style="thin">
        <color rgb="FFC8D0DC"/>
      </top>
      <bottom style="thin">
        <color rgb="FFC8D0DC"/>
      </bottom>
      <diagonal/>
    </border>
    <border>
      <left style="thin">
        <color rgb="FFC8D0DC"/>
      </left>
      <right style="thin">
        <color rgb="FF5C2A00"/>
      </right>
      <top style="thin">
        <color rgb="FFC8D0DC"/>
      </top>
      <bottom style="thin">
        <color rgb="FFC8D0DC"/>
      </bottom>
      <diagonal/>
    </border>
    <border>
      <left style="thin">
        <color rgb="FF5C2A00"/>
      </left>
      <right style="thin">
        <color rgb="FFC8D0DC"/>
      </right>
      <top style="thin">
        <color rgb="FFC8D0DC"/>
      </top>
      <bottom style="thin">
        <color rgb="FF5C2A00"/>
      </bottom>
      <diagonal/>
    </border>
    <border>
      <left style="thin">
        <color rgb="FFC8D0DC"/>
      </left>
      <right style="thin">
        <color rgb="FFC8D0DC"/>
      </right>
      <top style="thin">
        <color rgb="FFC8D0DC"/>
      </top>
      <bottom style="thin">
        <color rgb="FF5C2A00"/>
      </bottom>
      <diagonal/>
    </border>
    <border>
      <left style="thin">
        <color rgb="FFC8D0DC"/>
      </left>
      <right style="thin">
        <color rgb="FF5C2A00"/>
      </right>
      <top style="thin">
        <color rgb="FFC8D0DC"/>
      </top>
      <bottom style="thin">
        <color rgb="FF5C2A00"/>
      </bottom>
      <diagonal/>
    </border>
    <border>
      <left style="thin">
        <color rgb="FFC8D0DC"/>
      </left>
      <right style="thin">
        <color rgb="FFC8D0DC"/>
      </right>
      <top style="thin">
        <color rgb="FF0A1628"/>
      </top>
      <bottom/>
      <diagonal/>
    </border>
    <border>
      <left style="thin">
        <color rgb="FFC8D0DC"/>
      </left>
      <right style="thin">
        <color rgb="FF0A1628"/>
      </right>
      <top style="thin">
        <color rgb="FF0A1628"/>
      </top>
      <bottom/>
      <diagonal/>
    </border>
    <border>
      <left style="thin">
        <color rgb="FF0A1628"/>
      </left>
      <right style="thin">
        <color rgb="FFC8D0DC"/>
      </right>
      <top/>
      <bottom/>
      <diagonal/>
    </border>
    <border>
      <left style="thin">
        <color rgb="FFC8D0DC"/>
      </left>
      <right style="thin">
        <color rgb="FFC8D0DC"/>
      </right>
      <top/>
      <bottom/>
      <diagonal/>
    </border>
    <border>
      <left style="thin">
        <color rgb="FFC8D0DC"/>
      </left>
      <right style="thin">
        <color rgb="FF0A1628"/>
      </right>
      <top/>
      <bottom/>
      <diagonal/>
    </border>
    <border>
      <left style="thin">
        <color rgb="FF0A1628"/>
      </left>
      <right style="thin">
        <color rgb="FFC8D0DC"/>
      </right>
      <top/>
      <bottom style="thin">
        <color rgb="FF0A1628"/>
      </bottom>
      <diagonal/>
    </border>
    <border>
      <left style="thin">
        <color rgb="FFC8D0DC"/>
      </left>
      <right style="thin">
        <color rgb="FFC8D0DC"/>
      </right>
      <top/>
      <bottom style="thin">
        <color rgb="FF0A1628"/>
      </bottom>
      <diagonal/>
    </border>
    <border>
      <left style="thin">
        <color rgb="FFC8D0DC"/>
      </left>
      <right style="thin">
        <color rgb="FF0A1628"/>
      </right>
      <top/>
      <bottom style="thin">
        <color rgb="FF0A1628"/>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89">
    <xf numFmtId="0" fontId="0" fillId="0" borderId="0" xfId="0"/>
    <xf numFmtId="0" fontId="3" fillId="2" borderId="0" xfId="0" applyFont="1" applyFill="1" applyAlignment="1">
      <alignment horizontal="center" vertical="center"/>
    </xf>
    <xf numFmtId="0" fontId="4" fillId="3" borderId="0" xfId="0" applyFont="1" applyFill="1" applyAlignment="1">
      <alignment horizontal="center" vertical="center"/>
    </xf>
    <xf numFmtId="0" fontId="6" fillId="2" borderId="0" xfId="0" applyFont="1" applyFill="1" applyAlignment="1">
      <alignment vertical="center"/>
    </xf>
    <xf numFmtId="0" fontId="0" fillId="3" borderId="0" xfId="0" applyFill="1"/>
    <xf numFmtId="0" fontId="0" fillId="4" borderId="0" xfId="0" applyFill="1"/>
    <xf numFmtId="0" fontId="7" fillId="4" borderId="2" xfId="0" applyFont="1" applyFill="1" applyBorder="1" applyAlignment="1">
      <alignment vertical="top" wrapText="1"/>
    </xf>
    <xf numFmtId="0" fontId="7" fillId="5" borderId="2" xfId="0" applyFont="1" applyFill="1" applyBorder="1" applyAlignment="1">
      <alignment vertical="top" wrapText="1"/>
    </xf>
    <xf numFmtId="0" fontId="0" fillId="6" borderId="0" xfId="0" applyFill="1"/>
    <xf numFmtId="0" fontId="10" fillId="2" borderId="0" xfId="0" applyFont="1" applyFill="1" applyAlignment="1">
      <alignment vertical="center"/>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2" borderId="0" xfId="0" applyFont="1" applyFill="1" applyAlignment="1">
      <alignment vertical="center"/>
    </xf>
    <xf numFmtId="0" fontId="16" fillId="2" borderId="0" xfId="0" applyFont="1" applyFill="1" applyAlignment="1">
      <alignment horizontal="center" vertical="center"/>
    </xf>
    <xf numFmtId="0" fontId="17" fillId="3" borderId="0" xfId="0" applyFont="1" applyFill="1" applyAlignment="1">
      <alignment horizontal="center" vertical="center"/>
    </xf>
    <xf numFmtId="0" fontId="0" fillId="2" borderId="0" xfId="0" applyFill="1"/>
    <xf numFmtId="0" fontId="8" fillId="3" borderId="0" xfId="0" applyFont="1" applyFill="1" applyAlignment="1">
      <alignment horizontal="left" vertical="top" wrapText="1" indent="1"/>
    </xf>
    <xf numFmtId="0" fontId="19" fillId="4" borderId="0" xfId="0" applyFont="1" applyFill="1" applyAlignment="1">
      <alignment vertical="top" wrapText="1"/>
    </xf>
    <xf numFmtId="0" fontId="19" fillId="4" borderId="0" xfId="0" applyFont="1" applyFill="1" applyAlignment="1">
      <alignment vertical="top" wrapText="1" indent="1"/>
    </xf>
    <xf numFmtId="0" fontId="20" fillId="4" borderId="4" xfId="0" applyFont="1" applyFill="1" applyBorder="1" applyAlignment="1">
      <alignment vertical="top" wrapText="1" indent="1"/>
    </xf>
    <xf numFmtId="0" fontId="20" fillId="5" borderId="4" xfId="0" applyFont="1" applyFill="1" applyBorder="1" applyAlignment="1">
      <alignment vertical="top" wrapText="1" indent="1"/>
    </xf>
    <xf numFmtId="0" fontId="6" fillId="2" borderId="0" xfId="0" applyFont="1" applyFill="1" applyBorder="1" applyAlignment="1">
      <alignment vertical="center"/>
    </xf>
    <xf numFmtId="0" fontId="20" fillId="4" borderId="11" xfId="0" applyFont="1" applyFill="1" applyBorder="1" applyAlignment="1">
      <alignment vertical="top" wrapText="1" indent="1"/>
    </xf>
    <xf numFmtId="0" fontId="7" fillId="4" borderId="8" xfId="0" applyFont="1" applyFill="1" applyBorder="1" applyAlignment="1">
      <alignment vertical="top" wrapText="1"/>
    </xf>
    <xf numFmtId="0" fontId="7" fillId="4" borderId="9" xfId="0" applyFont="1" applyFill="1" applyBorder="1" applyAlignment="1">
      <alignment vertical="top" wrapText="1"/>
    </xf>
    <xf numFmtId="0" fontId="7" fillId="5" borderId="10" xfId="0" applyFont="1" applyFill="1" applyBorder="1" applyAlignment="1">
      <alignment vertical="top" wrapText="1"/>
    </xf>
    <xf numFmtId="0" fontId="7" fillId="4" borderId="10" xfId="0" applyFont="1" applyFill="1" applyBorder="1" applyAlignment="1">
      <alignment vertical="top" wrapText="1"/>
    </xf>
    <xf numFmtId="0" fontId="7" fillId="4" borderId="12" xfId="0" applyFont="1" applyFill="1" applyBorder="1" applyAlignment="1">
      <alignment vertical="top" wrapText="1"/>
    </xf>
    <xf numFmtId="0" fontId="7" fillId="4" borderId="13" xfId="0" applyFont="1" applyFill="1" applyBorder="1" applyAlignment="1">
      <alignment vertical="top" wrapText="1"/>
    </xf>
    <xf numFmtId="0" fontId="8" fillId="3" borderId="8" xfId="0" applyFont="1" applyFill="1" applyBorder="1" applyAlignment="1">
      <alignment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9" fontId="9" fillId="4" borderId="2" xfId="0" applyNumberFormat="1" applyFont="1" applyFill="1" applyBorder="1" applyAlignment="1">
      <alignment horizontal="center" vertical="center"/>
    </xf>
    <xf numFmtId="0" fontId="23" fillId="4" borderId="10" xfId="0" applyFont="1" applyFill="1" applyBorder="1" applyAlignment="1">
      <alignment horizontal="center" vertical="center"/>
    </xf>
    <xf numFmtId="9" fontId="9" fillId="5" borderId="2" xfId="0" applyNumberFormat="1" applyFont="1" applyFill="1" applyBorder="1" applyAlignment="1">
      <alignment horizontal="center" vertical="center"/>
    </xf>
    <xf numFmtId="0" fontId="23" fillId="5" borderId="10" xfId="0" applyFont="1" applyFill="1" applyBorder="1" applyAlignment="1">
      <alignment horizontal="center" vertical="center"/>
    </xf>
    <xf numFmtId="9" fontId="9" fillId="4" borderId="12" xfId="0" applyNumberFormat="1" applyFont="1" applyFill="1" applyBorder="1" applyAlignment="1">
      <alignment horizontal="center" vertical="center"/>
    </xf>
    <xf numFmtId="0" fontId="23" fillId="4" borderId="13" xfId="0" applyFont="1" applyFill="1" applyBorder="1" applyAlignment="1">
      <alignment horizontal="center" vertical="center"/>
    </xf>
    <xf numFmtId="0" fontId="21" fillId="4" borderId="14" xfId="0" applyFont="1" applyFill="1" applyBorder="1" applyAlignment="1">
      <alignment vertical="top" wrapText="1" indent="1"/>
    </xf>
    <xf numFmtId="0" fontId="21" fillId="5" borderId="3" xfId="0" applyFont="1" applyFill="1" applyBorder="1" applyAlignment="1">
      <alignment vertical="top" wrapText="1" indent="1"/>
    </xf>
    <xf numFmtId="0" fontId="21" fillId="4" borderId="3" xfId="0" applyFont="1" applyFill="1" applyBorder="1" applyAlignment="1">
      <alignment vertical="top" wrapText="1" indent="1"/>
    </xf>
    <xf numFmtId="0" fontId="21" fillId="4" borderId="15" xfId="0" applyFont="1" applyFill="1" applyBorder="1" applyAlignment="1">
      <alignment vertical="top" wrapText="1" indent="1"/>
    </xf>
    <xf numFmtId="0" fontId="20" fillId="4" borderId="16" xfId="0" applyFont="1" applyFill="1" applyBorder="1" applyAlignment="1">
      <alignment vertical="top" wrapText="1" indent="1"/>
    </xf>
    <xf numFmtId="0" fontId="20" fillId="5" borderId="17" xfId="0" applyFont="1" applyFill="1" applyBorder="1" applyAlignment="1">
      <alignment vertical="top" wrapText="1" indent="1"/>
    </xf>
    <xf numFmtId="0" fontId="20" fillId="4" borderId="17" xfId="0" applyFont="1" applyFill="1" applyBorder="1" applyAlignment="1">
      <alignment vertical="top" wrapText="1" indent="1"/>
    </xf>
    <xf numFmtId="0" fontId="20" fillId="4" borderId="18" xfId="0" applyFont="1" applyFill="1" applyBorder="1" applyAlignment="1">
      <alignment vertical="top" wrapText="1" indent="1"/>
    </xf>
    <xf numFmtId="0" fontId="21" fillId="4" borderId="3" xfId="0" applyFont="1" applyFill="1" applyBorder="1" applyAlignment="1">
      <alignment vertical="center" wrapText="1"/>
    </xf>
    <xf numFmtId="0" fontId="21" fillId="5" borderId="3" xfId="0" applyFont="1" applyFill="1" applyBorder="1" applyAlignment="1">
      <alignment vertical="center" wrapText="1"/>
    </xf>
    <xf numFmtId="0" fontId="21" fillId="4" borderId="15" xfId="0" applyFont="1" applyFill="1" applyBorder="1" applyAlignment="1">
      <alignment vertical="center" wrapText="1"/>
    </xf>
    <xf numFmtId="0" fontId="8" fillId="3" borderId="19" xfId="0" applyFont="1" applyFill="1" applyBorder="1" applyAlignment="1">
      <alignment vertical="center"/>
    </xf>
    <xf numFmtId="0" fontId="20" fillId="4" borderId="17" xfId="0" applyFont="1" applyFill="1" applyBorder="1" applyAlignment="1">
      <alignment vertical="center" wrapText="1" indent="1"/>
    </xf>
    <xf numFmtId="0" fontId="20" fillId="5" borderId="17" xfId="0" applyFont="1" applyFill="1" applyBorder="1" applyAlignment="1">
      <alignment vertical="center" wrapText="1" indent="1"/>
    </xf>
    <xf numFmtId="0" fontId="20" fillId="4" borderId="18" xfId="0" applyFont="1" applyFill="1" applyBorder="1" applyAlignment="1">
      <alignment vertical="center" wrapText="1" indent="1"/>
    </xf>
    <xf numFmtId="0" fontId="24" fillId="4" borderId="5" xfId="0" applyFont="1" applyFill="1" applyBorder="1" applyAlignment="1">
      <alignment vertical="center"/>
    </xf>
    <xf numFmtId="0" fontId="12" fillId="4" borderId="6" xfId="0" applyFont="1" applyFill="1" applyBorder="1" applyAlignment="1">
      <alignment vertical="center"/>
    </xf>
    <xf numFmtId="0" fontId="20" fillId="4" borderId="4" xfId="0" applyFont="1" applyFill="1" applyBorder="1" applyAlignment="1">
      <alignment vertical="center" indent="1"/>
    </xf>
    <xf numFmtId="0" fontId="26" fillId="4" borderId="2" xfId="0" applyFont="1" applyFill="1" applyBorder="1" applyAlignment="1">
      <alignment horizontal="center" vertical="center"/>
    </xf>
    <xf numFmtId="9" fontId="27" fillId="4" borderId="2" xfId="0" applyNumberFormat="1" applyFont="1" applyFill="1" applyBorder="1" applyAlignment="1">
      <alignment horizontal="center" vertical="center"/>
    </xf>
    <xf numFmtId="2" fontId="22" fillId="4" borderId="10" xfId="0" applyNumberFormat="1" applyFont="1" applyFill="1" applyBorder="1" applyAlignment="1">
      <alignment horizontal="center" vertical="center"/>
    </xf>
    <xf numFmtId="0" fontId="20" fillId="5" borderId="4" xfId="0" applyFont="1" applyFill="1" applyBorder="1" applyAlignment="1">
      <alignment vertical="center" indent="1"/>
    </xf>
    <xf numFmtId="0" fontId="26" fillId="5" borderId="2" xfId="0" applyFont="1" applyFill="1" applyBorder="1" applyAlignment="1">
      <alignment horizontal="center" vertical="center"/>
    </xf>
    <xf numFmtId="9" fontId="27" fillId="5" borderId="2" xfId="0" applyNumberFormat="1" applyFont="1" applyFill="1" applyBorder="1" applyAlignment="1">
      <alignment horizontal="center" vertical="center"/>
    </xf>
    <xf numFmtId="2" fontId="22" fillId="5" borderId="10" xfId="0" applyNumberFormat="1" applyFont="1" applyFill="1" applyBorder="1" applyAlignment="1">
      <alignment horizontal="center" vertical="center"/>
    </xf>
    <xf numFmtId="0" fontId="20" fillId="4" borderId="11" xfId="0" applyFont="1" applyFill="1" applyBorder="1" applyAlignment="1">
      <alignment vertical="center" indent="1"/>
    </xf>
    <xf numFmtId="0" fontId="25" fillId="7" borderId="12" xfId="0" applyFont="1" applyFill="1" applyBorder="1" applyAlignment="1">
      <alignment horizontal="center" vertical="center"/>
    </xf>
    <xf numFmtId="0" fontId="26" fillId="4" borderId="12" xfId="0" applyFont="1" applyFill="1" applyBorder="1" applyAlignment="1">
      <alignment horizontal="center" vertical="center"/>
    </xf>
    <xf numFmtId="9" fontId="27" fillId="4" borderId="12" xfId="0" applyNumberFormat="1" applyFont="1" applyFill="1" applyBorder="1" applyAlignment="1">
      <alignment horizontal="center" vertical="center"/>
    </xf>
    <xf numFmtId="2" fontId="22" fillId="4" borderId="13" xfId="0" applyNumberFormat="1" applyFont="1" applyFill="1" applyBorder="1" applyAlignment="1">
      <alignment horizontal="center" vertical="center"/>
    </xf>
    <xf numFmtId="0" fontId="8" fillId="3" borderId="7" xfId="0" applyFont="1" applyFill="1" applyBorder="1" applyAlignment="1">
      <alignment indent="1"/>
    </xf>
    <xf numFmtId="0" fontId="8" fillId="3" borderId="8" xfId="0" applyFont="1" applyFill="1" applyBorder="1"/>
    <xf numFmtId="0" fontId="10" fillId="2" borderId="0" xfId="0" applyFont="1" applyFill="1" applyBorder="1" applyAlignment="1">
      <alignment vertical="center"/>
    </xf>
    <xf numFmtId="0" fontId="10" fillId="2" borderId="7" xfId="0" applyFont="1" applyFill="1" applyBorder="1" applyAlignment="1">
      <alignment vertical="center" indent="1"/>
    </xf>
    <xf numFmtId="0" fontId="10" fillId="2" borderId="8" xfId="0" applyFont="1" applyFill="1" applyBorder="1" applyAlignment="1">
      <alignment vertical="center"/>
    </xf>
    <xf numFmtId="2" fontId="28" fillId="3" borderId="8" xfId="0" applyNumberFormat="1" applyFont="1" applyFill="1" applyBorder="1" applyAlignment="1">
      <alignment horizontal="center" vertical="center"/>
    </xf>
    <xf numFmtId="2" fontId="28" fillId="3" borderId="9" xfId="0" applyNumberFormat="1" applyFont="1" applyFill="1" applyBorder="1" applyAlignment="1">
      <alignment horizontal="center" vertical="center"/>
    </xf>
    <xf numFmtId="0" fontId="10" fillId="3" borderId="11" xfId="0" applyFont="1" applyFill="1" applyBorder="1" applyAlignment="1">
      <alignment vertical="center" indent="1"/>
    </xf>
    <xf numFmtId="0" fontId="10" fillId="3" borderId="12" xfId="0" applyFont="1" applyFill="1" applyBorder="1" applyAlignment="1">
      <alignment vertical="center"/>
    </xf>
    <xf numFmtId="0" fontId="8" fillId="3" borderId="9" xfId="0" applyFont="1" applyFill="1" applyBorder="1"/>
    <xf numFmtId="0" fontId="29" fillId="4" borderId="2" xfId="0" applyFont="1" applyFill="1" applyBorder="1" applyAlignment="1">
      <alignment vertical="top" wrapText="1"/>
    </xf>
    <xf numFmtId="0" fontId="29" fillId="4" borderId="10" xfId="0" applyFont="1" applyFill="1" applyBorder="1" applyAlignment="1">
      <alignment vertical="top" wrapText="1"/>
    </xf>
    <xf numFmtId="0" fontId="29" fillId="5" borderId="2" xfId="0" applyFont="1" applyFill="1" applyBorder="1" applyAlignment="1">
      <alignment vertical="top" wrapText="1"/>
    </xf>
    <xf numFmtId="0" fontId="29" fillId="5" borderId="10" xfId="0" applyFont="1" applyFill="1" applyBorder="1" applyAlignment="1">
      <alignment vertical="top" wrapText="1"/>
    </xf>
    <xf numFmtId="0" fontId="29" fillId="4" borderId="12" xfId="0" applyFont="1" applyFill="1" applyBorder="1" applyAlignment="1">
      <alignment vertical="top" wrapText="1"/>
    </xf>
    <xf numFmtId="0" fontId="29" fillId="4" borderId="13" xfId="0" applyFont="1" applyFill="1" applyBorder="1" applyAlignment="1">
      <alignment vertical="top" wrapText="1"/>
    </xf>
    <xf numFmtId="0" fontId="8" fillId="3" borderId="19" xfId="0" applyFont="1" applyFill="1" applyBorder="1" applyAlignment="1">
      <alignment horizontal="left" vertical="center" wrapText="1" indent="1"/>
    </xf>
    <xf numFmtId="0" fontId="20" fillId="4" borderId="17" xfId="0" applyFont="1" applyFill="1" applyBorder="1" applyAlignment="1">
      <alignment vertical="center" indent="1"/>
    </xf>
    <xf numFmtId="0" fontId="20" fillId="5" borderId="17" xfId="0" applyFont="1" applyFill="1" applyBorder="1" applyAlignment="1">
      <alignment vertical="center" indent="1"/>
    </xf>
    <xf numFmtId="0" fontId="20" fillId="4" borderId="18" xfId="0" applyFont="1" applyFill="1" applyBorder="1" applyAlignment="1">
      <alignment vertical="center" indent="1"/>
    </xf>
    <xf numFmtId="0" fontId="8" fillId="2" borderId="7" xfId="0" applyFont="1" applyFill="1" applyBorder="1" applyAlignment="1">
      <alignment vertical="center"/>
    </xf>
    <xf numFmtId="0" fontId="8" fillId="2" borderId="8" xfId="0" applyFont="1" applyFill="1" applyBorder="1" applyAlignment="1">
      <alignment vertical="center"/>
    </xf>
    <xf numFmtId="0" fontId="8" fillId="2" borderId="9" xfId="0" applyFont="1" applyFill="1" applyBorder="1" applyAlignment="1">
      <alignment vertical="center"/>
    </xf>
    <xf numFmtId="164" fontId="25" fillId="7" borderId="12" xfId="0" applyNumberFormat="1" applyFont="1" applyFill="1" applyBorder="1" applyAlignment="1">
      <alignment horizontal="center" vertical="center"/>
    </xf>
    <xf numFmtId="0" fontId="14" fillId="4" borderId="12" xfId="0" applyFont="1" applyFill="1" applyBorder="1" applyAlignment="1">
      <alignment vertical="center"/>
    </xf>
    <xf numFmtId="0" fontId="14" fillId="4" borderId="13" xfId="0" applyFont="1" applyFill="1" applyBorder="1" applyAlignment="1">
      <alignment vertical="center"/>
    </xf>
    <xf numFmtId="0" fontId="31" fillId="4" borderId="2" xfId="0" applyFont="1" applyFill="1" applyBorder="1" applyAlignment="1">
      <alignment vertical="center"/>
    </xf>
    <xf numFmtId="0" fontId="31" fillId="5" borderId="2" xfId="0" applyFont="1" applyFill="1" applyBorder="1" applyAlignment="1">
      <alignment vertical="center"/>
    </xf>
    <xf numFmtId="0" fontId="31" fillId="4" borderId="12" xfId="0" applyFont="1" applyFill="1" applyBorder="1" applyAlignment="1">
      <alignment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32" fillId="2" borderId="0" xfId="0" applyFont="1" applyFill="1" applyAlignment="1">
      <alignment vertical="center"/>
    </xf>
    <xf numFmtId="0" fontId="12" fillId="0" borderId="0" xfId="0" applyFont="1" applyAlignment="1">
      <alignment vertical="center"/>
    </xf>
    <xf numFmtId="0" fontId="0" fillId="10" borderId="0" xfId="0" applyFill="1"/>
    <xf numFmtId="0" fontId="34" fillId="3" borderId="28" xfId="0" applyFont="1" applyFill="1" applyBorder="1" applyAlignment="1">
      <alignment horizontal="left" vertical="center" wrapText="1" indent="1"/>
    </xf>
    <xf numFmtId="0" fontId="34" fillId="3" borderId="29" xfId="0" applyFont="1" applyFill="1" applyBorder="1" applyAlignment="1">
      <alignment horizontal="center" vertical="center" wrapText="1"/>
    </xf>
    <xf numFmtId="0" fontId="34" fillId="3" borderId="30" xfId="0" applyFont="1" applyFill="1" applyBorder="1" applyAlignment="1">
      <alignment horizontal="center" vertical="center" wrapText="1"/>
    </xf>
    <xf numFmtId="0" fontId="27" fillId="4" borderId="31" xfId="0" applyFont="1" applyFill="1" applyBorder="1" applyAlignment="1">
      <alignment vertical="center" indent="1"/>
    </xf>
    <xf numFmtId="0" fontId="35" fillId="4" borderId="2" xfId="0" applyFont="1" applyFill="1" applyBorder="1" applyAlignment="1">
      <alignment horizontal="center" vertical="center"/>
    </xf>
    <xf numFmtId="0" fontId="29" fillId="4" borderId="2" xfId="0" applyFont="1" applyFill="1" applyBorder="1" applyAlignment="1">
      <alignment horizontal="center" vertical="center"/>
    </xf>
    <xf numFmtId="0" fontId="36" fillId="4" borderId="2" xfId="0" applyFont="1" applyFill="1" applyBorder="1" applyAlignment="1">
      <alignment horizontal="center" vertical="center" wrapText="1"/>
    </xf>
    <xf numFmtId="9" fontId="33" fillId="4" borderId="2" xfId="0" applyNumberFormat="1" applyFont="1" applyFill="1" applyBorder="1" applyAlignment="1">
      <alignment horizontal="center" vertical="center"/>
    </xf>
    <xf numFmtId="0" fontId="13" fillId="4" borderId="2" xfId="0" applyFont="1" applyFill="1" applyBorder="1" applyAlignment="1">
      <alignment horizontal="center" vertical="center"/>
    </xf>
    <xf numFmtId="0" fontId="37" fillId="7" borderId="2" xfId="0" applyFont="1" applyFill="1" applyBorder="1" applyAlignment="1">
      <alignment horizontal="center" vertical="center"/>
    </xf>
    <xf numFmtId="164" fontId="37" fillId="7" borderId="32" xfId="0" applyNumberFormat="1" applyFont="1" applyFill="1" applyBorder="1" applyAlignment="1">
      <alignment horizontal="center" vertical="center"/>
    </xf>
    <xf numFmtId="0" fontId="27" fillId="5" borderId="31" xfId="0" applyFont="1" applyFill="1" applyBorder="1" applyAlignment="1">
      <alignment vertical="center" indent="1"/>
    </xf>
    <xf numFmtId="0" fontId="35" fillId="5" borderId="2" xfId="0" applyFont="1" applyFill="1" applyBorder="1" applyAlignment="1">
      <alignment horizontal="center" vertical="center"/>
    </xf>
    <xf numFmtId="0" fontId="29" fillId="5" borderId="2" xfId="0" applyFont="1" applyFill="1" applyBorder="1" applyAlignment="1">
      <alignment horizontal="center" vertical="center"/>
    </xf>
    <xf numFmtId="0" fontId="36" fillId="5" borderId="2" xfId="0" applyFont="1" applyFill="1" applyBorder="1" applyAlignment="1">
      <alignment horizontal="center" vertical="center" wrapText="1"/>
    </xf>
    <xf numFmtId="9" fontId="33" fillId="5" borderId="2" xfId="0" applyNumberFormat="1" applyFont="1" applyFill="1" applyBorder="1" applyAlignment="1">
      <alignment horizontal="center" vertical="center"/>
    </xf>
    <xf numFmtId="0" fontId="13" fillId="5" borderId="2" xfId="0" applyFont="1" applyFill="1" applyBorder="1" applyAlignment="1">
      <alignment horizontal="center" vertical="center"/>
    </xf>
    <xf numFmtId="0" fontId="33" fillId="5" borderId="31" xfId="0" applyFont="1" applyFill="1" applyBorder="1" applyAlignment="1">
      <alignment vertical="center" indent="1"/>
    </xf>
    <xf numFmtId="0" fontId="33" fillId="4" borderId="31" xfId="0" applyFont="1" applyFill="1" applyBorder="1" applyAlignment="1">
      <alignment vertical="center" indent="1"/>
    </xf>
    <xf numFmtId="0" fontId="34" fillId="8" borderId="33" xfId="0" applyFont="1" applyFill="1" applyBorder="1" applyAlignment="1">
      <alignment vertical="center"/>
    </xf>
    <xf numFmtId="0" fontId="34" fillId="8" borderId="34" xfId="0" applyFont="1" applyFill="1" applyBorder="1" applyAlignment="1">
      <alignment vertical="center"/>
    </xf>
    <xf numFmtId="0" fontId="34" fillId="8" borderId="35" xfId="0" applyFont="1" applyFill="1" applyBorder="1" applyAlignment="1">
      <alignment vertical="center"/>
    </xf>
    <xf numFmtId="0" fontId="15" fillId="8" borderId="20" xfId="0" applyFont="1" applyFill="1" applyBorder="1" applyAlignment="1">
      <alignment vertical="center"/>
    </xf>
    <xf numFmtId="0" fontId="15" fillId="8" borderId="21" xfId="0" applyFont="1" applyFill="1" applyBorder="1" applyAlignment="1">
      <alignment vertical="center"/>
    </xf>
    <xf numFmtId="0" fontId="15" fillId="8" borderId="22" xfId="0" applyFont="1" applyFill="1" applyBorder="1" applyAlignment="1">
      <alignment vertical="center"/>
    </xf>
    <xf numFmtId="0" fontId="20" fillId="9" borderId="23" xfId="0" applyFont="1" applyFill="1" applyBorder="1" applyAlignment="1">
      <alignment vertical="top" wrapText="1"/>
    </xf>
    <xf numFmtId="0" fontId="21" fillId="9" borderId="1" xfId="0" applyFont="1" applyFill="1" applyBorder="1" applyAlignment="1">
      <alignment vertical="top" wrapText="1"/>
    </xf>
    <xf numFmtId="0" fontId="21" fillId="9" borderId="24" xfId="0" applyFont="1" applyFill="1" applyBorder="1" applyAlignment="1">
      <alignment vertical="top" wrapText="1"/>
    </xf>
    <xf numFmtId="0" fontId="20" fillId="4" borderId="23" xfId="0" applyFont="1" applyFill="1" applyBorder="1" applyAlignment="1">
      <alignment vertical="top" wrapText="1"/>
    </xf>
    <xf numFmtId="0" fontId="21" fillId="4" borderId="1" xfId="0" applyFont="1" applyFill="1" applyBorder="1" applyAlignment="1">
      <alignment vertical="top" wrapText="1"/>
    </xf>
    <xf numFmtId="0" fontId="21" fillId="4" borderId="24" xfId="0" applyFont="1" applyFill="1" applyBorder="1" applyAlignment="1">
      <alignment vertical="top" wrapText="1"/>
    </xf>
    <xf numFmtId="0" fontId="33" fillId="9" borderId="1" xfId="0" applyFont="1" applyFill="1" applyBorder="1" applyAlignment="1">
      <alignment vertical="top" wrapText="1"/>
    </xf>
    <xf numFmtId="0" fontId="33" fillId="9" borderId="24" xfId="0" applyFont="1" applyFill="1" applyBorder="1" applyAlignment="1">
      <alignment vertical="top" wrapText="1"/>
    </xf>
    <xf numFmtId="0" fontId="20" fillId="9" borderId="25" xfId="0" applyFont="1" applyFill="1" applyBorder="1" applyAlignment="1">
      <alignment vertical="top" wrapText="1"/>
    </xf>
    <xf numFmtId="0" fontId="21" fillId="9" borderId="26" xfId="0" applyFont="1" applyFill="1" applyBorder="1" applyAlignment="1">
      <alignment vertical="top" wrapText="1"/>
    </xf>
    <xf numFmtId="0" fontId="21" fillId="9" borderId="27" xfId="0" applyFont="1" applyFill="1" applyBorder="1" applyAlignment="1">
      <alignment vertical="top" wrapText="1"/>
    </xf>
    <xf numFmtId="0" fontId="0" fillId="13" borderId="0" xfId="0" applyFill="1"/>
    <xf numFmtId="0" fontId="34" fillId="3" borderId="44" xfId="0" applyFont="1" applyFill="1" applyBorder="1" applyAlignment="1">
      <alignment horizontal="left" vertical="center" wrapText="1" indent="1"/>
    </xf>
    <xf numFmtId="0" fontId="34" fillId="3" borderId="45" xfId="0" applyFont="1" applyFill="1" applyBorder="1" applyAlignment="1">
      <alignment horizontal="center" vertical="center" wrapText="1"/>
    </xf>
    <xf numFmtId="0" fontId="34" fillId="3" borderId="46" xfId="0" applyFont="1" applyFill="1" applyBorder="1" applyAlignment="1">
      <alignment horizontal="center" vertical="center" wrapText="1"/>
    </xf>
    <xf numFmtId="0" fontId="27" fillId="4" borderId="47" xfId="0" applyFont="1" applyFill="1" applyBorder="1" applyAlignment="1">
      <alignment vertical="center" indent="1"/>
    </xf>
    <xf numFmtId="9" fontId="38" fillId="4" borderId="2" xfId="0" applyNumberFormat="1" applyFont="1" applyFill="1" applyBorder="1" applyAlignment="1">
      <alignment horizontal="center" vertical="center"/>
    </xf>
    <xf numFmtId="164" fontId="37" fillId="7" borderId="48" xfId="0" applyNumberFormat="1" applyFont="1" applyFill="1" applyBorder="1" applyAlignment="1">
      <alignment horizontal="center" vertical="center"/>
    </xf>
    <xf numFmtId="0" fontId="27" fillId="5" borderId="47" xfId="0" applyFont="1" applyFill="1" applyBorder="1" applyAlignment="1">
      <alignment vertical="center" indent="1"/>
    </xf>
    <xf numFmtId="9" fontId="38" fillId="5" borderId="2" xfId="0" applyNumberFormat="1" applyFont="1" applyFill="1" applyBorder="1" applyAlignment="1">
      <alignment horizontal="center" vertical="center"/>
    </xf>
    <xf numFmtId="0" fontId="38" fillId="5" borderId="47" xfId="0" applyFont="1" applyFill="1" applyBorder="1" applyAlignment="1">
      <alignment vertical="center" indent="1"/>
    </xf>
    <xf numFmtId="0" fontId="38" fillId="4" borderId="47" xfId="0" applyFont="1" applyFill="1" applyBorder="1" applyAlignment="1">
      <alignment vertical="center" indent="1"/>
    </xf>
    <xf numFmtId="0" fontId="34" fillId="11" borderId="49" xfId="0" applyFont="1" applyFill="1" applyBorder="1" applyAlignment="1">
      <alignment vertical="center"/>
    </xf>
    <xf numFmtId="0" fontId="34" fillId="11" borderId="50" xfId="0" applyFont="1" applyFill="1" applyBorder="1" applyAlignment="1">
      <alignment vertical="center"/>
    </xf>
    <xf numFmtId="0" fontId="34" fillId="11" borderId="51" xfId="0" applyFont="1" applyFill="1" applyBorder="1" applyAlignment="1">
      <alignment vertical="center"/>
    </xf>
    <xf numFmtId="0" fontId="15" fillId="11" borderId="36" xfId="0" applyFont="1" applyFill="1" applyBorder="1" applyAlignment="1">
      <alignment vertical="center"/>
    </xf>
    <xf numFmtId="0" fontId="15" fillId="11" borderId="37" xfId="0" applyFont="1" applyFill="1" applyBorder="1" applyAlignment="1">
      <alignment vertical="center"/>
    </xf>
    <xf numFmtId="0" fontId="15" fillId="11" borderId="38" xfId="0" applyFont="1" applyFill="1" applyBorder="1" applyAlignment="1">
      <alignment vertical="center"/>
    </xf>
    <xf numFmtId="0" fontId="20" fillId="12" borderId="39" xfId="0" applyFont="1" applyFill="1" applyBorder="1" applyAlignment="1">
      <alignment vertical="top" wrapText="1"/>
    </xf>
    <xf numFmtId="0" fontId="21" fillId="12" borderId="1" xfId="0" applyFont="1" applyFill="1" applyBorder="1" applyAlignment="1">
      <alignment vertical="top" wrapText="1"/>
    </xf>
    <xf numFmtId="0" fontId="21" fillId="12" borderId="40" xfId="0" applyFont="1" applyFill="1" applyBorder="1" applyAlignment="1">
      <alignment vertical="top" wrapText="1"/>
    </xf>
    <xf numFmtId="0" fontId="20" fillId="4" borderId="39" xfId="0" applyFont="1" applyFill="1" applyBorder="1" applyAlignment="1">
      <alignment vertical="top" wrapText="1"/>
    </xf>
    <xf numFmtId="0" fontId="21" fillId="4" borderId="40" xfId="0" applyFont="1" applyFill="1" applyBorder="1" applyAlignment="1">
      <alignment vertical="top" wrapText="1"/>
    </xf>
    <xf numFmtId="0" fontId="38" fillId="12" borderId="1" xfId="0" applyFont="1" applyFill="1" applyBorder="1" applyAlignment="1">
      <alignment vertical="top" wrapText="1"/>
    </xf>
    <xf numFmtId="0" fontId="38" fillId="12" borderId="40" xfId="0" applyFont="1" applyFill="1" applyBorder="1" applyAlignment="1">
      <alignment vertical="top" wrapText="1"/>
    </xf>
    <xf numFmtId="0" fontId="20" fillId="12" borderId="41" xfId="0" applyFont="1" applyFill="1" applyBorder="1" applyAlignment="1">
      <alignment vertical="top" wrapText="1"/>
    </xf>
    <xf numFmtId="0" fontId="21" fillId="12" borderId="42" xfId="0" applyFont="1" applyFill="1" applyBorder="1" applyAlignment="1">
      <alignment vertical="top" wrapText="1"/>
    </xf>
    <xf numFmtId="0" fontId="21" fillId="12" borderId="43" xfId="0" applyFont="1" applyFill="1" applyBorder="1" applyAlignment="1">
      <alignment vertical="top" wrapText="1"/>
    </xf>
    <xf numFmtId="0" fontId="0" fillId="16" borderId="0" xfId="0" applyFill="1"/>
    <xf numFmtId="0" fontId="34" fillId="3" borderId="60" xfId="0" applyFont="1" applyFill="1" applyBorder="1" applyAlignment="1">
      <alignment horizontal="left" vertical="center" wrapText="1" indent="1"/>
    </xf>
    <xf numFmtId="0" fontId="34" fillId="3" borderId="61" xfId="0" applyFont="1" applyFill="1" applyBorder="1" applyAlignment="1">
      <alignment horizontal="center" vertical="center" wrapText="1"/>
    </xf>
    <xf numFmtId="0" fontId="34" fillId="3" borderId="62" xfId="0" applyFont="1" applyFill="1" applyBorder="1" applyAlignment="1">
      <alignment horizontal="center" vertical="center" wrapText="1"/>
    </xf>
    <xf numFmtId="0" fontId="27" fillId="4" borderId="63" xfId="0" applyFont="1" applyFill="1" applyBorder="1" applyAlignment="1">
      <alignment vertical="center" indent="1"/>
    </xf>
    <xf numFmtId="9" fontId="39" fillId="4" borderId="2" xfId="0" applyNumberFormat="1" applyFont="1" applyFill="1" applyBorder="1" applyAlignment="1">
      <alignment horizontal="center" vertical="center"/>
    </xf>
    <xf numFmtId="164" fontId="37" fillId="7" borderId="64" xfId="0" applyNumberFormat="1" applyFont="1" applyFill="1" applyBorder="1" applyAlignment="1">
      <alignment horizontal="center" vertical="center"/>
    </xf>
    <xf numFmtId="0" fontId="27" fillId="5" borderId="63" xfId="0" applyFont="1" applyFill="1" applyBorder="1" applyAlignment="1">
      <alignment vertical="center" indent="1"/>
    </xf>
    <xf numFmtId="9" fontId="39" fillId="5" borderId="2" xfId="0" applyNumberFormat="1" applyFont="1" applyFill="1" applyBorder="1" applyAlignment="1">
      <alignment horizontal="center" vertical="center"/>
    </xf>
    <xf numFmtId="0" fontId="39" fillId="5" borderId="63" xfId="0" applyFont="1" applyFill="1" applyBorder="1" applyAlignment="1">
      <alignment vertical="center" indent="1"/>
    </xf>
    <xf numFmtId="0" fontId="39" fillId="4" borderId="63" xfId="0" applyFont="1" applyFill="1" applyBorder="1" applyAlignment="1">
      <alignment vertical="center" indent="1"/>
    </xf>
    <xf numFmtId="0" fontId="34" fillId="14" borderId="65" xfId="0" applyFont="1" applyFill="1" applyBorder="1" applyAlignment="1">
      <alignment vertical="center"/>
    </xf>
    <xf numFmtId="0" fontId="34" fillId="14" borderId="66" xfId="0" applyFont="1" applyFill="1" applyBorder="1" applyAlignment="1">
      <alignment vertical="center"/>
    </xf>
    <xf numFmtId="0" fontId="34" fillId="14" borderId="67" xfId="0" applyFont="1" applyFill="1" applyBorder="1" applyAlignment="1">
      <alignment vertical="center"/>
    </xf>
    <xf numFmtId="0" fontId="15" fillId="14" borderId="52" xfId="0" applyFont="1" applyFill="1" applyBorder="1" applyAlignment="1">
      <alignment vertical="center"/>
    </xf>
    <xf numFmtId="0" fontId="15" fillId="14" borderId="53" xfId="0" applyFont="1" applyFill="1" applyBorder="1" applyAlignment="1">
      <alignment vertical="center"/>
    </xf>
    <xf numFmtId="0" fontId="15" fillId="14" borderId="54" xfId="0" applyFont="1" applyFill="1" applyBorder="1" applyAlignment="1">
      <alignment vertical="center"/>
    </xf>
    <xf numFmtId="0" fontId="20" fillId="15" borderId="55" xfId="0" applyFont="1" applyFill="1" applyBorder="1" applyAlignment="1">
      <alignment vertical="top" wrapText="1"/>
    </xf>
    <xf numFmtId="0" fontId="21" fillId="15" borderId="1" xfId="0" applyFont="1" applyFill="1" applyBorder="1" applyAlignment="1">
      <alignment vertical="top" wrapText="1"/>
    </xf>
    <xf numFmtId="0" fontId="21" fillId="15" borderId="56" xfId="0" applyFont="1" applyFill="1" applyBorder="1" applyAlignment="1">
      <alignment vertical="top" wrapText="1"/>
    </xf>
    <xf numFmtId="0" fontId="20" fillId="4" borderId="55" xfId="0" applyFont="1" applyFill="1" applyBorder="1" applyAlignment="1">
      <alignment vertical="top" wrapText="1"/>
    </xf>
    <xf numFmtId="0" fontId="21" fillId="4" borderId="56" xfId="0" applyFont="1" applyFill="1" applyBorder="1" applyAlignment="1">
      <alignment vertical="top" wrapText="1"/>
    </xf>
    <xf numFmtId="0" fontId="39" fillId="15" borderId="1" xfId="0" applyFont="1" applyFill="1" applyBorder="1" applyAlignment="1">
      <alignment vertical="top" wrapText="1"/>
    </xf>
    <xf numFmtId="0" fontId="39" fillId="15" borderId="56" xfId="0" applyFont="1" applyFill="1" applyBorder="1" applyAlignment="1">
      <alignment vertical="top" wrapText="1"/>
    </xf>
    <xf numFmtId="0" fontId="20" fillId="15" borderId="57" xfId="0" applyFont="1" applyFill="1" applyBorder="1" applyAlignment="1">
      <alignment vertical="top" wrapText="1"/>
    </xf>
    <xf numFmtId="0" fontId="21" fillId="15" borderId="58" xfId="0" applyFont="1" applyFill="1" applyBorder="1" applyAlignment="1">
      <alignment vertical="top" wrapText="1"/>
    </xf>
    <xf numFmtId="0" fontId="21" fillId="15" borderId="59" xfId="0" applyFont="1" applyFill="1" applyBorder="1" applyAlignment="1">
      <alignment vertical="top" wrapText="1"/>
    </xf>
    <xf numFmtId="0" fontId="8" fillId="3" borderId="7" xfId="0" applyFont="1" applyFill="1" applyBorder="1" applyAlignment="1">
      <alignment vertical="center" wrapText="1" indent="1"/>
    </xf>
    <xf numFmtId="0" fontId="27" fillId="4" borderId="4" xfId="0" applyFont="1" applyFill="1" applyBorder="1" applyAlignment="1">
      <alignment vertical="center" indent="1"/>
    </xf>
    <xf numFmtId="9" fontId="40" fillId="17" borderId="2" xfId="0" applyNumberFormat="1" applyFont="1" applyFill="1" applyBorder="1" applyAlignment="1">
      <alignment horizontal="center" vertical="center"/>
    </xf>
    <xf numFmtId="9" fontId="40" fillId="18" borderId="2" xfId="0" applyNumberFormat="1" applyFont="1" applyFill="1" applyBorder="1" applyAlignment="1">
      <alignment horizontal="center" vertical="center"/>
    </xf>
    <xf numFmtId="9" fontId="40" fillId="19" borderId="10" xfId="0" applyNumberFormat="1" applyFont="1" applyFill="1" applyBorder="1" applyAlignment="1">
      <alignment horizontal="center" vertical="center"/>
    </xf>
    <xf numFmtId="0" fontId="27" fillId="5" borderId="4" xfId="0" applyFont="1" applyFill="1" applyBorder="1" applyAlignment="1">
      <alignment vertical="center" indent="1"/>
    </xf>
    <xf numFmtId="9" fontId="41" fillId="17" borderId="2" xfId="0" applyNumberFormat="1" applyFont="1" applyFill="1" applyBorder="1" applyAlignment="1">
      <alignment horizontal="center" vertical="center"/>
    </xf>
    <xf numFmtId="9" fontId="41" fillId="18" borderId="2" xfId="0" applyNumberFormat="1" applyFont="1" applyFill="1" applyBorder="1" applyAlignment="1">
      <alignment horizontal="center" vertical="center"/>
    </xf>
    <xf numFmtId="0" fontId="8" fillId="2" borderId="11" xfId="0" applyFont="1" applyFill="1" applyBorder="1" applyAlignment="1">
      <alignment vertical="center" indent="1"/>
    </xf>
    <xf numFmtId="9" fontId="6" fillId="3" borderId="12" xfId="0" applyNumberFormat="1" applyFont="1" applyFill="1" applyBorder="1" applyAlignment="1">
      <alignment horizontal="center" vertical="center"/>
    </xf>
    <xf numFmtId="9" fontId="6" fillId="3" borderId="13" xfId="0" applyNumberFormat="1" applyFont="1" applyFill="1" applyBorder="1" applyAlignment="1">
      <alignment horizontal="center" vertical="center"/>
    </xf>
    <xf numFmtId="0" fontId="10" fillId="2" borderId="7" xfId="0" applyFont="1" applyFill="1" applyBorder="1" applyAlignment="1">
      <alignment vertical="center"/>
    </xf>
    <xf numFmtId="0" fontId="10" fillId="2" borderId="9" xfId="0" applyFont="1" applyFill="1" applyBorder="1" applyAlignment="1">
      <alignment vertical="center"/>
    </xf>
    <xf numFmtId="0" fontId="21" fillId="4" borderId="2" xfId="0" applyFont="1" applyFill="1" applyBorder="1" applyAlignment="1">
      <alignment vertical="top" wrapText="1"/>
    </xf>
    <xf numFmtId="0" fontId="21" fillId="4" borderId="10" xfId="0" applyFont="1" applyFill="1" applyBorder="1" applyAlignment="1">
      <alignment vertical="top" wrapText="1"/>
    </xf>
    <xf numFmtId="0" fontId="21" fillId="5" borderId="2" xfId="0" applyFont="1" applyFill="1" applyBorder="1" applyAlignment="1">
      <alignment vertical="top" wrapText="1"/>
    </xf>
    <xf numFmtId="0" fontId="21" fillId="5" borderId="10" xfId="0" applyFont="1" applyFill="1" applyBorder="1" applyAlignment="1">
      <alignment vertical="top" wrapText="1"/>
    </xf>
    <xf numFmtId="0" fontId="21" fillId="4" borderId="12" xfId="0" applyFont="1" applyFill="1" applyBorder="1" applyAlignment="1">
      <alignment vertical="top" wrapText="1"/>
    </xf>
    <xf numFmtId="0" fontId="21" fillId="4" borderId="13" xfId="0" applyFont="1" applyFill="1" applyBorder="1" applyAlignment="1">
      <alignment vertical="top" wrapText="1"/>
    </xf>
    <xf numFmtId="0" fontId="34" fillId="3" borderId="7" xfId="0" applyFont="1" applyFill="1" applyBorder="1" applyAlignment="1">
      <alignment horizontal="center" vertical="center" wrapText="1"/>
    </xf>
    <xf numFmtId="0" fontId="34" fillId="3" borderId="8" xfId="0" applyFont="1" applyFill="1" applyBorder="1" applyAlignment="1">
      <alignment horizontal="center" vertical="center" wrapText="1"/>
    </xf>
    <xf numFmtId="0" fontId="34" fillId="3" borderId="9" xfId="0" applyFont="1" applyFill="1" applyBorder="1" applyAlignment="1">
      <alignment horizontal="center" vertical="center" wrapText="1"/>
    </xf>
    <xf numFmtId="0" fontId="20" fillId="21" borderId="4" xfId="0" applyFont="1" applyFill="1" applyBorder="1" applyAlignment="1">
      <alignment horizontal="center" vertical="center"/>
    </xf>
    <xf numFmtId="0" fontId="20" fillId="21" borderId="2" xfId="0" applyFont="1" applyFill="1" applyBorder="1" applyAlignment="1">
      <alignment horizontal="center" vertical="center"/>
    </xf>
    <xf numFmtId="0" fontId="20" fillId="21" borderId="10" xfId="0" applyFont="1" applyFill="1" applyBorder="1" applyAlignment="1">
      <alignment horizontal="center" vertical="center"/>
    </xf>
    <xf numFmtId="0" fontId="37" fillId="20" borderId="4" xfId="0" applyFont="1" applyFill="1" applyBorder="1" applyAlignment="1">
      <alignment horizontal="center" vertical="center"/>
    </xf>
    <xf numFmtId="0" fontId="37" fillId="20" borderId="2" xfId="0" applyFont="1" applyFill="1" applyBorder="1" applyAlignment="1">
      <alignment horizontal="center" vertical="center"/>
    </xf>
    <xf numFmtId="0" fontId="37" fillId="20" borderId="10" xfId="0" applyFont="1" applyFill="1" applyBorder="1" applyAlignment="1">
      <alignment horizontal="center" vertical="center"/>
    </xf>
    <xf numFmtId="0" fontId="37" fillId="7" borderId="4" xfId="0" applyFont="1" applyFill="1" applyBorder="1" applyAlignment="1">
      <alignment horizontal="center" vertical="center"/>
    </xf>
    <xf numFmtId="0" fontId="37" fillId="7" borderId="10" xfId="0"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34" fillId="3" borderId="19" xfId="0" applyFont="1" applyFill="1" applyBorder="1" applyAlignment="1">
      <alignment horizontal="center" vertical="center" wrapText="1"/>
    </xf>
    <xf numFmtId="0" fontId="34" fillId="3" borderId="68" xfId="0" applyFont="1" applyFill="1" applyBorder="1" applyAlignment="1">
      <alignment horizontal="center" vertical="center" wrapText="1"/>
    </xf>
    <xf numFmtId="0" fontId="34" fillId="3" borderId="69" xfId="0" applyFont="1" applyFill="1" applyBorder="1" applyAlignment="1">
      <alignment horizontal="center" vertical="center" wrapText="1"/>
    </xf>
    <xf numFmtId="17" fontId="43" fillId="4" borderId="70" xfId="0" applyNumberFormat="1" applyFont="1" applyFill="1" applyBorder="1" applyAlignment="1">
      <alignment horizontal="center" vertical="center"/>
    </xf>
    <xf numFmtId="164" fontId="44" fillId="7" borderId="71" xfId="0" applyNumberFormat="1" applyFont="1" applyFill="1" applyBorder="1" applyAlignment="1">
      <alignment horizontal="center" vertical="center"/>
    </xf>
    <xf numFmtId="164" fontId="45" fillId="4" borderId="72" xfId="0" applyNumberFormat="1" applyFont="1" applyFill="1" applyBorder="1" applyAlignment="1">
      <alignment horizontal="center" vertical="center"/>
    </xf>
    <xf numFmtId="17" fontId="43" fillId="5" borderId="70" xfId="0" applyNumberFormat="1" applyFont="1" applyFill="1" applyBorder="1" applyAlignment="1">
      <alignment horizontal="center" vertical="center"/>
    </xf>
    <xf numFmtId="164" fontId="45" fillId="5" borderId="72" xfId="0" applyNumberFormat="1" applyFont="1" applyFill="1" applyBorder="1" applyAlignment="1">
      <alignment horizontal="center" vertical="center"/>
    </xf>
    <xf numFmtId="17" fontId="43" fillId="5" borderId="73" xfId="0" applyNumberFormat="1" applyFont="1" applyFill="1" applyBorder="1" applyAlignment="1">
      <alignment horizontal="center" vertical="center"/>
    </xf>
    <xf numFmtId="164" fontId="44" fillId="7" borderId="74" xfId="0" applyNumberFormat="1" applyFont="1" applyFill="1" applyBorder="1" applyAlignment="1">
      <alignment horizontal="center" vertical="center"/>
    </xf>
    <xf numFmtId="164" fontId="45" fillId="5" borderId="75" xfId="0" applyNumberFormat="1" applyFont="1" applyFill="1" applyBorder="1" applyAlignment="1">
      <alignment horizontal="center" vertical="center"/>
    </xf>
    <xf numFmtId="17" fontId="42" fillId="4" borderId="70" xfId="0" applyNumberFormat="1" applyFont="1" applyFill="1" applyBorder="1" applyAlignment="1">
      <alignment horizontal="center" vertical="center"/>
    </xf>
    <xf numFmtId="2" fontId="11" fillId="4" borderId="71" xfId="0" applyNumberFormat="1" applyFont="1" applyFill="1" applyBorder="1" applyAlignment="1">
      <alignment horizontal="center" vertical="center"/>
    </xf>
    <xf numFmtId="164" fontId="11" fillId="4" borderId="72" xfId="0" applyNumberFormat="1" applyFont="1" applyFill="1" applyBorder="1" applyAlignment="1">
      <alignment horizontal="center" vertical="center"/>
    </xf>
    <xf numFmtId="17" fontId="42" fillId="5" borderId="70" xfId="0" applyNumberFormat="1" applyFont="1" applyFill="1" applyBorder="1" applyAlignment="1">
      <alignment horizontal="center" vertical="center"/>
    </xf>
    <xf numFmtId="2" fontId="11" fillId="5" borderId="71" xfId="0" applyNumberFormat="1" applyFont="1" applyFill="1" applyBorder="1" applyAlignment="1">
      <alignment horizontal="center" vertical="center"/>
    </xf>
    <xf numFmtId="164" fontId="11" fillId="5" borderId="72" xfId="0" applyNumberFormat="1" applyFont="1" applyFill="1" applyBorder="1" applyAlignment="1">
      <alignment horizontal="center" vertical="center"/>
    </xf>
    <xf numFmtId="17" fontId="42" fillId="5" borderId="73" xfId="0" applyNumberFormat="1" applyFont="1" applyFill="1" applyBorder="1" applyAlignment="1">
      <alignment horizontal="center" vertical="center"/>
    </xf>
    <xf numFmtId="2" fontId="11" fillId="5" borderId="74" xfId="0" applyNumberFormat="1" applyFont="1" applyFill="1" applyBorder="1" applyAlignment="1">
      <alignment horizontal="center" vertical="center"/>
    </xf>
    <xf numFmtId="164" fontId="11" fillId="5" borderId="75" xfId="0" applyNumberFormat="1" applyFont="1" applyFill="1" applyBorder="1" applyAlignment="1">
      <alignment horizontal="center" vertical="center"/>
    </xf>
    <xf numFmtId="0" fontId="8" fillId="3" borderId="7" xfId="0" applyFont="1" applyFill="1" applyBorder="1" applyAlignment="1">
      <alignment horizontal="center" vertical="center"/>
    </xf>
    <xf numFmtId="0" fontId="5" fillId="4" borderId="4" xfId="0" applyFont="1" applyFill="1" applyBorder="1" applyAlignment="1">
      <alignment horizontal="center" vertical="center"/>
    </xf>
    <xf numFmtId="164" fontId="2" fillId="4" borderId="2" xfId="0" applyNumberFormat="1" applyFont="1" applyFill="1" applyBorder="1" applyAlignment="1">
      <alignment horizontal="center" vertical="center"/>
    </xf>
    <xf numFmtId="164" fontId="0" fillId="4" borderId="2" xfId="0" applyNumberFormat="1" applyFill="1" applyBorder="1" applyAlignment="1">
      <alignment horizontal="center" vertical="center"/>
    </xf>
    <xf numFmtId="0" fontId="11" fillId="4" borderId="2" xfId="0" applyFont="1" applyFill="1" applyBorder="1" applyAlignment="1">
      <alignment horizontal="center" vertical="center"/>
    </xf>
    <xf numFmtId="0" fontId="11" fillId="4" borderId="10" xfId="0" applyFont="1" applyFill="1" applyBorder="1" applyAlignment="1">
      <alignment horizontal="center" vertical="center"/>
    </xf>
    <xf numFmtId="0" fontId="5" fillId="5" borderId="4" xfId="0" applyFont="1" applyFill="1" applyBorder="1" applyAlignment="1">
      <alignment horizontal="center" vertical="center"/>
    </xf>
    <xf numFmtId="164" fontId="2" fillId="5" borderId="2" xfId="0" applyNumberFormat="1" applyFont="1" applyFill="1" applyBorder="1" applyAlignment="1">
      <alignment horizontal="center" vertical="center"/>
    </xf>
    <xf numFmtId="164" fontId="0" fillId="5" borderId="2" xfId="0" applyNumberFormat="1" applyFill="1" applyBorder="1" applyAlignment="1">
      <alignment horizontal="center" vertical="center"/>
    </xf>
    <xf numFmtId="0" fontId="11" fillId="5" borderId="2" xfId="0" applyFont="1" applyFill="1" applyBorder="1" applyAlignment="1">
      <alignment horizontal="center" vertical="center"/>
    </xf>
    <xf numFmtId="0" fontId="11" fillId="5" borderId="10" xfId="0" applyFont="1" applyFill="1" applyBorder="1" applyAlignment="1">
      <alignment horizontal="center" vertical="center"/>
    </xf>
    <xf numFmtId="0" fontId="5" fillId="5" borderId="11" xfId="0" applyFont="1" applyFill="1" applyBorder="1" applyAlignment="1">
      <alignment horizontal="center" vertical="center"/>
    </xf>
    <xf numFmtId="164" fontId="2" fillId="5" borderId="12" xfId="0" applyNumberFormat="1" applyFont="1" applyFill="1" applyBorder="1" applyAlignment="1">
      <alignment horizontal="center" vertical="center"/>
    </xf>
    <xf numFmtId="164" fontId="0" fillId="5" borderId="12" xfId="0" applyNumberFormat="1" applyFill="1" applyBorder="1" applyAlignment="1">
      <alignment horizontal="center" vertical="center"/>
    </xf>
    <xf numFmtId="0" fontId="11" fillId="5" borderId="12" xfId="0" applyFont="1" applyFill="1" applyBorder="1" applyAlignment="1">
      <alignment horizontal="center" vertical="center"/>
    </xf>
    <xf numFmtId="0" fontId="11" fillId="5" borderId="13" xfId="0" applyFont="1" applyFill="1" applyBorder="1" applyAlignment="1">
      <alignment horizontal="center" vertical="center"/>
    </xf>
    <xf numFmtId="164" fontId="46" fillId="4" borderId="2" xfId="0" applyNumberFormat="1" applyFont="1" applyFill="1" applyBorder="1" applyAlignment="1">
      <alignment horizontal="center" vertical="center"/>
    </xf>
    <xf numFmtId="0" fontId="14" fillId="4" borderId="2" xfId="0" applyFont="1" applyFill="1" applyBorder="1" applyAlignment="1">
      <alignment vertical="center"/>
    </xf>
    <xf numFmtId="0" fontId="14" fillId="4" borderId="10" xfId="0" applyFont="1" applyFill="1" applyBorder="1" applyAlignment="1">
      <alignment vertical="center"/>
    </xf>
    <xf numFmtId="164" fontId="46" fillId="5" borderId="2" xfId="0" applyNumberFormat="1" applyFont="1" applyFill="1" applyBorder="1" applyAlignment="1">
      <alignment horizontal="center" vertical="center"/>
    </xf>
    <xf numFmtId="0" fontId="14" fillId="5" borderId="2" xfId="0" applyFont="1" applyFill="1" applyBorder="1" applyAlignment="1">
      <alignment vertical="center"/>
    </xf>
    <xf numFmtId="0" fontId="14" fillId="5" borderId="10" xfId="0" applyFont="1" applyFill="1" applyBorder="1" applyAlignment="1">
      <alignment vertical="center"/>
    </xf>
    <xf numFmtId="2" fontId="46" fillId="4" borderId="2" xfId="0" applyNumberFormat="1" applyFont="1" applyFill="1" applyBorder="1" applyAlignment="1">
      <alignment horizontal="center" vertical="center"/>
    </xf>
    <xf numFmtId="2" fontId="0" fillId="4" borderId="2" xfId="0" applyNumberFormat="1" applyFill="1" applyBorder="1" applyAlignment="1">
      <alignment horizontal="center" vertical="center"/>
    </xf>
    <xf numFmtId="0" fontId="0" fillId="4" borderId="2" xfId="0" applyFill="1" applyBorder="1" applyAlignment="1">
      <alignment horizontal="center" vertical="center"/>
    </xf>
    <xf numFmtId="0" fontId="0" fillId="5" borderId="2" xfId="0" applyFill="1" applyBorder="1" applyAlignment="1">
      <alignment horizontal="center" vertical="center"/>
    </xf>
    <xf numFmtId="0" fontId="20" fillId="5" borderId="11" xfId="0" applyFont="1" applyFill="1" applyBorder="1" applyAlignment="1">
      <alignment vertical="center" indent="1"/>
    </xf>
    <xf numFmtId="164" fontId="46" fillId="5" borderId="12" xfId="0" applyNumberFormat="1" applyFont="1" applyFill="1" applyBorder="1" applyAlignment="1">
      <alignment horizontal="center" vertical="center"/>
    </xf>
    <xf numFmtId="0" fontId="0" fillId="5" borderId="12" xfId="0" applyFill="1" applyBorder="1" applyAlignment="1">
      <alignment horizontal="center" vertical="center"/>
    </xf>
    <xf numFmtId="0" fontId="14" fillId="5" borderId="12" xfId="0" applyFont="1" applyFill="1" applyBorder="1" applyAlignment="1">
      <alignment vertical="center"/>
    </xf>
    <xf numFmtId="0" fontId="14" fillId="5" borderId="13" xfId="0" applyFont="1" applyFill="1" applyBorder="1" applyAlignment="1">
      <alignment vertical="center"/>
    </xf>
    <xf numFmtId="0" fontId="47" fillId="0" borderId="0" xfId="0" applyFont="1" applyAlignment="1">
      <alignment horizontal="center"/>
    </xf>
    <xf numFmtId="0" fontId="34" fillId="3" borderId="7" xfId="0" applyFont="1" applyFill="1" applyBorder="1" applyAlignment="1">
      <alignment horizontal="left" vertical="center" wrapText="1" indent="1"/>
    </xf>
    <xf numFmtId="164" fontId="37" fillId="7" borderId="2" xfId="0" applyNumberFormat="1" applyFont="1" applyFill="1" applyBorder="1" applyAlignment="1">
      <alignment horizontal="center" vertical="center"/>
    </xf>
    <xf numFmtId="10" fontId="46" fillId="4" borderId="10" xfId="0" applyNumberFormat="1" applyFont="1" applyFill="1" applyBorder="1" applyAlignment="1">
      <alignment horizontal="center" vertical="center"/>
    </xf>
    <xf numFmtId="10" fontId="46" fillId="5" borderId="10" xfId="0" applyNumberFormat="1" applyFont="1" applyFill="1" applyBorder="1" applyAlignment="1">
      <alignment horizontal="center" vertical="center"/>
    </xf>
    <xf numFmtId="0" fontId="10" fillId="2" borderId="11" xfId="0" applyFont="1" applyFill="1" applyBorder="1" applyAlignment="1">
      <alignment vertical="center" indent="1"/>
    </xf>
    <xf numFmtId="0" fontId="20" fillId="5" borderId="11" xfId="0" applyFont="1" applyFill="1" applyBorder="1" applyAlignment="1">
      <alignment vertical="top" wrapText="1" indent="1"/>
    </xf>
    <xf numFmtId="0" fontId="21" fillId="5" borderId="12" xfId="0" applyFont="1" applyFill="1" applyBorder="1" applyAlignment="1">
      <alignment vertical="top" wrapText="1"/>
    </xf>
    <xf numFmtId="0" fontId="21" fillId="5" borderId="13" xfId="0" applyFont="1" applyFill="1" applyBorder="1" applyAlignment="1">
      <alignment vertical="top" wrapText="1"/>
    </xf>
    <xf numFmtId="0" fontId="8" fillId="3" borderId="7" xfId="0" applyFont="1" applyFill="1" applyBorder="1" applyAlignment="1">
      <alignment horizontal="left" vertical="center" indent="1"/>
    </xf>
    <xf numFmtId="0" fontId="0" fillId="4" borderId="2" xfId="0" applyFill="1" applyBorder="1"/>
    <xf numFmtId="0" fontId="0" fillId="4" borderId="10" xfId="0" applyFill="1" applyBorder="1"/>
    <xf numFmtId="0" fontId="0" fillId="5" borderId="2" xfId="0" applyFill="1" applyBorder="1"/>
    <xf numFmtId="0" fontId="0" fillId="5" borderId="10" xfId="0" applyFill="1" applyBorder="1"/>
    <xf numFmtId="0" fontId="0" fillId="5" borderId="12" xfId="0" applyFill="1" applyBorder="1"/>
    <xf numFmtId="0" fontId="0" fillId="5" borderId="13" xfId="0" applyFill="1" applyBorder="1"/>
    <xf numFmtId="0" fontId="8" fillId="3" borderId="7" xfId="0" applyFont="1" applyFill="1" applyBorder="1" applyAlignment="1">
      <alignment vertical="center"/>
    </xf>
    <xf numFmtId="0" fontId="8" fillId="3" borderId="8" xfId="0" applyFont="1" applyFill="1" applyBorder="1" applyAlignment="1">
      <alignment vertical="center"/>
    </xf>
    <xf numFmtId="0" fontId="8" fillId="3" borderId="9" xfId="0" applyFont="1" applyFill="1" applyBorder="1" applyAlignment="1">
      <alignment vertical="center"/>
    </xf>
    <xf numFmtId="9" fontId="46" fillId="4" borderId="2" xfId="0" applyNumberFormat="1" applyFont="1" applyFill="1" applyBorder="1" applyAlignment="1">
      <alignment horizontal="center" vertical="center"/>
    </xf>
    <xf numFmtId="0" fontId="0" fillId="4" borderId="10" xfId="0" applyFill="1" applyBorder="1"/>
    <xf numFmtId="9" fontId="46" fillId="5" borderId="2" xfId="0" applyNumberFormat="1" applyFont="1" applyFill="1" applyBorder="1" applyAlignment="1">
      <alignment horizontal="center" vertical="center"/>
    </xf>
    <xf numFmtId="0" fontId="0" fillId="5" borderId="10" xfId="0" applyFill="1" applyBorder="1"/>
    <xf numFmtId="0" fontId="27" fillId="4" borderId="11" xfId="0" applyFont="1" applyFill="1" applyBorder="1" applyAlignment="1">
      <alignment vertical="center" indent="1"/>
    </xf>
    <xf numFmtId="9" fontId="46" fillId="4" borderId="12" xfId="0" applyNumberFormat="1" applyFont="1" applyFill="1" applyBorder="1" applyAlignment="1">
      <alignment horizontal="center" vertical="center"/>
    </xf>
    <xf numFmtId="0" fontId="0" fillId="4" borderId="13" xfId="0" applyFill="1" applyBorder="1"/>
    <xf numFmtId="0" fontId="48" fillId="23" borderId="0" xfId="0" applyFont="1" applyFill="1" applyAlignment="1">
      <alignment vertical="center"/>
    </xf>
    <xf numFmtId="0" fontId="34" fillId="3" borderId="7" xfId="0" applyFont="1" applyFill="1" applyBorder="1" applyAlignment="1">
      <alignment horizontal="center" vertical="center"/>
    </xf>
    <xf numFmtId="0" fontId="34" fillId="3" borderId="8" xfId="0" applyFont="1" applyFill="1" applyBorder="1" applyAlignment="1">
      <alignment horizontal="center" vertical="center"/>
    </xf>
    <xf numFmtId="0" fontId="34" fillId="3" borderId="9" xfId="0" applyFont="1" applyFill="1" applyBorder="1" applyAlignment="1">
      <alignment horizontal="center" vertical="center"/>
    </xf>
    <xf numFmtId="2" fontId="46" fillId="22" borderId="2" xfId="0" applyNumberFormat="1" applyFont="1" applyFill="1" applyBorder="1" applyAlignment="1">
      <alignment horizontal="center" vertical="center"/>
    </xf>
    <xf numFmtId="2" fontId="18" fillId="4" borderId="2" xfId="0" applyNumberFormat="1" applyFont="1" applyFill="1" applyBorder="1" applyAlignment="1">
      <alignment horizontal="center" vertical="center"/>
    </xf>
    <xf numFmtId="2" fontId="18" fillId="4" borderId="10" xfId="0" applyNumberFormat="1" applyFont="1" applyFill="1" applyBorder="1" applyAlignment="1">
      <alignment horizontal="center" vertical="center"/>
    </xf>
    <xf numFmtId="2" fontId="18" fillId="5" borderId="2" xfId="0" applyNumberFormat="1" applyFont="1" applyFill="1" applyBorder="1" applyAlignment="1">
      <alignment horizontal="center" vertical="center"/>
    </xf>
    <xf numFmtId="2" fontId="18" fillId="5" borderId="10" xfId="0" applyNumberFormat="1" applyFont="1" applyFill="1" applyBorder="1" applyAlignment="1">
      <alignment horizontal="center" vertical="center"/>
    </xf>
    <xf numFmtId="2" fontId="18" fillId="4" borderId="12" xfId="0" applyNumberFormat="1" applyFont="1" applyFill="1" applyBorder="1" applyAlignment="1">
      <alignment horizontal="center" vertical="center"/>
    </xf>
    <xf numFmtId="2" fontId="46" fillId="22" borderId="13" xfId="0" applyNumberFormat="1" applyFont="1" applyFill="1" applyBorder="1" applyAlignment="1">
      <alignment horizontal="center" vertical="center"/>
    </xf>
    <xf numFmtId="0" fontId="34" fillId="3" borderId="7" xfId="0" applyFont="1" applyFill="1" applyBorder="1" applyAlignment="1">
      <alignment horizontal="left" vertical="center" indent="1"/>
    </xf>
    <xf numFmtId="0" fontId="43" fillId="4" borderId="4" xfId="0" applyFont="1" applyFill="1" applyBorder="1" applyAlignment="1">
      <alignment vertical="center" wrapText="1" indent="1"/>
    </xf>
    <xf numFmtId="0" fontId="49" fillId="4" borderId="2" xfId="0" applyFont="1" applyFill="1" applyBorder="1" applyAlignment="1">
      <alignment vertical="center" wrapText="1"/>
    </xf>
    <xf numFmtId="0" fontId="50" fillId="7" borderId="2" xfId="0" applyFont="1" applyFill="1" applyBorder="1" applyAlignment="1">
      <alignment horizontal="center" vertical="center"/>
    </xf>
    <xf numFmtId="0" fontId="36" fillId="4" borderId="2" xfId="0" applyFont="1" applyFill="1" applyBorder="1" applyAlignment="1">
      <alignment vertical="center" wrapText="1"/>
    </xf>
    <xf numFmtId="0" fontId="36" fillId="4" borderId="10" xfId="0" applyFont="1" applyFill="1" applyBorder="1" applyAlignment="1">
      <alignment vertical="center" wrapText="1"/>
    </xf>
    <xf numFmtId="0" fontId="43" fillId="5" borderId="4" xfId="0" applyFont="1" applyFill="1" applyBorder="1" applyAlignment="1">
      <alignment vertical="center" wrapText="1" indent="1"/>
    </xf>
    <xf numFmtId="0" fontId="49" fillId="5" borderId="2" xfId="0" applyFont="1" applyFill="1" applyBorder="1" applyAlignment="1">
      <alignment vertical="center" wrapText="1"/>
    </xf>
    <xf numFmtId="0" fontId="36" fillId="5" borderId="2" xfId="0" applyFont="1" applyFill="1" applyBorder="1" applyAlignment="1">
      <alignment vertical="center" wrapText="1"/>
    </xf>
    <xf numFmtId="0" fontId="36" fillId="5" borderId="10" xfId="0" applyFont="1" applyFill="1" applyBorder="1" applyAlignment="1">
      <alignment vertical="center" wrapText="1"/>
    </xf>
    <xf numFmtId="0" fontId="43" fillId="5" borderId="11" xfId="0" applyFont="1" applyFill="1" applyBorder="1" applyAlignment="1">
      <alignment vertical="center" wrapText="1" indent="1"/>
    </xf>
    <xf numFmtId="0" fontId="49" fillId="5" borderId="12" xfId="0" applyFont="1" applyFill="1" applyBorder="1" applyAlignment="1">
      <alignment vertical="center" wrapText="1"/>
    </xf>
    <xf numFmtId="0" fontId="50" fillId="7" borderId="12" xfId="0" applyFont="1" applyFill="1" applyBorder="1" applyAlignment="1">
      <alignment horizontal="center" vertical="center"/>
    </xf>
    <xf numFmtId="0" fontId="36" fillId="5" borderId="12" xfId="0" applyFont="1" applyFill="1" applyBorder="1" applyAlignment="1">
      <alignment vertical="center" wrapText="1"/>
    </xf>
    <xf numFmtId="0" fontId="36" fillId="5" borderId="13" xfId="0" applyFont="1" applyFill="1" applyBorder="1" applyAlignment="1">
      <alignment vertical="center" wrapText="1"/>
    </xf>
    <xf numFmtId="0" fontId="52" fillId="2" borderId="0" xfId="0" applyFont="1" applyFill="1" applyAlignment="1">
      <alignment horizontal="center" vertical="center"/>
    </xf>
    <xf numFmtId="0" fontId="53" fillId="3" borderId="0" xfId="0" applyFont="1" applyFill="1" applyAlignment="1">
      <alignment horizontal="center" vertical="center"/>
    </xf>
    <xf numFmtId="0" fontId="21" fillId="4" borderId="0" xfId="0" applyFont="1" applyFill="1" applyAlignment="1">
      <alignment vertical="center" wrapText="1"/>
    </xf>
    <xf numFmtId="0" fontId="54" fillId="6" borderId="7" xfId="0" applyFont="1" applyFill="1" applyBorder="1" applyAlignment="1">
      <alignment horizontal="center" vertical="center"/>
    </xf>
    <xf numFmtId="0" fontId="54" fillId="6" borderId="8" xfId="0" applyFont="1" applyFill="1" applyBorder="1" applyAlignment="1">
      <alignment horizontal="center" vertical="center"/>
    </xf>
    <xf numFmtId="0" fontId="54" fillId="6" borderId="9" xfId="0" applyFont="1" applyFill="1" applyBorder="1" applyAlignment="1">
      <alignment horizontal="center" vertical="center"/>
    </xf>
    <xf numFmtId="0" fontId="20" fillId="4" borderId="11" xfId="0" applyFont="1" applyFill="1" applyBorder="1" applyAlignment="1">
      <alignment horizontal="center" vertical="center"/>
    </xf>
    <xf numFmtId="17" fontId="20" fillId="4" borderId="12" xfId="0" applyNumberFormat="1" applyFont="1" applyFill="1" applyBorder="1" applyAlignment="1">
      <alignment horizontal="center" vertical="center"/>
    </xf>
    <xf numFmtId="0" fontId="20" fillId="4" borderId="12" xfId="0" applyFont="1" applyFill="1" applyBorder="1" applyAlignment="1">
      <alignment horizontal="center" vertical="center"/>
    </xf>
    <xf numFmtId="0" fontId="20" fillId="4" borderId="13" xfId="0" applyFont="1" applyFill="1" applyBorder="1" applyAlignment="1">
      <alignment horizontal="center" vertical="center"/>
    </xf>
    <xf numFmtId="0" fontId="33" fillId="24" borderId="4" xfId="0" applyFont="1" applyFill="1" applyBorder="1" applyAlignment="1">
      <alignment vertical="top" wrapText="1" indent="1"/>
    </xf>
    <xf numFmtId="0" fontId="21" fillId="24" borderId="2" xfId="0" applyFont="1" applyFill="1" applyBorder="1" applyAlignment="1">
      <alignment vertical="top" wrapText="1"/>
    </xf>
    <xf numFmtId="0" fontId="21" fillId="24" borderId="10" xfId="0" applyFont="1" applyFill="1" applyBorder="1" applyAlignment="1">
      <alignment vertical="top" wrapText="1"/>
    </xf>
    <xf numFmtId="0" fontId="38" fillId="4" borderId="4" xfId="0" applyFont="1" applyFill="1" applyBorder="1" applyAlignment="1">
      <alignment vertical="top" wrapText="1" indent="1"/>
    </xf>
    <xf numFmtId="0" fontId="39" fillId="24" borderId="11" xfId="0" applyFont="1" applyFill="1" applyBorder="1" applyAlignment="1">
      <alignment vertical="top" wrapText="1" indent="1"/>
    </xf>
    <xf numFmtId="0" fontId="21" fillId="24" borderId="12" xfId="0" applyFont="1" applyFill="1" applyBorder="1" applyAlignment="1">
      <alignment vertical="top" wrapText="1"/>
    </xf>
    <xf numFmtId="0" fontId="21" fillId="24" borderId="13" xfId="0" applyFont="1" applyFill="1" applyBorder="1" applyAlignment="1">
      <alignment vertical="top" wrapText="1"/>
    </xf>
    <xf numFmtId="0" fontId="34" fillId="3" borderId="4" xfId="0" applyFont="1" applyFill="1" applyBorder="1" applyAlignment="1">
      <alignment horizontal="left" vertical="center" indent="1"/>
    </xf>
    <xf numFmtId="0" fontId="34" fillId="3" borderId="2" xfId="0" applyFont="1" applyFill="1" applyBorder="1" applyAlignment="1">
      <alignment horizontal="center" vertical="center"/>
    </xf>
    <xf numFmtId="0" fontId="34" fillId="3" borderId="10" xfId="0" applyFont="1" applyFill="1" applyBorder="1" applyAlignment="1">
      <alignment horizontal="center" vertical="center"/>
    </xf>
    <xf numFmtId="0" fontId="43" fillId="4" borderId="4" xfId="0" applyFont="1" applyFill="1" applyBorder="1" applyAlignment="1">
      <alignment vertical="center" indent="1"/>
    </xf>
    <xf numFmtId="0" fontId="55" fillId="4" borderId="2" xfId="0" applyFont="1" applyFill="1" applyBorder="1" applyAlignment="1">
      <alignment horizontal="center" vertical="center"/>
    </xf>
    <xf numFmtId="10" fontId="11" fillId="4" borderId="2" xfId="0" applyNumberFormat="1" applyFont="1" applyFill="1" applyBorder="1" applyAlignment="1">
      <alignment horizontal="center" vertical="center"/>
    </xf>
    <xf numFmtId="0" fontId="43" fillId="5" borderId="4" xfId="0" applyFont="1" applyFill="1" applyBorder="1" applyAlignment="1">
      <alignment vertical="center" indent="1"/>
    </xf>
    <xf numFmtId="0" fontId="55" fillId="5" borderId="2" xfId="0" applyFont="1" applyFill="1" applyBorder="1" applyAlignment="1">
      <alignment horizontal="center" vertical="center"/>
    </xf>
    <xf numFmtId="10" fontId="11" fillId="5" borderId="2" xfId="0" applyNumberFormat="1" applyFont="1" applyFill="1" applyBorder="1" applyAlignment="1">
      <alignment horizontal="center" vertical="center"/>
    </xf>
    <xf numFmtId="0" fontId="43" fillId="4" borderId="11" xfId="0" applyFont="1" applyFill="1" applyBorder="1" applyAlignment="1">
      <alignment vertical="center" indent="1"/>
    </xf>
    <xf numFmtId="0" fontId="11" fillId="4" borderId="12" xfId="0" applyFont="1" applyFill="1" applyBorder="1" applyAlignment="1">
      <alignment horizontal="center" vertical="center"/>
    </xf>
    <xf numFmtId="0" fontId="55" fillId="4" borderId="12" xfId="0" applyFont="1" applyFill="1" applyBorder="1" applyAlignment="1">
      <alignment horizontal="center" vertical="center"/>
    </xf>
    <xf numFmtId="10" fontId="11" fillId="4" borderId="12" xfId="0" applyNumberFormat="1" applyFont="1" applyFill="1" applyBorder="1" applyAlignment="1">
      <alignment horizontal="center" vertical="center"/>
    </xf>
    <xf numFmtId="0" fontId="11" fillId="4" borderId="13" xfId="0" applyFont="1" applyFill="1" applyBorder="1" applyAlignment="1">
      <alignment horizontal="center" vertical="center"/>
    </xf>
    <xf numFmtId="0" fontId="34" fillId="3" borderId="4" xfId="0" applyFont="1" applyFill="1" applyBorder="1" applyAlignment="1">
      <alignment horizontal="center" vertical="center"/>
    </xf>
    <xf numFmtId="164" fontId="40" fillId="9" borderId="11" xfId="0" applyNumberFormat="1" applyFont="1" applyFill="1" applyBorder="1" applyAlignment="1">
      <alignment horizontal="center" vertical="center"/>
    </xf>
    <xf numFmtId="164" fontId="40" fillId="9" borderId="12" xfId="0" applyNumberFormat="1" applyFont="1" applyFill="1" applyBorder="1" applyAlignment="1">
      <alignment horizontal="center" vertical="center"/>
    </xf>
    <xf numFmtId="2" fontId="40" fillId="9" borderId="12" xfId="0" applyNumberFormat="1" applyFont="1" applyFill="1" applyBorder="1" applyAlignment="1">
      <alignment horizontal="center" vertical="center"/>
    </xf>
    <xf numFmtId="164" fontId="40" fillId="9" borderId="13" xfId="0" applyNumberFormat="1" applyFont="1" applyFill="1" applyBorder="1" applyAlignment="1">
      <alignment horizontal="center" vertical="center"/>
    </xf>
    <xf numFmtId="165" fontId="37" fillId="7" borderId="2" xfId="0" applyNumberFormat="1" applyFont="1" applyFill="1" applyBorder="1" applyAlignment="1">
      <alignment horizontal="center" vertical="center"/>
    </xf>
    <xf numFmtId="0" fontId="57" fillId="9" borderId="0" xfId="0" applyFont="1" applyFill="1" applyAlignment="1">
      <alignment vertical="center"/>
    </xf>
    <xf numFmtId="0" fontId="58" fillId="23" borderId="10" xfId="0" applyFont="1" applyFill="1" applyBorder="1"/>
    <xf numFmtId="0" fontId="25" fillId="7" borderId="11" xfId="0" applyFont="1" applyFill="1" applyBorder="1" applyAlignment="1">
      <alignment horizontal="center" vertical="center"/>
    </xf>
    <xf numFmtId="0" fontId="51" fillId="7" borderId="12" xfId="0" applyFont="1" applyFill="1" applyBorder="1" applyAlignment="1">
      <alignment horizontal="center" vertical="center"/>
    </xf>
    <xf numFmtId="0" fontId="56" fillId="7" borderId="12" xfId="0" applyFont="1" applyFill="1" applyBorder="1" applyAlignment="1">
      <alignment horizontal="center" vertical="center"/>
    </xf>
    <xf numFmtId="0" fontId="25" fillId="7" borderId="13" xfId="0" applyFont="1" applyFill="1" applyBorder="1" applyAlignment="1">
      <alignment horizontal="center" vertical="center"/>
    </xf>
    <xf numFmtId="166" fontId="30" fillId="7" borderId="3" xfId="0" applyNumberFormat="1" applyFont="1" applyFill="1" applyBorder="1" applyAlignment="1">
      <alignment horizontal="center" vertical="center"/>
    </xf>
    <xf numFmtId="1" fontId="30" fillId="7" borderId="3" xfId="0" applyNumberFormat="1" applyFont="1" applyFill="1" applyBorder="1" applyAlignment="1">
      <alignment horizontal="center" vertical="center"/>
    </xf>
    <xf numFmtId="2" fontId="30" fillId="7" borderId="3" xfId="0" applyNumberFormat="1" applyFont="1" applyFill="1" applyBorder="1" applyAlignment="1">
      <alignment horizontal="center" vertical="center"/>
    </xf>
    <xf numFmtId="1" fontId="30" fillId="7" borderId="15" xfId="0" applyNumberFormat="1" applyFont="1" applyFill="1" applyBorder="1" applyAlignment="1">
      <alignment horizontal="center" vertical="center"/>
    </xf>
    <xf numFmtId="0" fontId="59" fillId="9" borderId="0" xfId="0" applyFont="1" applyFill="1" applyAlignment="1">
      <alignment vertical="center"/>
    </xf>
    <xf numFmtId="0" fontId="60" fillId="9" borderId="0" xfId="0" applyFont="1" applyFill="1" applyAlignment="1">
      <alignment horizontal="center" vertical="center"/>
    </xf>
    <xf numFmtId="0" fontId="61" fillId="9" borderId="0" xfId="0" applyFont="1" applyFill="1" applyAlignment="1">
      <alignment vertical="center"/>
    </xf>
    <xf numFmtId="10" fontId="46" fillId="4" borderId="2" xfId="0" applyNumberFormat="1" applyFont="1" applyFill="1" applyBorder="1" applyAlignment="1">
      <alignment horizontal="center" vertical="center"/>
    </xf>
    <xf numFmtId="10" fontId="46" fillId="5" borderId="2" xfId="0" applyNumberFormat="1" applyFont="1" applyFill="1" applyBorder="1" applyAlignment="1">
      <alignment horizontal="center" vertical="center"/>
    </xf>
    <xf numFmtId="10" fontId="62" fillId="25" borderId="12" xfId="0" applyNumberFormat="1" applyFont="1" applyFill="1" applyBorder="1" applyAlignment="1">
      <alignment horizontal="center" vertical="center"/>
    </xf>
    <xf numFmtId="10" fontId="62" fillId="25" borderId="13" xfId="0" applyNumberFormat="1" applyFont="1" applyFill="1" applyBorder="1" applyAlignment="1">
      <alignment horizontal="center" vertical="center"/>
    </xf>
    <xf numFmtId="0" fontId="0" fillId="25" borderId="12" xfId="0" applyFill="1" applyBorder="1"/>
    <xf numFmtId="0" fontId="11" fillId="0" borderId="76" xfId="0" applyFont="1" applyBorder="1"/>
    <xf numFmtId="0" fontId="11" fillId="0" borderId="77" xfId="0" applyFont="1" applyBorder="1"/>
    <xf numFmtId="0" fontId="11" fillId="0" borderId="78" xfId="0" applyFont="1" applyBorder="1"/>
    <xf numFmtId="9" fontId="11" fillId="0" borderId="79" xfId="0" applyNumberFormat="1" applyFont="1" applyBorder="1"/>
    <xf numFmtId="0" fontId="11" fillId="0" borderId="80" xfId="0" applyFont="1" applyBorder="1"/>
    <xf numFmtId="9" fontId="11" fillId="0" borderId="81" xfId="0" applyNumberFormat="1" applyFont="1" applyBorder="1"/>
  </cellXfs>
  <cellStyles count="1">
    <cellStyle name="Normal" xfId="0" builtinId="0"/>
  </cellStyles>
  <dxfs count="30">
    <dxf>
      <font>
        <color rgb="FF6D4C00"/>
      </font>
      <fill>
        <patternFill patternType="solid">
          <fgColor indexed="64"/>
          <bgColor rgb="FFFFF8E1"/>
        </patternFill>
      </fill>
    </dxf>
    <dxf>
      <font>
        <color rgb="FFB71C1C"/>
      </font>
      <fill>
        <patternFill patternType="solid">
          <fgColor indexed="64"/>
          <bgColor rgb="FFFFCDD2"/>
        </patternFill>
      </fill>
    </dxf>
    <dxf>
      <font>
        <b/>
        <i val="0"/>
        <color rgb="FF0A1628"/>
      </font>
      <fill>
        <patternFill patternType="solid">
          <fgColor indexed="64"/>
          <bgColor rgb="FFFFB300"/>
        </patternFill>
      </fill>
    </dxf>
    <dxf>
      <font>
        <b/>
        <i val="0"/>
      </font>
      <fill>
        <patternFill patternType="solid">
          <fgColor indexed="64"/>
          <bgColor rgb="FFFFB300"/>
        </patternFill>
      </fill>
    </dxf>
    <dxf>
      <font>
        <b/>
        <i val="0"/>
      </font>
      <fill>
        <patternFill patternType="solid">
          <fgColor indexed="64"/>
          <bgColor rgb="FFFFB300"/>
        </patternFill>
      </fill>
    </dxf>
    <dxf>
      <font>
        <b/>
        <i val="0"/>
        <color rgb="FFC0392B"/>
      </font>
    </dxf>
    <dxf>
      <font>
        <b/>
        <i val="0"/>
        <color rgb="FF1A7A3C"/>
      </font>
    </dxf>
    <dxf>
      <font>
        <color rgb="FFC0392B"/>
      </font>
    </dxf>
    <dxf>
      <font>
        <color rgb="FF1A7A3C"/>
      </font>
    </dxf>
    <dxf>
      <font>
        <color rgb="FFC0392B"/>
      </font>
    </dxf>
    <dxf>
      <font>
        <color rgb="FF1A7A3C"/>
      </font>
    </dxf>
    <dxf>
      <font>
        <color rgb="FFC0392B"/>
      </font>
    </dxf>
    <dxf>
      <font>
        <color rgb="FF1A7A3C"/>
      </font>
    </dxf>
    <dxf>
      <font>
        <b/>
        <i val="0"/>
        <color rgb="FFC0392B"/>
      </font>
    </dxf>
    <dxf>
      <font>
        <b/>
        <i val="0"/>
        <color rgb="FF1A7A3C"/>
      </font>
    </dxf>
    <dxf>
      <font>
        <color rgb="FFFFFFFF"/>
      </font>
      <fill>
        <patternFill patternType="solid">
          <fgColor indexed="64"/>
          <bgColor rgb="FFB71C1C"/>
        </patternFill>
      </fill>
    </dxf>
    <dxf>
      <font>
        <color rgb="FFFFFFFF"/>
      </font>
      <fill>
        <patternFill patternType="solid">
          <fgColor indexed="64"/>
          <bgColor rgb="FFD97B00"/>
        </patternFill>
      </fill>
    </dxf>
    <dxf>
      <font>
        <color rgb="FFFFFFFF"/>
      </font>
      <fill>
        <patternFill patternType="solid">
          <fgColor indexed="64"/>
          <bgColor rgb="FF1A7A3C"/>
        </patternFill>
      </fill>
    </dxf>
    <dxf>
      <font>
        <color rgb="FFFFFFFF"/>
      </font>
      <fill>
        <patternFill patternType="solid">
          <fgColor indexed="64"/>
          <bgColor rgb="FF1A7A3C"/>
        </patternFill>
      </fill>
    </dxf>
    <dxf>
      <font>
        <color rgb="FFFFFFFF"/>
      </font>
      <fill>
        <patternFill patternType="solid">
          <fgColor indexed="64"/>
          <bgColor rgb="FFD97B00"/>
        </patternFill>
      </fill>
    </dxf>
    <dxf>
      <font>
        <color rgb="FFFFFFFF"/>
      </font>
      <fill>
        <patternFill patternType="solid">
          <fgColor indexed="64"/>
          <bgColor rgb="FFB71C1C"/>
        </patternFill>
      </fill>
    </dxf>
    <dxf>
      <font>
        <color rgb="FFFFFFFF"/>
      </font>
      <fill>
        <patternFill patternType="solid">
          <fgColor indexed="64"/>
          <bgColor rgb="FFB71C1C"/>
        </patternFill>
      </fill>
    </dxf>
    <dxf>
      <font>
        <color rgb="FFFFFFFF"/>
      </font>
      <fill>
        <patternFill patternType="solid">
          <fgColor indexed="64"/>
          <bgColor rgb="FFD97B00"/>
        </patternFill>
      </fill>
    </dxf>
    <dxf>
      <font>
        <color rgb="FFFFFFFF"/>
      </font>
      <fill>
        <patternFill patternType="solid">
          <fgColor indexed="64"/>
          <bgColor rgb="FF1A7A3C"/>
        </patternFill>
      </fill>
    </dxf>
    <dxf>
      <font>
        <color rgb="FFFFFFFF"/>
      </font>
      <fill>
        <patternFill patternType="solid">
          <fgColor indexed="64"/>
          <bgColor rgb="FF1A7A3C"/>
        </patternFill>
      </fill>
    </dxf>
    <dxf>
      <font>
        <color rgb="FFFFFFFF"/>
      </font>
      <fill>
        <patternFill patternType="solid">
          <fgColor indexed="64"/>
          <bgColor rgb="FFE07B00"/>
        </patternFill>
      </fill>
    </dxf>
    <dxf>
      <font>
        <color rgb="FFFFFFFF"/>
      </font>
      <fill>
        <patternFill patternType="solid">
          <fgColor indexed="64"/>
          <bgColor rgb="FFC0392B"/>
        </patternFill>
      </fill>
    </dxf>
    <dxf>
      <font>
        <b/>
        <i val="0"/>
        <color rgb="FFFFFFFF"/>
      </font>
      <fill>
        <patternFill patternType="solid">
          <fgColor indexed="64"/>
          <bgColor rgb="FFC0392B"/>
        </patternFill>
      </fill>
    </dxf>
    <dxf>
      <font>
        <b/>
        <i val="0"/>
        <color rgb="FFFFFFFF"/>
      </font>
      <fill>
        <patternFill patternType="solid">
          <fgColor indexed="64"/>
          <bgColor rgb="FFE07B00"/>
        </patternFill>
      </fill>
    </dxf>
    <dxf>
      <font>
        <b/>
        <i val="0"/>
        <color rgb="FFFFFFFF"/>
      </font>
      <fill>
        <patternFill patternType="solid">
          <fgColor indexed="64"/>
          <bgColor rgb="FF1A7A3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A1628"/>
                </a:solidFill>
                <a:latin typeface="+mn-lt"/>
                <a:ea typeface="+mn-ea"/>
                <a:cs typeface="+mn-cs"/>
              </a:defRPr>
            </a:pPr>
            <a:r>
              <a:rPr lang="en-US"/>
              <a:t>Theme Allocation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A1628"/>
              </a:solidFill>
              <a:latin typeface="+mn-lt"/>
              <a:ea typeface="+mn-ea"/>
              <a:cs typeface="+mn-cs"/>
            </a:defRPr>
          </a:pPr>
          <a:endParaRPr lang="en-US"/>
        </a:p>
      </c:txPr>
    </c:title>
    <c:autoTitleDeleted val="0"/>
    <c:plotArea>
      <c:layout/>
      <c:doughnutChart>
        <c:varyColors val="1"/>
        <c:ser>
          <c:idx val="0"/>
          <c:order val="0"/>
          <c:tx>
            <c:strRef>
              <c:f>'Investor Summary'!$J$1</c:f>
              <c:strCache>
                <c:ptCount val="1"/>
                <c:pt idx="0">
                  <c:v>Weight</c:v>
                </c:pt>
              </c:strCache>
            </c:strRef>
          </c:tx>
          <c:dPt>
            <c:idx val="0"/>
            <c:bubble3D val="0"/>
            <c:spPr>
              <a:solidFill>
                <a:srgbClr val="0A3A6E"/>
              </a:solidFill>
              <a:ln w="19050">
                <a:solidFill>
                  <a:schemeClr val="lt1"/>
                </a:solidFill>
              </a:ln>
              <a:effectLst/>
            </c:spPr>
            <c:extLst>
              <c:ext xmlns:c16="http://schemas.microsoft.com/office/drawing/2014/chart" uri="{C3380CC4-5D6E-409C-BE32-E72D297353CC}">
                <c16:uniqueId val="{00000001-7973-354A-BE86-A4B41667E7F1}"/>
              </c:ext>
            </c:extLst>
          </c:dPt>
          <c:dPt>
            <c:idx val="1"/>
            <c:bubble3D val="0"/>
            <c:spPr>
              <a:solidFill>
                <a:srgbClr val="1A3A18"/>
              </a:solidFill>
              <a:ln w="19050">
                <a:solidFill>
                  <a:schemeClr val="lt1"/>
                </a:solidFill>
              </a:ln>
              <a:effectLst/>
            </c:spPr>
            <c:extLst>
              <c:ext xmlns:c16="http://schemas.microsoft.com/office/drawing/2014/chart" uri="{C3380CC4-5D6E-409C-BE32-E72D297353CC}">
                <c16:uniqueId val="{00000002-7973-354A-BE86-A4B41667E7F1}"/>
              </c:ext>
            </c:extLst>
          </c:dPt>
          <c:dPt>
            <c:idx val="2"/>
            <c:bubble3D val="0"/>
            <c:spPr>
              <a:solidFill>
                <a:srgbClr val="5C2A00"/>
              </a:solidFill>
              <a:ln w="19050">
                <a:solidFill>
                  <a:schemeClr val="lt1"/>
                </a:solidFill>
              </a:ln>
              <a:effectLst/>
            </c:spPr>
            <c:extLst>
              <c:ext xmlns:c16="http://schemas.microsoft.com/office/drawing/2014/chart" uri="{C3380CC4-5D6E-409C-BE32-E72D297353CC}">
                <c16:uniqueId val="{00000003-7973-354A-BE86-A4B41667E7F1}"/>
              </c:ext>
            </c:extLst>
          </c:dPt>
          <c:cat>
            <c:strRef>
              <c:f>'Investor Summary'!$I$2:$I$4</c:f>
              <c:strCache>
                <c:ptCount val="3"/>
                <c:pt idx="0">
                  <c:v>AI Infrastructure</c:v>
                </c:pt>
                <c:pt idx="1">
                  <c:v>EU Defence</c:v>
                </c:pt>
                <c:pt idx="2">
                  <c:v>EM Consumer</c:v>
                </c:pt>
              </c:strCache>
            </c:strRef>
          </c:cat>
          <c:val>
            <c:numRef>
              <c:f>'Investor Summary'!$J$2:$J$4</c:f>
              <c:numCache>
                <c:formatCode>0%</c:formatCode>
                <c:ptCount val="3"/>
                <c:pt idx="0">
                  <c:v>0.4</c:v>
                </c:pt>
                <c:pt idx="1">
                  <c:v>0.35</c:v>
                </c:pt>
                <c:pt idx="2">
                  <c:v>0.25</c:v>
                </c:pt>
              </c:numCache>
            </c:numRef>
          </c:val>
          <c:extLst>
            <c:ext xmlns:c16="http://schemas.microsoft.com/office/drawing/2014/chart" uri="{C3380CC4-5D6E-409C-BE32-E72D297353CC}">
              <c16:uniqueId val="{00000000-7973-354A-BE86-A4B41667E7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1371600</xdr:colOff>
      <xdr:row>34</xdr:row>
      <xdr:rowOff>139700</xdr:rowOff>
    </xdr:from>
    <xdr:to>
      <xdr:col>5</xdr:col>
      <xdr:colOff>101600</xdr:colOff>
      <xdr:row>46</xdr:row>
      <xdr:rowOff>139700</xdr:rowOff>
    </xdr:to>
    <xdr:graphicFrame macro="">
      <xdr:nvGraphicFramePr>
        <xdr:cNvPr id="2" name="Chart 1">
          <a:extLst>
            <a:ext uri="{FF2B5EF4-FFF2-40B4-BE49-F238E27FC236}">
              <a16:creationId xmlns:a16="http://schemas.microsoft.com/office/drawing/2014/main" id="{9D605CD8-691F-82E9-13D9-263E98B42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DB4BF9-3381-E442-82AB-38CBEE657405}">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F16C-3F8C-D841-B168-DBB42BF6F6DB}">
  <sheetPr>
    <tabColor rgb="FF808080"/>
  </sheetPr>
  <dimension ref="A1:D23"/>
  <sheetViews>
    <sheetView showGridLines="0" zoomScale="75" workbookViewId="0">
      <pane ySplit="2" topLeftCell="A3" activePane="bottomLeft" state="frozen"/>
      <selection pane="bottomLeft" activeCell="B27" sqref="B27"/>
    </sheetView>
  </sheetViews>
  <sheetFormatPr baseColWidth="10" defaultRowHeight="16" x14ac:dyDescent="0.2"/>
  <cols>
    <col min="1" max="1" width="16.5" bestFit="1" customWidth="1"/>
    <col min="2" max="2" width="255.83203125" bestFit="1" customWidth="1"/>
    <col min="3" max="3" width="10.6640625" bestFit="1" customWidth="1"/>
    <col min="4" max="4" width="38.5" bestFit="1" customWidth="1"/>
  </cols>
  <sheetData>
    <row r="1" spans="1:4" ht="44" x14ac:dyDescent="0.2">
      <c r="A1" s="13" t="s">
        <v>0</v>
      </c>
      <c r="B1" s="1"/>
      <c r="C1" s="1"/>
      <c r="D1" s="1"/>
    </row>
    <row r="2" spans="1:4" ht="17" x14ac:dyDescent="0.2">
      <c r="A2" s="14" t="s">
        <v>1</v>
      </c>
      <c r="B2" s="2"/>
      <c r="C2" s="2"/>
      <c r="D2" s="2"/>
    </row>
    <row r="3" spans="1:4" x14ac:dyDescent="0.2">
      <c r="A3" s="15"/>
      <c r="B3" s="15"/>
      <c r="C3" s="15"/>
      <c r="D3" s="15"/>
    </row>
    <row r="4" spans="1:4" ht="30" x14ac:dyDescent="0.2">
      <c r="A4" s="16" t="s">
        <v>40</v>
      </c>
      <c r="B4" s="18" t="s">
        <v>2</v>
      </c>
      <c r="C4" s="17"/>
      <c r="D4" s="17"/>
    </row>
    <row r="5" spans="1:4" x14ac:dyDescent="0.2">
      <c r="A5" s="8"/>
      <c r="B5" s="8"/>
      <c r="C5" s="8"/>
      <c r="D5" s="8"/>
    </row>
    <row r="6" spans="1:4" x14ac:dyDescent="0.2">
      <c r="A6" s="21" t="s">
        <v>3</v>
      </c>
      <c r="B6" s="21"/>
      <c r="C6" s="21"/>
      <c r="D6" s="21"/>
    </row>
    <row r="7" spans="1:4" ht="30" customHeight="1" x14ac:dyDescent="0.2">
      <c r="A7" s="42" t="s">
        <v>41</v>
      </c>
      <c r="B7" s="38" t="s">
        <v>4</v>
      </c>
      <c r="C7" s="23"/>
      <c r="D7" s="24"/>
    </row>
    <row r="8" spans="1:4" ht="45" customHeight="1" x14ac:dyDescent="0.2">
      <c r="A8" s="43" t="s">
        <v>42</v>
      </c>
      <c r="B8" s="39" t="s">
        <v>5</v>
      </c>
      <c r="C8" s="7"/>
      <c r="D8" s="25"/>
    </row>
    <row r="9" spans="1:4" ht="30" customHeight="1" x14ac:dyDescent="0.2">
      <c r="A9" s="44" t="s">
        <v>43</v>
      </c>
      <c r="B9" s="40" t="s">
        <v>6</v>
      </c>
      <c r="C9" s="6"/>
      <c r="D9" s="26"/>
    </row>
    <row r="10" spans="1:4" ht="16" customHeight="1" x14ac:dyDescent="0.2">
      <c r="A10" s="43" t="s">
        <v>44</v>
      </c>
      <c r="B10" s="39" t="s">
        <v>45</v>
      </c>
      <c r="C10" s="7"/>
      <c r="D10" s="25"/>
    </row>
    <row r="11" spans="1:4" ht="30" customHeight="1" x14ac:dyDescent="0.2">
      <c r="A11" s="45" t="s">
        <v>46</v>
      </c>
      <c r="B11" s="41" t="s">
        <v>7</v>
      </c>
      <c r="C11" s="27"/>
      <c r="D11" s="28"/>
    </row>
    <row r="12" spans="1:4" x14ac:dyDescent="0.2">
      <c r="A12" s="8"/>
      <c r="B12" s="8"/>
      <c r="C12" s="8"/>
      <c r="D12" s="8"/>
    </row>
    <row r="13" spans="1:4" x14ac:dyDescent="0.2">
      <c r="A13" s="21" t="s">
        <v>8</v>
      </c>
      <c r="B13" s="21"/>
      <c r="C13" s="21"/>
      <c r="D13" s="21"/>
    </row>
    <row r="14" spans="1:4" ht="30" customHeight="1" x14ac:dyDescent="0.2">
      <c r="A14" s="42" t="s">
        <v>47</v>
      </c>
      <c r="B14" s="38" t="s">
        <v>48</v>
      </c>
      <c r="C14" s="23"/>
      <c r="D14" s="24"/>
    </row>
    <row r="15" spans="1:4" ht="30" customHeight="1" x14ac:dyDescent="0.2">
      <c r="A15" s="43" t="s">
        <v>49</v>
      </c>
      <c r="B15" s="39" t="s">
        <v>9</v>
      </c>
      <c r="C15" s="7"/>
      <c r="D15" s="25"/>
    </row>
    <row r="16" spans="1:4" ht="30" customHeight="1" x14ac:dyDescent="0.2">
      <c r="A16" s="45" t="s">
        <v>50</v>
      </c>
      <c r="B16" s="41" t="s">
        <v>10</v>
      </c>
      <c r="C16" s="27"/>
      <c r="D16" s="28"/>
    </row>
    <row r="17" spans="1:4" x14ac:dyDescent="0.2">
      <c r="A17" s="8"/>
      <c r="B17" s="8"/>
      <c r="C17" s="8"/>
      <c r="D17" s="8"/>
    </row>
    <row r="18" spans="1:4" x14ac:dyDescent="0.2">
      <c r="A18" s="3" t="s">
        <v>51</v>
      </c>
      <c r="B18" s="3"/>
      <c r="C18" s="3"/>
      <c r="D18" s="3"/>
    </row>
    <row r="19" spans="1:4" x14ac:dyDescent="0.2">
      <c r="A19" s="49" t="s">
        <v>11</v>
      </c>
      <c r="B19" s="29" t="s">
        <v>52</v>
      </c>
      <c r="C19" s="30" t="s">
        <v>12</v>
      </c>
      <c r="D19" s="31" t="s">
        <v>13</v>
      </c>
    </row>
    <row r="20" spans="1:4" ht="72" customHeight="1" x14ac:dyDescent="0.2">
      <c r="A20" s="50" t="s">
        <v>14</v>
      </c>
      <c r="B20" s="46" t="s">
        <v>53</v>
      </c>
      <c r="C20" s="32">
        <v>0.4</v>
      </c>
      <c r="D20" s="33" t="s">
        <v>15</v>
      </c>
    </row>
    <row r="21" spans="1:4" ht="62" customHeight="1" x14ac:dyDescent="0.2">
      <c r="A21" s="51" t="s">
        <v>16</v>
      </c>
      <c r="B21" s="47" t="s">
        <v>17</v>
      </c>
      <c r="C21" s="34">
        <v>0.35</v>
      </c>
      <c r="D21" s="35" t="s">
        <v>18</v>
      </c>
    </row>
    <row r="22" spans="1:4" ht="83" customHeight="1" x14ac:dyDescent="0.2">
      <c r="A22" s="52" t="s">
        <v>19</v>
      </c>
      <c r="B22" s="48" t="s">
        <v>54</v>
      </c>
      <c r="C22" s="36">
        <v>0.25</v>
      </c>
      <c r="D22" s="37" t="s">
        <v>20</v>
      </c>
    </row>
    <row r="23" spans="1:4" x14ac:dyDescent="0.2">
      <c r="A23" s="8"/>
      <c r="B23" s="8"/>
      <c r="C23" s="8"/>
      <c r="D23" s="8"/>
    </row>
  </sheetData>
  <mergeCells count="14">
    <mergeCell ref="B16:D16"/>
    <mergeCell ref="A18:D18"/>
    <mergeCell ref="B4:D4"/>
    <mergeCell ref="B9:D9"/>
    <mergeCell ref="B10:D10"/>
    <mergeCell ref="B11:D11"/>
    <mergeCell ref="A13:D13"/>
    <mergeCell ref="B14:D14"/>
    <mergeCell ref="B15:D15"/>
    <mergeCell ref="A1:D1"/>
    <mergeCell ref="A2:D2"/>
    <mergeCell ref="A6:D6"/>
    <mergeCell ref="B7:D7"/>
    <mergeCell ref="B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DCDCB-E17B-3A4D-B966-5414708940C3}">
  <sheetPr>
    <tabColor rgb="FF1E5FA8"/>
  </sheetPr>
  <dimension ref="A1:H23"/>
  <sheetViews>
    <sheetView showGridLines="0" workbookViewId="0">
      <pane ySplit="4" topLeftCell="A17" activePane="bottomLeft" state="frozen"/>
      <selection pane="bottomLeft" activeCell="I17" sqref="I17"/>
    </sheetView>
  </sheetViews>
  <sheetFormatPr baseColWidth="10" defaultRowHeight="16" x14ac:dyDescent="0.2"/>
  <cols>
    <col min="2" max="2" width="29.6640625" bestFit="1" customWidth="1"/>
    <col min="3" max="3" width="14.33203125" customWidth="1"/>
    <col min="4" max="4" width="48.5" bestFit="1" customWidth="1"/>
    <col min="5" max="5" width="12.83203125" customWidth="1"/>
    <col min="6" max="6" width="8.83203125" customWidth="1"/>
    <col min="7" max="7" width="11.6640625" customWidth="1"/>
  </cols>
  <sheetData>
    <row r="1" spans="1:8" ht="37" x14ac:dyDescent="0.2">
      <c r="B1" s="53" t="s">
        <v>22</v>
      </c>
      <c r="C1" s="53"/>
      <c r="D1" s="53"/>
      <c r="E1" s="53"/>
      <c r="F1" s="53"/>
      <c r="G1" s="53"/>
    </row>
    <row r="2" spans="1:8" x14ac:dyDescent="0.2">
      <c r="B2" s="54" t="s">
        <v>55</v>
      </c>
      <c r="C2" s="54"/>
      <c r="D2" s="54"/>
      <c r="E2" s="54"/>
      <c r="F2" s="54"/>
      <c r="G2" s="54"/>
    </row>
    <row r="3" spans="1:8" x14ac:dyDescent="0.2">
      <c r="B3" s="70" t="s">
        <v>23</v>
      </c>
      <c r="C3" s="70"/>
      <c r="D3" s="70"/>
      <c r="E3" s="70"/>
      <c r="F3" s="70"/>
      <c r="G3" s="70"/>
    </row>
    <row r="4" spans="1:8" ht="30" x14ac:dyDescent="0.2">
      <c r="B4" s="84" t="s">
        <v>24</v>
      </c>
      <c r="C4" s="212" t="s">
        <v>429</v>
      </c>
      <c r="D4" s="10" t="s">
        <v>25</v>
      </c>
      <c r="E4" s="10" t="s">
        <v>56</v>
      </c>
      <c r="F4" s="10" t="s">
        <v>26</v>
      </c>
      <c r="G4" s="11" t="s">
        <v>57</v>
      </c>
    </row>
    <row r="5" spans="1:8" ht="22" x14ac:dyDescent="0.2">
      <c r="B5" s="85" t="s">
        <v>27</v>
      </c>
      <c r="C5" s="371">
        <v>52.4</v>
      </c>
      <c r="D5" s="94" t="s">
        <v>72</v>
      </c>
      <c r="E5" s="56">
        <f>IF(C5="","–",IF(C5&gt;52,3,IF(C5&gt;=50,2,1)))</f>
        <v>3</v>
      </c>
      <c r="F5" s="57">
        <v>0.25</v>
      </c>
      <c r="G5" s="58">
        <f>IF(OR(E5="–",E5=""),"–",E5*F5)</f>
        <v>0.75</v>
      </c>
    </row>
    <row r="6" spans="1:8" ht="22" x14ac:dyDescent="0.2">
      <c r="B6" s="86" t="s">
        <v>28</v>
      </c>
      <c r="C6" s="372">
        <v>55</v>
      </c>
      <c r="D6" s="95" t="s">
        <v>73</v>
      </c>
      <c r="E6" s="60">
        <f>IF(C6="","–",IF(C6&gt;50,3,IF(C6&gt;=0,2,1)))</f>
        <v>3</v>
      </c>
      <c r="F6" s="61">
        <v>0.25</v>
      </c>
      <c r="G6" s="62">
        <f>IF(OR(E6="–",E6=""),"–",E6*F6)</f>
        <v>0.75</v>
      </c>
    </row>
    <row r="7" spans="1:8" ht="22" x14ac:dyDescent="0.2">
      <c r="B7" s="85" t="s">
        <v>29</v>
      </c>
      <c r="C7" s="373">
        <v>1.08</v>
      </c>
      <c r="D7" s="94" t="s">
        <v>74</v>
      </c>
      <c r="E7" s="56">
        <f>IF(C7="","–",IF(C7&gt;1.1,3,IF(C7&gt;=0.9,2,1)))</f>
        <v>2</v>
      </c>
      <c r="F7" s="57">
        <v>0.2</v>
      </c>
      <c r="G7" s="58">
        <f>IF(OR(E7="–",E7=""),"–",E7*F7)</f>
        <v>0.4</v>
      </c>
    </row>
    <row r="8" spans="1:8" ht="22" x14ac:dyDescent="0.2">
      <c r="B8" s="86" t="s">
        <v>30</v>
      </c>
      <c r="C8" s="371">
        <v>-1.2</v>
      </c>
      <c r="D8" s="95" t="s">
        <v>75</v>
      </c>
      <c r="E8" s="60">
        <f>IF(C8="","–",IF(C8&lt;-2,3,IF(C8&lt;=2,2,1)))</f>
        <v>2</v>
      </c>
      <c r="F8" s="61">
        <v>0.15</v>
      </c>
      <c r="G8" s="62">
        <f>IF(OR(E8="–",E8=""),"–",E8*F8)</f>
        <v>0.3</v>
      </c>
    </row>
    <row r="9" spans="1:8" ht="22" x14ac:dyDescent="0.2">
      <c r="B9" s="87" t="s">
        <v>31</v>
      </c>
      <c r="C9" s="374">
        <v>98</v>
      </c>
      <c r="D9" s="96" t="s">
        <v>76</v>
      </c>
      <c r="E9" s="65">
        <f>IF(C9="","–",IF(C9&lt;100,3,IF(C9&lt;=150,2,1)))</f>
        <v>3</v>
      </c>
      <c r="F9" s="66">
        <v>0.15</v>
      </c>
      <c r="G9" s="67">
        <f>IF(OR(E9="–",E9=""),"–",E9*F9)</f>
        <v>0.44999999999999996</v>
      </c>
    </row>
    <row r="10" spans="1:8" x14ac:dyDescent="0.2">
      <c r="A10" s="8"/>
      <c r="B10" s="8"/>
      <c r="C10" s="8"/>
      <c r="D10" s="8"/>
      <c r="E10" s="8"/>
      <c r="F10" s="8"/>
      <c r="G10" s="8"/>
      <c r="H10" s="8"/>
    </row>
    <row r="11" spans="1:8" ht="29" x14ac:dyDescent="0.2">
      <c r="B11" s="71" t="s">
        <v>58</v>
      </c>
      <c r="C11" s="72"/>
      <c r="D11" s="72"/>
      <c r="E11" s="73">
        <f>IF(COUNTA(G5:G9)=0,"Awaiting Input",IFERROR(SUMIF(G5:G9,"&lt;&gt;–"),0))</f>
        <v>2.6499999999999995</v>
      </c>
      <c r="F11" s="73"/>
      <c r="G11" s="74"/>
    </row>
    <row r="12" spans="1:8" ht="16" customHeight="1" x14ac:dyDescent="0.2">
      <c r="B12" s="75" t="s">
        <v>32</v>
      </c>
      <c r="C12" s="76"/>
      <c r="D12" s="76"/>
      <c r="E12" s="97" t="str">
        <f>IF(E11="Awaiting Input","— Awaiting Input —",IF(ISNUMBER(E11),IF(E11&gt;2,"🟢  Risk-On — Favour Cyclical Themes",IF(E11&gt;=1.5,"🟡  Neutral — Equal Weight Themes","🔴  Risk-Off — Favour Defensive Themes")),"—"))</f>
        <v>🟢  Risk-On — Favour Cyclical Themes</v>
      </c>
      <c r="F12" s="97"/>
      <c r="G12" s="98"/>
    </row>
    <row r="13" spans="1:8" x14ac:dyDescent="0.2">
      <c r="A13" s="8"/>
      <c r="B13" s="8"/>
      <c r="C13" s="8"/>
      <c r="D13" s="8"/>
      <c r="E13" s="8"/>
      <c r="F13" s="8"/>
      <c r="G13" s="8"/>
      <c r="H13" s="8"/>
    </row>
    <row r="14" spans="1:8" x14ac:dyDescent="0.2">
      <c r="B14" s="70" t="s">
        <v>59</v>
      </c>
      <c r="C14" s="70"/>
      <c r="D14" s="70"/>
      <c r="E14" s="70"/>
      <c r="F14" s="70"/>
      <c r="G14" s="70"/>
    </row>
    <row r="15" spans="1:8" x14ac:dyDescent="0.2">
      <c r="B15" s="68" t="s">
        <v>33</v>
      </c>
      <c r="C15" s="69" t="s">
        <v>34</v>
      </c>
      <c r="D15" s="69"/>
      <c r="E15" s="69" t="s">
        <v>35</v>
      </c>
      <c r="F15" s="69"/>
      <c r="G15" s="77"/>
    </row>
    <row r="16" spans="1:8" ht="30" customHeight="1" x14ac:dyDescent="0.2">
      <c r="B16" s="19" t="s">
        <v>27</v>
      </c>
      <c r="C16" s="78" t="s">
        <v>60</v>
      </c>
      <c r="D16" s="78"/>
      <c r="E16" s="78" t="s">
        <v>61</v>
      </c>
      <c r="F16" s="78"/>
      <c r="G16" s="79"/>
    </row>
    <row r="17" spans="2:7" ht="63" customHeight="1" x14ac:dyDescent="0.2">
      <c r="B17" s="20" t="s">
        <v>36</v>
      </c>
      <c r="C17" s="80" t="s">
        <v>62</v>
      </c>
      <c r="D17" s="80"/>
      <c r="E17" s="80" t="s">
        <v>63</v>
      </c>
      <c r="F17" s="80"/>
      <c r="G17" s="81"/>
    </row>
    <row r="18" spans="2:7" ht="77" customHeight="1" x14ac:dyDescent="0.2">
      <c r="B18" s="19" t="s">
        <v>29</v>
      </c>
      <c r="C18" s="78" t="s">
        <v>64</v>
      </c>
      <c r="D18" s="78"/>
      <c r="E18" s="78" t="s">
        <v>65</v>
      </c>
      <c r="F18" s="78"/>
      <c r="G18" s="79"/>
    </row>
    <row r="19" spans="2:7" ht="77" customHeight="1" x14ac:dyDescent="0.2">
      <c r="B19" s="20" t="s">
        <v>37</v>
      </c>
      <c r="C19" s="80" t="s">
        <v>66</v>
      </c>
      <c r="D19" s="80"/>
      <c r="E19" s="80" t="s">
        <v>67</v>
      </c>
      <c r="F19" s="80"/>
      <c r="G19" s="81"/>
    </row>
    <row r="20" spans="2:7" ht="104" customHeight="1" x14ac:dyDescent="0.2">
      <c r="B20" s="22" t="s">
        <v>38</v>
      </c>
      <c r="C20" s="82" t="s">
        <v>68</v>
      </c>
      <c r="D20" s="82"/>
      <c r="E20" s="82" t="s">
        <v>69</v>
      </c>
      <c r="F20" s="82"/>
      <c r="G20" s="83"/>
    </row>
    <row r="22" spans="2:7" x14ac:dyDescent="0.2">
      <c r="B22" s="88" t="s">
        <v>70</v>
      </c>
      <c r="C22" s="89"/>
      <c r="D22" s="89"/>
      <c r="E22" s="89"/>
      <c r="F22" s="89"/>
      <c r="G22" s="90"/>
    </row>
    <row r="23" spans="2:7" x14ac:dyDescent="0.2">
      <c r="B23" s="63" t="s">
        <v>39</v>
      </c>
      <c r="C23" s="91">
        <v>3.5000000000000003E-2</v>
      </c>
      <c r="D23" s="92" t="s">
        <v>71</v>
      </c>
      <c r="E23" s="92"/>
      <c r="F23" s="92"/>
      <c r="G23" s="93"/>
    </row>
  </sheetData>
  <mergeCells count="22">
    <mergeCell ref="D23:G23"/>
    <mergeCell ref="C19:D19"/>
    <mergeCell ref="E19:G19"/>
    <mergeCell ref="C20:D20"/>
    <mergeCell ref="E20:G20"/>
    <mergeCell ref="B22:G22"/>
    <mergeCell ref="C15:D15"/>
    <mergeCell ref="E15:G15"/>
    <mergeCell ref="B14:G14"/>
    <mergeCell ref="C16:D16"/>
    <mergeCell ref="E16:G16"/>
    <mergeCell ref="C17:D17"/>
    <mergeCell ref="E17:G17"/>
    <mergeCell ref="C18:D18"/>
    <mergeCell ref="E18:G18"/>
    <mergeCell ref="B1:G1"/>
    <mergeCell ref="B2:G2"/>
    <mergeCell ref="B3:G3"/>
    <mergeCell ref="B11:D11"/>
    <mergeCell ref="E11:G11"/>
    <mergeCell ref="B12:D12"/>
    <mergeCell ref="E12:G12"/>
  </mergeCells>
  <conditionalFormatting sqref="E12">
    <cfRule type="containsText" dxfId="23" priority="7" operator="containsText" text="Risk-On">
      <formula>NOT(ISERROR(SEARCH("Risk-On",E12)))</formula>
    </cfRule>
  </conditionalFormatting>
  <conditionalFormatting sqref="E12">
    <cfRule type="containsText" dxfId="22" priority="8" operator="containsText" text="Neutral">
      <formula>NOT(ISERROR(SEARCH("Neutral",E12)))</formula>
    </cfRule>
  </conditionalFormatting>
  <conditionalFormatting sqref="E12">
    <cfRule type="containsText" dxfId="21" priority="9" operator="containsText" text="Risk-Off">
      <formula>NOT(ISERROR(SEARCH("Risk-Off",E12)))</formula>
    </cfRule>
  </conditionalFormatting>
  <conditionalFormatting sqref="E5:E9">
    <cfRule type="cellIs" dxfId="20" priority="10" operator="equal">
      <formula>1</formula>
    </cfRule>
  </conditionalFormatting>
  <conditionalFormatting sqref="E5:E9">
    <cfRule type="cellIs" dxfId="19" priority="11" operator="equal">
      <formula>2</formula>
    </cfRule>
  </conditionalFormatting>
  <conditionalFormatting sqref="E5:E9">
    <cfRule type="cellIs" dxfId="18" priority="12" operator="equal">
      <formul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96BF-5A4E-6C49-A9A5-F3A425B41597}">
  <sheetPr>
    <tabColor rgb="FF1E5FA8"/>
  </sheetPr>
  <dimension ref="A1:N56"/>
  <sheetViews>
    <sheetView showGridLines="0" workbookViewId="0">
      <pane ySplit="3" topLeftCell="A42" activePane="bottomLeft" state="frozen"/>
      <selection pane="bottomLeft"/>
    </sheetView>
  </sheetViews>
  <sheetFormatPr baseColWidth="10" defaultRowHeight="16" x14ac:dyDescent="0.2"/>
  <cols>
    <col min="2" max="2" width="25.5" bestFit="1" customWidth="1"/>
    <col min="3" max="3" width="11.33203125" bestFit="1" customWidth="1"/>
    <col min="4" max="4" width="4.6640625" bestFit="1" customWidth="1"/>
    <col min="5" max="5" width="11.1640625" bestFit="1" customWidth="1"/>
    <col min="6" max="6" width="19.6640625" bestFit="1" customWidth="1"/>
    <col min="8" max="8" width="7.1640625" bestFit="1" customWidth="1"/>
    <col min="9" max="9" width="10.1640625" bestFit="1" customWidth="1"/>
    <col min="11" max="11" width="9.33203125" bestFit="1" customWidth="1"/>
    <col min="12" max="13" width="10" bestFit="1" customWidth="1"/>
  </cols>
  <sheetData>
    <row r="1" spans="1:14" ht="34" x14ac:dyDescent="0.2">
      <c r="B1" s="99" t="s">
        <v>77</v>
      </c>
      <c r="C1" s="99"/>
      <c r="D1" s="99"/>
      <c r="E1" s="99"/>
      <c r="F1" s="99"/>
      <c r="G1" s="99"/>
      <c r="H1" s="99"/>
      <c r="I1" s="99"/>
      <c r="J1" s="99"/>
      <c r="K1" s="99"/>
      <c r="L1" s="99"/>
      <c r="M1" s="99"/>
    </row>
    <row r="2" spans="1:14" x14ac:dyDescent="0.2">
      <c r="B2" s="100" t="s">
        <v>78</v>
      </c>
      <c r="C2" s="100"/>
      <c r="D2" s="100"/>
      <c r="E2" s="100"/>
      <c r="F2" s="100"/>
      <c r="G2" s="100"/>
      <c r="H2" s="100"/>
      <c r="I2" s="100"/>
      <c r="J2" s="100"/>
      <c r="K2" s="100"/>
      <c r="L2" s="100"/>
      <c r="M2" s="100"/>
    </row>
    <row r="3" spans="1:14" x14ac:dyDescent="0.2">
      <c r="A3" s="8"/>
      <c r="B3" s="8"/>
      <c r="C3" s="8"/>
      <c r="D3" s="8"/>
      <c r="E3" s="8"/>
      <c r="F3" s="8"/>
      <c r="G3" s="8"/>
      <c r="H3" s="8"/>
      <c r="I3" s="8"/>
      <c r="J3" s="8"/>
      <c r="K3" s="8"/>
      <c r="L3" s="8"/>
      <c r="M3" s="8"/>
      <c r="N3" s="8"/>
    </row>
    <row r="4" spans="1:14" ht="18" x14ac:dyDescent="0.2">
      <c r="B4" s="124" t="s">
        <v>79</v>
      </c>
      <c r="C4" s="125"/>
      <c r="D4" s="125"/>
      <c r="E4" s="125"/>
      <c r="F4" s="125"/>
      <c r="G4" s="125"/>
      <c r="H4" s="125"/>
      <c r="I4" s="125"/>
      <c r="J4" s="125"/>
      <c r="K4" s="125"/>
      <c r="L4" s="125"/>
      <c r="M4" s="126"/>
    </row>
    <row r="5" spans="1:14" ht="30" x14ac:dyDescent="0.2">
      <c r="B5" s="127" t="s">
        <v>80</v>
      </c>
      <c r="C5" s="128" t="s">
        <v>81</v>
      </c>
      <c r="D5" s="128"/>
      <c r="E5" s="128"/>
      <c r="F5" s="128"/>
      <c r="G5" s="128"/>
      <c r="H5" s="128"/>
      <c r="I5" s="128"/>
      <c r="J5" s="128"/>
      <c r="K5" s="128"/>
      <c r="L5" s="128"/>
      <c r="M5" s="129"/>
    </row>
    <row r="6" spans="1:14" ht="30" x14ac:dyDescent="0.2">
      <c r="B6" s="130" t="s">
        <v>82</v>
      </c>
      <c r="C6" s="131" t="s">
        <v>83</v>
      </c>
      <c r="D6" s="131"/>
      <c r="E6" s="131"/>
      <c r="F6" s="131"/>
      <c r="G6" s="131"/>
      <c r="H6" s="131"/>
      <c r="I6" s="131"/>
      <c r="J6" s="131"/>
      <c r="K6" s="131"/>
      <c r="L6" s="131"/>
      <c r="M6" s="132"/>
    </row>
    <row r="7" spans="1:14" ht="45" x14ac:dyDescent="0.2">
      <c r="B7" s="127" t="s">
        <v>84</v>
      </c>
      <c r="C7" s="133" t="s">
        <v>85</v>
      </c>
      <c r="D7" s="133"/>
      <c r="E7" s="133"/>
      <c r="F7" s="133"/>
      <c r="G7" s="133"/>
      <c r="H7" s="133"/>
      <c r="I7" s="133"/>
      <c r="J7" s="133"/>
      <c r="K7" s="133"/>
      <c r="L7" s="133"/>
      <c r="M7" s="134"/>
    </row>
    <row r="8" spans="1:14" ht="30" x14ac:dyDescent="0.2">
      <c r="B8" s="130" t="s">
        <v>86</v>
      </c>
      <c r="C8" s="131" t="s">
        <v>15</v>
      </c>
      <c r="D8" s="131"/>
      <c r="E8" s="131"/>
      <c r="F8" s="131"/>
      <c r="G8" s="131"/>
      <c r="H8" s="131"/>
      <c r="I8" s="131"/>
      <c r="J8" s="131"/>
      <c r="K8" s="131"/>
      <c r="L8" s="131"/>
      <c r="M8" s="132"/>
    </row>
    <row r="9" spans="1:14" x14ac:dyDescent="0.2">
      <c r="B9" s="135" t="s">
        <v>87</v>
      </c>
      <c r="C9" s="136" t="s">
        <v>88</v>
      </c>
      <c r="D9" s="136"/>
      <c r="E9" s="136"/>
      <c r="F9" s="136"/>
      <c r="G9" s="136"/>
      <c r="H9" s="136"/>
      <c r="I9" s="136"/>
      <c r="J9" s="136"/>
      <c r="K9" s="136"/>
      <c r="L9" s="136"/>
      <c r="M9" s="137"/>
    </row>
    <row r="10" spans="1:14" x14ac:dyDescent="0.2">
      <c r="A10" s="101"/>
      <c r="B10" s="101"/>
      <c r="C10" s="101"/>
      <c r="D10" s="101"/>
      <c r="E10" s="101"/>
      <c r="F10" s="101"/>
      <c r="G10" s="101"/>
      <c r="H10" s="101"/>
      <c r="I10" s="101"/>
      <c r="J10" s="101"/>
      <c r="K10" s="101"/>
      <c r="L10" s="101"/>
      <c r="M10" s="101"/>
      <c r="N10" s="101"/>
    </row>
    <row r="11" spans="1:14" ht="28" x14ac:dyDescent="0.2">
      <c r="B11" s="102" t="s">
        <v>21</v>
      </c>
      <c r="C11" s="103" t="s">
        <v>89</v>
      </c>
      <c r="D11" s="103" t="s">
        <v>90</v>
      </c>
      <c r="E11" s="103" t="s">
        <v>91</v>
      </c>
      <c r="F11" s="103" t="s">
        <v>92</v>
      </c>
      <c r="G11" s="103" t="s">
        <v>93</v>
      </c>
      <c r="H11" s="103" t="s">
        <v>94</v>
      </c>
      <c r="I11" s="103" t="s">
        <v>95</v>
      </c>
      <c r="J11" s="103" t="s">
        <v>96</v>
      </c>
      <c r="K11" s="103" t="s">
        <v>97</v>
      </c>
      <c r="L11" s="103" t="s">
        <v>98</v>
      </c>
      <c r="M11" s="104" t="s">
        <v>99</v>
      </c>
    </row>
    <row r="12" spans="1:14" ht="154" x14ac:dyDescent="0.2">
      <c r="B12" s="105" t="s">
        <v>100</v>
      </c>
      <c r="C12" s="106" t="s">
        <v>101</v>
      </c>
      <c r="D12" s="107" t="s">
        <v>102</v>
      </c>
      <c r="E12" s="107" t="s">
        <v>103</v>
      </c>
      <c r="F12" s="107" t="s">
        <v>104</v>
      </c>
      <c r="G12" s="108" t="s">
        <v>105</v>
      </c>
      <c r="H12" s="109">
        <v>0.14000000000000001</v>
      </c>
      <c r="I12" s="110" t="s">
        <v>106</v>
      </c>
      <c r="J12" s="364">
        <v>118.5</v>
      </c>
      <c r="K12" s="364">
        <v>115</v>
      </c>
      <c r="L12" s="364">
        <v>145</v>
      </c>
      <c r="M12" s="112">
        <f>IF(OR(K12="",L12=""),"",((L12-K12)/K12))</f>
        <v>0.2608695652173913</v>
      </c>
    </row>
    <row r="13" spans="1:14" ht="182" x14ac:dyDescent="0.2">
      <c r="B13" s="113" t="s">
        <v>107</v>
      </c>
      <c r="C13" s="114" t="s">
        <v>108</v>
      </c>
      <c r="D13" s="115" t="s">
        <v>102</v>
      </c>
      <c r="E13" s="115" t="s">
        <v>103</v>
      </c>
      <c r="F13" s="115" t="s">
        <v>109</v>
      </c>
      <c r="G13" s="116" t="s">
        <v>110</v>
      </c>
      <c r="H13" s="117">
        <v>0.12</v>
      </c>
      <c r="I13" s="118" t="s">
        <v>111</v>
      </c>
      <c r="J13" s="364">
        <v>225.4</v>
      </c>
      <c r="K13" s="364">
        <v>220</v>
      </c>
      <c r="L13" s="364">
        <v>270</v>
      </c>
      <c r="M13" s="112">
        <f>IF(OR(K13="",L13=""),"",((L13-K13)/K13))</f>
        <v>0.22727272727272727</v>
      </c>
    </row>
    <row r="14" spans="1:14" ht="196" x14ac:dyDescent="0.2">
      <c r="B14" s="105" t="s">
        <v>112</v>
      </c>
      <c r="C14" s="106" t="s">
        <v>113</v>
      </c>
      <c r="D14" s="107" t="s">
        <v>102</v>
      </c>
      <c r="E14" s="107" t="s">
        <v>114</v>
      </c>
      <c r="F14" s="107" t="s">
        <v>115</v>
      </c>
      <c r="G14" s="108" t="s">
        <v>116</v>
      </c>
      <c r="H14" s="109">
        <v>0.1</v>
      </c>
      <c r="I14" s="110" t="s">
        <v>117</v>
      </c>
      <c r="J14" s="364">
        <v>290</v>
      </c>
      <c r="K14" s="364">
        <v>278</v>
      </c>
      <c r="L14" s="364">
        <v>340</v>
      </c>
      <c r="M14" s="112">
        <f>IF(OR(K14="",L14=""),"",((L14-K14)/K14))</f>
        <v>0.22302158273381295</v>
      </c>
    </row>
    <row r="15" spans="1:14" ht="168" x14ac:dyDescent="0.2">
      <c r="B15" s="113" t="s">
        <v>118</v>
      </c>
      <c r="C15" s="114" t="s">
        <v>119</v>
      </c>
      <c r="D15" s="115" t="s">
        <v>102</v>
      </c>
      <c r="E15" s="115" t="s">
        <v>103</v>
      </c>
      <c r="F15" s="115" t="s">
        <v>120</v>
      </c>
      <c r="G15" s="116" t="s">
        <v>121</v>
      </c>
      <c r="H15" s="117">
        <v>0.1</v>
      </c>
      <c r="I15" s="118" t="s">
        <v>122</v>
      </c>
      <c r="J15" s="364">
        <v>105.5</v>
      </c>
      <c r="K15" s="364">
        <v>98</v>
      </c>
      <c r="L15" s="364">
        <v>135</v>
      </c>
      <c r="M15" s="112">
        <f>IF(OR(K15="",L15=""),"",((L15-K15)/K15))</f>
        <v>0.37755102040816324</v>
      </c>
    </row>
    <row r="16" spans="1:14" ht="196" x14ac:dyDescent="0.2">
      <c r="B16" s="105" t="s">
        <v>123</v>
      </c>
      <c r="C16" s="106" t="s">
        <v>124</v>
      </c>
      <c r="D16" s="107" t="s">
        <v>102</v>
      </c>
      <c r="E16" s="107" t="s">
        <v>125</v>
      </c>
      <c r="F16" s="107" t="s">
        <v>126</v>
      </c>
      <c r="G16" s="108" t="s">
        <v>127</v>
      </c>
      <c r="H16" s="109">
        <v>0.09</v>
      </c>
      <c r="I16" s="110" t="s">
        <v>111</v>
      </c>
      <c r="J16" s="364">
        <v>182</v>
      </c>
      <c r="K16" s="364">
        <v>175</v>
      </c>
      <c r="L16" s="364">
        <v>215</v>
      </c>
      <c r="M16" s="112">
        <f>IF(OR(K16="",L16=""),"",((L16-K16)/K16))</f>
        <v>0.22857142857142856</v>
      </c>
    </row>
    <row r="17" spans="1:14" ht="126" x14ac:dyDescent="0.2">
      <c r="B17" s="119" t="s">
        <v>128</v>
      </c>
      <c r="C17" s="114" t="s">
        <v>129</v>
      </c>
      <c r="D17" s="115" t="s">
        <v>130</v>
      </c>
      <c r="E17" s="115" t="s">
        <v>131</v>
      </c>
      <c r="F17" s="115" t="s">
        <v>132</v>
      </c>
      <c r="G17" s="116" t="s">
        <v>133</v>
      </c>
      <c r="H17" s="117">
        <v>0.18</v>
      </c>
      <c r="I17" s="118" t="s">
        <v>134</v>
      </c>
      <c r="J17" s="364">
        <v>248</v>
      </c>
      <c r="K17" s="364">
        <v>248</v>
      </c>
      <c r="L17" s="364">
        <v>285</v>
      </c>
      <c r="M17" s="112">
        <f>IF(OR(K17="",L17=""),"",((L17-K17)/K17))</f>
        <v>0.14919354838709678</v>
      </c>
    </row>
    <row r="18" spans="1:14" ht="182" x14ac:dyDescent="0.2">
      <c r="B18" s="120" t="s">
        <v>135</v>
      </c>
      <c r="C18" s="106" t="s">
        <v>136</v>
      </c>
      <c r="D18" s="107" t="s">
        <v>130</v>
      </c>
      <c r="E18" s="107" t="s">
        <v>131</v>
      </c>
      <c r="F18" s="107" t="s">
        <v>137</v>
      </c>
      <c r="G18" s="108" t="s">
        <v>138</v>
      </c>
      <c r="H18" s="109">
        <v>0.15</v>
      </c>
      <c r="I18" s="110" t="s">
        <v>139</v>
      </c>
      <c r="J18" s="364">
        <v>22.5</v>
      </c>
      <c r="K18" s="364">
        <v>22.5</v>
      </c>
      <c r="L18" s="364">
        <v>27</v>
      </c>
      <c r="M18" s="112">
        <f>IF(OR(K18="",L18=""),"",((L18-K18)/K18))</f>
        <v>0.2</v>
      </c>
    </row>
    <row r="19" spans="1:14" ht="168" x14ac:dyDescent="0.2">
      <c r="B19" s="119" t="s">
        <v>140</v>
      </c>
      <c r="C19" s="114" t="s">
        <v>141</v>
      </c>
      <c r="D19" s="115" t="s">
        <v>130</v>
      </c>
      <c r="E19" s="115" t="s">
        <v>131</v>
      </c>
      <c r="F19" s="115" t="s">
        <v>142</v>
      </c>
      <c r="G19" s="116" t="s">
        <v>143</v>
      </c>
      <c r="H19" s="117">
        <v>0.12</v>
      </c>
      <c r="I19" s="118" t="s">
        <v>144</v>
      </c>
      <c r="J19" s="364">
        <v>58.4</v>
      </c>
      <c r="K19" s="364">
        <v>58.4</v>
      </c>
      <c r="L19" s="364">
        <v>68</v>
      </c>
      <c r="M19" s="112">
        <f>IF(OR(K19="",L19=""),"",((L19-K19)/K19))</f>
        <v>0.16438356164383564</v>
      </c>
    </row>
    <row r="20" spans="1:14" x14ac:dyDescent="0.2">
      <c r="B20" s="121" t="s">
        <v>145</v>
      </c>
      <c r="C20" s="122"/>
      <c r="D20" s="122"/>
      <c r="E20" s="122"/>
      <c r="F20" s="122"/>
      <c r="G20" s="122"/>
      <c r="H20" s="122"/>
      <c r="I20" s="122"/>
      <c r="J20" s="122"/>
      <c r="K20" s="122"/>
      <c r="L20" s="122"/>
      <c r="M20" s="123"/>
    </row>
    <row r="21" spans="1:14" x14ac:dyDescent="0.2">
      <c r="A21" s="5"/>
      <c r="B21" s="5"/>
      <c r="C21" s="5"/>
      <c r="D21" s="5"/>
      <c r="E21" s="5"/>
      <c r="F21" s="5"/>
      <c r="G21" s="5"/>
      <c r="H21" s="5"/>
      <c r="I21" s="5"/>
      <c r="J21" s="5"/>
      <c r="K21" s="5"/>
      <c r="L21" s="5"/>
      <c r="M21" s="5"/>
      <c r="N21" s="5"/>
    </row>
    <row r="22" spans="1:14" ht="18" x14ac:dyDescent="0.2">
      <c r="B22" s="152" t="s">
        <v>146</v>
      </c>
      <c r="C22" s="153"/>
      <c r="D22" s="153"/>
      <c r="E22" s="153"/>
      <c r="F22" s="153"/>
      <c r="G22" s="153"/>
      <c r="H22" s="153"/>
      <c r="I22" s="153"/>
      <c r="J22" s="153"/>
      <c r="K22" s="153"/>
      <c r="L22" s="153"/>
      <c r="M22" s="154"/>
    </row>
    <row r="23" spans="1:14" ht="30" x14ac:dyDescent="0.2">
      <c r="B23" s="155" t="s">
        <v>80</v>
      </c>
      <c r="C23" s="156" t="s">
        <v>147</v>
      </c>
      <c r="D23" s="156"/>
      <c r="E23" s="156"/>
      <c r="F23" s="156"/>
      <c r="G23" s="156"/>
      <c r="H23" s="156"/>
      <c r="I23" s="156"/>
      <c r="J23" s="156"/>
      <c r="K23" s="156"/>
      <c r="L23" s="156"/>
      <c r="M23" s="157"/>
    </row>
    <row r="24" spans="1:14" ht="30" x14ac:dyDescent="0.2">
      <c r="B24" s="158" t="s">
        <v>82</v>
      </c>
      <c r="C24" s="131" t="s">
        <v>148</v>
      </c>
      <c r="D24" s="131"/>
      <c r="E24" s="131"/>
      <c r="F24" s="131"/>
      <c r="G24" s="131"/>
      <c r="H24" s="131"/>
      <c r="I24" s="131"/>
      <c r="J24" s="131"/>
      <c r="K24" s="131"/>
      <c r="L24" s="131"/>
      <c r="M24" s="159"/>
    </row>
    <row r="25" spans="1:14" ht="45" x14ac:dyDescent="0.2">
      <c r="B25" s="155" t="s">
        <v>84</v>
      </c>
      <c r="C25" s="160" t="s">
        <v>149</v>
      </c>
      <c r="D25" s="160"/>
      <c r="E25" s="160"/>
      <c r="F25" s="160"/>
      <c r="G25" s="160"/>
      <c r="H25" s="160"/>
      <c r="I25" s="160"/>
      <c r="J25" s="160"/>
      <c r="K25" s="160"/>
      <c r="L25" s="160"/>
      <c r="M25" s="161"/>
    </row>
    <row r="26" spans="1:14" ht="30" x14ac:dyDescent="0.2">
      <c r="B26" s="158" t="s">
        <v>86</v>
      </c>
      <c r="C26" s="131" t="s">
        <v>18</v>
      </c>
      <c r="D26" s="131"/>
      <c r="E26" s="131"/>
      <c r="F26" s="131"/>
      <c r="G26" s="131"/>
      <c r="H26" s="131"/>
      <c r="I26" s="131"/>
      <c r="J26" s="131"/>
      <c r="K26" s="131"/>
      <c r="L26" s="131"/>
      <c r="M26" s="159"/>
    </row>
    <row r="27" spans="1:14" x14ac:dyDescent="0.2">
      <c r="B27" s="162" t="s">
        <v>87</v>
      </c>
      <c r="C27" s="163" t="s">
        <v>150</v>
      </c>
      <c r="D27" s="163"/>
      <c r="E27" s="163"/>
      <c r="F27" s="163"/>
      <c r="G27" s="163"/>
      <c r="H27" s="163"/>
      <c r="I27" s="163"/>
      <c r="J27" s="163"/>
      <c r="K27" s="163"/>
      <c r="L27" s="163"/>
      <c r="M27" s="164"/>
    </row>
    <row r="28" spans="1:14" x14ac:dyDescent="0.2">
      <c r="A28" s="138"/>
      <c r="B28" s="138"/>
      <c r="C28" s="138"/>
      <c r="D28" s="138"/>
      <c r="E28" s="138"/>
      <c r="F28" s="138"/>
      <c r="G28" s="138"/>
      <c r="H28" s="138"/>
      <c r="I28" s="138"/>
      <c r="J28" s="138"/>
      <c r="K28" s="138"/>
      <c r="L28" s="138"/>
      <c r="M28" s="138"/>
      <c r="N28" s="138"/>
    </row>
    <row r="29" spans="1:14" ht="28" x14ac:dyDescent="0.2">
      <c r="B29" s="139" t="s">
        <v>21</v>
      </c>
      <c r="C29" s="140" t="s">
        <v>89</v>
      </c>
      <c r="D29" s="140" t="s">
        <v>90</v>
      </c>
      <c r="E29" s="140" t="s">
        <v>91</v>
      </c>
      <c r="F29" s="140" t="s">
        <v>92</v>
      </c>
      <c r="G29" s="140" t="s">
        <v>93</v>
      </c>
      <c r="H29" s="140" t="s">
        <v>94</v>
      </c>
      <c r="I29" s="140" t="s">
        <v>95</v>
      </c>
      <c r="J29" s="140" t="s">
        <v>96</v>
      </c>
      <c r="K29" s="140" t="s">
        <v>97</v>
      </c>
      <c r="L29" s="140" t="s">
        <v>98</v>
      </c>
      <c r="M29" s="141" t="s">
        <v>99</v>
      </c>
    </row>
    <row r="30" spans="1:14" ht="182" x14ac:dyDescent="0.2">
      <c r="B30" s="142" t="s">
        <v>151</v>
      </c>
      <c r="C30" s="106" t="s">
        <v>152</v>
      </c>
      <c r="D30" s="107" t="s">
        <v>102</v>
      </c>
      <c r="E30" s="107" t="s">
        <v>153</v>
      </c>
      <c r="F30" s="107" t="s">
        <v>154</v>
      </c>
      <c r="G30" s="108" t="s">
        <v>155</v>
      </c>
      <c r="H30" s="143">
        <v>0.15</v>
      </c>
      <c r="I30" s="110" t="s">
        <v>156</v>
      </c>
      <c r="J30" s="364">
        <v>38.200000000000003</v>
      </c>
      <c r="K30" s="364">
        <v>36.5</v>
      </c>
      <c r="L30" s="364">
        <v>48</v>
      </c>
      <c r="M30" s="144">
        <f>IF(OR(K30="",L30=""),"",((L30-K30)/K30))</f>
        <v>0.31506849315068491</v>
      </c>
    </row>
    <row r="31" spans="1:14" ht="182" x14ac:dyDescent="0.2">
      <c r="B31" s="145" t="s">
        <v>157</v>
      </c>
      <c r="C31" s="114" t="s">
        <v>158</v>
      </c>
      <c r="D31" s="115" t="s">
        <v>102</v>
      </c>
      <c r="E31" s="115" t="s">
        <v>159</v>
      </c>
      <c r="F31" s="115" t="s">
        <v>160</v>
      </c>
      <c r="G31" s="116" t="s">
        <v>161</v>
      </c>
      <c r="H31" s="146">
        <v>0.15</v>
      </c>
      <c r="I31" s="118" t="s">
        <v>122</v>
      </c>
      <c r="J31" s="364">
        <v>142.5</v>
      </c>
      <c r="K31" s="364">
        <v>135</v>
      </c>
      <c r="L31" s="364">
        <v>175</v>
      </c>
      <c r="M31" s="144">
        <f>IF(OR(K31="",L31=""),"",((L31-K31)/K31))</f>
        <v>0.29629629629629628</v>
      </c>
    </row>
    <row r="32" spans="1:14" ht="182" x14ac:dyDescent="0.2">
      <c r="B32" s="142" t="s">
        <v>162</v>
      </c>
      <c r="C32" s="106" t="s">
        <v>163</v>
      </c>
      <c r="D32" s="107" t="s">
        <v>102</v>
      </c>
      <c r="E32" s="107" t="s">
        <v>164</v>
      </c>
      <c r="F32" s="107" t="s">
        <v>165</v>
      </c>
      <c r="G32" s="108" t="s">
        <v>166</v>
      </c>
      <c r="H32" s="143">
        <v>0.1</v>
      </c>
      <c r="I32" s="110" t="s">
        <v>167</v>
      </c>
      <c r="J32" s="364">
        <v>28.4</v>
      </c>
      <c r="K32" s="364">
        <v>27</v>
      </c>
      <c r="L32" s="364">
        <v>35</v>
      </c>
      <c r="M32" s="144">
        <f>IF(OR(K32="",L32=""),"",((L32-K32)/K32))</f>
        <v>0.29629629629629628</v>
      </c>
    </row>
    <row r="33" spans="1:14" ht="182" x14ac:dyDescent="0.2">
      <c r="B33" s="145" t="s">
        <v>168</v>
      </c>
      <c r="C33" s="114" t="s">
        <v>169</v>
      </c>
      <c r="D33" s="115" t="s">
        <v>102</v>
      </c>
      <c r="E33" s="115" t="s">
        <v>170</v>
      </c>
      <c r="F33" s="115" t="s">
        <v>171</v>
      </c>
      <c r="G33" s="116" t="s">
        <v>172</v>
      </c>
      <c r="H33" s="146">
        <v>0.1</v>
      </c>
      <c r="I33" s="118" t="s">
        <v>173</v>
      </c>
      <c r="J33" s="364">
        <v>24.8</v>
      </c>
      <c r="K33" s="364">
        <v>24</v>
      </c>
      <c r="L33" s="364">
        <v>30</v>
      </c>
      <c r="M33" s="144">
        <f>IF(OR(K33="",L33=""),"",((L33-K33)/K33))</f>
        <v>0.25</v>
      </c>
    </row>
    <row r="34" spans="1:14" ht="182" x14ac:dyDescent="0.2">
      <c r="B34" s="142" t="s">
        <v>174</v>
      </c>
      <c r="C34" s="106" t="s">
        <v>175</v>
      </c>
      <c r="D34" s="107" t="s">
        <v>102</v>
      </c>
      <c r="E34" s="107" t="s">
        <v>176</v>
      </c>
      <c r="F34" s="107" t="s">
        <v>177</v>
      </c>
      <c r="G34" s="108" t="s">
        <v>178</v>
      </c>
      <c r="H34" s="143">
        <v>0.09</v>
      </c>
      <c r="I34" s="110" t="s">
        <v>167</v>
      </c>
      <c r="J34" s="364">
        <v>35.6</v>
      </c>
      <c r="K34" s="364">
        <v>33.5</v>
      </c>
      <c r="L34" s="364">
        <v>44</v>
      </c>
      <c r="M34" s="144">
        <f>IF(OR(K34="",L34=""),"",((L34-K34)/K34))</f>
        <v>0.31343283582089554</v>
      </c>
    </row>
    <row r="35" spans="1:14" ht="168" x14ac:dyDescent="0.2">
      <c r="B35" s="147" t="s">
        <v>179</v>
      </c>
      <c r="C35" s="114" t="s">
        <v>180</v>
      </c>
      <c r="D35" s="115" t="s">
        <v>130</v>
      </c>
      <c r="E35" s="115" t="s">
        <v>181</v>
      </c>
      <c r="F35" s="115" t="s">
        <v>182</v>
      </c>
      <c r="G35" s="116" t="s">
        <v>183</v>
      </c>
      <c r="H35" s="146">
        <v>0.18</v>
      </c>
      <c r="I35" s="118" t="s">
        <v>184</v>
      </c>
      <c r="J35" s="364">
        <v>42.43</v>
      </c>
      <c r="K35" s="364">
        <v>42.43</v>
      </c>
      <c r="L35" s="364">
        <v>60</v>
      </c>
      <c r="M35" s="144">
        <f>IF(OR(K35="",L35=""),"",((L35-K35)/K35))</f>
        <v>0.41409380155550318</v>
      </c>
    </row>
    <row r="36" spans="1:14" ht="168" x14ac:dyDescent="0.2">
      <c r="B36" s="148" t="s">
        <v>185</v>
      </c>
      <c r="C36" s="106" t="s">
        <v>186</v>
      </c>
      <c r="D36" s="107" t="s">
        <v>130</v>
      </c>
      <c r="E36" s="107" t="s">
        <v>181</v>
      </c>
      <c r="F36" s="107" t="s">
        <v>187</v>
      </c>
      <c r="G36" s="108" t="s">
        <v>188</v>
      </c>
      <c r="H36" s="143">
        <v>0.13</v>
      </c>
      <c r="I36" s="110" t="s">
        <v>189</v>
      </c>
      <c r="J36" s="364">
        <v>52.8</v>
      </c>
      <c r="K36" s="364">
        <v>52.8</v>
      </c>
      <c r="L36" s="364">
        <v>60</v>
      </c>
      <c r="M36" s="144">
        <f>IF(OR(K36="",L36=""),"",((L36-K36)/K36))</f>
        <v>0.13636363636363644</v>
      </c>
    </row>
    <row r="37" spans="1:14" ht="182" x14ac:dyDescent="0.2">
      <c r="B37" s="147" t="s">
        <v>190</v>
      </c>
      <c r="C37" s="114" t="s">
        <v>191</v>
      </c>
      <c r="D37" s="115" t="s">
        <v>130</v>
      </c>
      <c r="E37" s="115" t="s">
        <v>192</v>
      </c>
      <c r="F37" s="115" t="s">
        <v>193</v>
      </c>
      <c r="G37" s="116" t="s">
        <v>194</v>
      </c>
      <c r="H37" s="146">
        <v>0.1</v>
      </c>
      <c r="I37" s="118" t="s">
        <v>195</v>
      </c>
      <c r="J37" s="364">
        <v>30.5</v>
      </c>
      <c r="K37" s="364">
        <v>30.5</v>
      </c>
      <c r="L37" s="364">
        <v>35</v>
      </c>
      <c r="M37" s="144">
        <f>IF(OR(K37="",L37=""),"",((L37-K37)/K37))</f>
        <v>0.14754098360655737</v>
      </c>
    </row>
    <row r="38" spans="1:14" x14ac:dyDescent="0.2">
      <c r="B38" s="149" t="s">
        <v>196</v>
      </c>
      <c r="C38" s="150"/>
      <c r="D38" s="150"/>
      <c r="E38" s="150"/>
      <c r="F38" s="150"/>
      <c r="G38" s="150"/>
      <c r="H38" s="150"/>
      <c r="I38" s="150"/>
      <c r="J38" s="150"/>
      <c r="K38" s="150"/>
      <c r="L38" s="150"/>
      <c r="M38" s="151"/>
    </row>
    <row r="39" spans="1:14" x14ac:dyDescent="0.2">
      <c r="A39" s="5"/>
      <c r="B39" s="5"/>
      <c r="C39" s="5"/>
      <c r="D39" s="5"/>
      <c r="E39" s="5"/>
      <c r="F39" s="5"/>
      <c r="G39" s="5"/>
      <c r="H39" s="5"/>
      <c r="I39" s="5"/>
      <c r="J39" s="5"/>
      <c r="K39" s="5"/>
      <c r="L39" s="5"/>
      <c r="M39" s="5"/>
      <c r="N39" s="5"/>
    </row>
    <row r="40" spans="1:14" ht="18" x14ac:dyDescent="0.2">
      <c r="B40" s="179" t="s">
        <v>197</v>
      </c>
      <c r="C40" s="180"/>
      <c r="D40" s="180"/>
      <c r="E40" s="180"/>
      <c r="F40" s="180"/>
      <c r="G40" s="180"/>
      <c r="H40" s="180"/>
      <c r="I40" s="180"/>
      <c r="J40" s="180"/>
      <c r="K40" s="180"/>
      <c r="L40" s="180"/>
      <c r="M40" s="181"/>
    </row>
    <row r="41" spans="1:14" ht="30" x14ac:dyDescent="0.2">
      <c r="B41" s="182" t="s">
        <v>80</v>
      </c>
      <c r="C41" s="183" t="s">
        <v>198</v>
      </c>
      <c r="D41" s="183"/>
      <c r="E41" s="183"/>
      <c r="F41" s="183"/>
      <c r="G41" s="183"/>
      <c r="H41" s="183"/>
      <c r="I41" s="183"/>
      <c r="J41" s="183"/>
      <c r="K41" s="183"/>
      <c r="L41" s="183"/>
      <c r="M41" s="184"/>
    </row>
    <row r="42" spans="1:14" ht="30" x14ac:dyDescent="0.2">
      <c r="B42" s="185" t="s">
        <v>82</v>
      </c>
      <c r="C42" s="131" t="s">
        <v>199</v>
      </c>
      <c r="D42" s="131"/>
      <c r="E42" s="131"/>
      <c r="F42" s="131"/>
      <c r="G42" s="131"/>
      <c r="H42" s="131"/>
      <c r="I42" s="131"/>
      <c r="J42" s="131"/>
      <c r="K42" s="131"/>
      <c r="L42" s="131"/>
      <c r="M42" s="186"/>
    </row>
    <row r="43" spans="1:14" ht="45" x14ac:dyDescent="0.2">
      <c r="B43" s="182" t="s">
        <v>84</v>
      </c>
      <c r="C43" s="187" t="s">
        <v>200</v>
      </c>
      <c r="D43" s="187"/>
      <c r="E43" s="187"/>
      <c r="F43" s="187"/>
      <c r="G43" s="187"/>
      <c r="H43" s="187"/>
      <c r="I43" s="187"/>
      <c r="J43" s="187"/>
      <c r="K43" s="187"/>
      <c r="L43" s="187"/>
      <c r="M43" s="188"/>
    </row>
    <row r="44" spans="1:14" ht="30" x14ac:dyDescent="0.2">
      <c r="B44" s="185" t="s">
        <v>86</v>
      </c>
      <c r="C44" s="131" t="s">
        <v>20</v>
      </c>
      <c r="D44" s="131"/>
      <c r="E44" s="131"/>
      <c r="F44" s="131"/>
      <c r="G44" s="131"/>
      <c r="H44" s="131"/>
      <c r="I44" s="131"/>
      <c r="J44" s="131"/>
      <c r="K44" s="131"/>
      <c r="L44" s="131"/>
      <c r="M44" s="186"/>
    </row>
    <row r="45" spans="1:14" x14ac:dyDescent="0.2">
      <c r="B45" s="189" t="s">
        <v>87</v>
      </c>
      <c r="C45" s="190" t="s">
        <v>201</v>
      </c>
      <c r="D45" s="190"/>
      <c r="E45" s="190"/>
      <c r="F45" s="190"/>
      <c r="G45" s="190"/>
      <c r="H45" s="190"/>
      <c r="I45" s="190"/>
      <c r="J45" s="190"/>
      <c r="K45" s="190"/>
      <c r="L45" s="190"/>
      <c r="M45" s="191"/>
    </row>
    <row r="46" spans="1:14" x14ac:dyDescent="0.2">
      <c r="A46" s="165"/>
      <c r="B46" s="165"/>
      <c r="C46" s="165"/>
      <c r="D46" s="165"/>
      <c r="E46" s="165"/>
      <c r="F46" s="165"/>
      <c r="G46" s="165"/>
      <c r="H46" s="165"/>
      <c r="I46" s="165"/>
      <c r="J46" s="165"/>
      <c r="K46" s="165"/>
      <c r="L46" s="165"/>
      <c r="M46" s="165"/>
      <c r="N46" s="165"/>
    </row>
    <row r="47" spans="1:14" ht="28" x14ac:dyDescent="0.2">
      <c r="B47" s="166" t="s">
        <v>21</v>
      </c>
      <c r="C47" s="167" t="s">
        <v>89</v>
      </c>
      <c r="D47" s="167" t="s">
        <v>90</v>
      </c>
      <c r="E47" s="167" t="s">
        <v>91</v>
      </c>
      <c r="F47" s="167" t="s">
        <v>92</v>
      </c>
      <c r="G47" s="167" t="s">
        <v>93</v>
      </c>
      <c r="H47" s="167" t="s">
        <v>94</v>
      </c>
      <c r="I47" s="167" t="s">
        <v>95</v>
      </c>
      <c r="J47" s="167" t="s">
        <v>96</v>
      </c>
      <c r="K47" s="167" t="s">
        <v>97</v>
      </c>
      <c r="L47" s="167" t="s">
        <v>98</v>
      </c>
      <c r="M47" s="168" t="s">
        <v>99</v>
      </c>
    </row>
    <row r="48" spans="1:14" ht="224" x14ac:dyDescent="0.2">
      <c r="B48" s="169" t="s">
        <v>202</v>
      </c>
      <c r="C48" s="106" t="s">
        <v>203</v>
      </c>
      <c r="D48" s="107" t="s">
        <v>102</v>
      </c>
      <c r="E48" s="107" t="s">
        <v>204</v>
      </c>
      <c r="F48" s="107" t="s">
        <v>205</v>
      </c>
      <c r="G48" s="108" t="s">
        <v>206</v>
      </c>
      <c r="H48" s="170">
        <v>0.14000000000000001</v>
      </c>
      <c r="I48" s="110" t="s">
        <v>207</v>
      </c>
      <c r="J48" s="364">
        <v>29.8</v>
      </c>
      <c r="K48" s="364">
        <v>28.5</v>
      </c>
      <c r="L48" s="364">
        <v>38</v>
      </c>
      <c r="M48" s="171">
        <f>IF(OR(K48="",L48=""),"",((L48-K48)/K48))</f>
        <v>0.33333333333333331</v>
      </c>
    </row>
    <row r="49" spans="2:13" ht="196" x14ac:dyDescent="0.2">
      <c r="B49" s="172" t="s">
        <v>208</v>
      </c>
      <c r="C49" s="114" t="s">
        <v>209</v>
      </c>
      <c r="D49" s="115" t="s">
        <v>102</v>
      </c>
      <c r="E49" s="115" t="s">
        <v>210</v>
      </c>
      <c r="F49" s="115" t="s">
        <v>211</v>
      </c>
      <c r="G49" s="116" t="s">
        <v>212</v>
      </c>
      <c r="H49" s="173">
        <v>0.12</v>
      </c>
      <c r="I49" s="118" t="s">
        <v>213</v>
      </c>
      <c r="J49" s="364">
        <v>2150</v>
      </c>
      <c r="K49" s="364">
        <v>2050</v>
      </c>
      <c r="L49" s="364">
        <v>2600</v>
      </c>
      <c r="M49" s="171">
        <f>IF(OR(K49="",L49=""),"",((L49-K49)/K49))</f>
        <v>0.26829268292682928</v>
      </c>
    </row>
    <row r="50" spans="2:13" ht="210" x14ac:dyDescent="0.2">
      <c r="B50" s="169" t="s">
        <v>214</v>
      </c>
      <c r="C50" s="106" t="s">
        <v>215</v>
      </c>
      <c r="D50" s="107" t="s">
        <v>102</v>
      </c>
      <c r="E50" s="107" t="s">
        <v>216</v>
      </c>
      <c r="F50" s="107" t="s">
        <v>217</v>
      </c>
      <c r="G50" s="108" t="s">
        <v>218</v>
      </c>
      <c r="H50" s="170">
        <v>0.11</v>
      </c>
      <c r="I50" s="110" t="s">
        <v>219</v>
      </c>
      <c r="J50" s="364">
        <v>88.5</v>
      </c>
      <c r="K50" s="364">
        <v>84</v>
      </c>
      <c r="L50" s="364">
        <v>112</v>
      </c>
      <c r="M50" s="171">
        <f>IF(OR(K50="",L50=""),"",((L50-K50)/K50))</f>
        <v>0.33333333333333331</v>
      </c>
    </row>
    <row r="51" spans="2:13" ht="210" x14ac:dyDescent="0.2">
      <c r="B51" s="172" t="s">
        <v>220</v>
      </c>
      <c r="C51" s="114" t="s">
        <v>221</v>
      </c>
      <c r="D51" s="115" t="s">
        <v>102</v>
      </c>
      <c r="E51" s="115" t="s">
        <v>204</v>
      </c>
      <c r="F51" s="115" t="s">
        <v>222</v>
      </c>
      <c r="G51" s="116" t="s">
        <v>223</v>
      </c>
      <c r="H51" s="173">
        <v>0.1</v>
      </c>
      <c r="I51" s="118" t="s">
        <v>224</v>
      </c>
      <c r="J51" s="364">
        <v>65.400000000000006</v>
      </c>
      <c r="K51" s="364">
        <v>63</v>
      </c>
      <c r="L51" s="364">
        <v>80</v>
      </c>
      <c r="M51" s="171">
        <f>IF(OR(K51="",L51=""),"",((L51-K51)/K51))</f>
        <v>0.26984126984126983</v>
      </c>
    </row>
    <row r="52" spans="2:13" ht="196" x14ac:dyDescent="0.2">
      <c r="B52" s="169" t="s">
        <v>225</v>
      </c>
      <c r="C52" s="106" t="s">
        <v>226</v>
      </c>
      <c r="D52" s="107" t="s">
        <v>102</v>
      </c>
      <c r="E52" s="107" t="s">
        <v>227</v>
      </c>
      <c r="F52" s="107" t="s">
        <v>222</v>
      </c>
      <c r="G52" s="108" t="s">
        <v>228</v>
      </c>
      <c r="H52" s="170">
        <v>0.08</v>
      </c>
      <c r="I52" s="110" t="s">
        <v>229</v>
      </c>
      <c r="J52" s="364">
        <v>11.2</v>
      </c>
      <c r="K52" s="364">
        <v>10.8</v>
      </c>
      <c r="L52" s="364">
        <v>14.5</v>
      </c>
      <c r="M52" s="171">
        <f>IF(OR(K52="",L52=""),"",((L52-K52)/K52))</f>
        <v>0.3425925925925925</v>
      </c>
    </row>
    <row r="53" spans="2:13" ht="182" x14ac:dyDescent="0.2">
      <c r="B53" s="174" t="s">
        <v>230</v>
      </c>
      <c r="C53" s="114" t="s">
        <v>231</v>
      </c>
      <c r="D53" s="115" t="s">
        <v>130</v>
      </c>
      <c r="E53" s="115" t="s">
        <v>204</v>
      </c>
      <c r="F53" s="115" t="s">
        <v>232</v>
      </c>
      <c r="G53" s="116" t="s">
        <v>233</v>
      </c>
      <c r="H53" s="173">
        <v>0.18</v>
      </c>
      <c r="I53" s="118" t="s">
        <v>234</v>
      </c>
      <c r="J53" s="364">
        <v>58.9</v>
      </c>
      <c r="K53" s="364">
        <v>58.9</v>
      </c>
      <c r="L53" s="364">
        <v>72</v>
      </c>
      <c r="M53" s="171">
        <f>IF(OR(K53="",L53=""),"",((L53-K53)/K53))</f>
        <v>0.22241086587436334</v>
      </c>
    </row>
    <row r="54" spans="2:13" ht="154" x14ac:dyDescent="0.2">
      <c r="B54" s="175" t="s">
        <v>235</v>
      </c>
      <c r="C54" s="106" t="s">
        <v>236</v>
      </c>
      <c r="D54" s="107" t="s">
        <v>130</v>
      </c>
      <c r="E54" s="107" t="s">
        <v>237</v>
      </c>
      <c r="F54" s="107" t="s">
        <v>238</v>
      </c>
      <c r="G54" s="108" t="s">
        <v>239</v>
      </c>
      <c r="H54" s="170">
        <v>0.15</v>
      </c>
      <c r="I54" s="110" t="s">
        <v>184</v>
      </c>
      <c r="J54" s="364">
        <v>68.400000000000006</v>
      </c>
      <c r="K54" s="364">
        <v>68.400000000000006</v>
      </c>
      <c r="L54" s="364">
        <v>83</v>
      </c>
      <c r="M54" s="171">
        <f>IF(OR(K54="",L54=""),"",((L54-K54)/K54))</f>
        <v>0.21345029239766072</v>
      </c>
    </row>
    <row r="55" spans="2:13" ht="252" x14ac:dyDescent="0.2">
      <c r="B55" s="174" t="s">
        <v>240</v>
      </c>
      <c r="C55" s="114" t="s">
        <v>241</v>
      </c>
      <c r="D55" s="115" t="s">
        <v>130</v>
      </c>
      <c r="E55" s="115" t="s">
        <v>242</v>
      </c>
      <c r="F55" s="115" t="s">
        <v>243</v>
      </c>
      <c r="G55" s="116" t="s">
        <v>244</v>
      </c>
      <c r="H55" s="173">
        <v>0.12</v>
      </c>
      <c r="I55" s="118" t="s">
        <v>234</v>
      </c>
      <c r="J55" s="364">
        <v>28.2</v>
      </c>
      <c r="K55" s="364">
        <v>28.2</v>
      </c>
      <c r="L55" s="364">
        <v>34</v>
      </c>
      <c r="M55" s="171">
        <f>IF(OR(K55="",L55=""),"",((L55-K55)/K55))</f>
        <v>0.20567375886524825</v>
      </c>
    </row>
    <row r="56" spans="2:13" x14ac:dyDescent="0.2">
      <c r="B56" s="176" t="s">
        <v>245</v>
      </c>
      <c r="C56" s="177"/>
      <c r="D56" s="177"/>
      <c r="E56" s="177"/>
      <c r="F56" s="177"/>
      <c r="G56" s="177"/>
      <c r="H56" s="177"/>
      <c r="I56" s="177"/>
      <c r="J56" s="177"/>
      <c r="K56" s="177"/>
      <c r="L56" s="177"/>
      <c r="M56" s="178"/>
    </row>
  </sheetData>
  <mergeCells count="23">
    <mergeCell ref="C42:M42"/>
    <mergeCell ref="C43:M43"/>
    <mergeCell ref="C44:M44"/>
    <mergeCell ref="C45:M45"/>
    <mergeCell ref="B56:M56"/>
    <mergeCell ref="C25:M25"/>
    <mergeCell ref="C26:M26"/>
    <mergeCell ref="C27:M27"/>
    <mergeCell ref="B38:M38"/>
    <mergeCell ref="B40:M40"/>
    <mergeCell ref="C41:M41"/>
    <mergeCell ref="C8:M8"/>
    <mergeCell ref="C9:M9"/>
    <mergeCell ref="B20:M20"/>
    <mergeCell ref="B22:M22"/>
    <mergeCell ref="C23:M23"/>
    <mergeCell ref="C24:M24"/>
    <mergeCell ref="B1:M1"/>
    <mergeCell ref="B2:M2"/>
    <mergeCell ref="B4:M4"/>
    <mergeCell ref="C5:M5"/>
    <mergeCell ref="C6:M6"/>
    <mergeCell ref="C7:M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C87E-8B1A-5145-816F-A700AC346A7A}">
  <sheetPr>
    <tabColor rgb="FF1E5FA8"/>
  </sheetPr>
  <dimension ref="A1:G30"/>
  <sheetViews>
    <sheetView showGridLines="0" workbookViewId="0">
      <pane ySplit="3" topLeftCell="A13" activePane="bottomLeft" state="frozen"/>
      <selection pane="bottomLeft" activeCell="E33" sqref="E33"/>
    </sheetView>
  </sheetViews>
  <sheetFormatPr baseColWidth="10" defaultRowHeight="16" x14ac:dyDescent="0.2"/>
  <cols>
    <col min="2" max="2" width="20.6640625" customWidth="1"/>
    <col min="3" max="3" width="33" customWidth="1"/>
    <col min="4" max="4" width="19.6640625" customWidth="1"/>
    <col min="5" max="5" width="28.1640625" customWidth="1"/>
    <col min="6" max="6" width="19.1640625" customWidth="1"/>
    <col min="7" max="7" width="40" customWidth="1"/>
  </cols>
  <sheetData>
    <row r="1" spans="1:6" ht="34" x14ac:dyDescent="0.2">
      <c r="B1" s="99" t="s">
        <v>246</v>
      </c>
      <c r="C1" s="99"/>
      <c r="D1" s="99"/>
      <c r="E1" s="99"/>
    </row>
    <row r="2" spans="1:6" x14ac:dyDescent="0.2">
      <c r="B2" s="375" t="s">
        <v>430</v>
      </c>
      <c r="C2" s="376" t="str">
        <f>'Macro Scorecard'!E12</f>
        <v>🟢  Risk-On — Favour Cyclical Themes</v>
      </c>
      <c r="D2" s="377" t="s">
        <v>431</v>
      </c>
      <c r="E2" s="100"/>
    </row>
    <row r="3" spans="1:6" x14ac:dyDescent="0.2">
      <c r="A3" s="8"/>
      <c r="B3" s="8"/>
      <c r="C3" s="8"/>
      <c r="D3" s="8"/>
      <c r="E3" s="8"/>
      <c r="F3" s="8"/>
    </row>
    <row r="4" spans="1:6" x14ac:dyDescent="0.2">
      <c r="B4" s="9" t="s">
        <v>247</v>
      </c>
      <c r="C4" s="9"/>
      <c r="D4" s="9"/>
      <c r="E4" s="9"/>
    </row>
    <row r="5" spans="1:6" ht="45" x14ac:dyDescent="0.2">
      <c r="B5" s="192" t="s">
        <v>11</v>
      </c>
      <c r="C5" s="10" t="s">
        <v>248</v>
      </c>
      <c r="D5" s="10" t="s">
        <v>249</v>
      </c>
      <c r="E5" s="11" t="s">
        <v>250</v>
      </c>
    </row>
    <row r="6" spans="1:6" ht="18" x14ac:dyDescent="0.2">
      <c r="B6" s="193" t="s">
        <v>14</v>
      </c>
      <c r="C6" s="194">
        <v>0.45</v>
      </c>
      <c r="D6" s="195">
        <v>0.4</v>
      </c>
      <c r="E6" s="196">
        <v>0.3</v>
      </c>
    </row>
    <row r="7" spans="1:6" ht="18" x14ac:dyDescent="0.2">
      <c r="B7" s="197" t="s">
        <v>16</v>
      </c>
      <c r="C7" s="198">
        <v>0.35</v>
      </c>
      <c r="D7" s="199">
        <v>0.35</v>
      </c>
      <c r="E7" s="196">
        <v>0.4</v>
      </c>
    </row>
    <row r="8" spans="1:6" ht="18" x14ac:dyDescent="0.2">
      <c r="B8" s="193" t="s">
        <v>19</v>
      </c>
      <c r="C8" s="194">
        <v>0.2</v>
      </c>
      <c r="D8" s="199">
        <v>0.25</v>
      </c>
      <c r="E8" s="196">
        <v>0.3</v>
      </c>
    </row>
    <row r="9" spans="1:6" x14ac:dyDescent="0.2">
      <c r="B9" s="200" t="s">
        <v>251</v>
      </c>
      <c r="C9" s="201">
        <v>1</v>
      </c>
      <c r="D9" s="201">
        <v>1</v>
      </c>
      <c r="E9" s="202">
        <v>1</v>
      </c>
    </row>
    <row r="10" spans="1:6" x14ac:dyDescent="0.2">
      <c r="A10" s="8"/>
      <c r="B10" s="8"/>
      <c r="C10" s="8"/>
      <c r="D10" s="8"/>
      <c r="E10" s="8"/>
      <c r="F10" s="8"/>
    </row>
    <row r="11" spans="1:6" x14ac:dyDescent="0.2">
      <c r="B11" s="203" t="s">
        <v>252</v>
      </c>
      <c r="C11" s="72"/>
      <c r="D11" s="72"/>
      <c r="E11" s="204"/>
    </row>
    <row r="12" spans="1:6" ht="60" x14ac:dyDescent="0.2">
      <c r="B12" s="19" t="s">
        <v>253</v>
      </c>
      <c r="C12" s="205" t="s">
        <v>254</v>
      </c>
      <c r="D12" s="205"/>
      <c r="E12" s="206"/>
    </row>
    <row r="13" spans="1:6" ht="60" x14ac:dyDescent="0.2">
      <c r="B13" s="20" t="s">
        <v>255</v>
      </c>
      <c r="C13" s="207" t="s">
        <v>256</v>
      </c>
      <c r="D13" s="207"/>
      <c r="E13" s="208"/>
    </row>
    <row r="14" spans="1:6" ht="60" x14ac:dyDescent="0.2">
      <c r="B14" s="19" t="s">
        <v>257</v>
      </c>
      <c r="C14" s="205" t="s">
        <v>258</v>
      </c>
      <c r="D14" s="205"/>
      <c r="E14" s="206"/>
    </row>
    <row r="15" spans="1:6" ht="60" x14ac:dyDescent="0.2">
      <c r="B15" s="20" t="s">
        <v>259</v>
      </c>
      <c r="C15" s="207" t="s">
        <v>260</v>
      </c>
      <c r="D15" s="207"/>
      <c r="E15" s="208"/>
    </row>
    <row r="16" spans="1:6" ht="45" x14ac:dyDescent="0.2">
      <c r="B16" s="22" t="s">
        <v>261</v>
      </c>
      <c r="C16" s="209" t="s">
        <v>262</v>
      </c>
      <c r="D16" s="209"/>
      <c r="E16" s="210"/>
    </row>
    <row r="17" spans="1:7" x14ac:dyDescent="0.2">
      <c r="A17" s="8"/>
      <c r="B17" s="8"/>
      <c r="C17" s="8"/>
      <c r="D17" s="8"/>
      <c r="E17" s="8"/>
      <c r="F17" s="8"/>
    </row>
    <row r="18" spans="1:7" x14ac:dyDescent="0.2">
      <c r="B18" s="9" t="s">
        <v>263</v>
      </c>
      <c r="C18" s="9"/>
      <c r="D18" s="9"/>
      <c r="E18" s="9"/>
    </row>
    <row r="19" spans="1:7" ht="56" x14ac:dyDescent="0.2">
      <c r="B19" s="211" t="s">
        <v>264</v>
      </c>
      <c r="C19" s="212" t="s">
        <v>265</v>
      </c>
      <c r="D19" s="212" t="s">
        <v>266</v>
      </c>
      <c r="E19" s="212" t="s">
        <v>267</v>
      </c>
      <c r="F19" s="212" t="s">
        <v>268</v>
      </c>
      <c r="G19" s="213" t="s">
        <v>269</v>
      </c>
    </row>
    <row r="20" spans="1:7" x14ac:dyDescent="0.2">
      <c r="B20" s="214" t="s">
        <v>270</v>
      </c>
      <c r="C20" s="215" t="s">
        <v>271</v>
      </c>
      <c r="D20" s="215" t="s">
        <v>272</v>
      </c>
      <c r="E20" s="215" t="s">
        <v>273</v>
      </c>
      <c r="F20" s="215" t="s">
        <v>274</v>
      </c>
      <c r="G20" s="216" t="s">
        <v>275</v>
      </c>
    </row>
    <row r="21" spans="1:7" x14ac:dyDescent="0.2">
      <c r="B21" s="217"/>
      <c r="C21" s="218"/>
      <c r="D21" s="218"/>
      <c r="E21" s="218"/>
      <c r="F21" s="218"/>
      <c r="G21" s="219"/>
    </row>
    <row r="22" spans="1:7" x14ac:dyDescent="0.2">
      <c r="B22" s="220"/>
      <c r="C22" s="111"/>
      <c r="D22" s="111"/>
      <c r="E22" s="111"/>
      <c r="F22" s="111"/>
      <c r="G22" s="221"/>
    </row>
    <row r="23" spans="1:7" x14ac:dyDescent="0.2">
      <c r="B23" s="217"/>
      <c r="C23" s="218"/>
      <c r="D23" s="218"/>
      <c r="E23" s="218"/>
      <c r="F23" s="218"/>
      <c r="G23" s="219"/>
    </row>
    <row r="24" spans="1:7" x14ac:dyDescent="0.2">
      <c r="B24" s="220"/>
      <c r="C24" s="111"/>
      <c r="D24" s="111"/>
      <c r="E24" s="111"/>
      <c r="F24" s="111"/>
      <c r="G24" s="221"/>
    </row>
    <row r="25" spans="1:7" x14ac:dyDescent="0.2">
      <c r="B25" s="217"/>
      <c r="C25" s="218"/>
      <c r="D25" s="218"/>
      <c r="E25" s="218"/>
      <c r="F25" s="218"/>
      <c r="G25" s="219"/>
    </row>
    <row r="26" spans="1:7" x14ac:dyDescent="0.2">
      <c r="B26" s="220"/>
      <c r="C26" s="111"/>
      <c r="D26" s="111"/>
      <c r="E26" s="111"/>
      <c r="F26" s="111"/>
      <c r="G26" s="221"/>
    </row>
    <row r="27" spans="1:7" x14ac:dyDescent="0.2">
      <c r="B27" s="217"/>
      <c r="C27" s="218"/>
      <c r="D27" s="218"/>
      <c r="E27" s="218"/>
      <c r="F27" s="218"/>
      <c r="G27" s="219"/>
    </row>
    <row r="28" spans="1:7" x14ac:dyDescent="0.2">
      <c r="B28" s="220"/>
      <c r="C28" s="111"/>
      <c r="D28" s="111"/>
      <c r="E28" s="111"/>
      <c r="F28" s="111"/>
      <c r="G28" s="221"/>
    </row>
    <row r="29" spans="1:7" x14ac:dyDescent="0.2">
      <c r="B29" s="217"/>
      <c r="C29" s="218"/>
      <c r="D29" s="218"/>
      <c r="E29" s="218"/>
      <c r="F29" s="218"/>
      <c r="G29" s="219"/>
    </row>
    <row r="30" spans="1:7" x14ac:dyDescent="0.2">
      <c r="B30" s="222"/>
      <c r="C30" s="223"/>
      <c r="D30" s="223"/>
      <c r="E30" s="223"/>
      <c r="F30" s="223"/>
      <c r="G30" s="224"/>
    </row>
  </sheetData>
  <mergeCells count="10">
    <mergeCell ref="C14:E14"/>
    <mergeCell ref="C15:E15"/>
    <mergeCell ref="C16:E16"/>
    <mergeCell ref="B18:E18"/>
    <mergeCell ref="D2:E2"/>
    <mergeCell ref="B1:E1"/>
    <mergeCell ref="B4:E4"/>
    <mergeCell ref="B11:E11"/>
    <mergeCell ref="C12:E12"/>
    <mergeCell ref="C13:E13"/>
  </mergeCells>
  <conditionalFormatting sqref="C2">
    <cfRule type="containsText" dxfId="17" priority="1" operator="containsText" text="Risk-On">
      <formula>NOT(ISERROR(SEARCH("Risk-On",C2)))</formula>
    </cfRule>
  </conditionalFormatting>
  <conditionalFormatting sqref="C2">
    <cfRule type="containsText" dxfId="16" priority="2" operator="containsText" text="Neutral">
      <formula>NOT(ISERROR(SEARCH("Neutral",C2)))</formula>
    </cfRule>
  </conditionalFormatting>
  <conditionalFormatting sqref="C2">
    <cfRule type="containsText" dxfId="15" priority="3" operator="containsText" text="Risk-Off">
      <formula>NOT(ISERROR(SEARCH("Risk-Off",C2)))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04EA-FD4A-CB42-AE44-8BDE36627690}">
  <sheetPr>
    <tabColor rgb="FF1A7A3C"/>
  </sheetPr>
  <dimension ref="A1:N73"/>
  <sheetViews>
    <sheetView showGridLines="0" workbookViewId="0">
      <pane ySplit="5" topLeftCell="A43" activePane="bottomLeft" state="frozen"/>
      <selection pane="bottomLeft" activeCell="B3" sqref="B3"/>
    </sheetView>
  </sheetViews>
  <sheetFormatPr baseColWidth="10" defaultRowHeight="16" x14ac:dyDescent="0.2"/>
  <cols>
    <col min="2" max="2" width="19.33203125" bestFit="1" customWidth="1"/>
    <col min="3" max="3" width="11.83203125" bestFit="1" customWidth="1"/>
    <col min="4" max="4" width="18.1640625" bestFit="1" customWidth="1"/>
    <col min="5" max="5" width="10.1640625" bestFit="1" customWidth="1"/>
    <col min="6" max="6" width="9.33203125" bestFit="1" customWidth="1"/>
    <col min="7" max="7" width="10.1640625" bestFit="1" customWidth="1"/>
    <col min="13" max="13" width="19.83203125" customWidth="1"/>
  </cols>
  <sheetData>
    <row r="1" spans="1:14" ht="34" x14ac:dyDescent="0.2">
      <c r="B1" s="99" t="s">
        <v>276</v>
      </c>
      <c r="C1" s="99"/>
      <c r="D1" s="99"/>
      <c r="E1" s="99"/>
      <c r="F1" s="99"/>
      <c r="G1" s="99"/>
      <c r="H1" s="99"/>
      <c r="I1" s="99"/>
      <c r="J1" s="99"/>
      <c r="K1" s="99"/>
      <c r="L1" s="99"/>
      <c r="M1" s="99"/>
    </row>
    <row r="2" spans="1:14" x14ac:dyDescent="0.2">
      <c r="B2" s="100" t="s">
        <v>277</v>
      </c>
      <c r="C2" s="100"/>
      <c r="D2" s="100"/>
      <c r="E2" s="100"/>
      <c r="F2" s="100"/>
      <c r="G2" s="100"/>
      <c r="H2" s="100"/>
      <c r="I2" s="100"/>
      <c r="J2" s="100"/>
      <c r="K2" s="100"/>
      <c r="L2" s="100"/>
      <c r="M2" s="100"/>
    </row>
    <row r="3" spans="1:14" x14ac:dyDescent="0.2">
      <c r="A3" s="8"/>
      <c r="B3" s="8"/>
      <c r="C3" s="8"/>
      <c r="D3" s="8"/>
      <c r="E3" s="8"/>
      <c r="F3" s="8"/>
      <c r="G3" s="8"/>
      <c r="H3" s="8"/>
      <c r="I3" s="8"/>
      <c r="J3" s="8"/>
      <c r="K3" s="8"/>
      <c r="L3" s="8"/>
      <c r="M3" s="8"/>
      <c r="N3" s="8"/>
    </row>
    <row r="4" spans="1:14" x14ac:dyDescent="0.2">
      <c r="B4" s="9" t="s">
        <v>278</v>
      </c>
      <c r="C4" s="9"/>
      <c r="D4" s="9"/>
      <c r="E4" s="9"/>
      <c r="F4" s="9"/>
      <c r="G4" s="9"/>
      <c r="I4" s="9" t="s">
        <v>285</v>
      </c>
      <c r="J4" s="9"/>
      <c r="K4" s="9"/>
      <c r="L4" s="9"/>
      <c r="M4" s="9"/>
    </row>
    <row r="5" spans="1:14" ht="56" x14ac:dyDescent="0.2">
      <c r="B5" s="225" t="s">
        <v>279</v>
      </c>
      <c r="C5" s="226" t="s">
        <v>280</v>
      </c>
      <c r="D5" s="226" t="s">
        <v>281</v>
      </c>
      <c r="E5" s="226" t="s">
        <v>282</v>
      </c>
      <c r="F5" s="226" t="s">
        <v>283</v>
      </c>
      <c r="G5" s="227" t="s">
        <v>284</v>
      </c>
      <c r="I5" s="225" t="s">
        <v>279</v>
      </c>
      <c r="J5" s="226" t="s">
        <v>286</v>
      </c>
      <c r="K5" s="226" t="s">
        <v>287</v>
      </c>
      <c r="L5" s="226" t="s">
        <v>288</v>
      </c>
      <c r="M5" s="227" t="s">
        <v>289</v>
      </c>
    </row>
    <row r="6" spans="1:14" x14ac:dyDescent="0.2">
      <c r="B6" s="228">
        <v>44562</v>
      </c>
      <c r="C6" s="229">
        <v>-8.8999999999999996E-2</v>
      </c>
      <c r="D6" s="229">
        <v>-1.2E-2</v>
      </c>
      <c r="E6" s="229">
        <v>-1.7999999999999999E-2</v>
      </c>
      <c r="F6" s="229">
        <v>-5.8000000000000003E-2</v>
      </c>
      <c r="G6" s="230">
        <f>IF(AND(C6="",D6="",E6=""),"",0.4*IF(C6="",0,C6)+0.35*IF(D6="",0,D6)+0.25*IF(E6="",0,E6))</f>
        <v>-4.4299999999999999E-2</v>
      </c>
      <c r="I6" s="236">
        <v>44562</v>
      </c>
      <c r="J6" s="237">
        <f>IF(G6="",100,100*(1+G6))</f>
        <v>95.57</v>
      </c>
      <c r="K6" s="237">
        <f>IF(F6="",100,100*(1+F6))</f>
        <v>94.199999999999989</v>
      </c>
      <c r="L6" s="237">
        <f>MAX(J$6:J6)</f>
        <v>95.57</v>
      </c>
      <c r="M6" s="238">
        <f>IF(L6=0,"",J6/L6-1)</f>
        <v>0</v>
      </c>
    </row>
    <row r="7" spans="1:14" x14ac:dyDescent="0.2">
      <c r="B7" s="231">
        <v>44593</v>
      </c>
      <c r="C7" s="229">
        <v>-5.0999999999999997E-2</v>
      </c>
      <c r="D7" s="229">
        <v>-8.0000000000000002E-3</v>
      </c>
      <c r="E7" s="229">
        <v>-2.9000000000000001E-2</v>
      </c>
      <c r="F7" s="229">
        <v>-2.7E-2</v>
      </c>
      <c r="G7" s="232">
        <f>IF(AND(C7="",D7="",E7=""),"",0.4*IF(C7="",0,C7)+0.35*IF(D7="",0,D7)+0.25*IF(E7="",0,E7))</f>
        <v>-3.0450000000000001E-2</v>
      </c>
      <c r="I7" s="239">
        <v>44593</v>
      </c>
      <c r="J7" s="240">
        <f>IF(G7="",J6,J6*(1+G7))</f>
        <v>92.659893499999995</v>
      </c>
      <c r="K7" s="240">
        <f>IF(F7="",K6,K6*(1+F7))</f>
        <v>91.656599999999983</v>
      </c>
      <c r="L7" s="240">
        <f>MAX(J$6:J7)</f>
        <v>95.57</v>
      </c>
      <c r="M7" s="241">
        <f>IF(L7=0,"",J7/L7-1)</f>
        <v>-3.0449999999999977E-2</v>
      </c>
    </row>
    <row r="8" spans="1:14" x14ac:dyDescent="0.2">
      <c r="B8" s="228">
        <v>44621</v>
      </c>
      <c r="C8" s="229">
        <v>2.1999999999999999E-2</v>
      </c>
      <c r="D8" s="229">
        <v>5.3999999999999999E-2</v>
      </c>
      <c r="E8" s="229">
        <v>-3.4000000000000002E-2</v>
      </c>
      <c r="F8" s="229">
        <v>-0.03</v>
      </c>
      <c r="G8" s="230">
        <f>IF(AND(C8="",D8="",E8=""),"",0.4*IF(C8="",0,C8)+0.35*IF(D8="",0,D8)+0.25*IF(E8="",0,E8))</f>
        <v>1.9200000000000002E-2</v>
      </c>
      <c r="I8" s="236">
        <v>44621</v>
      </c>
      <c r="J8" s="237">
        <f>IF(G8="",J7,J7*(1+G8))</f>
        <v>94.43896345520001</v>
      </c>
      <c r="K8" s="237">
        <f>IF(F8="",K7,K7*(1+F8))</f>
        <v>88.906901999999988</v>
      </c>
      <c r="L8" s="237">
        <f>MAX(J$6:J8)</f>
        <v>95.57</v>
      </c>
      <c r="M8" s="238">
        <f>IF(L8=0,"",J8/L8-1)</f>
        <v>-1.1834639999999785E-2</v>
      </c>
    </row>
    <row r="9" spans="1:14" x14ac:dyDescent="0.2">
      <c r="B9" s="231">
        <v>44652</v>
      </c>
      <c r="C9" s="229">
        <v>-9.1999999999999998E-2</v>
      </c>
      <c r="D9" s="229">
        <v>-1.4999999999999999E-2</v>
      </c>
      <c r="E9" s="229">
        <v>-4.8000000000000001E-2</v>
      </c>
      <c r="F9" s="229">
        <v>-8.2000000000000003E-2</v>
      </c>
      <c r="G9" s="232">
        <f>IF(AND(C9="",D9="",E9=""),"",0.4*IF(C9="",0,C9)+0.35*IF(D9="",0,D9)+0.25*IF(E9="",0,E9))</f>
        <v>-5.4050000000000001E-2</v>
      </c>
      <c r="I9" s="239">
        <v>44652</v>
      </c>
      <c r="J9" s="240">
        <f>IF(G9="",J8,J8*(1+G9))</f>
        <v>89.334537480446443</v>
      </c>
      <c r="K9" s="240">
        <f>IF(F9="",K8,K8*(1+F9))</f>
        <v>81.616536035999999</v>
      </c>
      <c r="L9" s="240">
        <f>MAX(J$6:J9)</f>
        <v>95.57</v>
      </c>
      <c r="M9" s="241">
        <f>IF(L9=0,"",J9/L9-1)</f>
        <v>-6.5244977707999863E-2</v>
      </c>
    </row>
    <row r="10" spans="1:14" x14ac:dyDescent="0.2">
      <c r="B10" s="228">
        <v>44682</v>
      </c>
      <c r="C10" s="229">
        <v>-6.2E-2</v>
      </c>
      <c r="D10" s="229">
        <v>-8.9999999999999993E-3</v>
      </c>
      <c r="E10" s="229">
        <v>-1.0999999999999999E-2</v>
      </c>
      <c r="F10" s="229">
        <v>-5.8999999999999997E-2</v>
      </c>
      <c r="G10" s="230">
        <f>IF(AND(C10="",D10="",E10=""),"",0.4*IF(C10="",0,C10)+0.35*IF(D10="",0,D10)+0.25*IF(E10="",0,E10))</f>
        <v>-3.0700000000000002E-2</v>
      </c>
      <c r="I10" s="236">
        <v>44682</v>
      </c>
      <c r="J10" s="237">
        <f>IF(G10="",J9,J9*(1+G10))</f>
        <v>86.59196717979674</v>
      </c>
      <c r="K10" s="237">
        <f>IF(F10="",K9,K9*(1+F10))</f>
        <v>76.801160409876005</v>
      </c>
      <c r="L10" s="237">
        <f>MAX(J$6:J10)</f>
        <v>95.57</v>
      </c>
      <c r="M10" s="238">
        <f>IF(L10=0,"",J10/L10-1)</f>
        <v>-9.3941956892364287E-2</v>
      </c>
    </row>
    <row r="11" spans="1:14" x14ac:dyDescent="0.2">
      <c r="B11" s="231">
        <v>44713</v>
      </c>
      <c r="C11" s="229">
        <v>-8.8999999999999996E-2</v>
      </c>
      <c r="D11" s="229">
        <v>-2.1000000000000001E-2</v>
      </c>
      <c r="E11" s="229">
        <v>-6.7000000000000004E-2</v>
      </c>
      <c r="F11" s="229">
        <v>-8.3000000000000004E-2</v>
      </c>
      <c r="G11" s="232">
        <f>IF(AND(C11="",D11="",E11=""),"",0.4*IF(C11="",0,C11)+0.35*IF(D11="",0,D11)+0.25*IF(E11="",0,E11))</f>
        <v>-5.9700000000000003E-2</v>
      </c>
      <c r="I11" s="239">
        <v>44713</v>
      </c>
      <c r="J11" s="240">
        <f>IF(G11="",J10,J10*(1+G11))</f>
        <v>81.422426739162873</v>
      </c>
      <c r="K11" s="240">
        <f>IF(F11="",K10,K10*(1+F11))</f>
        <v>70.426664095856296</v>
      </c>
      <c r="L11" s="240">
        <f>MAX(J$6:J11)</f>
        <v>95.57</v>
      </c>
      <c r="M11" s="241">
        <f>IF(L11=0,"",J11/L11-1)</f>
        <v>-0.1480336220658901</v>
      </c>
    </row>
    <row r="12" spans="1:14" x14ac:dyDescent="0.2">
      <c r="B12" s="228">
        <v>44743</v>
      </c>
      <c r="C12" s="229">
        <v>6.0999999999999999E-2</v>
      </c>
      <c r="D12" s="229">
        <v>3.2000000000000001E-2</v>
      </c>
      <c r="E12" s="229">
        <v>4.8000000000000001E-2</v>
      </c>
      <c r="F12" s="229">
        <v>6.3E-2</v>
      </c>
      <c r="G12" s="230">
        <f>IF(AND(C12="",D12="",E12=""),"",0.4*IF(C12="",0,C12)+0.35*IF(D12="",0,D12)+0.25*IF(E12="",0,E12))</f>
        <v>4.7600000000000003E-2</v>
      </c>
      <c r="I12" s="236">
        <v>44743</v>
      </c>
      <c r="J12" s="237">
        <f>IF(G12="",J11,J11*(1+G12))</f>
        <v>85.298134251947033</v>
      </c>
      <c r="K12" s="237">
        <f>IF(F12="",K11,K11*(1+F12))</f>
        <v>74.863543933895244</v>
      </c>
      <c r="L12" s="237">
        <f>MAX(J$6:J12)</f>
        <v>95.57</v>
      </c>
      <c r="M12" s="238">
        <f>IF(L12=0,"",J12/L12-1)</f>
        <v>-0.10748002247622646</v>
      </c>
    </row>
    <row r="13" spans="1:14" x14ac:dyDescent="0.2">
      <c r="B13" s="231">
        <v>44774</v>
      </c>
      <c r="C13" s="229">
        <v>-5.3999999999999999E-2</v>
      </c>
      <c r="D13" s="229">
        <v>-1.9E-2</v>
      </c>
      <c r="E13" s="229">
        <v>-1.9E-2</v>
      </c>
      <c r="F13" s="229">
        <v>-4.2000000000000003E-2</v>
      </c>
      <c r="G13" s="232">
        <f>IF(AND(C13="",D13="",E13=""),"",0.4*IF(C13="",0,C13)+0.35*IF(D13="",0,D13)+0.25*IF(E13="",0,E13))</f>
        <v>-3.3000000000000002E-2</v>
      </c>
      <c r="I13" s="239">
        <v>44774</v>
      </c>
      <c r="J13" s="240">
        <f>IF(G13="",J12,J12*(1+G13))</f>
        <v>82.48329582163278</v>
      </c>
      <c r="K13" s="240">
        <f>IF(F13="",K12,K12*(1+F13))</f>
        <v>71.719275088671637</v>
      </c>
      <c r="L13" s="240">
        <f>MAX(J$6:J13)</f>
        <v>95.57</v>
      </c>
      <c r="M13" s="241">
        <f>IF(L13=0,"",J13/L13-1)</f>
        <v>-0.13693318173451097</v>
      </c>
    </row>
    <row r="14" spans="1:14" x14ac:dyDescent="0.2">
      <c r="B14" s="228">
        <v>44805</v>
      </c>
      <c r="C14" s="229">
        <v>-8.2000000000000003E-2</v>
      </c>
      <c r="D14" s="229">
        <v>-3.4000000000000002E-2</v>
      </c>
      <c r="E14" s="229">
        <v>-7.1999999999999995E-2</v>
      </c>
      <c r="F14" s="229">
        <v>-9.4E-2</v>
      </c>
      <c r="G14" s="230">
        <f>IF(AND(C14="",D14="",E14=""),"",0.4*IF(C14="",0,C14)+0.35*IF(D14="",0,D14)+0.25*IF(E14="",0,E14))</f>
        <v>-6.2700000000000006E-2</v>
      </c>
      <c r="I14" s="236">
        <v>44805</v>
      </c>
      <c r="J14" s="237">
        <f>IF(G14="",J13,J13*(1+G14))</f>
        <v>77.311593173616401</v>
      </c>
      <c r="K14" s="237">
        <f>IF(F14="",K13,K13*(1+F14))</f>
        <v>64.977663230336503</v>
      </c>
      <c r="L14" s="237">
        <f>MAX(J$6:J14)</f>
        <v>95.57</v>
      </c>
      <c r="M14" s="238">
        <f>IF(L14=0,"",J14/L14-1)</f>
        <v>-0.19104747123975718</v>
      </c>
    </row>
    <row r="15" spans="1:14" x14ac:dyDescent="0.2">
      <c r="B15" s="231">
        <v>44835</v>
      </c>
      <c r="C15" s="229">
        <v>8.6999999999999994E-2</v>
      </c>
      <c r="D15" s="229">
        <v>4.8000000000000001E-2</v>
      </c>
      <c r="E15" s="229">
        <v>3.3000000000000002E-2</v>
      </c>
      <c r="F15" s="229">
        <v>6.2E-2</v>
      </c>
      <c r="G15" s="232">
        <f>IF(AND(C15="",D15="",E15=""),"",0.4*IF(C15="",0,C15)+0.35*IF(D15="",0,D15)+0.25*IF(E15="",0,E15))</f>
        <v>5.9849999999999993E-2</v>
      </c>
      <c r="I15" s="239">
        <v>44835</v>
      </c>
      <c r="J15" s="240">
        <f>IF(G15="",J14,J14*(1+G15))</f>
        <v>81.938692025057335</v>
      </c>
      <c r="K15" s="240">
        <f>IF(F15="",K14,K14*(1+F15))</f>
        <v>69.006278350617364</v>
      </c>
      <c r="L15" s="240">
        <f>MAX(J$6:J15)</f>
        <v>95.57</v>
      </c>
      <c r="M15" s="241">
        <f>IF(L15=0,"",J15/L15-1)</f>
        <v>-0.1426316623934567</v>
      </c>
    </row>
    <row r="16" spans="1:14" x14ac:dyDescent="0.2">
      <c r="B16" s="228">
        <v>44866</v>
      </c>
      <c r="C16" s="229">
        <v>6.2E-2</v>
      </c>
      <c r="D16" s="229">
        <v>3.9E-2</v>
      </c>
      <c r="E16" s="229">
        <v>2.9000000000000001E-2</v>
      </c>
      <c r="F16" s="229">
        <v>5.3999999999999999E-2</v>
      </c>
      <c r="G16" s="230">
        <f>IF(AND(C16="",D16="",E16=""),"",0.4*IF(C16="",0,C16)+0.35*IF(D16="",0,D16)+0.25*IF(E16="",0,E16))</f>
        <v>4.5699999999999998E-2</v>
      </c>
      <c r="I16" s="236">
        <v>44866</v>
      </c>
      <c r="J16" s="237">
        <f>IF(G16="",J15,J15*(1+G16))</f>
        <v>85.683290250602468</v>
      </c>
      <c r="K16" s="237">
        <f>IF(F16="",K15,K15*(1+F16))</f>
        <v>72.73261738155071</v>
      </c>
      <c r="L16" s="237">
        <f>MAX(J$6:J16)</f>
        <v>95.57</v>
      </c>
      <c r="M16" s="238">
        <f>IF(L16=0,"",J16/L16-1)</f>
        <v>-0.10344992936483755</v>
      </c>
    </row>
    <row r="17" spans="2:13" x14ac:dyDescent="0.2">
      <c r="B17" s="233">
        <v>44896</v>
      </c>
      <c r="C17" s="234">
        <v>-2.8000000000000001E-2</v>
      </c>
      <c r="D17" s="234">
        <v>1.2E-2</v>
      </c>
      <c r="E17" s="234">
        <v>-2.1000000000000001E-2</v>
      </c>
      <c r="F17" s="234">
        <v>-6.0000000000000001E-3</v>
      </c>
      <c r="G17" s="235">
        <f>IF(AND(C17="",D17="",E17=""),"",0.4*IF(C17="",0,C17)+0.35*IF(D17="",0,D17)+0.25*IF(E17="",0,E17))</f>
        <v>-1.2250000000000002E-2</v>
      </c>
      <c r="I17" s="242">
        <v>44896</v>
      </c>
      <c r="J17" s="243">
        <f>IF(G17="",J16,J16*(1+G17))</f>
        <v>84.633669945032594</v>
      </c>
      <c r="K17" s="243">
        <f>IF(F17="",K16,K16*(1+F17))</f>
        <v>72.2962216772614</v>
      </c>
      <c r="L17" s="243">
        <f>MAX(J$6:J17)</f>
        <v>95.57</v>
      </c>
      <c r="M17" s="244">
        <f>IF(L17=0,"",J17/L17-1)</f>
        <v>-0.11443266773011829</v>
      </c>
    </row>
    <row r="18" spans="2:13" x14ac:dyDescent="0.2">
      <c r="B18" s="228">
        <v>44927</v>
      </c>
      <c r="C18" s="229">
        <v>0.123</v>
      </c>
      <c r="D18" s="229">
        <v>4.8000000000000001E-2</v>
      </c>
      <c r="E18" s="229">
        <v>3.7999999999999999E-2</v>
      </c>
      <c r="F18" s="229">
        <v>7.1999999999999995E-2</v>
      </c>
      <c r="G18" s="230">
        <f>IF(AND(C18="",D18="",E18=""),"",0.4*IF(C18="",0,C18)+0.35*IF(D18="",0,D18)+0.25*IF(E18="",0,E18))</f>
        <v>7.5499999999999998E-2</v>
      </c>
      <c r="I18" s="236">
        <v>44927</v>
      </c>
      <c r="J18" s="237">
        <f>IF(G18="",J17,J17*(1+G18))</f>
        <v>91.023512025882553</v>
      </c>
      <c r="K18" s="237">
        <f>IF(F18="",K17,K17*(1+F18))</f>
        <v>77.50154963802423</v>
      </c>
      <c r="L18" s="237">
        <f>MAX(J$6:J18)</f>
        <v>95.57</v>
      </c>
      <c r="M18" s="238">
        <f>IF(L18=0,"",J18/L18-1)</f>
        <v>-4.7572334143742179E-2</v>
      </c>
    </row>
    <row r="19" spans="2:13" x14ac:dyDescent="0.2">
      <c r="B19" s="231">
        <v>44958</v>
      </c>
      <c r="C19" s="229">
        <v>-3.7999999999999999E-2</v>
      </c>
      <c r="D19" s="229">
        <v>1.2E-2</v>
      </c>
      <c r="E19" s="229">
        <v>6.0000000000000001E-3</v>
      </c>
      <c r="F19" s="229">
        <v>-2.7E-2</v>
      </c>
      <c r="G19" s="232">
        <f>IF(AND(C19="",D19="",E19=""),"",0.4*IF(C19="",0,C19)+0.35*IF(D19="",0,D19)+0.25*IF(E19="",0,E19))</f>
        <v>-9.4999999999999998E-3</v>
      </c>
      <c r="I19" s="239">
        <v>44958</v>
      </c>
      <c r="J19" s="240">
        <f>IF(G19="",J18,J18*(1+G19))</f>
        <v>90.158788661636677</v>
      </c>
      <c r="K19" s="240">
        <f>IF(F19="",K18,K18*(1+F19))</f>
        <v>75.409007797797571</v>
      </c>
      <c r="L19" s="240">
        <f>MAX(J$6:J19)</f>
        <v>95.57</v>
      </c>
      <c r="M19" s="241">
        <f>IF(L19=0,"",J19/L19-1)</f>
        <v>-5.6620396969376596E-2</v>
      </c>
    </row>
    <row r="20" spans="2:13" x14ac:dyDescent="0.2">
      <c r="B20" s="228">
        <v>44986</v>
      </c>
      <c r="C20" s="229">
        <v>5.6000000000000001E-2</v>
      </c>
      <c r="D20" s="229">
        <v>2.3E-2</v>
      </c>
      <c r="E20" s="229">
        <v>4.2000000000000003E-2</v>
      </c>
      <c r="F20" s="229">
        <v>3.3000000000000002E-2</v>
      </c>
      <c r="G20" s="230">
        <f>IF(AND(C20="",D20="",E20=""),"",0.4*IF(C20="",0,C20)+0.35*IF(D20="",0,D20)+0.25*IF(E20="",0,E20))</f>
        <v>4.0950000000000007E-2</v>
      </c>
      <c r="I20" s="236">
        <v>44986</v>
      </c>
      <c r="J20" s="237">
        <f>IF(G20="",J19,J19*(1+G20))</f>
        <v>93.85079105733071</v>
      </c>
      <c r="K20" s="237">
        <f>IF(F20="",K19,K19*(1+F20))</f>
        <v>77.897505055124881</v>
      </c>
      <c r="L20" s="237">
        <f>MAX(J$6:J20)</f>
        <v>95.57</v>
      </c>
      <c r="M20" s="238">
        <f>IF(L20=0,"",J20/L20-1)</f>
        <v>-1.7989002225272444E-2</v>
      </c>
    </row>
    <row r="21" spans="2:13" x14ac:dyDescent="0.2">
      <c r="B21" s="231">
        <v>45017</v>
      </c>
      <c r="C21" s="229">
        <v>3.2000000000000001E-2</v>
      </c>
      <c r="D21" s="229">
        <v>1.9E-2</v>
      </c>
      <c r="E21" s="229">
        <v>-1.4999999999999999E-2</v>
      </c>
      <c r="F21" s="229">
        <v>1.4E-2</v>
      </c>
      <c r="G21" s="232">
        <f>IF(AND(C21="",D21="",E21=""),"",0.4*IF(C21="",0,C21)+0.35*IF(D21="",0,D21)+0.25*IF(E21="",0,E21))</f>
        <v>1.5700000000000002E-2</v>
      </c>
      <c r="I21" s="239">
        <v>45017</v>
      </c>
      <c r="J21" s="240">
        <f>IF(G21="",J20,J20*(1+G21))</f>
        <v>95.324248476930805</v>
      </c>
      <c r="K21" s="240">
        <f>IF(F21="",K20,K20*(1+F21))</f>
        <v>78.988070125896627</v>
      </c>
      <c r="L21" s="240">
        <f>MAX(J$6:J21)</f>
        <v>95.57</v>
      </c>
      <c r="M21" s="241">
        <f>IF(L21=0,"",J21/L21-1)</f>
        <v>-2.5714295602091708E-3</v>
      </c>
    </row>
    <row r="22" spans="2:13" x14ac:dyDescent="0.2">
      <c r="B22" s="228">
        <v>45047</v>
      </c>
      <c r="C22" s="229">
        <v>9.8000000000000004E-2</v>
      </c>
      <c r="D22" s="229">
        <v>5.0000000000000001E-3</v>
      </c>
      <c r="E22" s="229">
        <v>-2.1999999999999999E-2</v>
      </c>
      <c r="F22" s="229">
        <v>6.0000000000000001E-3</v>
      </c>
      <c r="G22" s="230">
        <f>IF(AND(C22="",D22="",E22=""),"",0.4*IF(C22="",0,C22)+0.35*IF(D22="",0,D22)+0.25*IF(E22="",0,E22))</f>
        <v>3.5450000000000009E-2</v>
      </c>
      <c r="I22" s="236">
        <v>45047</v>
      </c>
      <c r="J22" s="237">
        <f>IF(G22="",J21,J21*(1+G22))</f>
        <v>98.703493085437998</v>
      </c>
      <c r="K22" s="237">
        <f>IF(F22="",K21,K21*(1+F22))</f>
        <v>79.461998546652012</v>
      </c>
      <c r="L22" s="237">
        <f>MAX(J$6:J22)</f>
        <v>98.703493085437998</v>
      </c>
      <c r="M22" s="238">
        <f>IF(L22=0,"",J22/L22-1)</f>
        <v>0</v>
      </c>
    </row>
    <row r="23" spans="2:13" x14ac:dyDescent="0.2">
      <c r="B23" s="231">
        <v>45078</v>
      </c>
      <c r="C23" s="229">
        <v>7.1999999999999995E-2</v>
      </c>
      <c r="D23" s="229">
        <v>3.1E-2</v>
      </c>
      <c r="E23" s="229">
        <v>3.2000000000000001E-2</v>
      </c>
      <c r="F23" s="229">
        <v>6.2E-2</v>
      </c>
      <c r="G23" s="232">
        <f>IF(AND(C23="",D23="",E23=""),"",0.4*IF(C23="",0,C23)+0.35*IF(D23="",0,D23)+0.25*IF(E23="",0,E23))</f>
        <v>4.7649999999999998E-2</v>
      </c>
      <c r="I23" s="239">
        <v>45078</v>
      </c>
      <c r="J23" s="240">
        <f>IF(G23="",J22,J22*(1+G23))</f>
        <v>103.40671453095912</v>
      </c>
      <c r="K23" s="240">
        <f>IF(F23="",K22,K22*(1+F23))</f>
        <v>84.388642456544446</v>
      </c>
      <c r="L23" s="240">
        <f>MAX(J$6:J23)</f>
        <v>103.40671453095912</v>
      </c>
      <c r="M23" s="241">
        <f>IF(L23=0,"",J23/L23-1)</f>
        <v>0</v>
      </c>
    </row>
    <row r="24" spans="2:13" x14ac:dyDescent="0.2">
      <c r="B24" s="228">
        <v>45108</v>
      </c>
      <c r="C24" s="229">
        <v>3.4000000000000002E-2</v>
      </c>
      <c r="D24" s="229">
        <v>2.1999999999999999E-2</v>
      </c>
      <c r="E24" s="229">
        <v>0.01</v>
      </c>
      <c r="F24" s="229">
        <v>3.6999999999999998E-2</v>
      </c>
      <c r="G24" s="230">
        <f>IF(AND(C24="",D24="",E24=""),"",0.4*IF(C24="",0,C24)+0.35*IF(D24="",0,D24)+0.25*IF(E24="",0,E24))</f>
        <v>2.3799999999999998E-2</v>
      </c>
      <c r="I24" s="236">
        <v>45108</v>
      </c>
      <c r="J24" s="237">
        <f>IF(G24="",J23,J23*(1+G24))</f>
        <v>105.86779433679595</v>
      </c>
      <c r="K24" s="237">
        <f>IF(F24="",K23,K23*(1+F24))</f>
        <v>87.511022227436584</v>
      </c>
      <c r="L24" s="237">
        <f>MAX(J$6:J24)</f>
        <v>105.86779433679595</v>
      </c>
      <c r="M24" s="238">
        <f>IF(L24=0,"",J24/L24-1)</f>
        <v>0</v>
      </c>
    </row>
    <row r="25" spans="2:13" x14ac:dyDescent="0.2">
      <c r="B25" s="231">
        <v>45139</v>
      </c>
      <c r="C25" s="229">
        <v>-4.8000000000000001E-2</v>
      </c>
      <c r="D25" s="229">
        <v>-1.0999999999999999E-2</v>
      </c>
      <c r="E25" s="229">
        <v>-1.2E-2</v>
      </c>
      <c r="F25" s="229">
        <v>-2.7E-2</v>
      </c>
      <c r="G25" s="232">
        <f>IF(AND(C25="",D25="",E25=""),"",0.4*IF(C25="",0,C25)+0.35*IF(D25="",0,D25)+0.25*IF(E25="",0,E25))</f>
        <v>-2.605E-2</v>
      </c>
      <c r="I25" s="239">
        <v>45139</v>
      </c>
      <c r="J25" s="240">
        <f>IF(G25="",J24,J24*(1+G25))</f>
        <v>103.10993829432242</v>
      </c>
      <c r="K25" s="240">
        <f>IF(F25="",K24,K24*(1+F25))</f>
        <v>85.148224627295789</v>
      </c>
      <c r="L25" s="240">
        <f>MAX(J$6:J25)</f>
        <v>105.86779433679595</v>
      </c>
      <c r="M25" s="241">
        <f>IF(L25=0,"",J25/L25-1)</f>
        <v>-2.6050000000000018E-2</v>
      </c>
    </row>
    <row r="26" spans="2:13" x14ac:dyDescent="0.2">
      <c r="B26" s="228">
        <v>45170</v>
      </c>
      <c r="C26" s="229">
        <v>-5.1999999999999998E-2</v>
      </c>
      <c r="D26" s="229">
        <v>4.0000000000000001E-3</v>
      </c>
      <c r="E26" s="229">
        <v>-2.9000000000000001E-2</v>
      </c>
      <c r="F26" s="229">
        <v>-4.5999999999999999E-2</v>
      </c>
      <c r="G26" s="230">
        <f>IF(AND(C26="",D26="",E26=""),"",0.4*IF(C26="",0,C26)+0.35*IF(D26="",0,D26)+0.25*IF(E26="",0,E26))</f>
        <v>-2.665E-2</v>
      </c>
      <c r="I26" s="236">
        <v>45170</v>
      </c>
      <c r="J26" s="237">
        <f>IF(G26="",J25,J25*(1+G26))</f>
        <v>100.36205843877873</v>
      </c>
      <c r="K26" s="237">
        <f>IF(F26="",K25,K25*(1+F26))</f>
        <v>81.231406294440177</v>
      </c>
      <c r="L26" s="237">
        <f>MAX(J$6:J26)</f>
        <v>105.86779433679595</v>
      </c>
      <c r="M26" s="238">
        <f>IF(L26=0,"",J26/L26-1)</f>
        <v>-5.2005767499999966E-2</v>
      </c>
    </row>
    <row r="27" spans="2:13" x14ac:dyDescent="0.2">
      <c r="B27" s="231">
        <v>45200</v>
      </c>
      <c r="C27" s="229">
        <v>-3.4000000000000002E-2</v>
      </c>
      <c r="D27" s="229">
        <v>-1.7999999999999999E-2</v>
      </c>
      <c r="E27" s="229">
        <v>-2.9000000000000001E-2</v>
      </c>
      <c r="F27" s="229">
        <v>-2.7E-2</v>
      </c>
      <c r="G27" s="232">
        <f>IF(AND(C27="",D27="",E27=""),"",0.4*IF(C27="",0,C27)+0.35*IF(D27="",0,D27)+0.25*IF(E27="",0,E27))</f>
        <v>-2.7150000000000001E-2</v>
      </c>
      <c r="I27" s="239">
        <v>45200</v>
      </c>
      <c r="J27" s="240">
        <f>IF(G27="",J26,J26*(1+G27))</f>
        <v>97.637228552165894</v>
      </c>
      <c r="K27" s="240">
        <f>IF(F27="",K26,K26*(1+F27))</f>
        <v>79.038158324490297</v>
      </c>
      <c r="L27" s="240">
        <f>MAX(J$6:J27)</f>
        <v>105.86779433679595</v>
      </c>
      <c r="M27" s="241">
        <f>IF(L27=0,"",J27/L27-1)</f>
        <v>-7.7743810912374922E-2</v>
      </c>
    </row>
    <row r="28" spans="2:13" x14ac:dyDescent="0.2">
      <c r="B28" s="228">
        <v>45231</v>
      </c>
      <c r="C28" s="229">
        <v>0.11799999999999999</v>
      </c>
      <c r="D28" s="229">
        <v>3.4000000000000002E-2</v>
      </c>
      <c r="E28" s="229">
        <v>5.0999999999999997E-2</v>
      </c>
      <c r="F28" s="229">
        <v>9.1999999999999998E-2</v>
      </c>
      <c r="G28" s="230">
        <f>IF(AND(C28="",D28="",E28=""),"",0.4*IF(C28="",0,C28)+0.35*IF(D28="",0,D28)+0.25*IF(E28="",0,E28))</f>
        <v>7.1849999999999997E-2</v>
      </c>
      <c r="I28" s="236">
        <v>45231</v>
      </c>
      <c r="J28" s="237">
        <f>IF(G28="",J27,J27*(1+G28))</f>
        <v>104.65246342363901</v>
      </c>
      <c r="K28" s="237">
        <f>IF(F28="",K27,K27*(1+F28))</f>
        <v>86.309668890343417</v>
      </c>
      <c r="L28" s="237">
        <f>MAX(J$6:J28)</f>
        <v>105.86779433679595</v>
      </c>
      <c r="M28" s="238">
        <f>IF(L28=0,"",J28/L28-1)</f>
        <v>-1.1479703726429147E-2</v>
      </c>
    </row>
    <row r="29" spans="2:13" x14ac:dyDescent="0.2">
      <c r="B29" s="233">
        <v>45261</v>
      </c>
      <c r="C29" s="234">
        <v>4.3999999999999997E-2</v>
      </c>
      <c r="D29" s="234">
        <v>2.9000000000000001E-2</v>
      </c>
      <c r="E29" s="234">
        <v>3.5000000000000003E-2</v>
      </c>
      <c r="F29" s="234">
        <v>4.4999999999999998E-2</v>
      </c>
      <c r="G29" s="235">
        <f>IF(AND(C29="",D29="",E29=""),"",0.4*IF(C29="",0,C29)+0.35*IF(D29="",0,D29)+0.25*IF(E29="",0,E29))</f>
        <v>3.6500000000000005E-2</v>
      </c>
      <c r="I29" s="242">
        <v>45261</v>
      </c>
      <c r="J29" s="243">
        <f>IF(G29="",J28,J28*(1+G29))</f>
        <v>108.47227833860182</v>
      </c>
      <c r="K29" s="243">
        <f>IF(F29="",K28,K28*(1+F29))</f>
        <v>90.19360399040886</v>
      </c>
      <c r="L29" s="243">
        <f>MAX(J$6:J29)</f>
        <v>108.47227833860182</v>
      </c>
      <c r="M29" s="244">
        <f>IF(L29=0,"",J29/L29-1)</f>
        <v>0</v>
      </c>
    </row>
    <row r="30" spans="2:13" x14ac:dyDescent="0.2">
      <c r="B30" s="228">
        <v>45292</v>
      </c>
      <c r="C30" s="229">
        <v>-1.2E-2</v>
      </c>
      <c r="D30" s="229">
        <v>4.5999999999999999E-2</v>
      </c>
      <c r="E30" s="229">
        <v>4.0000000000000001E-3</v>
      </c>
      <c r="F30" s="229">
        <v>1.4999999999999999E-2</v>
      </c>
      <c r="G30" s="230">
        <f>IF(AND(C30="",D30="",E30=""),"",0.4*IF(C30="",0,C30)+0.35*IF(D30="",0,D30)+0.25*IF(E30="",0,E30))</f>
        <v>1.2299999999999998E-2</v>
      </c>
      <c r="I30" s="236">
        <v>45292</v>
      </c>
      <c r="J30" s="237">
        <f>IF(G30="",J29,J29*(1+G30))</f>
        <v>109.80648736216662</v>
      </c>
      <c r="K30" s="237">
        <f>IF(F30="",K29,K29*(1+F30))</f>
        <v>91.54650805026499</v>
      </c>
      <c r="L30" s="237">
        <f>MAX(J$6:J30)</f>
        <v>109.80648736216662</v>
      </c>
      <c r="M30" s="238">
        <f>IF(L30=0,"",J30/L30-1)</f>
        <v>0</v>
      </c>
    </row>
    <row r="31" spans="2:13" x14ac:dyDescent="0.2">
      <c r="B31" s="231">
        <v>45323</v>
      </c>
      <c r="C31" s="229">
        <v>6.5000000000000002E-2</v>
      </c>
      <c r="D31" s="229">
        <v>5.8999999999999997E-2</v>
      </c>
      <c r="E31" s="229">
        <v>2.3E-2</v>
      </c>
      <c r="F31" s="229">
        <v>4.3999999999999997E-2</v>
      </c>
      <c r="G31" s="232">
        <f>IF(AND(C31="",D31="",E31=""),"",0.4*IF(C31="",0,C31)+0.35*IF(D31="",0,D31)+0.25*IF(E31="",0,E31))</f>
        <v>5.2399999999999995E-2</v>
      </c>
      <c r="I31" s="239">
        <v>45323</v>
      </c>
      <c r="J31" s="240">
        <f>IF(G31="",J30,J30*(1+G31))</f>
        <v>115.56034729994415</v>
      </c>
      <c r="K31" s="240">
        <f>IF(F31="",K30,K30*(1+F31))</f>
        <v>95.574554404476658</v>
      </c>
      <c r="L31" s="240">
        <f>MAX(J$6:J31)</f>
        <v>115.56034729994415</v>
      </c>
      <c r="M31" s="241">
        <f>IF(L31=0,"",J31/L31-1)</f>
        <v>0</v>
      </c>
    </row>
    <row r="32" spans="2:13" x14ac:dyDescent="0.2">
      <c r="B32" s="228">
        <v>45352</v>
      </c>
      <c r="C32" s="229">
        <v>4.2000000000000003E-2</v>
      </c>
      <c r="D32" s="229">
        <v>8.2000000000000003E-2</v>
      </c>
      <c r="E32" s="229">
        <v>0.03</v>
      </c>
      <c r="F32" s="229">
        <v>3.2000000000000001E-2</v>
      </c>
      <c r="G32" s="230">
        <f>IF(AND(C32="",D32="",E32=""),"",0.4*IF(C32="",0,C32)+0.35*IF(D32="",0,D32)+0.25*IF(E32="",0,E32))</f>
        <v>5.2999999999999999E-2</v>
      </c>
      <c r="I32" s="236">
        <v>45352</v>
      </c>
      <c r="J32" s="237">
        <f>IF(G32="",J31,J31*(1+G32))</f>
        <v>121.68504570684119</v>
      </c>
      <c r="K32" s="237">
        <f>IF(F32="",K31,K31*(1+F32))</f>
        <v>98.632940145419909</v>
      </c>
      <c r="L32" s="237">
        <f>MAX(J$6:J32)</f>
        <v>121.68504570684119</v>
      </c>
      <c r="M32" s="238">
        <f>IF(L32=0,"",J32/L32-1)</f>
        <v>0</v>
      </c>
    </row>
    <row r="33" spans="2:13" x14ac:dyDescent="0.2">
      <c r="B33" s="231">
        <v>45383</v>
      </c>
      <c r="C33" s="229">
        <v>-3.9E-2</v>
      </c>
      <c r="D33" s="229">
        <v>3.1E-2</v>
      </c>
      <c r="E33" s="229">
        <v>-1.4E-2</v>
      </c>
      <c r="F33" s="229">
        <v>-3.7999999999999999E-2</v>
      </c>
      <c r="G33" s="232">
        <f>IF(AND(C33="",D33="",E33=""),"",0.4*IF(C33="",0,C33)+0.35*IF(D33="",0,D33)+0.25*IF(E33="",0,E33))</f>
        <v>-8.2500000000000021E-3</v>
      </c>
      <c r="I33" s="239">
        <v>45383</v>
      </c>
      <c r="J33" s="240">
        <f>IF(G33="",J32,J32*(1+G33))</f>
        <v>120.68114407975976</v>
      </c>
      <c r="K33" s="240">
        <f>IF(F33="",K32,K32*(1+F33))</f>
        <v>94.884888419893954</v>
      </c>
      <c r="L33" s="240">
        <f>MAX(J$6:J33)</f>
        <v>121.68504570684119</v>
      </c>
      <c r="M33" s="241">
        <f>IF(L33=0,"",J33/L33-1)</f>
        <v>-8.2499999999999796E-3</v>
      </c>
    </row>
    <row r="34" spans="2:13" x14ac:dyDescent="0.2">
      <c r="B34" s="228">
        <v>45413</v>
      </c>
      <c r="C34" s="229">
        <v>5.8000000000000003E-2</v>
      </c>
      <c r="D34" s="229">
        <v>4.2000000000000003E-2</v>
      </c>
      <c r="E34" s="229">
        <v>5.0000000000000001E-3</v>
      </c>
      <c r="F34" s="229">
        <v>3.5999999999999997E-2</v>
      </c>
      <c r="G34" s="230">
        <f>IF(AND(C34="",D34="",E34=""),"",0.4*IF(C34="",0,C34)+0.35*IF(D34="",0,D34)+0.25*IF(E34="",0,E34))</f>
        <v>3.9150000000000004E-2</v>
      </c>
      <c r="I34" s="236">
        <v>45413</v>
      </c>
      <c r="J34" s="237">
        <f>IF(G34="",J33,J33*(1+G34))</f>
        <v>125.40581087048236</v>
      </c>
      <c r="K34" s="237">
        <f>IF(F34="",K33,K33*(1+F34))</f>
        <v>98.300744403010142</v>
      </c>
      <c r="L34" s="237">
        <f>MAX(J$6:J34)</f>
        <v>125.40581087048236</v>
      </c>
      <c r="M34" s="238">
        <f>IF(L34=0,"",J34/L34-1)</f>
        <v>0</v>
      </c>
    </row>
    <row r="35" spans="2:13" x14ac:dyDescent="0.2">
      <c r="B35" s="231">
        <v>45444</v>
      </c>
      <c r="C35" s="229">
        <v>1.0999999999999999E-2</v>
      </c>
      <c r="D35" s="229">
        <v>5.7000000000000002E-2</v>
      </c>
      <c r="E35" s="229">
        <v>2.1999999999999999E-2</v>
      </c>
      <c r="F35" s="229">
        <v>0.02</v>
      </c>
      <c r="G35" s="232">
        <f>IF(AND(C35="",D35="",E35=""),"",0.4*IF(C35="",0,C35)+0.35*IF(D35="",0,D35)+0.25*IF(E35="",0,E35))</f>
        <v>2.9850000000000002E-2</v>
      </c>
      <c r="I35" s="239">
        <v>45444</v>
      </c>
      <c r="J35" s="240">
        <f>IF(G35="",J34,J34*(1+G35))</f>
        <v>129.14917432496625</v>
      </c>
      <c r="K35" s="240">
        <f>IF(F35="",K34,K34*(1+F35))</f>
        <v>100.26675929107034</v>
      </c>
      <c r="L35" s="240">
        <f>MAX(J$6:J35)</f>
        <v>129.14917432496625</v>
      </c>
      <c r="M35" s="241">
        <f>IF(L35=0,"",J35/L35-1)</f>
        <v>0</v>
      </c>
    </row>
    <row r="36" spans="2:13" x14ac:dyDescent="0.2">
      <c r="B36" s="228">
        <v>45474</v>
      </c>
      <c r="C36" s="229">
        <v>4.7E-2</v>
      </c>
      <c r="D36" s="229">
        <v>3.4000000000000002E-2</v>
      </c>
      <c r="E36" s="229">
        <v>3.5000000000000003E-2</v>
      </c>
      <c r="F36" s="229">
        <v>1.9E-2</v>
      </c>
      <c r="G36" s="230">
        <f>IF(AND(C36="",D36="",E36=""),"",0.4*IF(C36="",0,C36)+0.35*IF(D36="",0,D36)+0.25*IF(E36="",0,E36))</f>
        <v>3.9449999999999999E-2</v>
      </c>
      <c r="I36" s="236">
        <v>45474</v>
      </c>
      <c r="J36" s="237">
        <f>IF(G36="",J35,J35*(1+G36))</f>
        <v>134.24410925208616</v>
      </c>
      <c r="K36" s="237">
        <f>IF(F36="",K35,K35*(1+F36))</f>
        <v>102.17182771760066</v>
      </c>
      <c r="L36" s="237">
        <f>MAX(J$6:J36)</f>
        <v>134.24410925208616</v>
      </c>
      <c r="M36" s="238">
        <f>IF(L36=0,"",J36/L36-1)</f>
        <v>0</v>
      </c>
    </row>
    <row r="37" spans="2:13" x14ac:dyDescent="0.2">
      <c r="B37" s="231">
        <v>45505</v>
      </c>
      <c r="C37" s="229">
        <v>-6.2E-2</v>
      </c>
      <c r="D37" s="229">
        <v>-8.0000000000000002E-3</v>
      </c>
      <c r="E37" s="229">
        <v>7.0000000000000001E-3</v>
      </c>
      <c r="F37" s="229">
        <v>-2.1999999999999999E-2</v>
      </c>
      <c r="G37" s="232">
        <f>IF(AND(C37="",D37="",E37=""),"",0.4*IF(C37="",0,C37)+0.35*IF(D37="",0,D37)+0.25*IF(E37="",0,E37))</f>
        <v>-2.5850000000000001E-2</v>
      </c>
      <c r="I37" s="239">
        <v>45505</v>
      </c>
      <c r="J37" s="240">
        <f>IF(G37="",J36,J36*(1+G37))</f>
        <v>130.77389902791973</v>
      </c>
      <c r="K37" s="240">
        <f>IF(F37="",K36,K36*(1+F37))</f>
        <v>99.924047507813441</v>
      </c>
      <c r="L37" s="240">
        <f>MAX(J$6:J37)</f>
        <v>134.24410925208616</v>
      </c>
      <c r="M37" s="241">
        <f>IF(L37=0,"",J37/L37-1)</f>
        <v>-2.585000000000004E-2</v>
      </c>
    </row>
    <row r="38" spans="2:13" x14ac:dyDescent="0.2">
      <c r="B38" s="228">
        <v>45536</v>
      </c>
      <c r="C38" s="229">
        <v>3.7999999999999999E-2</v>
      </c>
      <c r="D38" s="229">
        <v>7.9000000000000001E-2</v>
      </c>
      <c r="E38" s="229">
        <v>3.5999999999999997E-2</v>
      </c>
      <c r="F38" s="229">
        <v>2.9000000000000001E-2</v>
      </c>
      <c r="G38" s="230">
        <f>IF(AND(C38="",D38="",E38=""),"",0.4*IF(C38="",0,C38)+0.35*IF(D38="",0,D38)+0.25*IF(E38="",0,E38))</f>
        <v>5.185E-2</v>
      </c>
      <c r="I38" s="236">
        <v>45536</v>
      </c>
      <c r="J38" s="237">
        <f>IF(G38="",J37,J37*(1+G38))</f>
        <v>137.55452569251736</v>
      </c>
      <c r="K38" s="237">
        <f>IF(F38="",K37,K37*(1+F38))</f>
        <v>102.82184488554002</v>
      </c>
      <c r="L38" s="237">
        <f>MAX(J$6:J38)</f>
        <v>137.55452569251736</v>
      </c>
      <c r="M38" s="238">
        <f>IF(L38=0,"",J38/L38-1)</f>
        <v>0</v>
      </c>
    </row>
    <row r="39" spans="2:13" x14ac:dyDescent="0.2">
      <c r="B39" s="231">
        <v>45566</v>
      </c>
      <c r="C39" s="229">
        <v>-3.5999999999999997E-2</v>
      </c>
      <c r="D39" s="229">
        <v>6.4000000000000001E-2</v>
      </c>
      <c r="E39" s="229">
        <v>-1.7999999999999999E-2</v>
      </c>
      <c r="F39" s="229">
        <v>1.7000000000000001E-2</v>
      </c>
      <c r="G39" s="232">
        <f>IF(AND(C39="",D39="",E39=""),"",0.4*IF(C39="",0,C39)+0.35*IF(D39="",0,D39)+0.25*IF(E39="",0,E39))</f>
        <v>3.5000000000000005E-3</v>
      </c>
      <c r="I39" s="239">
        <v>45566</v>
      </c>
      <c r="J39" s="240">
        <f>IF(G39="",J38,J38*(1+G39))</f>
        <v>138.03596653244117</v>
      </c>
      <c r="K39" s="240">
        <f>IF(F39="",K38,K38*(1+F39))</f>
        <v>104.56981624859419</v>
      </c>
      <c r="L39" s="240">
        <f>MAX(J$6:J39)</f>
        <v>138.03596653244117</v>
      </c>
      <c r="M39" s="241">
        <f>IF(L39=0,"",J39/L39-1)</f>
        <v>0</v>
      </c>
    </row>
    <row r="40" spans="2:13" x14ac:dyDescent="0.2">
      <c r="B40" s="228">
        <v>45597</v>
      </c>
      <c r="C40" s="229">
        <v>8.2000000000000003E-2</v>
      </c>
      <c r="D40" s="229">
        <v>7.3999999999999996E-2</v>
      </c>
      <c r="E40" s="229">
        <v>2.5999999999999999E-2</v>
      </c>
      <c r="F40" s="229">
        <v>3.7999999999999999E-2</v>
      </c>
      <c r="G40" s="230">
        <f>IF(AND(C40="",D40="",E40=""),"",0.4*IF(C40="",0,C40)+0.35*IF(D40="",0,D40)+0.25*IF(E40="",0,E40))</f>
        <v>6.5200000000000008E-2</v>
      </c>
      <c r="I40" s="236">
        <v>45597</v>
      </c>
      <c r="J40" s="237">
        <f>IF(G40="",J39,J39*(1+G40))</f>
        <v>147.03591155035633</v>
      </c>
      <c r="K40" s="237">
        <f>IF(F40="",K39,K39*(1+F40))</f>
        <v>108.54346926604077</v>
      </c>
      <c r="L40" s="237">
        <f>MAX(J$6:J40)</f>
        <v>147.03591155035633</v>
      </c>
      <c r="M40" s="238">
        <f>IF(L40=0,"",J40/L40-1)</f>
        <v>0</v>
      </c>
    </row>
    <row r="41" spans="2:13" x14ac:dyDescent="0.2">
      <c r="B41" s="233">
        <v>45627</v>
      </c>
      <c r="C41" s="234">
        <v>8.9999999999999993E-3</v>
      </c>
      <c r="D41" s="234">
        <v>3.5000000000000003E-2</v>
      </c>
      <c r="E41" s="234">
        <v>2.1000000000000001E-2</v>
      </c>
      <c r="F41" s="234">
        <v>1.7000000000000001E-2</v>
      </c>
      <c r="G41" s="235">
        <f>IF(AND(C41="",D41="",E41=""),"",0.4*IF(C41="",0,C41)+0.35*IF(D41="",0,D41)+0.25*IF(E41="",0,E41))</f>
        <v>2.1100000000000001E-2</v>
      </c>
      <c r="I41" s="242">
        <v>45627</v>
      </c>
      <c r="J41" s="243">
        <f>IF(G41="",J40,J40*(1+G41))</f>
        <v>150.13836928406883</v>
      </c>
      <c r="K41" s="243">
        <f>IF(F41="",K40,K40*(1+F41))</f>
        <v>110.38870824356346</v>
      </c>
      <c r="L41" s="243">
        <f>MAX(J$6:J41)</f>
        <v>150.13836928406883</v>
      </c>
      <c r="M41" s="244">
        <f>IF(L41=0,"",J41/L41-1)</f>
        <v>0</v>
      </c>
    </row>
    <row r="42" spans="2:13" x14ac:dyDescent="0.2">
      <c r="B42" s="228">
        <v>45658</v>
      </c>
      <c r="C42" s="229">
        <v>5.8000000000000003E-2</v>
      </c>
      <c r="D42" s="229">
        <v>6.8000000000000005E-2</v>
      </c>
      <c r="E42" s="229">
        <v>3.5999999999999997E-2</v>
      </c>
      <c r="F42" s="229">
        <v>3.1E-2</v>
      </c>
      <c r="G42" s="230">
        <f>IF(AND(C42="",D42="",E42=""),"",0.4*IF(C42="",0,C42)+0.35*IF(D42="",0,D42)+0.25*IF(E42="",0,E42))</f>
        <v>5.6000000000000001E-2</v>
      </c>
      <c r="I42" s="236">
        <v>45658</v>
      </c>
      <c r="J42" s="237">
        <f>IF(G42="",J41,J41*(1+G42))</f>
        <v>158.54611796397668</v>
      </c>
      <c r="K42" s="237">
        <f>IF(F42="",K41,K41*(1+F42))</f>
        <v>113.81075819911392</v>
      </c>
      <c r="L42" s="237">
        <f>MAX(J$6:J42)</f>
        <v>158.54611796397668</v>
      </c>
      <c r="M42" s="238">
        <f>IF(L42=0,"",J42/L42-1)</f>
        <v>0</v>
      </c>
    </row>
    <row r="43" spans="2:13" x14ac:dyDescent="0.2">
      <c r="B43" s="231">
        <v>45689</v>
      </c>
      <c r="C43" s="229">
        <v>3.5000000000000003E-2</v>
      </c>
      <c r="D43" s="229">
        <v>5.3999999999999999E-2</v>
      </c>
      <c r="E43" s="229">
        <v>2.8000000000000001E-2</v>
      </c>
      <c r="F43" s="229">
        <v>4.2000000000000003E-2</v>
      </c>
      <c r="G43" s="232">
        <f>IF(AND(C43="",D43="",E43=""),"",0.4*IF(C43="",0,C43)+0.35*IF(D43="",0,D43)+0.25*IF(E43="",0,E43))</f>
        <v>3.9899999999999998E-2</v>
      </c>
      <c r="I43" s="239">
        <v>45689</v>
      </c>
      <c r="J43" s="240">
        <f>IF(G43="",J42,J42*(1+G43))</f>
        <v>164.87210807073936</v>
      </c>
      <c r="K43" s="240">
        <f>IF(F43="",K42,K42*(1+F43))</f>
        <v>118.59081004347671</v>
      </c>
      <c r="L43" s="240">
        <f>MAX(J$6:J43)</f>
        <v>164.87210807073936</v>
      </c>
      <c r="M43" s="241">
        <f>IF(L43=0,"",J43/L43-1)</f>
        <v>0</v>
      </c>
    </row>
    <row r="44" spans="2:13" x14ac:dyDescent="0.2">
      <c r="B44" s="228">
        <v>45717</v>
      </c>
      <c r="C44" s="229">
        <v>2.4E-2</v>
      </c>
      <c r="D44" s="229">
        <v>9.1999999999999998E-2</v>
      </c>
      <c r="E44" s="229">
        <v>4.1000000000000002E-2</v>
      </c>
      <c r="F44" s="229">
        <v>2.9000000000000001E-2</v>
      </c>
      <c r="G44" s="230">
        <f>IF(AND(C44="",D44="",E44=""),"",0.4*IF(C44="",0,C44)+0.35*IF(D44="",0,D44)+0.25*IF(E44="",0,E44))</f>
        <v>5.2050000000000006E-2</v>
      </c>
      <c r="I44" s="236">
        <v>45717</v>
      </c>
      <c r="J44" s="237">
        <f>IF(G44="",J43,J43*(1+G44))</f>
        <v>173.45370129582133</v>
      </c>
      <c r="K44" s="237">
        <f>IF(F44="",K43,K43*(1+F44))</f>
        <v>122.02994353473753</v>
      </c>
      <c r="L44" s="237">
        <f>MAX(J$6:J44)</f>
        <v>173.45370129582133</v>
      </c>
      <c r="M44" s="238">
        <f>IF(L44=0,"",J44/L44-1)</f>
        <v>0</v>
      </c>
    </row>
    <row r="45" spans="2:13" x14ac:dyDescent="0.2">
      <c r="B45" s="231">
        <v>45748</v>
      </c>
      <c r="C45" s="229">
        <v>4.8000000000000001E-2</v>
      </c>
      <c r="D45" s="229">
        <v>6.3E-2</v>
      </c>
      <c r="E45" s="229">
        <v>3.9E-2</v>
      </c>
      <c r="F45" s="229">
        <v>3.5999999999999997E-2</v>
      </c>
      <c r="G45" s="232">
        <f>IF(AND(C45="",D45="",E45=""),"",0.4*IF(C45="",0,C45)+0.35*IF(D45="",0,D45)+0.25*IF(E45="",0,E45))</f>
        <v>5.1000000000000004E-2</v>
      </c>
      <c r="I45" s="239">
        <v>45748</v>
      </c>
      <c r="J45" s="240">
        <f>IF(G45="",J44,J44*(1+G45))</f>
        <v>182.29984006190821</v>
      </c>
      <c r="K45" s="240">
        <f>IF(F45="",K44,K44*(1+F45))</f>
        <v>126.42302150198807</v>
      </c>
      <c r="L45" s="240">
        <f>MAX(J$6:J45)</f>
        <v>182.29984006190821</v>
      </c>
      <c r="M45" s="241">
        <f>IF(L45=0,"",J45/L45-1)</f>
        <v>0</v>
      </c>
    </row>
    <row r="46" spans="2:13" x14ac:dyDescent="0.2">
      <c r="B46" s="228">
        <v>45778</v>
      </c>
      <c r="C46" s="229">
        <v>2.1000000000000001E-2</v>
      </c>
      <c r="D46" s="229">
        <v>7.4999999999999997E-2</v>
      </c>
      <c r="E46" s="229">
        <v>3.1E-2</v>
      </c>
      <c r="F46" s="229">
        <v>1.7999999999999999E-2</v>
      </c>
      <c r="G46" s="230">
        <f>IF(AND(C46="",D46="",E46=""),"",0.4*IF(C46="",0,C46)+0.35*IF(D46="",0,D46)+0.25*IF(E46="",0,E46))</f>
        <v>4.24E-2</v>
      </c>
      <c r="I46" s="236">
        <v>45778</v>
      </c>
      <c r="J46" s="237">
        <f>IF(G46="",J45,J45*(1+G46))</f>
        <v>190.02935328053312</v>
      </c>
      <c r="K46" s="237">
        <f>IF(F46="",K45,K45*(1+F46))</f>
        <v>128.69863588902385</v>
      </c>
      <c r="L46" s="237">
        <f>MAX(J$6:J46)</f>
        <v>190.02935328053312</v>
      </c>
      <c r="M46" s="238">
        <f>IF(L46=0,"",J46/L46-1)</f>
        <v>0</v>
      </c>
    </row>
    <row r="47" spans="2:13" x14ac:dyDescent="0.2">
      <c r="B47" s="231">
        <v>45809</v>
      </c>
      <c r="C47" s="229">
        <v>3.7999999999999999E-2</v>
      </c>
      <c r="D47" s="229">
        <v>4.8000000000000001E-2</v>
      </c>
      <c r="E47" s="229">
        <v>4.8000000000000001E-2</v>
      </c>
      <c r="F47" s="229">
        <v>3.3000000000000002E-2</v>
      </c>
      <c r="G47" s="232">
        <f>IF(AND(C47="",D47="",E47=""),"",0.4*IF(C47="",0,C47)+0.35*IF(D47="",0,D47)+0.25*IF(E47="",0,E47))</f>
        <v>4.3999999999999997E-2</v>
      </c>
      <c r="I47" s="239">
        <v>45809</v>
      </c>
      <c r="J47" s="240">
        <f>IF(G47="",J46,J46*(1+G47))</f>
        <v>198.39064482487657</v>
      </c>
      <c r="K47" s="240">
        <f>IF(F47="",K46,K46*(1+F47))</f>
        <v>132.94569087336163</v>
      </c>
      <c r="L47" s="240">
        <f>MAX(J$6:J47)</f>
        <v>198.39064482487657</v>
      </c>
      <c r="M47" s="241">
        <f>IF(L47=0,"",J47/L47-1)</f>
        <v>0</v>
      </c>
    </row>
    <row r="48" spans="2:13" x14ac:dyDescent="0.2">
      <c r="B48" s="228">
        <v>45839</v>
      </c>
      <c r="C48" s="229">
        <v>1.4E-2</v>
      </c>
      <c r="D48" s="229">
        <v>4.2000000000000003E-2</v>
      </c>
      <c r="E48" s="229">
        <v>5.8000000000000003E-2</v>
      </c>
      <c r="F48" s="229">
        <v>3.7999999999999999E-2</v>
      </c>
      <c r="G48" s="230">
        <f>IF(AND(C48="",D48="",E48=""),"",0.4*IF(C48="",0,C48)+0.35*IF(D48="",0,D48)+0.25*IF(E48="",0,E48))</f>
        <v>3.4799999999999998E-2</v>
      </c>
      <c r="I48" s="236">
        <v>45839</v>
      </c>
      <c r="J48" s="237">
        <f>IF(G48="",J47,J47*(1+G48))</f>
        <v>205.29463926478226</v>
      </c>
      <c r="K48" s="237">
        <f>IF(F48="",K47,K47*(1+F48))</f>
        <v>137.99762712654936</v>
      </c>
      <c r="L48" s="237">
        <f>MAX(J$6:J48)</f>
        <v>205.29463926478226</v>
      </c>
      <c r="M48" s="238">
        <f>IF(L48=0,"",J48/L48-1)</f>
        <v>0</v>
      </c>
    </row>
    <row r="49" spans="1:14" x14ac:dyDescent="0.2">
      <c r="B49" s="231">
        <v>45870</v>
      </c>
      <c r="C49" s="229">
        <v>5.6000000000000001E-2</v>
      </c>
      <c r="D49" s="229">
        <v>7.0999999999999994E-2</v>
      </c>
      <c r="E49" s="229">
        <v>6.2E-2</v>
      </c>
      <c r="F49" s="229">
        <v>3.5000000000000003E-2</v>
      </c>
      <c r="G49" s="232">
        <f>IF(AND(C49="",D49="",E49=""),"",0.4*IF(C49="",0,C49)+0.35*IF(D49="",0,D49)+0.25*IF(E49="",0,E49))</f>
        <v>6.275E-2</v>
      </c>
      <c r="I49" s="239">
        <v>45870</v>
      </c>
      <c r="J49" s="240">
        <f>IF(G49="",J48,J48*(1+G49))</f>
        <v>218.17687787864736</v>
      </c>
      <c r="K49" s="240">
        <f>IF(F49="",K48,K48*(1+F49))</f>
        <v>142.82754407597858</v>
      </c>
      <c r="L49" s="240">
        <f>MAX(J$6:J49)</f>
        <v>218.17687787864736</v>
      </c>
      <c r="M49" s="241">
        <f>IF(L49=0,"",J49/L49-1)</f>
        <v>0</v>
      </c>
    </row>
    <row r="50" spans="1:14" x14ac:dyDescent="0.2">
      <c r="B50" s="228">
        <v>45901</v>
      </c>
      <c r="C50" s="229">
        <v>8.0000000000000002E-3</v>
      </c>
      <c r="D50" s="229">
        <v>3.7999999999999999E-2</v>
      </c>
      <c r="E50" s="229">
        <v>4.2999999999999997E-2</v>
      </c>
      <c r="F50" s="229">
        <v>2.4E-2</v>
      </c>
      <c r="G50" s="230">
        <f>IF(AND(C50="",D50="",E50=""),"",0.4*IF(C50="",0,C50)+0.35*IF(D50="",0,D50)+0.25*IF(E50="",0,E50))</f>
        <v>2.725E-2</v>
      </c>
      <c r="I50" s="236">
        <v>45901</v>
      </c>
      <c r="J50" s="237">
        <f>IF(G50="",J49,J49*(1+G50))</f>
        <v>224.1221978008405</v>
      </c>
      <c r="K50" s="237">
        <f>IF(F50="",K49,K49*(1+F50))</f>
        <v>146.25540513380207</v>
      </c>
      <c r="L50" s="237">
        <f>MAX(J$6:J50)</f>
        <v>224.1221978008405</v>
      </c>
      <c r="M50" s="238">
        <f>IF(L50=0,"",J50/L50-1)</f>
        <v>0</v>
      </c>
    </row>
    <row r="51" spans="1:14" x14ac:dyDescent="0.2">
      <c r="B51" s="231">
        <v>45931</v>
      </c>
      <c r="C51" s="229">
        <v>4.2999999999999997E-2</v>
      </c>
      <c r="D51" s="229">
        <v>5.8999999999999997E-2</v>
      </c>
      <c r="E51" s="229">
        <v>3.9E-2</v>
      </c>
      <c r="F51" s="229">
        <v>3.9E-2</v>
      </c>
      <c r="G51" s="232">
        <f>IF(AND(C51="",D51="",E51=""),"",0.4*IF(C51="",0,C51)+0.35*IF(D51="",0,D51)+0.25*IF(E51="",0,E51))</f>
        <v>4.7599999999999996E-2</v>
      </c>
      <c r="I51" s="239">
        <v>45931</v>
      </c>
      <c r="J51" s="240">
        <f>IF(G51="",J50,J50*(1+G51))</f>
        <v>234.79041441616053</v>
      </c>
      <c r="K51" s="240">
        <f>IF(F51="",K50,K50*(1+F51))</f>
        <v>151.95936593402035</v>
      </c>
      <c r="L51" s="240">
        <f>MAX(J$6:J51)</f>
        <v>234.79041441616053</v>
      </c>
      <c r="M51" s="241">
        <f>IF(L51=0,"",J51/L51-1)</f>
        <v>0</v>
      </c>
    </row>
    <row r="52" spans="1:14" x14ac:dyDescent="0.2">
      <c r="B52" s="228">
        <v>45962</v>
      </c>
      <c r="C52" s="229">
        <v>1.2E-2</v>
      </c>
      <c r="D52" s="229">
        <v>6.0999999999999999E-2</v>
      </c>
      <c r="E52" s="229">
        <v>2.8000000000000001E-2</v>
      </c>
      <c r="F52" s="229">
        <v>2.1999999999999999E-2</v>
      </c>
      <c r="G52" s="230">
        <f>IF(AND(C52="",D52="",E52=""),"",0.4*IF(C52="",0,C52)+0.35*IF(D52="",0,D52)+0.25*IF(E52="",0,E52))</f>
        <v>3.3149999999999999E-2</v>
      </c>
      <c r="I52" s="236">
        <v>45962</v>
      </c>
      <c r="J52" s="237">
        <f>IF(G52="",J51,J51*(1+G52))</f>
        <v>242.57371665405626</v>
      </c>
      <c r="K52" s="237">
        <f>IF(F52="",K51,K51*(1+F52))</f>
        <v>155.3024719845688</v>
      </c>
      <c r="L52" s="237">
        <f>MAX(J$6:J52)</f>
        <v>242.57371665405626</v>
      </c>
      <c r="M52" s="238">
        <f>IF(L52=0,"",J52/L52-1)</f>
        <v>0</v>
      </c>
    </row>
    <row r="53" spans="1:14" x14ac:dyDescent="0.2">
      <c r="B53" s="233">
        <v>45992</v>
      </c>
      <c r="C53" s="234">
        <v>2.8000000000000001E-2</v>
      </c>
      <c r="D53" s="234">
        <v>4.8000000000000001E-2</v>
      </c>
      <c r="E53" s="234">
        <v>3.6999999999999998E-2</v>
      </c>
      <c r="F53" s="234">
        <v>2.3E-2</v>
      </c>
      <c r="G53" s="235">
        <f>IF(AND(C53="",D53="",E53=""),"",0.4*IF(C53="",0,C53)+0.35*IF(D53="",0,D53)+0.25*IF(E53="",0,E53))</f>
        <v>3.7249999999999998E-2</v>
      </c>
      <c r="I53" s="242">
        <v>45992</v>
      </c>
      <c r="J53" s="243">
        <f>IF(G53="",J52,J52*(1+G53))</f>
        <v>251.60958759941985</v>
      </c>
      <c r="K53" s="243">
        <f>IF(F53="",K52,K52*(1+F53))</f>
        <v>158.87442884021385</v>
      </c>
      <c r="L53" s="243">
        <f>MAX(J$6:J53)</f>
        <v>251.60958759941985</v>
      </c>
      <c r="M53" s="244">
        <f>IF(L53=0,"",J53/L53-1)</f>
        <v>0</v>
      </c>
    </row>
    <row r="55" spans="1:14" x14ac:dyDescent="0.2">
      <c r="A55" s="8"/>
      <c r="B55" s="8"/>
      <c r="C55" s="8"/>
      <c r="D55" s="8"/>
      <c r="E55" s="8"/>
      <c r="F55" s="8"/>
      <c r="G55" s="8"/>
      <c r="H55" s="8"/>
      <c r="I55" s="8"/>
      <c r="J55" s="8"/>
      <c r="K55" s="8"/>
      <c r="L55" s="8"/>
      <c r="M55" s="8"/>
      <c r="N55" s="8"/>
    </row>
    <row r="56" spans="1:14" x14ac:dyDescent="0.2">
      <c r="B56" s="9" t="s">
        <v>290</v>
      </c>
      <c r="C56" s="9"/>
      <c r="D56" s="9"/>
      <c r="E56" s="9"/>
      <c r="F56" s="9"/>
      <c r="G56" s="9"/>
    </row>
    <row r="57" spans="1:14" x14ac:dyDescent="0.2">
      <c r="B57" s="245" t="s">
        <v>291</v>
      </c>
      <c r="C57" s="30" t="s">
        <v>292</v>
      </c>
      <c r="D57" s="30" t="s">
        <v>293</v>
      </c>
      <c r="E57" s="30" t="s">
        <v>294</v>
      </c>
      <c r="F57" s="30" t="s">
        <v>295</v>
      </c>
      <c r="G57" s="31" t="s">
        <v>296</v>
      </c>
    </row>
    <row r="58" spans="1:14" x14ac:dyDescent="0.2">
      <c r="B58" s="246">
        <v>2022</v>
      </c>
      <c r="C58" s="247" cm="1">
        <f t="array" ref="C58">IFERROR(PRODUCT(1+IF(G6:G17="",0,G6:G17))-1,"")</f>
        <v>-0.15366330054967425</v>
      </c>
      <c r="D58" s="248" cm="1">
        <f t="array" ref="D58">IFERROR(PRODUCT(1+IF(F6:F17="",0,F6:F17))-1,"")</f>
        <v>-0.27703778322738604</v>
      </c>
      <c r="E58" s="248">
        <f>IF(OR(C58="",D58=""),"",C58-D58)</f>
        <v>0.12337448267771178</v>
      </c>
      <c r="F58" s="249" t="str" cm="1">
        <f t="array" ref="F58">IFERROR(IF(MAX(PRODUCT(1+IF(C6:C17="",0,C6:C17))-1,PRODUCT(1+IF(D6:D17="",0,D6:D17))-1,PRODUCT(1+IF(E6:E17="",0,E6:E17))-1)=PRODUCT(1+IF(C6:C17="",0,C6:C17))-1,"AI Infrastructure",IF(MAX(PRODUCT(1+IF(C6:C17="",0,C6:C17))-1,PRODUCT(1+IF(D6:D17="",0,D6:D17))-1,PRODUCT(1+IF(E6:E17="",0,E6:E17))-1)=PRODUCT(1+IF(D6:D17="",0,D6:D17))-1,"EU Defence","EM Consumer")),"—")</f>
        <v>EU Defence</v>
      </c>
      <c r="G58" s="250" t="str" cm="1">
        <f t="array" ref="G58">IFERROR(IF(MIN(PRODUCT(1+IF(C6:C17="",0,C6:C17))-1,PRODUCT(1+IF(D6:D17="",0,D6:D17))-1,PRODUCT(1+IF(E6:E17="",0,E6:E17))-1)=PRODUCT(1+IF(C6:C17="",0,C6:C17))-1,"AI Infrastructure",IF(MIN(PRODUCT(1+IF(C6:C17="",0,C6:C17))-1,PRODUCT(1+IF(D6:D17="",0,D6:D17))-1,PRODUCT(1+IF(E6:E17="",0,E6:E17))-1)=PRODUCT(1+IF(D6:D17="",0,D6:D17))-1,"EU Defence","EM Consumer")),"—")</f>
        <v>AI Infrastructure</v>
      </c>
    </row>
    <row r="59" spans="1:14" x14ac:dyDescent="0.2">
      <c r="B59" s="251">
        <v>2023</v>
      </c>
      <c r="C59" s="252" cm="1">
        <f t="array" ref="C59">IFERROR(PRODUCT(1+IF(G18:G29="",0,G18:G29))-1,"")</f>
        <v>0.28166813998556117</v>
      </c>
      <c r="D59" s="253" cm="1">
        <f t="array" ref="D59">IFERROR(PRODUCT(1+IF(F18:F29="",0,F18:F29))-1,"")</f>
        <v>0.24755626086579441</v>
      </c>
      <c r="E59" s="253">
        <f>IF(OR(C59="",D59=""),"",C59-D59)</f>
        <v>3.4111879119766764E-2</v>
      </c>
      <c r="F59" s="254" t="str" cm="1">
        <f t="array" ref="F59">IFERROR(IF(MAX(PRODUCT(1+IF(C18:C29="",0,C18:C29))-1,PRODUCT(1+IF(D18:D29="",0,D18:D29))-1,PRODUCT(1+IF(E18:E29="",0,E18:E29))-1)=PRODUCT(1+IF(C18:C29="",0,C18:C29))-1,"AI Infrastructure",IF(MAX(PRODUCT(1+IF(C18:C29="",0,C18:C29))-1,PRODUCT(1+IF(D18:D29="",0,D18:D29))-1,PRODUCT(1+IF(E18:E29="",0,E18:E29))-1)=PRODUCT(1+IF(D18:D29="",0,D18:D29))-1,"EU Defence","EM Consumer")),"—")</f>
        <v>AI Infrastructure</v>
      </c>
      <c r="G59" s="255" t="str" cm="1">
        <f t="array" ref="G59">IFERROR(IF(MIN(PRODUCT(1+IF(C18:C29="",0,C18:C29))-1,PRODUCT(1+IF(D18:D29="",0,D18:D29))-1,PRODUCT(1+IF(E18:E29="",0,E18:E29))-1)=PRODUCT(1+IF(C18:C29="",0,C18:C29))-1,"AI Infrastructure",IF(MIN(PRODUCT(1+IF(C18:C29="",0,C18:C29))-1,PRODUCT(1+IF(D18:D29="",0,D18:D29))-1,PRODUCT(1+IF(E18:E29="",0,E18:E29))-1)=PRODUCT(1+IF(D18:D29="",0,D18:D29))-1,"EU Defence","EM Consumer")),"—")</f>
        <v>EM Consumer</v>
      </c>
    </row>
    <row r="60" spans="1:14" x14ac:dyDescent="0.2">
      <c r="B60" s="246">
        <v>2024</v>
      </c>
      <c r="C60" s="247" cm="1">
        <f t="array" ref="C60">IFERROR(PRODUCT(1+IF(G30:G41="",0,G30:G41))-1,"")</f>
        <v>0.38411741307215985</v>
      </c>
      <c r="D60" s="248" cm="1">
        <f t="array" ref="D60">IFERROR(PRODUCT(1+IF(F30:F41="",0,F30:F41))-1,"")</f>
        <v>0.2239083855137014</v>
      </c>
      <c r="E60" s="248">
        <f>IF(OR(C60="",D60=""),"",C60-D60)</f>
        <v>0.16020902755845845</v>
      </c>
      <c r="F60" s="249" t="str" cm="1">
        <f t="array" ref="F60">IFERROR(IF(MAX(PRODUCT(1+IF(C30:C41="",0,C30:C41))-1,PRODUCT(1+IF(D30:D41="",0,D30:D41))-1,PRODUCT(1+IF(E30:E41="",0,E30:E41))-1)=PRODUCT(1+IF(C30:C41="",0,C30:C41))-1,"AI Infrastructure",IF(MAX(PRODUCT(1+IF(C30:C41="",0,C30:C41))-1,PRODUCT(1+IF(D30:D41="",0,D30:D41))-1,PRODUCT(1+IF(E30:E41="",0,E30:E41))-1)=PRODUCT(1+IF(D30:D41="",0,D30:D41))-1,"EU Defence","EM Consumer")),"—")</f>
        <v>EU Defence</v>
      </c>
      <c r="G60" s="250" t="str" cm="1">
        <f t="array" ref="G60">IFERROR(IF(MIN(PRODUCT(1+IF(C30:C41="",0,C30:C41))-1,PRODUCT(1+IF(D30:D41="",0,D30:D41))-1,PRODUCT(1+IF(E30:E41="",0,E30:E41))-1)=PRODUCT(1+IF(C30:C41="",0,C30:C41))-1,"AI Infrastructure",IF(MIN(PRODUCT(1+IF(C30:C41="",0,C30:C41))-1,PRODUCT(1+IF(D30:D41="",0,D30:D41))-1,PRODUCT(1+IF(E30:E41="",0,E30:E41))-1)=PRODUCT(1+IF(D30:D41="",0,D30:D41))-1,"EU Defence","EM Consumer")),"—")</f>
        <v>EM Consumer</v>
      </c>
    </row>
    <row r="61" spans="1:14" x14ac:dyDescent="0.2">
      <c r="B61" s="256">
        <v>2025</v>
      </c>
      <c r="C61" s="257" cm="1">
        <f t="array" ref="C61">IFERROR(PRODUCT(1+IF(G42:G53="",0,G42:G53))-1,"")</f>
        <v>0.67585134166045702</v>
      </c>
      <c r="D61" s="258" cm="1">
        <f t="array" ref="D61">IFERROR(PRODUCT(1+IF(F42:F53="",0,F42:F53))-1,"")</f>
        <v>0.43922717611361772</v>
      </c>
      <c r="E61" s="258">
        <f>IF(OR(C61="",D61=""),"",C61-D61)</f>
        <v>0.23662416554683929</v>
      </c>
      <c r="F61" s="259" t="str" cm="1">
        <f t="array" ref="F61">IFERROR(IF(MAX(PRODUCT(1+IF(C42:C53="",0,C42:C53))-1,PRODUCT(1+IF(D42:D53="",0,D42:D53))-1,PRODUCT(1+IF(E42:E53="",0,E42:E53))-1)=PRODUCT(1+IF(C42:C53="",0,C42:C53))-1,"AI Infrastructure",IF(MAX(PRODUCT(1+IF(C42:C53="",0,C42:C53))-1,PRODUCT(1+IF(D42:D53="",0,D42:D53))-1,PRODUCT(1+IF(E42:E53="",0,E42:E53))-1)=PRODUCT(1+IF(D42:D53="",0,D42:D53))-1,"EU Defence","EM Consumer")),"—")</f>
        <v>EU Defence</v>
      </c>
      <c r="G61" s="260" t="str" cm="1">
        <f t="array" ref="G61">IFERROR(IF(MIN(PRODUCT(1+IF(C42:C53="",0,C42:C53))-1,PRODUCT(1+IF(D42:D53="",0,D42:D53))-1,PRODUCT(1+IF(E42:E53="",0,E42:E53))-1)=PRODUCT(1+IF(C42:C53="",0,C42:C53))-1,"AI Infrastructure",IF(MIN(PRODUCT(1+IF(C42:C53="",0,C42:C53))-1,PRODUCT(1+IF(D42:D53="",0,D42:D53))-1,PRODUCT(1+IF(E42:E53="",0,E42:E53))-1)=PRODUCT(1+IF(D42:D53="",0,D42:D53))-1,"EU Defence","EM Consumer")),"—")</f>
        <v>AI Infrastructure</v>
      </c>
    </row>
    <row r="63" spans="1:14" x14ac:dyDescent="0.2">
      <c r="A63" s="8"/>
      <c r="B63" s="8"/>
      <c r="C63" s="8"/>
      <c r="D63" s="8"/>
      <c r="E63" s="8"/>
      <c r="F63" s="8"/>
      <c r="G63" s="8"/>
      <c r="H63" s="8"/>
      <c r="I63" s="8"/>
      <c r="J63" s="8"/>
      <c r="K63" s="8"/>
      <c r="L63" s="8"/>
      <c r="M63" s="8"/>
      <c r="N63" s="8"/>
    </row>
    <row r="64" spans="1:14" x14ac:dyDescent="0.2">
      <c r="B64" s="9" t="s">
        <v>297</v>
      </c>
      <c r="C64" s="9"/>
      <c r="D64" s="9"/>
      <c r="E64" s="9"/>
      <c r="F64" s="9"/>
      <c r="G64" s="9"/>
    </row>
    <row r="65" spans="2:7" x14ac:dyDescent="0.2">
      <c r="B65" s="245" t="s">
        <v>298</v>
      </c>
      <c r="C65" s="30" t="s">
        <v>299</v>
      </c>
      <c r="D65" s="30" t="s">
        <v>300</v>
      </c>
      <c r="E65" s="30" t="s">
        <v>301</v>
      </c>
      <c r="F65" s="30"/>
      <c r="G65" s="31"/>
    </row>
    <row r="66" spans="2:7" x14ac:dyDescent="0.2">
      <c r="B66" s="55" t="s">
        <v>302</v>
      </c>
      <c r="C66" s="261" cm="1">
        <f t="array" ref="C66">IFERROR((PRODUCT(1+G6:G53))^(12/COUNTA(G6:G53))-1,"")</f>
        <v>0.25945251062473895</v>
      </c>
      <c r="D66" s="248" cm="1">
        <f t="array" ref="D66">IFERROR((PRODUCT(1+F6:F53))^(12/COUNTA(F6:F53))-1,"")</f>
        <v>0.12269942589585003</v>
      </c>
      <c r="E66" s="262" t="s">
        <v>310</v>
      </c>
      <c r="F66" s="262"/>
      <c r="G66" s="263"/>
    </row>
    <row r="67" spans="2:7" x14ac:dyDescent="0.2">
      <c r="B67" s="59" t="s">
        <v>303</v>
      </c>
      <c r="C67" s="264">
        <f>IFERROR(STDEV(G6:G53)*SQRT(12),"")</f>
        <v>0.13084139802130751</v>
      </c>
      <c r="D67" s="253">
        <f>IFERROR(STDEV(F6:F53)*SQRT(12),"")</f>
        <v>0.14874065320178481</v>
      </c>
      <c r="E67" s="265" t="s">
        <v>311</v>
      </c>
      <c r="F67" s="265"/>
      <c r="G67" s="266"/>
    </row>
    <row r="68" spans="2:7" x14ac:dyDescent="0.2">
      <c r="B68" s="55" t="s">
        <v>304</v>
      </c>
      <c r="C68" s="267">
        <f>IFERROR((C66-RiskFreeRate)/C67,"")</f>
        <v>1.7154548485349177</v>
      </c>
      <c r="D68" s="268">
        <f>IFERROR((D66-RiskFreeRate)/D67,"")</f>
        <v>0.58961302110778735</v>
      </c>
      <c r="E68" s="262" t="s">
        <v>312</v>
      </c>
      <c r="F68" s="262"/>
      <c r="G68" s="263"/>
    </row>
    <row r="69" spans="2:7" x14ac:dyDescent="0.2">
      <c r="B69" s="59" t="s">
        <v>305</v>
      </c>
      <c r="C69" s="264">
        <f>IFERROR(MIN(M6:M53),"")</f>
        <v>-0.19104747123975718</v>
      </c>
      <c r="D69" s="253">
        <f>IFERROR(MIN(F6:F53),"")</f>
        <v>-9.4E-2</v>
      </c>
      <c r="E69" s="265" t="s">
        <v>313</v>
      </c>
      <c r="F69" s="265"/>
      <c r="G69" s="266"/>
    </row>
    <row r="70" spans="2:7" x14ac:dyDescent="0.2">
      <c r="B70" s="55" t="s">
        <v>306</v>
      </c>
      <c r="C70" s="267">
        <f>IFERROR(COVAR(G6:G53,F6:F53)/VAR(F6:F53),"")</f>
        <v>0.80623725437702887</v>
      </c>
      <c r="D70" s="269">
        <v>1</v>
      </c>
      <c r="E70" s="262" t="s">
        <v>314</v>
      </c>
      <c r="F70" s="262"/>
      <c r="G70" s="263"/>
    </row>
    <row r="71" spans="2:7" x14ac:dyDescent="0.2">
      <c r="B71" s="59" t="s">
        <v>307</v>
      </c>
      <c r="C71" s="264" cm="1">
        <f t="array" ref="C71">IFERROR(STDEV(G6:G53-F6:F53)*SQRT(12),"")</f>
        <v>5.3011290949052603E-2</v>
      </c>
      <c r="D71" s="270" t="s">
        <v>273</v>
      </c>
      <c r="E71" s="265" t="s">
        <v>315</v>
      </c>
      <c r="F71" s="265"/>
      <c r="G71" s="266"/>
    </row>
    <row r="72" spans="2:7" x14ac:dyDescent="0.2">
      <c r="B72" s="55" t="s">
        <v>308</v>
      </c>
      <c r="C72" s="267">
        <f>IFERROR(C66/C71,"")</f>
        <v>4.8942877258750439</v>
      </c>
      <c r="D72" s="269" t="s">
        <v>273</v>
      </c>
      <c r="E72" s="262" t="s">
        <v>316</v>
      </c>
      <c r="F72" s="262"/>
      <c r="G72" s="263"/>
    </row>
    <row r="73" spans="2:7" x14ac:dyDescent="0.2">
      <c r="B73" s="271" t="s">
        <v>309</v>
      </c>
      <c r="C73" s="272" cm="1">
        <f t="array" ref="C73">IFERROR(SUMPRODUCT((G6:G53&gt;F6:F53)*1)/COUNTA(G6:G53),"")</f>
        <v>0.6875</v>
      </c>
      <c r="D73" s="273" t="s">
        <v>273</v>
      </c>
      <c r="E73" s="274" t="s">
        <v>317</v>
      </c>
      <c r="F73" s="274"/>
      <c r="G73" s="275"/>
    </row>
  </sheetData>
  <mergeCells count="14">
    <mergeCell ref="E72:G72"/>
    <mergeCell ref="E73:G73"/>
    <mergeCell ref="E66:G66"/>
    <mergeCell ref="E67:G67"/>
    <mergeCell ref="E68:G68"/>
    <mergeCell ref="E69:G69"/>
    <mergeCell ref="E70:G70"/>
    <mergeCell ref="E71:G71"/>
    <mergeCell ref="B1:M1"/>
    <mergeCell ref="B2:M2"/>
    <mergeCell ref="B4:G4"/>
    <mergeCell ref="I4:M4"/>
    <mergeCell ref="B56:G56"/>
    <mergeCell ref="B64:G64"/>
  </mergeCells>
  <conditionalFormatting sqref="E58:E61">
    <cfRule type="cellIs" dxfId="14" priority="1" operator="greaterThan">
      <formula>0</formula>
    </cfRule>
  </conditionalFormatting>
  <conditionalFormatting sqref="E58:E61">
    <cfRule type="cellIs" dxfId="13" priority="2"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7A6B-8D35-AE43-8D6E-6924DA24D2F9}">
  <sheetPr>
    <tabColor rgb="FF1A7A3C"/>
  </sheetPr>
  <dimension ref="A1:J16"/>
  <sheetViews>
    <sheetView showGridLines="0" workbookViewId="0">
      <pane ySplit="3" topLeftCell="A4" activePane="bottomLeft" state="frozen"/>
      <selection pane="bottomLeft" activeCell="L11" sqref="L11"/>
    </sheetView>
  </sheetViews>
  <sheetFormatPr baseColWidth="10" defaultRowHeight="16" x14ac:dyDescent="0.2"/>
  <cols>
    <col min="2" max="2" width="24" bestFit="1" customWidth="1"/>
    <col min="3" max="4" width="9.1640625" bestFit="1" customWidth="1"/>
    <col min="5" max="6" width="8.5" bestFit="1" customWidth="1"/>
    <col min="8" max="8" width="10.5" bestFit="1" customWidth="1"/>
    <col min="9" max="9" width="20" customWidth="1"/>
  </cols>
  <sheetData>
    <row r="1" spans="1:10" ht="34" x14ac:dyDescent="0.2">
      <c r="B1" s="99" t="s">
        <v>318</v>
      </c>
      <c r="C1" s="99"/>
      <c r="D1" s="99"/>
      <c r="E1" s="99"/>
      <c r="F1" s="99"/>
      <c r="G1" s="99"/>
      <c r="H1" s="99"/>
      <c r="I1" s="99"/>
    </row>
    <row r="2" spans="1:10" x14ac:dyDescent="0.2">
      <c r="B2" s="100" t="s">
        <v>319</v>
      </c>
      <c r="C2" s="100"/>
      <c r="D2" s="100"/>
      <c r="E2" s="100"/>
      <c r="F2" s="100"/>
      <c r="G2" s="100"/>
      <c r="H2" s="100"/>
      <c r="I2" s="100"/>
    </row>
    <row r="3" spans="1:10" x14ac:dyDescent="0.2">
      <c r="A3" s="8"/>
      <c r="B3" s="365" t="s">
        <v>420</v>
      </c>
      <c r="C3" s="365"/>
      <c r="D3" s="365"/>
      <c r="E3" s="365"/>
      <c r="F3" s="365"/>
      <c r="G3" s="365"/>
      <c r="H3" s="365"/>
      <c r="I3" s="365"/>
      <c r="J3" s="8"/>
    </row>
    <row r="4" spans="1:10" x14ac:dyDescent="0.2">
      <c r="B4" s="9" t="s">
        <v>320</v>
      </c>
      <c r="C4" s="9"/>
      <c r="D4" s="9"/>
      <c r="E4" s="9"/>
      <c r="F4" s="9"/>
      <c r="G4" s="9"/>
      <c r="H4" s="9"/>
      <c r="I4" s="9"/>
    </row>
    <row r="5" spans="1:10" ht="28" x14ac:dyDescent="0.2">
      <c r="B5" s="277" t="s">
        <v>11</v>
      </c>
      <c r="C5" s="212" t="s">
        <v>321</v>
      </c>
      <c r="D5" s="212" t="s">
        <v>322</v>
      </c>
      <c r="E5" s="212" t="s">
        <v>323</v>
      </c>
      <c r="F5" s="212" t="s">
        <v>324</v>
      </c>
      <c r="G5" s="212" t="s">
        <v>325</v>
      </c>
      <c r="H5" s="212" t="s">
        <v>326</v>
      </c>
      <c r="I5" s="213" t="s">
        <v>327</v>
      </c>
    </row>
    <row r="6" spans="1:10" x14ac:dyDescent="0.2">
      <c r="B6" s="55" t="s">
        <v>14</v>
      </c>
      <c r="C6" s="278">
        <v>0.4</v>
      </c>
      <c r="D6" s="278">
        <v>0.25</v>
      </c>
      <c r="E6" s="278">
        <v>0.58299999999999996</v>
      </c>
      <c r="F6" s="278">
        <v>0.31</v>
      </c>
      <c r="G6" s="378">
        <f>IF(OR(E6="",F6=""),"",( C6-D6)*(F6-SUMPRODUCT(D6:D8,F6:F8)))</f>
        <v>2.9662500000000001E-2</v>
      </c>
      <c r="H6" s="378">
        <f>IF(OR(E6="",F6=""),"",D6*(E6-F6))</f>
        <v>6.8249999999999991E-2</v>
      </c>
      <c r="I6" s="279">
        <f>IF(OR(G6="",H6=""),"",G6+H6)</f>
        <v>9.7912499999999986E-2</v>
      </c>
    </row>
    <row r="7" spans="1:10" x14ac:dyDescent="0.2">
      <c r="B7" s="59" t="s">
        <v>16</v>
      </c>
      <c r="C7" s="278">
        <v>0.35</v>
      </c>
      <c r="D7" s="278">
        <v>0.05</v>
      </c>
      <c r="E7" s="278">
        <v>2.044</v>
      </c>
      <c r="F7" s="278">
        <v>0.44</v>
      </c>
      <c r="G7" s="379">
        <f>IF(OR(E7="",F7=""),"",( C7-D7)*(F7-SUMPRODUCT(D6:D8,F6:F8)))</f>
        <v>9.8324999999999996E-2</v>
      </c>
      <c r="H7" s="379">
        <f>IF(OR(E7="",F7=""),"",D7*(E7-F7))</f>
        <v>8.0200000000000007E-2</v>
      </c>
      <c r="I7" s="280">
        <f>IF(OR(G7="",H7=""),"",G7+H7)</f>
        <v>0.17852499999999999</v>
      </c>
    </row>
    <row r="8" spans="1:10" x14ac:dyDescent="0.2">
      <c r="B8" s="55" t="s">
        <v>19</v>
      </c>
      <c r="C8" s="278">
        <v>0.25</v>
      </c>
      <c r="D8" s="278">
        <v>0.15</v>
      </c>
      <c r="E8" s="278">
        <v>0.20799999999999999</v>
      </c>
      <c r="F8" s="278">
        <v>8.5000000000000006E-2</v>
      </c>
      <c r="G8" s="378">
        <f>IF(OR(E8="",F8=""),"",( C8-D8)*(F8-SUMPRODUCT(D6:D8,F6:F8)))</f>
        <v>-2.725E-3</v>
      </c>
      <c r="H8" s="378">
        <f>IF(OR(E8="",F8=""),"",D8*(E8-F8))</f>
        <v>1.8449999999999998E-2</v>
      </c>
      <c r="I8" s="279">
        <f>IF(OR(G8="",H8=""),"",G8+H8)</f>
        <v>1.5724999999999996E-2</v>
      </c>
    </row>
    <row r="9" spans="1:10" x14ac:dyDescent="0.2">
      <c r="B9" s="281" t="s">
        <v>328</v>
      </c>
      <c r="C9" s="382"/>
      <c r="D9" s="382"/>
      <c r="E9" s="382"/>
      <c r="F9" s="382"/>
      <c r="G9" s="380">
        <f>IF(COUNTA(G6:G8)=0,"",SUM(G6:G8))</f>
        <v>0.1252625</v>
      </c>
      <c r="H9" s="380">
        <f>IF(COUNTA(H6:H8)=0,"",SUM(H6:H8))</f>
        <v>0.16689999999999999</v>
      </c>
      <c r="I9" s="381">
        <f>IF(COUNTA(I6:I8)=0,"",SUM(I6:I8))</f>
        <v>0.29216249999999999</v>
      </c>
    </row>
    <row r="10" spans="1:10" x14ac:dyDescent="0.2">
      <c r="G10" s="276" t="s">
        <v>329</v>
      </c>
      <c r="H10" s="276" t="s">
        <v>330</v>
      </c>
      <c r="I10" s="276" t="s">
        <v>331</v>
      </c>
    </row>
    <row r="11" spans="1:10" x14ac:dyDescent="0.2">
      <c r="A11" s="8"/>
      <c r="B11" s="8"/>
      <c r="C11" s="8"/>
      <c r="D11" s="8"/>
      <c r="E11" s="8"/>
      <c r="F11" s="8"/>
      <c r="G11" s="8"/>
      <c r="H11" s="8"/>
      <c r="I11" s="8"/>
      <c r="J11" s="8"/>
    </row>
    <row r="12" spans="1:10" x14ac:dyDescent="0.2">
      <c r="B12" s="203" t="s">
        <v>332</v>
      </c>
      <c r="C12" s="72"/>
      <c r="D12" s="72"/>
      <c r="E12" s="72"/>
      <c r="F12" s="72"/>
      <c r="G12" s="72"/>
      <c r="H12" s="72"/>
      <c r="I12" s="204"/>
    </row>
    <row r="13" spans="1:10" ht="45" x14ac:dyDescent="0.2">
      <c r="B13" s="19" t="s">
        <v>333</v>
      </c>
      <c r="C13" s="205" t="s">
        <v>334</v>
      </c>
      <c r="D13" s="205"/>
      <c r="E13" s="205"/>
      <c r="F13" s="205"/>
      <c r="G13" s="205"/>
      <c r="H13" s="205"/>
      <c r="I13" s="206"/>
    </row>
    <row r="14" spans="1:10" ht="45" x14ac:dyDescent="0.2">
      <c r="B14" s="20" t="s">
        <v>335</v>
      </c>
      <c r="C14" s="207" t="s">
        <v>336</v>
      </c>
      <c r="D14" s="207"/>
      <c r="E14" s="207"/>
      <c r="F14" s="207"/>
      <c r="G14" s="207"/>
      <c r="H14" s="207"/>
      <c r="I14" s="208"/>
    </row>
    <row r="15" spans="1:10" ht="30" x14ac:dyDescent="0.2">
      <c r="B15" s="19" t="s">
        <v>337</v>
      </c>
      <c r="C15" s="205" t="s">
        <v>338</v>
      </c>
      <c r="D15" s="205"/>
      <c r="E15" s="205"/>
      <c r="F15" s="205"/>
      <c r="G15" s="205"/>
      <c r="H15" s="205"/>
      <c r="I15" s="206"/>
    </row>
    <row r="16" spans="1:10" ht="60" x14ac:dyDescent="0.2">
      <c r="B16" s="282" t="s">
        <v>339</v>
      </c>
      <c r="C16" s="283" t="s">
        <v>340</v>
      </c>
      <c r="D16" s="283"/>
      <c r="E16" s="283"/>
      <c r="F16" s="283"/>
      <c r="G16" s="283"/>
      <c r="H16" s="283"/>
      <c r="I16" s="284"/>
    </row>
  </sheetData>
  <mergeCells count="9">
    <mergeCell ref="C15:I15"/>
    <mergeCell ref="C16:I16"/>
    <mergeCell ref="B3:I3"/>
    <mergeCell ref="B1:I1"/>
    <mergeCell ref="B2:I2"/>
    <mergeCell ref="B4:I4"/>
    <mergeCell ref="B12:I12"/>
    <mergeCell ref="C13:I13"/>
    <mergeCell ref="C14:I14"/>
  </mergeCells>
  <conditionalFormatting sqref="G6:G9">
    <cfRule type="cellIs" dxfId="12" priority="1" operator="greaterThan">
      <formula>0</formula>
    </cfRule>
  </conditionalFormatting>
  <conditionalFormatting sqref="G6:G9">
    <cfRule type="cellIs" dxfId="11" priority="2" operator="lessThan">
      <formula>0</formula>
    </cfRule>
  </conditionalFormatting>
  <conditionalFormatting sqref="H6:H9">
    <cfRule type="cellIs" dxfId="10" priority="3" operator="greaterThan">
      <formula>0</formula>
    </cfRule>
  </conditionalFormatting>
  <conditionalFormatting sqref="H6:H9">
    <cfRule type="cellIs" dxfId="9" priority="4" operator="lessThan">
      <formula>0</formula>
    </cfRule>
  </conditionalFormatting>
  <conditionalFormatting sqref="I6:I9">
    <cfRule type="cellIs" dxfId="8" priority="5" operator="greaterThan">
      <formula>0</formula>
    </cfRule>
  </conditionalFormatting>
  <conditionalFormatting sqref="I6:I9">
    <cfRule type="cellIs" dxfId="7" priority="6"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F4D8-F14E-EB4D-8BD7-3DDE8AEDD9E5}">
  <sheetPr>
    <tabColor rgb="FFD97B00"/>
  </sheetPr>
  <dimension ref="A1:I37"/>
  <sheetViews>
    <sheetView showGridLines="0" workbookViewId="0">
      <pane ySplit="3" topLeftCell="A4" activePane="bottomLeft" state="frozen"/>
      <selection pane="bottomLeft" activeCell="L15" sqref="L15"/>
    </sheetView>
  </sheetViews>
  <sheetFormatPr baseColWidth="10" defaultRowHeight="16" x14ac:dyDescent="0.2"/>
  <cols>
    <col min="2" max="2" width="16.6640625" bestFit="1" customWidth="1"/>
    <col min="3" max="3" width="13" bestFit="1" customWidth="1"/>
    <col min="4" max="4" width="14.6640625" customWidth="1"/>
    <col min="6" max="6" width="16.33203125" bestFit="1" customWidth="1"/>
    <col min="7" max="7" width="8" customWidth="1"/>
    <col min="8" max="8" width="15.33203125" customWidth="1"/>
  </cols>
  <sheetData>
    <row r="1" spans="1:9" ht="34" x14ac:dyDescent="0.2">
      <c r="B1" s="99" t="s">
        <v>341</v>
      </c>
      <c r="C1" s="99"/>
      <c r="D1" s="99"/>
      <c r="E1" s="99"/>
      <c r="F1" s="99"/>
      <c r="G1" s="99"/>
      <c r="H1" s="99"/>
    </row>
    <row r="2" spans="1:9" x14ac:dyDescent="0.2">
      <c r="B2" s="100" t="s">
        <v>342</v>
      </c>
      <c r="C2" s="100"/>
      <c r="D2" s="100"/>
      <c r="E2" s="100"/>
      <c r="F2" s="100"/>
      <c r="G2" s="100"/>
      <c r="H2" s="100"/>
    </row>
    <row r="3" spans="1:9" x14ac:dyDescent="0.2">
      <c r="A3" s="8"/>
      <c r="B3" s="8"/>
      <c r="C3" s="8"/>
      <c r="D3" s="8"/>
      <c r="E3" s="8"/>
      <c r="F3" s="8"/>
      <c r="G3" s="8"/>
      <c r="H3" s="8"/>
      <c r="I3" s="8"/>
    </row>
    <row r="4" spans="1:9" x14ac:dyDescent="0.2">
      <c r="B4" s="9" t="s">
        <v>343</v>
      </c>
      <c r="C4" s="9"/>
      <c r="D4" s="9"/>
      <c r="E4" s="9"/>
      <c r="F4" s="9"/>
      <c r="G4" s="9"/>
      <c r="H4" s="9"/>
    </row>
    <row r="5" spans="1:9" x14ac:dyDescent="0.2">
      <c r="B5" s="285" t="s">
        <v>298</v>
      </c>
      <c r="C5" s="30" t="s">
        <v>299</v>
      </c>
      <c r="D5" s="30" t="s">
        <v>44</v>
      </c>
      <c r="E5" s="30" t="s">
        <v>344</v>
      </c>
      <c r="F5" s="30" t="s">
        <v>345</v>
      </c>
      <c r="G5" s="30"/>
      <c r="H5" s="31"/>
    </row>
    <row r="6" spans="1:9" x14ac:dyDescent="0.2">
      <c r="B6" s="55" t="s">
        <v>302</v>
      </c>
      <c r="C6" s="261">
        <f>'Backtest Engine'!C66</f>
        <v>0.25945251062473895</v>
      </c>
      <c r="D6" s="248">
        <f>'Backtest Engine'!D66</f>
        <v>0.12269942589585003</v>
      </c>
      <c r="E6" s="248">
        <f>IFERROR(C6-D6,"")</f>
        <v>0.13675308472888892</v>
      </c>
      <c r="F6" s="286"/>
      <c r="G6" s="286"/>
      <c r="H6" s="287"/>
    </row>
    <row r="7" spans="1:9" x14ac:dyDescent="0.2">
      <c r="B7" s="59" t="s">
        <v>303</v>
      </c>
      <c r="C7" s="264">
        <f>'Backtest Engine'!C67</f>
        <v>0.13084139802130751</v>
      </c>
      <c r="D7" s="253">
        <f>'Backtest Engine'!D67</f>
        <v>0.14874065320178481</v>
      </c>
      <c r="E7" s="253">
        <f>IFERROR(C7-D7,"")</f>
        <v>-1.7899255180477303E-2</v>
      </c>
      <c r="F7" s="288"/>
      <c r="G7" s="288"/>
      <c r="H7" s="289"/>
    </row>
    <row r="8" spans="1:9" x14ac:dyDescent="0.2">
      <c r="B8" s="55" t="s">
        <v>346</v>
      </c>
      <c r="C8" s="267">
        <f>'Backtest Engine'!C68</f>
        <v>1.7154548485349177</v>
      </c>
      <c r="D8" s="268">
        <f>'Backtest Engine'!D68</f>
        <v>0.58961302110778735</v>
      </c>
      <c r="E8" s="268">
        <f>IFERROR(C8-D8,"")</f>
        <v>1.1258418274271302</v>
      </c>
      <c r="F8" s="286"/>
      <c r="G8" s="286"/>
      <c r="H8" s="287"/>
    </row>
    <row r="9" spans="1:9" x14ac:dyDescent="0.2">
      <c r="B9" s="59" t="s">
        <v>305</v>
      </c>
      <c r="C9" s="264">
        <f>'Backtest Engine'!C69</f>
        <v>-0.19104747123975718</v>
      </c>
      <c r="D9" s="253">
        <f>'Backtest Engine'!D69</f>
        <v>-9.4E-2</v>
      </c>
      <c r="E9" s="270" t="s">
        <v>273</v>
      </c>
      <c r="F9" s="288"/>
      <c r="G9" s="288"/>
      <c r="H9" s="289"/>
    </row>
    <row r="10" spans="1:9" x14ac:dyDescent="0.2">
      <c r="B10" s="55" t="s">
        <v>347</v>
      </c>
      <c r="C10" s="267">
        <f>'Backtest Engine'!C70</f>
        <v>0.80623725437702887</v>
      </c>
      <c r="D10" s="269">
        <v>1</v>
      </c>
      <c r="E10" s="269" t="s">
        <v>273</v>
      </c>
      <c r="F10" s="286"/>
      <c r="G10" s="286"/>
      <c r="H10" s="287"/>
    </row>
    <row r="11" spans="1:9" x14ac:dyDescent="0.2">
      <c r="B11" s="271" t="s">
        <v>307</v>
      </c>
      <c r="C11" s="272">
        <f>'Backtest Engine'!C71</f>
        <v>5.3011290949052603E-2</v>
      </c>
      <c r="D11" s="273" t="s">
        <v>273</v>
      </c>
      <c r="E11" s="258" t="str">
        <f>IFERROR(C11-D11,"")</f>
        <v/>
      </c>
      <c r="F11" s="290"/>
      <c r="G11" s="290"/>
      <c r="H11" s="291"/>
    </row>
    <row r="12" spans="1:9" x14ac:dyDescent="0.2">
      <c r="A12" s="8"/>
      <c r="B12" s="8"/>
      <c r="C12" s="8"/>
      <c r="D12" s="8"/>
      <c r="E12" s="8"/>
      <c r="F12" s="8"/>
      <c r="G12" s="8"/>
      <c r="H12" s="8"/>
      <c r="I12" s="8"/>
    </row>
    <row r="13" spans="1:9" x14ac:dyDescent="0.2">
      <c r="B13" s="9" t="s">
        <v>348</v>
      </c>
      <c r="C13" s="9"/>
      <c r="D13" s="9"/>
      <c r="E13" s="9"/>
      <c r="F13" s="9"/>
      <c r="G13" s="9"/>
      <c r="H13" s="9"/>
    </row>
    <row r="14" spans="1:9" x14ac:dyDescent="0.2">
      <c r="B14" s="292" t="s">
        <v>349</v>
      </c>
      <c r="C14" s="293"/>
      <c r="D14" s="294"/>
      <c r="F14" s="292" t="s">
        <v>350</v>
      </c>
      <c r="G14" s="293"/>
      <c r="H14" s="294"/>
    </row>
    <row r="15" spans="1:9" x14ac:dyDescent="0.2">
      <c r="B15" s="193" t="s">
        <v>351</v>
      </c>
      <c r="C15" s="295">
        <v>0.52</v>
      </c>
      <c r="D15" s="366" t="s">
        <v>421</v>
      </c>
      <c r="E15" s="5"/>
      <c r="F15" s="193" t="s">
        <v>352</v>
      </c>
      <c r="G15" s="295">
        <v>0.38</v>
      </c>
      <c r="H15" s="366" t="s">
        <v>421</v>
      </c>
    </row>
    <row r="16" spans="1:9" x14ac:dyDescent="0.2">
      <c r="B16" s="197" t="s">
        <v>181</v>
      </c>
      <c r="C16" s="297">
        <v>0.22</v>
      </c>
      <c r="D16" s="298"/>
      <c r="E16" s="5"/>
      <c r="F16" s="197" t="s">
        <v>353</v>
      </c>
      <c r="G16" s="297">
        <v>0.22</v>
      </c>
      <c r="H16" s="298"/>
    </row>
    <row r="17" spans="1:9" x14ac:dyDescent="0.2">
      <c r="B17" s="193" t="s">
        <v>354</v>
      </c>
      <c r="C17" s="295">
        <v>0.14000000000000001</v>
      </c>
      <c r="D17" s="296"/>
      <c r="E17" s="5"/>
      <c r="F17" s="193" t="s">
        <v>355</v>
      </c>
      <c r="G17" s="295">
        <v>0.12</v>
      </c>
      <c r="H17" s="296"/>
    </row>
    <row r="18" spans="1:9" x14ac:dyDescent="0.2">
      <c r="B18" s="197" t="s">
        <v>356</v>
      </c>
      <c r="C18" s="297">
        <v>0.1</v>
      </c>
      <c r="D18" s="298"/>
      <c r="E18" s="5"/>
      <c r="F18" s="197" t="s">
        <v>357</v>
      </c>
      <c r="G18" s="297">
        <v>0.11</v>
      </c>
      <c r="H18" s="298"/>
    </row>
    <row r="19" spans="1:9" x14ac:dyDescent="0.2">
      <c r="B19" s="299" t="s">
        <v>358</v>
      </c>
      <c r="C19" s="300">
        <v>0.02</v>
      </c>
      <c r="D19" s="301"/>
      <c r="E19" s="5"/>
      <c r="F19" s="193" t="s">
        <v>359</v>
      </c>
      <c r="G19" s="295">
        <v>0.08</v>
      </c>
      <c r="H19" s="296"/>
    </row>
    <row r="20" spans="1:9" x14ac:dyDescent="0.2">
      <c r="E20" s="5"/>
      <c r="F20" s="197" t="s">
        <v>360</v>
      </c>
      <c r="G20" s="297">
        <v>0.05</v>
      </c>
      <c r="H20" s="298"/>
    </row>
    <row r="21" spans="1:9" x14ac:dyDescent="0.2">
      <c r="E21" s="5"/>
      <c r="F21" s="299" t="s">
        <v>361</v>
      </c>
      <c r="G21" s="300">
        <v>0.04</v>
      </c>
      <c r="H21" s="301"/>
    </row>
    <row r="22" spans="1:9" x14ac:dyDescent="0.2">
      <c r="A22" s="8"/>
      <c r="B22" s="8"/>
      <c r="C22" s="8"/>
      <c r="D22" s="8"/>
      <c r="E22" s="8"/>
      <c r="F22" s="8"/>
      <c r="G22" s="8"/>
      <c r="H22" s="8"/>
      <c r="I22" s="8"/>
    </row>
    <row r="23" spans="1:9" x14ac:dyDescent="0.2">
      <c r="B23" s="9" t="s">
        <v>362</v>
      </c>
      <c r="C23" s="9"/>
      <c r="D23" s="9"/>
      <c r="E23" s="9"/>
      <c r="F23" s="9"/>
      <c r="G23" s="9"/>
      <c r="H23" s="9"/>
    </row>
    <row r="24" spans="1:9" x14ac:dyDescent="0.2">
      <c r="B24" s="303"/>
      <c r="C24" s="304" t="s">
        <v>363</v>
      </c>
      <c r="D24" s="304" t="s">
        <v>364</v>
      </c>
      <c r="E24" s="305" t="s">
        <v>365</v>
      </c>
    </row>
    <row r="25" spans="1:9" x14ac:dyDescent="0.2">
      <c r="B25" s="55" t="s">
        <v>363</v>
      </c>
      <c r="C25" s="306">
        <v>1</v>
      </c>
      <c r="D25" s="307">
        <f>IFERROR(CORREL('Backtest Engine'!C6:C53,'Backtest Engine'!D6:D53),"")</f>
        <v>0.65186972021437628</v>
      </c>
      <c r="E25" s="308">
        <f>IFERROR(CORREL('Backtest Engine'!C6:C53,'Backtest Engine'!E6:E53),"")</f>
        <v>0.72916971875859871</v>
      </c>
    </row>
    <row r="26" spans="1:9" x14ac:dyDescent="0.2">
      <c r="B26" s="59" t="s">
        <v>364</v>
      </c>
      <c r="C26" s="309">
        <f>IFERROR(CORREL('Backtest Engine'!D6:D53,'Backtest Engine'!C6:C53),"")</f>
        <v>0.65186972021437628</v>
      </c>
      <c r="D26" s="306">
        <v>1</v>
      </c>
      <c r="E26" s="310">
        <f>IFERROR(CORREL('Backtest Engine'!D6:D53,'Backtest Engine'!E6:E53),"")</f>
        <v>0.72069962104284757</v>
      </c>
    </row>
    <row r="27" spans="1:9" x14ac:dyDescent="0.2">
      <c r="B27" s="63" t="s">
        <v>365</v>
      </c>
      <c r="C27" s="311">
        <f>IFERROR(CORREL('Backtest Engine'!E6:E53,'Backtest Engine'!C6:C53),"")</f>
        <v>0.72916971875859871</v>
      </c>
      <c r="D27" s="311">
        <f>IFERROR(CORREL('Backtest Engine'!E6:E53,'Backtest Engine'!D6:D53),"")</f>
        <v>0.72069962104284757</v>
      </c>
      <c r="E27" s="312">
        <v>1</v>
      </c>
    </row>
    <row r="28" spans="1:9" x14ac:dyDescent="0.2">
      <c r="B28" s="302" t="s">
        <v>366</v>
      </c>
      <c r="C28" s="302"/>
      <c r="D28" s="302"/>
      <c r="E28" s="302"/>
      <c r="F28" s="302"/>
      <c r="G28" s="302"/>
      <c r="H28" s="302"/>
    </row>
    <row r="29" spans="1:9" x14ac:dyDescent="0.2">
      <c r="A29" s="8"/>
      <c r="B29" s="8"/>
      <c r="C29" s="8"/>
      <c r="D29" s="8"/>
      <c r="E29" s="8"/>
      <c r="F29" s="8"/>
      <c r="G29" s="8"/>
      <c r="H29" s="8"/>
      <c r="I29" s="8"/>
    </row>
    <row r="30" spans="1:9" x14ac:dyDescent="0.2">
      <c r="B30" s="9" t="s">
        <v>367</v>
      </c>
      <c r="C30" s="9"/>
      <c r="D30" s="9"/>
      <c r="E30" s="9"/>
      <c r="F30" s="9"/>
      <c r="G30" s="9"/>
      <c r="H30" s="9"/>
    </row>
    <row r="31" spans="1:9" x14ac:dyDescent="0.2">
      <c r="B31" s="313" t="s">
        <v>368</v>
      </c>
      <c r="C31" s="304" t="s">
        <v>369</v>
      </c>
      <c r="D31" s="304" t="s">
        <v>370</v>
      </c>
      <c r="E31" s="304" t="s">
        <v>371</v>
      </c>
      <c r="F31" s="304" t="s">
        <v>372</v>
      </c>
      <c r="G31" s="304"/>
      <c r="H31" s="305"/>
    </row>
    <row r="32" spans="1:9" ht="63" customHeight="1" x14ac:dyDescent="0.2">
      <c r="B32" s="314" t="s">
        <v>373</v>
      </c>
      <c r="C32" s="315" t="s">
        <v>363</v>
      </c>
      <c r="D32" s="316" t="s">
        <v>374</v>
      </c>
      <c r="E32" s="316" t="s">
        <v>375</v>
      </c>
      <c r="F32" s="317" t="s">
        <v>376</v>
      </c>
      <c r="G32" s="317"/>
      <c r="H32" s="318"/>
    </row>
    <row r="33" spans="2:8" ht="69" customHeight="1" x14ac:dyDescent="0.2">
      <c r="B33" s="319" t="s">
        <v>377</v>
      </c>
      <c r="C33" s="320" t="s">
        <v>378</v>
      </c>
      <c r="D33" s="316" t="s">
        <v>374</v>
      </c>
      <c r="E33" s="316" t="s">
        <v>375</v>
      </c>
      <c r="F33" s="321" t="s">
        <v>379</v>
      </c>
      <c r="G33" s="321"/>
      <c r="H33" s="322"/>
    </row>
    <row r="34" spans="2:8" ht="65" customHeight="1" x14ac:dyDescent="0.2">
      <c r="B34" s="314" t="s">
        <v>380</v>
      </c>
      <c r="C34" s="315" t="s">
        <v>365</v>
      </c>
      <c r="D34" s="316" t="s">
        <v>374</v>
      </c>
      <c r="E34" s="316" t="s">
        <v>375</v>
      </c>
      <c r="F34" s="317" t="s">
        <v>381</v>
      </c>
      <c r="G34" s="317"/>
      <c r="H34" s="318"/>
    </row>
    <row r="35" spans="2:8" ht="62" customHeight="1" x14ac:dyDescent="0.2">
      <c r="B35" s="319" t="s">
        <v>382</v>
      </c>
      <c r="C35" s="320" t="s">
        <v>16</v>
      </c>
      <c r="D35" s="316" t="s">
        <v>383</v>
      </c>
      <c r="E35" s="316" t="s">
        <v>375</v>
      </c>
      <c r="F35" s="321" t="s">
        <v>384</v>
      </c>
      <c r="G35" s="321"/>
      <c r="H35" s="322"/>
    </row>
    <row r="36" spans="2:8" ht="63" customHeight="1" x14ac:dyDescent="0.2">
      <c r="B36" s="314" t="s">
        <v>385</v>
      </c>
      <c r="C36" s="315" t="s">
        <v>363</v>
      </c>
      <c r="D36" s="316" t="s">
        <v>374</v>
      </c>
      <c r="E36" s="316" t="s">
        <v>374</v>
      </c>
      <c r="F36" s="317" t="s">
        <v>386</v>
      </c>
      <c r="G36" s="317"/>
      <c r="H36" s="318"/>
    </row>
    <row r="37" spans="2:8" ht="55" customHeight="1" x14ac:dyDescent="0.2">
      <c r="B37" s="323" t="s">
        <v>387</v>
      </c>
      <c r="C37" s="324" t="s">
        <v>365</v>
      </c>
      <c r="D37" s="325" t="s">
        <v>383</v>
      </c>
      <c r="E37" s="325" t="s">
        <v>374</v>
      </c>
      <c r="F37" s="326" t="s">
        <v>388</v>
      </c>
      <c r="G37" s="326"/>
      <c r="H37" s="327"/>
    </row>
  </sheetData>
  <mergeCells count="21">
    <mergeCell ref="F35:H35"/>
    <mergeCell ref="F36:H36"/>
    <mergeCell ref="F37:H37"/>
    <mergeCell ref="B23:H23"/>
    <mergeCell ref="B28:H28"/>
    <mergeCell ref="B30:H30"/>
    <mergeCell ref="F32:H32"/>
    <mergeCell ref="F33:H33"/>
    <mergeCell ref="F34:H34"/>
    <mergeCell ref="F9:H9"/>
    <mergeCell ref="F10:H10"/>
    <mergeCell ref="F11:H11"/>
    <mergeCell ref="B13:H13"/>
    <mergeCell ref="B14:D14"/>
    <mergeCell ref="F14:H14"/>
    <mergeCell ref="B1:H1"/>
    <mergeCell ref="B2:H2"/>
    <mergeCell ref="B4:H4"/>
    <mergeCell ref="F6:H6"/>
    <mergeCell ref="F7:H7"/>
    <mergeCell ref="F8:H8"/>
  </mergeCells>
  <conditionalFormatting sqref="E6:E11">
    <cfRule type="cellIs" dxfId="6" priority="1" operator="greaterThan">
      <formula>0</formula>
    </cfRule>
  </conditionalFormatting>
  <conditionalFormatting sqref="E6:E11">
    <cfRule type="cellIs" dxfId="5" priority="2" operator="lessThan">
      <formula>0</formula>
    </cfRule>
  </conditionalFormatting>
  <conditionalFormatting sqref="C15:C19">
    <cfRule type="containsText" dxfId="4" priority="3" operator="containsText" text="52">
      <formula>NOT(ISERROR(SEARCH("52",C15)))</formula>
    </cfRule>
  </conditionalFormatting>
  <conditionalFormatting sqref="G15:G21">
    <cfRule type="containsText" dxfId="3" priority="4" operator="containsText" text="38">
      <formula>NOT(ISERROR(SEARCH("38",G15)))</formula>
    </cfRule>
  </conditionalFormatting>
  <conditionalFormatting sqref="C25:E27">
    <cfRule type="cellIs" dxfId="2" priority="5" operator="greaterThan">
      <formula>0.7</formula>
    </cfRule>
  </conditionalFormatting>
  <conditionalFormatting sqref="E32:E37">
    <cfRule type="containsText" dxfId="1" priority="6" operator="containsText" text="High">
      <formula>NOT(ISERROR(SEARCH("High",E32)))</formula>
    </cfRule>
  </conditionalFormatting>
  <conditionalFormatting sqref="E32:E37">
    <cfRule type="containsText" dxfId="0" priority="7" operator="containsText" text="Medium">
      <formula>NOT(ISERROR(SEARCH("Medium",E32)))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BFD9-C487-CB4E-B3DC-E3319547BE6D}">
  <sheetPr>
    <tabColor rgb="FF0A1628"/>
  </sheetPr>
  <dimension ref="B1:J31"/>
  <sheetViews>
    <sheetView showGridLines="0" tabSelected="1" workbookViewId="0">
      <selection activeCell="I11" sqref="I11"/>
    </sheetView>
  </sheetViews>
  <sheetFormatPr baseColWidth="10" defaultRowHeight="16" x14ac:dyDescent="0.2"/>
  <cols>
    <col min="2" max="2" width="27.33203125" bestFit="1" customWidth="1"/>
    <col min="3" max="3" width="13.83203125" bestFit="1" customWidth="1"/>
    <col min="4" max="4" width="9.1640625" bestFit="1" customWidth="1"/>
    <col min="5" max="5" width="26.1640625" customWidth="1"/>
    <col min="6" max="6" width="10.6640625" bestFit="1" customWidth="1"/>
    <col min="7" max="7" width="23" customWidth="1"/>
  </cols>
  <sheetData>
    <row r="1" spans="2:10" ht="37" x14ac:dyDescent="0.2">
      <c r="B1" s="328" t="s">
        <v>0</v>
      </c>
      <c r="C1" s="328"/>
      <c r="D1" s="328"/>
      <c r="E1" s="328"/>
      <c r="F1" s="328"/>
      <c r="G1" s="328"/>
      <c r="I1" s="383" t="s">
        <v>11</v>
      </c>
      <c r="J1" s="384" t="s">
        <v>26</v>
      </c>
    </row>
    <row r="2" spans="2:10" x14ac:dyDescent="0.2">
      <c r="B2" s="329" t="s">
        <v>389</v>
      </c>
      <c r="C2" s="329"/>
      <c r="D2" s="329"/>
      <c r="E2" s="329"/>
      <c r="F2" s="329"/>
      <c r="G2" s="329"/>
      <c r="I2" s="385" t="s">
        <v>363</v>
      </c>
      <c r="J2" s="386">
        <v>0.4</v>
      </c>
    </row>
    <row r="3" spans="2:10" x14ac:dyDescent="0.2">
      <c r="B3" s="15"/>
      <c r="C3" s="15"/>
      <c r="D3" s="15"/>
      <c r="E3" s="15"/>
      <c r="F3" s="15"/>
      <c r="G3" s="15"/>
      <c r="I3" s="385" t="s">
        <v>364</v>
      </c>
      <c r="J3" s="386">
        <v>0.35</v>
      </c>
    </row>
    <row r="4" spans="2:10" ht="17" thickBot="1" x14ac:dyDescent="0.25">
      <c r="B4" s="331" t="s">
        <v>390</v>
      </c>
      <c r="C4" s="332" t="s">
        <v>391</v>
      </c>
      <c r="D4" s="332" t="s">
        <v>44</v>
      </c>
      <c r="E4" s="332" t="s">
        <v>392</v>
      </c>
      <c r="F4" s="332" t="s">
        <v>393</v>
      </c>
      <c r="G4" s="333" t="s">
        <v>394</v>
      </c>
      <c r="I4" s="387" t="s">
        <v>365</v>
      </c>
      <c r="J4" s="388">
        <v>0.25</v>
      </c>
    </row>
    <row r="5" spans="2:10" x14ac:dyDescent="0.2">
      <c r="B5" s="334" t="s">
        <v>395</v>
      </c>
      <c r="C5" s="335">
        <v>46082</v>
      </c>
      <c r="D5" s="336" t="s">
        <v>396</v>
      </c>
      <c r="E5" s="336" t="s">
        <v>397</v>
      </c>
      <c r="F5" s="336" t="s">
        <v>273</v>
      </c>
      <c r="G5" s="337" t="s">
        <v>398</v>
      </c>
    </row>
    <row r="6" spans="2:10" x14ac:dyDescent="0.2">
      <c r="B6" s="4"/>
      <c r="C6" s="4"/>
      <c r="D6" s="4"/>
      <c r="E6" s="4"/>
      <c r="F6" s="4"/>
      <c r="G6" s="4"/>
    </row>
    <row r="7" spans="2:10" x14ac:dyDescent="0.2">
      <c r="B7" s="12" t="s">
        <v>399</v>
      </c>
      <c r="C7" s="12"/>
      <c r="D7" s="12"/>
      <c r="E7" s="12"/>
      <c r="F7" s="12"/>
      <c r="G7" s="12"/>
    </row>
    <row r="8" spans="2:10" ht="47" customHeight="1" x14ac:dyDescent="0.2">
      <c r="B8" s="330" t="s">
        <v>400</v>
      </c>
      <c r="C8" s="330"/>
      <c r="D8" s="330"/>
      <c r="E8" s="330"/>
      <c r="F8" s="330"/>
      <c r="G8" s="330"/>
    </row>
    <row r="9" spans="2:10" x14ac:dyDescent="0.2">
      <c r="B9" s="4"/>
      <c r="C9" s="4"/>
      <c r="D9" s="4"/>
      <c r="E9" s="4"/>
      <c r="F9" s="4"/>
      <c r="G9" s="4"/>
    </row>
    <row r="10" spans="2:10" x14ac:dyDescent="0.2">
      <c r="B10" s="88" t="s">
        <v>401</v>
      </c>
      <c r="C10" s="89"/>
      <c r="D10" s="89"/>
      <c r="E10" s="89"/>
      <c r="F10" s="89"/>
      <c r="G10" s="90"/>
    </row>
    <row r="11" spans="2:10" ht="75" x14ac:dyDescent="0.2">
      <c r="B11" s="338" t="s">
        <v>402</v>
      </c>
      <c r="C11" s="339" t="s">
        <v>403</v>
      </c>
      <c r="D11" s="339"/>
      <c r="E11" s="339"/>
      <c r="F11" s="339"/>
      <c r="G11" s="340"/>
    </row>
    <row r="12" spans="2:10" ht="75" x14ac:dyDescent="0.2">
      <c r="B12" s="341" t="s">
        <v>404</v>
      </c>
      <c r="C12" s="205" t="s">
        <v>405</v>
      </c>
      <c r="D12" s="205"/>
      <c r="E12" s="205"/>
      <c r="F12" s="205"/>
      <c r="G12" s="206"/>
    </row>
    <row r="13" spans="2:10" ht="75" x14ac:dyDescent="0.2">
      <c r="B13" s="342" t="s">
        <v>406</v>
      </c>
      <c r="C13" s="343" t="s">
        <v>407</v>
      </c>
      <c r="D13" s="343"/>
      <c r="E13" s="343"/>
      <c r="F13" s="343"/>
      <c r="G13" s="344"/>
    </row>
    <row r="14" spans="2:10" x14ac:dyDescent="0.2">
      <c r="B14" s="4"/>
      <c r="C14" s="4"/>
      <c r="D14" s="4"/>
      <c r="E14" s="4"/>
      <c r="F14" s="4"/>
      <c r="G14" s="4"/>
    </row>
    <row r="15" spans="2:10" x14ac:dyDescent="0.2">
      <c r="B15" s="88" t="s">
        <v>408</v>
      </c>
      <c r="C15" s="89"/>
      <c r="D15" s="89"/>
      <c r="E15" s="89"/>
      <c r="F15" s="89"/>
      <c r="G15" s="90"/>
    </row>
    <row r="16" spans="2:10" x14ac:dyDescent="0.2">
      <c r="B16" s="345" t="s">
        <v>409</v>
      </c>
      <c r="C16" s="346" t="s">
        <v>11</v>
      </c>
      <c r="D16" s="346" t="s">
        <v>89</v>
      </c>
      <c r="E16" s="346" t="s">
        <v>410</v>
      </c>
      <c r="F16" s="346" t="s">
        <v>91</v>
      </c>
      <c r="G16" s="347" t="s">
        <v>411</v>
      </c>
    </row>
    <row r="17" spans="2:7" x14ac:dyDescent="0.2">
      <c r="B17" s="348" t="s">
        <v>412</v>
      </c>
      <c r="C17" s="249" t="s">
        <v>363</v>
      </c>
      <c r="D17" s="349" t="s">
        <v>129</v>
      </c>
      <c r="E17" s="350">
        <v>7.1999999999999995E-2</v>
      </c>
      <c r="F17" s="249" t="s">
        <v>413</v>
      </c>
      <c r="G17" s="250" t="s">
        <v>104</v>
      </c>
    </row>
    <row r="18" spans="2:7" x14ac:dyDescent="0.2">
      <c r="B18" s="351" t="s">
        <v>414</v>
      </c>
      <c r="C18" s="254" t="s">
        <v>415</v>
      </c>
      <c r="D18" s="352" t="s">
        <v>180</v>
      </c>
      <c r="E18" s="353">
        <v>6.3E-2</v>
      </c>
      <c r="F18" s="254" t="s">
        <v>181</v>
      </c>
      <c r="G18" s="255" t="s">
        <v>154</v>
      </c>
    </row>
    <row r="19" spans="2:7" x14ac:dyDescent="0.2">
      <c r="B19" s="348" t="s">
        <v>416</v>
      </c>
      <c r="C19" s="249" t="s">
        <v>363</v>
      </c>
      <c r="D19" s="349" t="s">
        <v>136</v>
      </c>
      <c r="E19" s="350">
        <v>0.06</v>
      </c>
      <c r="F19" s="249" t="s">
        <v>413</v>
      </c>
      <c r="G19" s="250" t="s">
        <v>137</v>
      </c>
    </row>
    <row r="20" spans="2:7" x14ac:dyDescent="0.2">
      <c r="B20" s="351" t="s">
        <v>100</v>
      </c>
      <c r="C20" s="254" t="s">
        <v>363</v>
      </c>
      <c r="D20" s="352" t="s">
        <v>101</v>
      </c>
      <c r="E20" s="353">
        <v>5.6000000000000001E-2</v>
      </c>
      <c r="F20" s="254" t="s">
        <v>103</v>
      </c>
      <c r="G20" s="255" t="s">
        <v>104</v>
      </c>
    </row>
    <row r="21" spans="2:7" x14ac:dyDescent="0.2">
      <c r="B21" s="354" t="s">
        <v>417</v>
      </c>
      <c r="C21" s="355" t="s">
        <v>365</v>
      </c>
      <c r="D21" s="356" t="s">
        <v>231</v>
      </c>
      <c r="E21" s="357">
        <v>4.4999999999999998E-2</v>
      </c>
      <c r="F21" s="355" t="s">
        <v>204</v>
      </c>
      <c r="G21" s="358" t="s">
        <v>418</v>
      </c>
    </row>
    <row r="22" spans="2:7" x14ac:dyDescent="0.2">
      <c r="B22" s="4"/>
      <c r="C22" s="4"/>
      <c r="D22" s="4"/>
      <c r="E22" s="4"/>
      <c r="F22" s="4"/>
      <c r="G22" s="4"/>
    </row>
    <row r="23" spans="2:7" x14ac:dyDescent="0.2">
      <c r="B23" s="88" t="s">
        <v>419</v>
      </c>
      <c r="C23" s="89"/>
      <c r="D23" s="89"/>
      <c r="E23" s="89"/>
      <c r="F23" s="89"/>
      <c r="G23" s="90"/>
    </row>
    <row r="24" spans="2:7" x14ac:dyDescent="0.2">
      <c r="B24" s="359" t="s">
        <v>302</v>
      </c>
      <c r="C24" s="346" t="s">
        <v>303</v>
      </c>
      <c r="D24" s="346" t="s">
        <v>346</v>
      </c>
      <c r="E24" s="346" t="s">
        <v>305</v>
      </c>
      <c r="F24" s="346" t="s">
        <v>347</v>
      </c>
      <c r="G24" s="347" t="s">
        <v>307</v>
      </c>
    </row>
    <row r="25" spans="2:7" ht="18" x14ac:dyDescent="0.2">
      <c r="B25" s="360">
        <f>IFERROR('Backtest Engine'!C66,"—")</f>
        <v>0.25945251062473895</v>
      </c>
      <c r="C25" s="361">
        <f>IFERROR('Backtest Engine'!C67,"—")</f>
        <v>0.13084139802130751</v>
      </c>
      <c r="D25" s="362">
        <f>IFERROR('Backtest Engine'!C68,"—")</f>
        <v>1.7154548485349177</v>
      </c>
      <c r="E25" s="361">
        <f>IFERROR('Backtest Engine'!C69,"—")</f>
        <v>-0.19104747123975718</v>
      </c>
      <c r="F25" s="362">
        <f>IFERROR('Backtest Engine'!C70,"—")</f>
        <v>0.80623725437702887</v>
      </c>
      <c r="G25" s="363">
        <f>IFERROR('Backtest Engine'!C71,"—")</f>
        <v>5.3011290949052603E-2</v>
      </c>
    </row>
    <row r="26" spans="2:7" x14ac:dyDescent="0.2">
      <c r="B26" s="15"/>
      <c r="C26" s="15"/>
      <c r="D26" s="15"/>
      <c r="E26" s="15"/>
      <c r="F26" s="15"/>
      <c r="G26" s="15"/>
    </row>
    <row r="28" spans="2:7" x14ac:dyDescent="0.2">
      <c r="B28" s="4"/>
      <c r="C28" s="4"/>
      <c r="D28" s="4"/>
      <c r="E28" s="4"/>
      <c r="F28" s="4"/>
      <c r="G28" s="4"/>
    </row>
    <row r="29" spans="2:7" x14ac:dyDescent="0.2">
      <c r="B29" s="88" t="s">
        <v>422</v>
      </c>
      <c r="C29" s="89"/>
      <c r="D29" s="89"/>
      <c r="E29" s="89"/>
      <c r="F29" s="89"/>
      <c r="G29" s="90"/>
    </row>
    <row r="30" spans="2:7" x14ac:dyDescent="0.2">
      <c r="B30" s="359" t="s">
        <v>423</v>
      </c>
      <c r="C30" s="346" t="s">
        <v>424</v>
      </c>
      <c r="D30" s="346" t="s">
        <v>425</v>
      </c>
      <c r="E30" s="346" t="s">
        <v>426</v>
      </c>
      <c r="F30" s="346" t="s">
        <v>345</v>
      </c>
      <c r="G30" s="347"/>
    </row>
    <row r="31" spans="2:7" x14ac:dyDescent="0.2">
      <c r="B31" s="367" t="s">
        <v>273</v>
      </c>
      <c r="C31" s="64" t="s">
        <v>273</v>
      </c>
      <c r="D31" s="64" t="s">
        <v>273</v>
      </c>
      <c r="E31" s="368" t="s">
        <v>427</v>
      </c>
      <c r="F31" s="369" t="s">
        <v>428</v>
      </c>
      <c r="G31" s="370"/>
    </row>
  </sheetData>
  <mergeCells count="11">
    <mergeCell ref="C12:G12"/>
    <mergeCell ref="C13:G13"/>
    <mergeCell ref="B15:G15"/>
    <mergeCell ref="B23:G23"/>
    <mergeCell ref="B29:G29"/>
    <mergeCell ref="B1:G1"/>
    <mergeCell ref="B2:G2"/>
    <mergeCell ref="B7:G7"/>
    <mergeCell ref="B8:G8"/>
    <mergeCell ref="B10:G10"/>
    <mergeCell ref="C11:G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 &amp; Methodology</vt:lpstr>
      <vt:lpstr>Macro Scorecard</vt:lpstr>
      <vt:lpstr>Theme Baskets</vt:lpstr>
      <vt:lpstr>Rebalancing Framework</vt:lpstr>
      <vt:lpstr>Backtest Engine</vt:lpstr>
      <vt:lpstr>Attribution</vt:lpstr>
      <vt:lpstr>Risk Dashboard</vt:lpstr>
      <vt:lpstr>Investor Summary</vt:lpstr>
      <vt:lpstr>MacroScore</vt:lpstr>
      <vt:lpstr>MacroSignal</vt:lpstr>
      <vt:lpstr>RiskFreeRate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Divij Budhiraja</dc:creator>
  <cp:lastModifiedBy>Divij Budhiraja</cp:lastModifiedBy>
  <dcterms:created xsi:type="dcterms:W3CDTF">2026-03-24T19:49:49Z</dcterms:created>
  <dcterms:modified xsi:type="dcterms:W3CDTF">2026-03-24T20:31:49Z</dcterms:modified>
</cp:coreProperties>
</file>