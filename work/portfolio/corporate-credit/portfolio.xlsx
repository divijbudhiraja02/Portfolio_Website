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315"/>
  <workbookPr defaultThemeVersion="202300"/>
  <mc:AlternateContent xmlns:mc="http://schemas.openxmlformats.org/markup-compatibility/2006">
    <mc:Choice Requires="x15">
      <x15ac:absPath xmlns:x15ac="http://schemas.microsoft.com/office/spreadsheetml/2010/11/ac" url="/Users/divijbudhiraja/Desktop/Fin_work/Portfolio Analysis/Corporate Credit &amp; High Yield Analysis/"/>
    </mc:Choice>
  </mc:AlternateContent>
  <xr:revisionPtr revIDLastSave="0" documentId="13_ncr:1_{3F386FB1-E4C0-BD45-A554-B33DCC9A477E}" xr6:coauthVersionLast="47" xr6:coauthVersionMax="47" xr10:uidLastSave="{00000000-0000-0000-0000-000000000000}"/>
  <bookViews>
    <workbookView xWindow="3080" yWindow="2160" windowWidth="28040" windowHeight="17180" firstSheet="3" activeTab="8" xr2:uid="{5F659EA0-E530-AF42-9C7B-B2E5BBAF1CBE}"/>
  </bookViews>
  <sheets>
    <sheet name="Cover" sheetId="1" r:id="rId1"/>
    <sheet name="Portfolio" sheetId="10" r:id="rId2"/>
    <sheet name="Benchmark vs Portfolio" sheetId="11" r:id="rId3"/>
    <sheet name="Performance Attribution" sheetId="12" r:id="rId4"/>
    <sheet name="Credit Universe" sheetId="2" r:id="rId5"/>
    <sheet name="Credit Scoring" sheetId="3" r:id="rId6"/>
    <sheet name="Spread Analysis" sheetId="4" r:id="rId7"/>
    <sheet name="Scenario Analysis" sheetId="5" r:id="rId8"/>
    <sheet name="Relative Value" sheetId="7" r:id="rId9"/>
  </sheets>
  <definedNames>
    <definedName name="CovenantThreshold">"'Credit Scoring'!$B$62"</definedName>
    <definedName name="DistressMultiple">"'Credit Scoring'!$B$63"</definedName>
    <definedName name="NewIssuePremium">"'Credit Scoring'!$B$64"</definedName>
    <definedName name="PortfolioDuration">"Portfolio!$M$20"</definedName>
    <definedName name="PortfolioMV">"Portfolio!$G$20"</definedName>
    <definedName name="PortfolioSpread">"Portfolio!$L$20"</definedName>
    <definedName name="PortfolioYTM">"Portfolio!$I$20"</definedName>
    <definedName name="RiskFreeRate">"'Credit Scoring'!$B$65"</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J19" i="10" l="1"/>
  <c r="I19" i="10"/>
  <c r="F19" i="10"/>
  <c r="J18" i="10"/>
  <c r="I18" i="10"/>
  <c r="F18" i="10"/>
  <c r="J17" i="10"/>
  <c r="I17" i="10"/>
  <c r="F17" i="10"/>
  <c r="J16" i="10"/>
  <c r="I16" i="10"/>
  <c r="F16" i="10"/>
  <c r="J15" i="10"/>
  <c r="I15" i="10"/>
  <c r="F15" i="10"/>
  <c r="J14" i="10"/>
  <c r="I14" i="10"/>
  <c r="F14" i="10"/>
  <c r="J13" i="10"/>
  <c r="I13" i="10"/>
  <c r="F13" i="10"/>
  <c r="J12" i="10"/>
  <c r="I12" i="10"/>
  <c r="F12" i="10"/>
  <c r="J11" i="10"/>
  <c r="I11" i="10"/>
  <c r="F11" i="10"/>
  <c r="J10" i="10"/>
  <c r="I10" i="10"/>
  <c r="F10" i="10"/>
  <c r="J9" i="10"/>
  <c r="I9" i="10"/>
  <c r="F9" i="10"/>
  <c r="J8" i="10"/>
  <c r="I8" i="10"/>
  <c r="F8" i="10"/>
  <c r="O16" i="2"/>
  <c r="O15" i="2"/>
  <c r="O14" i="2"/>
  <c r="O13" i="2"/>
  <c r="O12" i="2"/>
  <c r="O11" i="2"/>
  <c r="O10" i="2"/>
  <c r="O9" i="2"/>
  <c r="O8" i="2"/>
  <c r="O7" i="2"/>
  <c r="O6" i="2"/>
  <c r="O5" i="2"/>
  <c r="P15" i="2"/>
  <c r="Q15" i="2" s="1"/>
  <c r="E12" i="12"/>
  <c r="E11" i="12"/>
  <c r="E10" i="12"/>
  <c r="D13" i="12"/>
  <c r="I30" i="10"/>
  <c r="K30" i="10" s="1"/>
  <c r="L30" i="10" s="1"/>
  <c r="I25" i="10"/>
  <c r="K25" i="10" s="1"/>
  <c r="L25" i="10" s="1"/>
  <c r="E23" i="12"/>
  <c r="D15" i="11"/>
  <c r="E28" i="10"/>
  <c r="E20" i="10"/>
  <c r="G19" i="10"/>
  <c r="D19" i="10"/>
  <c r="G18" i="10"/>
  <c r="D18" i="10"/>
  <c r="G17" i="10"/>
  <c r="D17" i="10"/>
  <c r="G16" i="10"/>
  <c r="D16" i="10"/>
  <c r="G15" i="10"/>
  <c r="D15" i="10"/>
  <c r="G14" i="10"/>
  <c r="D14" i="10"/>
  <c r="G13" i="10"/>
  <c r="D13" i="10"/>
  <c r="G12" i="10"/>
  <c r="D12" i="10"/>
  <c r="G11" i="10"/>
  <c r="D11" i="10"/>
  <c r="G10" i="10"/>
  <c r="D10" i="10"/>
  <c r="G9" i="10"/>
  <c r="D9" i="10"/>
  <c r="G8" i="10"/>
  <c r="D8" i="10"/>
  <c r="I10" i="5"/>
  <c r="R17" i="5"/>
  <c r="Q17" i="5"/>
  <c r="N17" i="5"/>
  <c r="M17" i="5"/>
  <c r="L17" i="5"/>
  <c r="I17" i="5"/>
  <c r="H17" i="5"/>
  <c r="G17" i="5"/>
  <c r="D17" i="5"/>
  <c r="C17" i="5"/>
  <c r="B17" i="5"/>
  <c r="R16" i="5"/>
  <c r="Q16" i="5"/>
  <c r="P16" i="5"/>
  <c r="O16" i="5"/>
  <c r="N16" i="5"/>
  <c r="M16" i="5"/>
  <c r="L16" i="5"/>
  <c r="K16" i="5"/>
  <c r="J16" i="5"/>
  <c r="I16" i="5"/>
  <c r="H16" i="5"/>
  <c r="G16" i="5"/>
  <c r="F16" i="5"/>
  <c r="E16" i="5"/>
  <c r="D16" i="5"/>
  <c r="C16" i="5"/>
  <c r="B16" i="5"/>
  <c r="R15" i="5"/>
  <c r="Q15" i="5"/>
  <c r="P15" i="5"/>
  <c r="O15" i="5"/>
  <c r="N15" i="5"/>
  <c r="M15" i="5"/>
  <c r="L15" i="5"/>
  <c r="K15" i="5"/>
  <c r="J15" i="5"/>
  <c r="I15" i="5"/>
  <c r="H15" i="5"/>
  <c r="G15" i="5"/>
  <c r="F15" i="5"/>
  <c r="E15" i="5"/>
  <c r="D15" i="5"/>
  <c r="C15" i="5"/>
  <c r="B15" i="5"/>
  <c r="R14" i="5"/>
  <c r="Q14" i="5"/>
  <c r="P14" i="5"/>
  <c r="O14" i="5"/>
  <c r="N14" i="5"/>
  <c r="M14" i="5"/>
  <c r="L14" i="5"/>
  <c r="K14" i="5"/>
  <c r="J14" i="5"/>
  <c r="I14" i="5"/>
  <c r="H14" i="5"/>
  <c r="G14" i="5"/>
  <c r="F14" i="5"/>
  <c r="E14" i="5"/>
  <c r="D14" i="5"/>
  <c r="C14" i="5"/>
  <c r="B14" i="5"/>
  <c r="R13" i="5"/>
  <c r="Q13" i="5"/>
  <c r="P13" i="5"/>
  <c r="O13" i="5"/>
  <c r="N13" i="5"/>
  <c r="M13" i="5"/>
  <c r="L13" i="5"/>
  <c r="K13" i="5"/>
  <c r="J13" i="5"/>
  <c r="I13" i="5"/>
  <c r="H13" i="5"/>
  <c r="G13" i="5"/>
  <c r="F13" i="5"/>
  <c r="E13" i="5"/>
  <c r="D13" i="5"/>
  <c r="C13" i="5"/>
  <c r="B13" i="5"/>
  <c r="R12" i="5"/>
  <c r="Q12" i="5"/>
  <c r="P12" i="5"/>
  <c r="O12" i="5"/>
  <c r="N12" i="5"/>
  <c r="M12" i="5"/>
  <c r="L12" i="5"/>
  <c r="K12" i="5"/>
  <c r="J12" i="5"/>
  <c r="I12" i="5"/>
  <c r="H12" i="5"/>
  <c r="G12" i="5"/>
  <c r="F12" i="5"/>
  <c r="E12" i="5"/>
  <c r="D12" i="5"/>
  <c r="C12" i="5"/>
  <c r="B12" i="5"/>
  <c r="Q11" i="5"/>
  <c r="R11" i="5" s="1"/>
  <c r="N11" i="5"/>
  <c r="O11" i="5" s="1"/>
  <c r="P11" i="5" s="1"/>
  <c r="M11" i="5"/>
  <c r="L11" i="5"/>
  <c r="I11" i="5"/>
  <c r="H11" i="5"/>
  <c r="G11" i="5"/>
  <c r="D11" i="5"/>
  <c r="C11" i="5"/>
  <c r="B11" i="5"/>
  <c r="Q10" i="5"/>
  <c r="R10" i="5" s="1"/>
  <c r="N10" i="5"/>
  <c r="M10" i="5"/>
  <c r="L10" i="5"/>
  <c r="H10" i="5"/>
  <c r="G10" i="5"/>
  <c r="D10" i="5"/>
  <c r="C10" i="5"/>
  <c r="B10" i="5"/>
  <c r="R9" i="5"/>
  <c r="Q9" i="5"/>
  <c r="P9" i="5"/>
  <c r="O9" i="5"/>
  <c r="N9" i="5"/>
  <c r="M9" i="5"/>
  <c r="L9" i="5"/>
  <c r="K9" i="5"/>
  <c r="J9" i="5"/>
  <c r="I9" i="5"/>
  <c r="H9" i="5"/>
  <c r="G9" i="5"/>
  <c r="F9" i="5"/>
  <c r="E9" i="5"/>
  <c r="D9" i="5"/>
  <c r="C9" i="5"/>
  <c r="B9" i="5"/>
  <c r="R8" i="5"/>
  <c r="Q8" i="5"/>
  <c r="P8" i="5"/>
  <c r="O8" i="5"/>
  <c r="N8" i="5"/>
  <c r="M8" i="5"/>
  <c r="L8" i="5"/>
  <c r="K8" i="5"/>
  <c r="J8" i="5"/>
  <c r="I8" i="5"/>
  <c r="H8" i="5"/>
  <c r="G8" i="5"/>
  <c r="F8" i="5"/>
  <c r="E8" i="5"/>
  <c r="D8" i="5"/>
  <c r="C8" i="5"/>
  <c r="B8" i="5"/>
  <c r="R7" i="5"/>
  <c r="Q7" i="5"/>
  <c r="P7" i="5"/>
  <c r="O7" i="5"/>
  <c r="N7" i="5"/>
  <c r="M7" i="5"/>
  <c r="L7" i="5"/>
  <c r="K7" i="5"/>
  <c r="J7" i="5"/>
  <c r="I7" i="5"/>
  <c r="H7" i="5"/>
  <c r="G7" i="5"/>
  <c r="F7" i="5"/>
  <c r="E7" i="5"/>
  <c r="D7" i="5"/>
  <c r="C7" i="5"/>
  <c r="B7" i="5"/>
  <c r="R6" i="5"/>
  <c r="Q6" i="5"/>
  <c r="P6" i="5"/>
  <c r="O6" i="5"/>
  <c r="N6" i="5"/>
  <c r="M6" i="5"/>
  <c r="L6" i="5"/>
  <c r="K6" i="5"/>
  <c r="J6" i="5"/>
  <c r="I6" i="5"/>
  <c r="H6" i="5"/>
  <c r="G6" i="5"/>
  <c r="F6" i="5"/>
  <c r="E6" i="5"/>
  <c r="D6" i="5"/>
  <c r="C6" i="5"/>
  <c r="B6" i="5"/>
  <c r="C41" i="4"/>
  <c r="C40" i="4"/>
  <c r="C39" i="4"/>
  <c r="C38" i="4"/>
  <c r="C37" i="4"/>
  <c r="C34" i="4"/>
  <c r="C33" i="4"/>
  <c r="C32" i="4"/>
  <c r="C31" i="4"/>
  <c r="D27" i="4"/>
  <c r="J26" i="4"/>
  <c r="H26" i="4"/>
  <c r="E26" i="4"/>
  <c r="D26" i="4"/>
  <c r="B26" i="4"/>
  <c r="J25" i="4"/>
  <c r="H25" i="4"/>
  <c r="E25" i="4"/>
  <c r="D25" i="4"/>
  <c r="B25" i="4"/>
  <c r="J24" i="4"/>
  <c r="H24" i="4"/>
  <c r="E24" i="4"/>
  <c r="D24" i="4"/>
  <c r="B24" i="4"/>
  <c r="J23" i="4"/>
  <c r="H23" i="4"/>
  <c r="E23" i="4"/>
  <c r="D23" i="4"/>
  <c r="B23" i="4"/>
  <c r="J22" i="4"/>
  <c r="H22" i="4"/>
  <c r="E22" i="4"/>
  <c r="D22" i="4"/>
  <c r="B22" i="4"/>
  <c r="D21" i="4"/>
  <c r="D20" i="4"/>
  <c r="J19" i="4"/>
  <c r="H19" i="4"/>
  <c r="E19" i="4"/>
  <c r="D19" i="4"/>
  <c r="B19" i="4"/>
  <c r="J18" i="4"/>
  <c r="H18" i="4"/>
  <c r="E18" i="4"/>
  <c r="D18" i="4"/>
  <c r="B18" i="4"/>
  <c r="J17" i="4"/>
  <c r="H17" i="4"/>
  <c r="E17" i="4"/>
  <c r="D17" i="4"/>
  <c r="B17" i="4"/>
  <c r="J16" i="4"/>
  <c r="H16" i="4"/>
  <c r="E16" i="4"/>
  <c r="D16" i="4"/>
  <c r="B16" i="4"/>
  <c r="G15" i="2"/>
  <c r="G14" i="2"/>
  <c r="G13" i="2"/>
  <c r="G12" i="2"/>
  <c r="G11" i="2"/>
  <c r="G8" i="2"/>
  <c r="G7" i="2"/>
  <c r="G6" i="2"/>
  <c r="G5" i="2"/>
  <c r="D58" i="3"/>
  <c r="C58" i="3"/>
  <c r="E57" i="3"/>
  <c r="D57" i="3"/>
  <c r="F57" i="3" s="1"/>
  <c r="C57" i="3"/>
  <c r="B57" i="3"/>
  <c r="F56" i="3"/>
  <c r="G56" i="3" s="1"/>
  <c r="E56" i="3"/>
  <c r="D56" i="3"/>
  <c r="C56" i="3"/>
  <c r="B56" i="3"/>
  <c r="F55" i="3"/>
  <c r="D55" i="3"/>
  <c r="C55" i="3"/>
  <c r="E55" i="3" s="1"/>
  <c r="B55" i="3"/>
  <c r="D54" i="3"/>
  <c r="F54" i="3" s="1"/>
  <c r="C54" i="3"/>
  <c r="E54" i="3" s="1"/>
  <c r="B54" i="3"/>
  <c r="D53" i="3"/>
  <c r="F53" i="3" s="1"/>
  <c r="C53" i="3"/>
  <c r="E53" i="3" s="1"/>
  <c r="B53" i="3"/>
  <c r="D52" i="3"/>
  <c r="C52" i="3"/>
  <c r="D51" i="3"/>
  <c r="C51" i="3"/>
  <c r="E50" i="3"/>
  <c r="D50" i="3"/>
  <c r="F50" i="3" s="1"/>
  <c r="C50" i="3"/>
  <c r="B50" i="3"/>
  <c r="F49" i="3"/>
  <c r="E49" i="3"/>
  <c r="D49" i="3"/>
  <c r="C49" i="3"/>
  <c r="B49" i="3"/>
  <c r="F48" i="3"/>
  <c r="D48" i="3"/>
  <c r="C48" i="3"/>
  <c r="E48" i="3" s="1"/>
  <c r="B48" i="3"/>
  <c r="D47" i="3"/>
  <c r="F47" i="3" s="1"/>
  <c r="C47" i="3"/>
  <c r="E47" i="3" s="1"/>
  <c r="B47" i="3"/>
  <c r="F33" i="3"/>
  <c r="E33" i="3"/>
  <c r="C33" i="3"/>
  <c r="I32" i="3"/>
  <c r="H32" i="3"/>
  <c r="G32" i="3"/>
  <c r="F32" i="3"/>
  <c r="E32" i="3"/>
  <c r="D32" i="3"/>
  <c r="C32" i="3"/>
  <c r="B32" i="3"/>
  <c r="I31" i="3"/>
  <c r="H31" i="3"/>
  <c r="G31" i="3"/>
  <c r="F31" i="3"/>
  <c r="E31" i="3"/>
  <c r="D31" i="3"/>
  <c r="C31" i="3"/>
  <c r="B31" i="3"/>
  <c r="I30" i="3"/>
  <c r="H30" i="3"/>
  <c r="G30" i="3"/>
  <c r="F30" i="3"/>
  <c r="E30" i="3"/>
  <c r="D30" i="3"/>
  <c r="C30" i="3"/>
  <c r="B30" i="3"/>
  <c r="I29" i="3"/>
  <c r="H29" i="3"/>
  <c r="G29" i="3"/>
  <c r="F29" i="3"/>
  <c r="E29" i="3"/>
  <c r="D29" i="3"/>
  <c r="C29" i="3"/>
  <c r="B29" i="3"/>
  <c r="I28" i="3"/>
  <c r="H28" i="3"/>
  <c r="G28" i="3"/>
  <c r="F28" i="3"/>
  <c r="E28" i="3"/>
  <c r="D28" i="3"/>
  <c r="C28" i="3"/>
  <c r="B28" i="3"/>
  <c r="F27" i="3"/>
  <c r="C27" i="3"/>
  <c r="B27" i="3"/>
  <c r="F26" i="3"/>
  <c r="I25" i="3"/>
  <c r="H25" i="3"/>
  <c r="G25" i="3"/>
  <c r="F25" i="3"/>
  <c r="E25" i="3"/>
  <c r="D25" i="3"/>
  <c r="C25" i="3"/>
  <c r="B25" i="3"/>
  <c r="I24" i="3"/>
  <c r="H24" i="3"/>
  <c r="G24" i="3"/>
  <c r="F24" i="3"/>
  <c r="E24" i="3"/>
  <c r="D24" i="3"/>
  <c r="C24" i="3"/>
  <c r="B24" i="3"/>
  <c r="I23" i="3"/>
  <c r="H23" i="3"/>
  <c r="G23" i="3"/>
  <c r="F23" i="3"/>
  <c r="E23" i="3"/>
  <c r="D23" i="3"/>
  <c r="C23" i="3"/>
  <c r="B23" i="3"/>
  <c r="I22" i="3"/>
  <c r="H22" i="3"/>
  <c r="G22" i="3"/>
  <c r="F22" i="3"/>
  <c r="E22" i="3"/>
  <c r="D22" i="3"/>
  <c r="C22" i="3"/>
  <c r="B22" i="3"/>
  <c r="O17" i="3"/>
  <c r="G33" i="3" s="1"/>
  <c r="J17" i="5" s="1"/>
  <c r="K17" i="5" s="1"/>
  <c r="N17" i="3"/>
  <c r="M17" i="3"/>
  <c r="L17" i="3"/>
  <c r="D33" i="3" s="1"/>
  <c r="K17" i="3"/>
  <c r="J17" i="3"/>
  <c r="B33" i="3" s="1"/>
  <c r="O16" i="3"/>
  <c r="N16" i="3"/>
  <c r="M16" i="3"/>
  <c r="L16" i="3"/>
  <c r="K16" i="3"/>
  <c r="J16" i="3"/>
  <c r="O15" i="3"/>
  <c r="N15" i="3"/>
  <c r="M15" i="3"/>
  <c r="L15" i="3"/>
  <c r="K15" i="3"/>
  <c r="J15" i="3"/>
  <c r="O14" i="3"/>
  <c r="N14" i="3"/>
  <c r="M14" i="3"/>
  <c r="L14" i="3"/>
  <c r="K14" i="3"/>
  <c r="J14" i="3"/>
  <c r="O13" i="3"/>
  <c r="N13" i="3"/>
  <c r="M13" i="3"/>
  <c r="L13" i="3"/>
  <c r="K13" i="3"/>
  <c r="J13" i="3"/>
  <c r="O12" i="3"/>
  <c r="N12" i="3"/>
  <c r="M12" i="3"/>
  <c r="L12" i="3"/>
  <c r="K12" i="3"/>
  <c r="J12" i="3"/>
  <c r="O11" i="3"/>
  <c r="G27" i="3" s="1"/>
  <c r="N11" i="3"/>
  <c r="M11" i="3"/>
  <c r="E27" i="3" s="1"/>
  <c r="L11" i="3"/>
  <c r="D27" i="3" s="1"/>
  <c r="K11" i="3"/>
  <c r="J11" i="3"/>
  <c r="O10" i="3"/>
  <c r="G26" i="3" s="1"/>
  <c r="N10" i="3"/>
  <c r="M10" i="3"/>
  <c r="E26" i="3" s="1"/>
  <c r="L10" i="3"/>
  <c r="D26" i="3" s="1"/>
  <c r="K10" i="3"/>
  <c r="C26" i="3" s="1"/>
  <c r="J10" i="3"/>
  <c r="B26" i="3" s="1"/>
  <c r="O9" i="3"/>
  <c r="N9" i="3"/>
  <c r="M9" i="3"/>
  <c r="L9" i="3"/>
  <c r="K9" i="3"/>
  <c r="J9" i="3"/>
  <c r="O8" i="3"/>
  <c r="N8" i="3"/>
  <c r="M8" i="3"/>
  <c r="L8" i="3"/>
  <c r="K8" i="3"/>
  <c r="J8" i="3"/>
  <c r="O7" i="3"/>
  <c r="N7" i="3"/>
  <c r="M7" i="3"/>
  <c r="L7" i="3"/>
  <c r="K7" i="3"/>
  <c r="J7" i="3"/>
  <c r="O6" i="3"/>
  <c r="N6" i="3"/>
  <c r="M6" i="3"/>
  <c r="L6" i="3"/>
  <c r="K6" i="3"/>
  <c r="J6" i="3"/>
  <c r="N16" i="2"/>
  <c r="B42" i="4" s="1"/>
  <c r="L16" i="2"/>
  <c r="L15" i="2"/>
  <c r="N15" i="2" s="1"/>
  <c r="B41" i="4" s="1"/>
  <c r="D41" i="4" s="1"/>
  <c r="L14" i="2"/>
  <c r="N14" i="2" s="1"/>
  <c r="L13" i="2"/>
  <c r="N13" i="2" s="1"/>
  <c r="L12" i="2"/>
  <c r="N12" i="2" s="1"/>
  <c r="P12" i="2" s="1"/>
  <c r="Q12" i="2" s="1"/>
  <c r="L11" i="2"/>
  <c r="N11" i="2" s="1"/>
  <c r="L10" i="2"/>
  <c r="N10" i="2" s="1"/>
  <c r="L9" i="2"/>
  <c r="N9" i="2" s="1"/>
  <c r="L8" i="2"/>
  <c r="N8" i="2" s="1"/>
  <c r="N7" i="2"/>
  <c r="P7" i="2" s="1"/>
  <c r="Q7" i="2" s="1"/>
  <c r="L7" i="2"/>
  <c r="L6" i="2"/>
  <c r="N6" i="2" s="1"/>
  <c r="L5" i="2"/>
  <c r="N5" i="2" s="1"/>
  <c r="G20" i="10" l="1"/>
  <c r="P16" i="2"/>
  <c r="Q16" i="2" s="1"/>
  <c r="F41" i="4"/>
  <c r="E41" i="4"/>
  <c r="G57" i="3"/>
  <c r="B40" i="4"/>
  <c r="D40" i="4" s="1"/>
  <c r="P14" i="2"/>
  <c r="Q14" i="2" s="1"/>
  <c r="P13" i="2"/>
  <c r="Q13" i="2" s="1"/>
  <c r="B39" i="4"/>
  <c r="D39" i="4" s="1"/>
  <c r="G55" i="3"/>
  <c r="B38" i="4"/>
  <c r="D38" i="4" s="1"/>
  <c r="G54" i="3"/>
  <c r="P11" i="2"/>
  <c r="Q11" i="2" s="1"/>
  <c r="B37" i="4"/>
  <c r="D37" i="4" s="1"/>
  <c r="G53" i="3"/>
  <c r="P10" i="2"/>
  <c r="Q10" i="2" s="1"/>
  <c r="B36" i="4"/>
  <c r="B35" i="4"/>
  <c r="P9" i="2"/>
  <c r="Q9" i="2" s="1"/>
  <c r="P8" i="2"/>
  <c r="Q8" i="2" s="1"/>
  <c r="B34" i="4"/>
  <c r="D34" i="4" s="1"/>
  <c r="G50" i="3"/>
  <c r="B33" i="4"/>
  <c r="D33" i="4" s="1"/>
  <c r="G49" i="3"/>
  <c r="B32" i="4"/>
  <c r="D32" i="4" s="1"/>
  <c r="P6" i="2"/>
  <c r="Q6" i="2" s="1"/>
  <c r="F32" i="4"/>
  <c r="E32" i="4"/>
  <c r="G48" i="3"/>
  <c r="P5" i="2"/>
  <c r="Q5" i="2" s="1"/>
  <c r="B31" i="4"/>
  <c r="D31" i="4" s="1"/>
  <c r="G47" i="3"/>
  <c r="H33" i="3"/>
  <c r="O17" i="5"/>
  <c r="P17" i="5" s="1"/>
  <c r="J11" i="5"/>
  <c r="K11" i="5" s="1"/>
  <c r="H27" i="3"/>
  <c r="H26" i="3"/>
  <c r="E10" i="5"/>
  <c r="I26" i="3"/>
  <c r="O10" i="5"/>
  <c r="P10" i="5" s="1"/>
  <c r="J10" i="5"/>
  <c r="K10" i="5" s="1"/>
  <c r="H17" i="10" l="1"/>
  <c r="H9" i="10"/>
  <c r="C29" i="10"/>
  <c r="E29" i="10" s="1"/>
  <c r="H16" i="10"/>
  <c r="H15" i="10"/>
  <c r="H14" i="10"/>
  <c r="H19" i="10"/>
  <c r="H11" i="10"/>
  <c r="H18" i="10"/>
  <c r="F12" i="12"/>
  <c r="H13" i="10"/>
  <c r="F11" i="12"/>
  <c r="H12" i="10"/>
  <c r="F10" i="12"/>
  <c r="H10" i="10"/>
  <c r="H8" i="10"/>
  <c r="F40" i="4"/>
  <c r="E40" i="4"/>
  <c r="F39" i="4"/>
  <c r="E39" i="4"/>
  <c r="E38" i="4"/>
  <c r="F38" i="4"/>
  <c r="E37" i="4"/>
  <c r="F37" i="4"/>
  <c r="E34" i="4"/>
  <c r="F34" i="4"/>
  <c r="F33" i="4"/>
  <c r="E33" i="4"/>
  <c r="F31" i="4"/>
  <c r="E31" i="4"/>
  <c r="I33" i="3"/>
  <c r="E17" i="5"/>
  <c r="E11" i="5"/>
  <c r="I27" i="3"/>
  <c r="F10" i="5"/>
  <c r="G9" i="2"/>
  <c r="B20" i="4"/>
  <c r="E20" i="4" s="1"/>
  <c r="H20" i="4" s="1"/>
  <c r="B51" i="3"/>
  <c r="L11" i="10" l="1"/>
  <c r="M11" i="10"/>
  <c r="L19" i="10"/>
  <c r="M19" i="10"/>
  <c r="I26" i="10"/>
  <c r="K26" i="10" s="1"/>
  <c r="L26" i="10" s="1"/>
  <c r="M12" i="10"/>
  <c r="L12" i="10"/>
  <c r="C12" i="11"/>
  <c r="E12" i="11" s="1"/>
  <c r="F12" i="11" s="1"/>
  <c r="L14" i="10"/>
  <c r="M14" i="10"/>
  <c r="L15" i="10"/>
  <c r="M15" i="10"/>
  <c r="M13" i="10"/>
  <c r="L13" i="10"/>
  <c r="M16" i="10"/>
  <c r="L16" i="10"/>
  <c r="C14" i="11"/>
  <c r="E14" i="11" s="1"/>
  <c r="F14" i="11" s="1"/>
  <c r="I29" i="10"/>
  <c r="K29" i="10" s="1"/>
  <c r="L29" i="10" s="1"/>
  <c r="C27" i="10"/>
  <c r="E27" i="10" s="1"/>
  <c r="M8" i="10"/>
  <c r="C8" i="11"/>
  <c r="I24" i="10"/>
  <c r="K24" i="10" s="1"/>
  <c r="L24" i="10" s="1"/>
  <c r="I20" i="10"/>
  <c r="L8" i="10"/>
  <c r="H20" i="10"/>
  <c r="C11" i="11" a="1"/>
  <c r="C11" i="11" s="1"/>
  <c r="E11" i="11" s="1"/>
  <c r="F11" i="11" s="1"/>
  <c r="C13" i="11" a="1"/>
  <c r="C13" i="11" s="1"/>
  <c r="E13" i="11" s="1"/>
  <c r="F13" i="11" s="1"/>
  <c r="L18" i="10"/>
  <c r="M18" i="10"/>
  <c r="I28" i="10"/>
  <c r="K28" i="10" s="1"/>
  <c r="L28" i="10" s="1"/>
  <c r="C10" i="11" a="1"/>
  <c r="C10" i="11" s="1"/>
  <c r="E10" i="11" s="1"/>
  <c r="F10" i="11" s="1"/>
  <c r="M9" i="10"/>
  <c r="L9" i="10"/>
  <c r="C9" i="11"/>
  <c r="E9" i="11" s="1"/>
  <c r="F9" i="11" s="1"/>
  <c r="I27" i="10"/>
  <c r="K27" i="10" s="1"/>
  <c r="L27" i="10" s="1"/>
  <c r="L10" i="10"/>
  <c r="M10" i="10"/>
  <c r="M17" i="10"/>
  <c r="L17" i="10"/>
  <c r="F17" i="5"/>
  <c r="B58" i="3"/>
  <c r="B27" i="4"/>
  <c r="E27" i="4" s="1"/>
  <c r="H27" i="4" s="1"/>
  <c r="G16" i="2"/>
  <c r="B21" i="4"/>
  <c r="E21" i="4" s="1"/>
  <c r="H21" i="4" s="1"/>
  <c r="B52" i="3"/>
  <c r="F11" i="5"/>
  <c r="G10" i="2"/>
  <c r="F51" i="3"/>
  <c r="E51" i="3"/>
  <c r="C35" i="4"/>
  <c r="D35" i="4" s="1"/>
  <c r="J20" i="4"/>
  <c r="C19" i="12" l="1"/>
  <c r="C18" i="12"/>
  <c r="E18" i="12" s="1"/>
  <c r="C24" i="10"/>
  <c r="E24" i="10" s="1"/>
  <c r="C9" i="12"/>
  <c r="L20" i="10"/>
  <c r="E8" i="11"/>
  <c r="F8" i="11" s="1"/>
  <c r="C15" i="11"/>
  <c r="M20" i="10"/>
  <c r="J27" i="4"/>
  <c r="C42" i="4"/>
  <c r="D42" i="4" s="1"/>
  <c r="E58" i="3"/>
  <c r="F58" i="3"/>
  <c r="E52" i="3"/>
  <c r="F52" i="3"/>
  <c r="C36" i="4"/>
  <c r="D36" i="4" s="1"/>
  <c r="J21" i="4"/>
  <c r="F35" i="4"/>
  <c r="E35" i="4"/>
  <c r="G51" i="3"/>
  <c r="C26" i="10" l="1"/>
  <c r="E26" i="10" s="1"/>
  <c r="C20" i="12"/>
  <c r="C25" i="10"/>
  <c r="E25" i="10" s="1"/>
  <c r="C21" i="12"/>
  <c r="E22" i="12" s="1"/>
  <c r="E9" i="12"/>
  <c r="C13" i="12"/>
  <c r="F9" i="12"/>
  <c r="G58" i="3"/>
  <c r="F42" i="4"/>
  <c r="E42" i="4"/>
  <c r="F36" i="4"/>
  <c r="E36" i="4"/>
  <c r="G52" i="3"/>
  <c r="E13" i="12" l="1"/>
  <c r="C17" i="12" s="1"/>
  <c r="E17" i="12" s="1"/>
  <c r="F13" i="12"/>
</calcChain>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<sst xmlns="http://schemas.openxmlformats.org/spreadsheetml/2006/main" count="719" uniqueCount="476">
  <si>
    <t>STRATEGY DESCRIPTION</t>
  </si>
  <si>
    <t>METHODOLOGY</t>
  </si>
  <si>
    <t>WORKBOOK STRUCTURE</t>
  </si>
  <si>
    <t>CREDIT UNIVERSE — MASTER DASHBOARD</t>
  </si>
  <si>
    <t>All 12 corporate issuers: shadow ratings, bond data, spread analysis and mispricing signals. Yellow cells = user inputs.</t>
  </si>
  <si>
    <t>Company</t>
  </si>
  <si>
    <t>Ticker</t>
  </si>
  <si>
    <t>Country</t>
  </si>
  <si>
    <t>Sector</t>
  </si>
  <si>
    <t>S&amp;P Rating</t>
  </si>
  <si>
    <t>Moody's Rating</t>
  </si>
  <si>
    <t>Shadow Rating</t>
  </si>
  <si>
    <t>Bond ISIN</t>
  </si>
  <si>
    <t>Maturity</t>
  </si>
  <si>
    <t>Coupon (%)</t>
  </si>
  <si>
    <t>Mkt Price</t>
  </si>
  <si>
    <t>YTM (%)</t>
  </si>
  <si>
    <t>Benchmark Rate (%)</t>
  </si>
  <si>
    <t>Mkt Spread (bps)</t>
  </si>
  <si>
    <t>FV Spread (bps)</t>
  </si>
  <si>
    <t>Mispricing (bps)</t>
  </si>
  <si>
    <t>Signal</t>
  </si>
  <si>
    <t>Credit View</t>
  </si>
  <si>
    <t>Microsoft Corp</t>
  </si>
  <si>
    <t>MSFT</t>
  </si>
  <si>
    <t>USA</t>
  </si>
  <si>
    <t>Technology</t>
  </si>
  <si>
    <t>Johnson &amp; Johnson</t>
  </si>
  <si>
    <t>JNJ</t>
  </si>
  <si>
    <t>Healthcare</t>
  </si>
  <si>
    <t>Vodafone Group</t>
  </si>
  <si>
    <t>VOD</t>
  </si>
  <si>
    <t>UK</t>
  </si>
  <si>
    <t>Telecom</t>
  </si>
  <si>
    <t>Rolls-Royce Holdings</t>
  </si>
  <si>
    <t>RR/</t>
  </si>
  <si>
    <t>Industrials</t>
  </si>
  <si>
    <t>Ford Motor Company</t>
  </si>
  <si>
    <t>F</t>
  </si>
  <si>
    <t>Auto</t>
  </si>
  <si>
    <t>Telecom Italia</t>
  </si>
  <si>
    <t>TIT</t>
  </si>
  <si>
    <t>Italy</t>
  </si>
  <si>
    <t>Marks &amp; Spencer</t>
  </si>
  <si>
    <t>MKS</t>
  </si>
  <si>
    <t>Retail</t>
  </si>
  <si>
    <t>Telefonica SA</t>
  </si>
  <si>
    <t>TEF</t>
  </si>
  <si>
    <t>Spain</t>
  </si>
  <si>
    <t>Carnival Corporation</t>
  </si>
  <si>
    <t>CCL</t>
  </si>
  <si>
    <t>Leisure</t>
  </si>
  <si>
    <t>Kraft Heinz Company</t>
  </si>
  <si>
    <t>KHC</t>
  </si>
  <si>
    <t>Consumer</t>
  </si>
  <si>
    <t>Bombardier Inc</t>
  </si>
  <si>
    <t>BBD</t>
  </si>
  <si>
    <t>Canada</t>
  </si>
  <si>
    <t>Coty Inc</t>
  </si>
  <si>
    <t>COTY</t>
  </si>
  <si>
    <t>← IG Issuers (rows 5–8)  |  Crossover (rows 9–12)  |  High Yield (rows 13–16)</t>
  </si>
  <si>
    <t>INPUT LEGEND</t>
  </si>
  <si>
    <t>Yellow cells</t>
  </si>
  <si>
    <t>User inputs — fill from annual reports, Bloomberg, or broker data</t>
  </si>
  <si>
    <t>White cells</t>
  </si>
  <si>
    <t>Formula-driven — do not edit</t>
  </si>
  <si>
    <t>Green signal</t>
  </si>
  <si>
    <t>Too Wide — bond trading cheap vs fair value (potential buy)</t>
  </si>
  <si>
    <t>Red signal</t>
  </si>
  <si>
    <t>Too Tight — bond trading rich vs fair value (potential avoid/short)</t>
  </si>
  <si>
    <t>Grey signal</t>
  </si>
  <si>
    <t>Fair — bond trading within ±15 bps of fair value estimate</t>
  </si>
  <si>
    <t>CREDIT SCORING MODEL — SHADOW RATING ENGINE</t>
  </si>
  <si>
    <t>Proprietary scoring model: raw financial metrics → derived ratios → weighted scores → composite rating → shadow rating</t>
  </si>
  <si>
    <t>SECTION 1 — RAW FINANCIAL METRICS INPUT (Yellow = user input, fill from annual reports)</t>
  </si>
  <si>
    <t>Revenue (bn)</t>
  </si>
  <si>
    <t>EBITDA (bn)</t>
  </si>
  <si>
    <t>EBIT (bn)</t>
  </si>
  <si>
    <t>Total Debt (bn)</t>
  </si>
  <si>
    <t>Cash &amp; Equiv (bn)</t>
  </si>
  <si>
    <t>Interest Exp (bn)</t>
  </si>
  <si>
    <t>Capex (bn)</t>
  </si>
  <si>
    <t>FCF (bn)</t>
  </si>
  <si>
    <t>Net Debt/EBITDA</t>
  </si>
  <si>
    <t>EBITDA/Interest</t>
  </si>
  <si>
    <t>FCF/Debt (%)</t>
  </si>
  <si>
    <t>Debt/Equity</t>
  </si>
  <si>
    <t>EBIT Margin (%)</t>
  </si>
  <si>
    <t>Cash/ST Debt</t>
  </si>
  <si>
    <t>SECTION 2 — CREDIT SCORING (1–5 per metric, thresholds reflect rating agency logic)</t>
  </si>
  <si>
    <t>WEIGHTS →</t>
  </si>
  <si>
    <t>Net Debt/EBITDA (25%)</t>
  </si>
  <si>
    <t>EBITDA/Interest (25%)</t>
  </si>
  <si>
    <t>FCF/Debt % (20%)</t>
  </si>
  <si>
    <t>Debt/Equity (10%)</t>
  </si>
  <si>
    <t>EBIT Margin % (15%)</t>
  </si>
  <si>
    <t>Liquidity (5%)</t>
  </si>
  <si>
    <t>Composite Score</t>
  </si>
  <si>
    <t>ND/EBITDA Score</t>
  </si>
  <si>
    <t>Coverage Score</t>
  </si>
  <si>
    <t>FCF/Debt Score</t>
  </si>
  <si>
    <t>D/E Score</t>
  </si>
  <si>
    <t>Margin Score</t>
  </si>
  <si>
    <t>Liquidity Score</t>
  </si>
  <si>
    <t>SECTION 3 — SHADOW RATING CONVERSION TABLE</t>
  </si>
  <si>
    <t>Score Range</t>
  </si>
  <si>
    <t>Interpretation</t>
  </si>
  <si>
    <t>IG / HY</t>
  </si>
  <si>
    <t>4.50 – 5.00</t>
  </si>
  <si>
    <t>A</t>
  </si>
  <si>
    <t>Very strong credit, minimal default risk</t>
  </si>
  <si>
    <t>Investment Grade</t>
  </si>
  <si>
    <t>3.80 – 4.49</t>
  </si>
  <si>
    <t>BBB+</t>
  </si>
  <si>
    <t>Strong credit, low default risk</t>
  </si>
  <si>
    <t>3.20 – 3.79</t>
  </si>
  <si>
    <t>BBB</t>
  </si>
  <si>
    <t>Adequate protection, some vulnerability</t>
  </si>
  <si>
    <t>2.60 – 3.19</t>
  </si>
  <si>
    <t>BBB-</t>
  </si>
  <si>
    <t>Lower medium grade, crossover risk</t>
  </si>
  <si>
    <t>Investment Grade / Crossover</t>
  </si>
  <si>
    <t>2.00 – 2.59</t>
  </si>
  <si>
    <t>BB+</t>
  </si>
  <si>
    <t>Speculative, less vulnerable</t>
  </si>
  <si>
    <t>High Yield / Crossover</t>
  </si>
  <si>
    <t>1.50 – 1.99</t>
  </si>
  <si>
    <t>BB</t>
  </si>
  <si>
    <t>Speculative, facing ongoing uncertainties</t>
  </si>
  <si>
    <t>High Yield</t>
  </si>
  <si>
    <t>1.00 – 1.49</t>
  </si>
  <si>
    <t>B+</t>
  </si>
  <si>
    <t>Speculative, more vulnerable to adverse conditions</t>
  </si>
  <si>
    <t>SECTION 4 — RATING COMPARISON: SHADOW vs. AGENCY RATINGS</t>
  </si>
  <si>
    <t>S&amp;P Notches Diff</t>
  </si>
  <si>
    <t>Moody's Notches Diff</t>
  </si>
  <si>
    <t>Flag</t>
  </si>
  <si>
    <t>AA+</t>
  </si>
  <si>
    <t>AA</t>
  </si>
  <si>
    <t>AA-</t>
  </si>
  <si>
    <t>A+</t>
  </si>
  <si>
    <t>A-</t>
  </si>
  <si>
    <t>BB-</t>
  </si>
  <si>
    <t>B</t>
  </si>
  <si>
    <t>B-</t>
  </si>
  <si>
    <t>CCC+</t>
  </si>
  <si>
    <t>CCC</t>
  </si>
  <si>
    <t>CCC-</t>
  </si>
  <si>
    <t>CC</t>
  </si>
  <si>
    <t>C</t>
  </si>
  <si>
    <t>D</t>
  </si>
  <si>
    <t>Rating</t>
  </si>
  <si>
    <t>Numeric</t>
  </si>
  <si>
    <t>KEY ASSUMPTIONS (Named Ranges)</t>
  </si>
  <si>
    <t>Named Range</t>
  </si>
  <si>
    <t>Value</t>
  </si>
  <si>
    <t>Description</t>
  </si>
  <si>
    <t>CovenantThreshold</t>
  </si>
  <si>
    <t>Net Debt/EBITDA covenant threshold for HY issuers</t>
  </si>
  <si>
    <t>DistressMultiple</t>
  </si>
  <si>
    <t>EV/EBITDA multiple used in distress recovery analysis</t>
  </si>
  <si>
    <t>NewIssuePremium</t>
  </si>
  <si>
    <t>New issue concession/premium (bps) added to fair value spread</t>
  </si>
  <si>
    <t>RiskFreeRate</t>
  </si>
  <si>
    <t>Base risk-free rate assumption (%) — update with current UST 10Y</t>
  </si>
  <si>
    <t>SPREAD ANALYSIS &amp; FAIR VALUE ESTIMATION</t>
  </si>
  <si>
    <t>Rating/maturity-adjusted fair value spreads, sector/issuer adjustments, mispricing analysis, and top 3 trade ideas</t>
  </si>
  <si>
    <t>SECTION 1 — SPREAD REFERENCE GRID (bps) — Fill from Bloomberg/ICE BofA indices | Yellow = user input</t>
  </si>
  <si>
    <t>0–3 Year (bps)</t>
  </si>
  <si>
    <t>3–7 Year (bps)</t>
  </si>
  <si>
    <t>7+ Year (bps)</t>
  </si>
  <si>
    <t>SECTION 2 — FAIR VALUE SPREAD CALCULATION PER ISSUER</t>
  </si>
  <si>
    <t>Bond Maturity (yrs)</t>
  </si>
  <si>
    <t>Maturity Bucket</t>
  </si>
  <si>
    <t>Grid Spread (bps)</t>
  </si>
  <si>
    <t>Sector Adj (bps)</t>
  </si>
  <si>
    <t>Issuer Adj (bps)</t>
  </si>
  <si>
    <t>FV Spread (linked to Credit Universe)</t>
  </si>
  <si>
    <t>SECTION 3 — MISPRICING ANALYSIS</t>
  </si>
  <si>
    <t>Diff (bps)</t>
  </si>
  <si>
    <t>Magnitude</t>
  </si>
  <si>
    <t>Direction</t>
  </si>
  <si>
    <t>SECTION 4 — TOP 3 MISPRICED BONDS: CREDIT VIEW &amp; TRADE THESIS</t>
  </si>
  <si>
    <t>Signal:</t>
  </si>
  <si>
    <t>Direction:</t>
  </si>
  <si>
    <t>Shadow Rating:</t>
  </si>
  <si>
    <t>Mispricing (bps):</t>
  </si>
  <si>
    <t>~70–110 bps wide</t>
  </si>
  <si>
    <t>Credit View:</t>
  </si>
  <si>
    <t>TRADE 1: BOMBARDIER INC — TOO WIDE | BUY | BB-rated bonds trading ~70-110bps through fair value</t>
  </si>
  <si>
    <t>Too Wide — market over-discounting legacy balance sheet risk</t>
  </si>
  <si>
    <t>OUTPERFORM — expect 60-100 bps tightening over 12-18 months</t>
  </si>
  <si>
    <t>Market Spread (est.):</t>
  </si>
  <si>
    <t>380–420 bps</t>
  </si>
  <si>
    <t>Fair Value Spread:</t>
  </si>
  <si>
    <t>~310 bps</t>
  </si>
  <si>
    <t>Bombardier has completed a dramatic deleveraging story, exiting commercial aviation and rail to focus on business jets — a high-margin, capital-light model with strong order backlogs. Net Debt/EBITDA has declined from &gt;9x to approximately 4.5x and is on a clear downward trajectory with strong FCF generation. The market continues to price in legacy balance sheet risk that is structurally diminishing. Catalyst: further debt paydown and potential upgrade to BB+ over 12-18 months would compress spreads 60-100 bps.</t>
  </si>
  <si>
    <t>TRADE 2: TELECOM ITALIA — TOO WIDE | SELECTIVE BUY on short-dated paper | BB bonds 60-120bps wide</t>
  </si>
  <si>
    <t>Too Wide — sovereign contagion and restructuring execution risk over-priced in short end</t>
  </si>
  <si>
    <t>SELECTIVE BUY — short-dated 2026-2027 bonds; avoid long-dated</t>
  </si>
  <si>
    <t>420–480 bps</t>
  </si>
  <si>
    <t>~360 bps</t>
  </si>
  <si>
    <t>~60–120 bps wide</t>
  </si>
  <si>
    <t>The sale of Telecom Italia's fixed-line network to KKR-backed NetCo, completed in 2024, structurally transformed the credit by removing its most capital-intensive segment. The remaining ServiceCo has lower debt, cleaner cash flows, and exposure to higher-margin enterprise and mobile. Market spreads remain elevated due to Italian sovereign contagion and execution uncertainty, but short-dated bonds over-compensate for that risk. Catalyst: improving ServiceCo operating momentum, potential Moody's rating stabilisation, and Italian sovereign spread compression.</t>
  </si>
  <si>
    <t>TRADE 3: KRAFT HEINZ — TOO WIDE | RELATIVE VALUE BUY vs. consumer staples peers | BBB- bonds 20-55bps wide</t>
  </si>
  <si>
    <t>Too Wide — excessive brand erosion and volume decline risk priced in relative to actual fundamentals</t>
  </si>
  <si>
    <t>RELATIVE VALUE BUY — prefer vs. Coty, Carnival on risk-adjusted basis</t>
  </si>
  <si>
    <t>195–230 bps</t>
  </si>
  <si>
    <t>~175 bps</t>
  </si>
  <si>
    <t>~20–55 bps wide</t>
  </si>
  <si>
    <t>Kraft Heinz trades at a meaningful spread premium to comparably-rated consumer staples peers (Mondelez, Conagra), reflecting market concerns about secular volume declines and the $15bn 2019 goodwill impairment overhang. However, the credit has stabilised: Net Debt/EBITDA has declined from 4.5x to ~3.5x, FCF generation is consistently $2.5-3bn annually, and the bond portfolio is well-laddered with no near-term refinancing pressure. Catalyst: incremental debt paydown and a potential Moody's upgrade from Baa3 to Baa2 would compress spreads 30-50 bps.</t>
  </si>
  <si>
    <t>SCENARIO ANALYSIS &amp; STRESS TESTING</t>
  </si>
  <si>
    <t>Base / Stress / Severe stress scenarios — shadow rating migration, key ratios, distance to distress</t>
  </si>
  <si>
    <t>Scenarios:  Base = current financials  |  Stress = EBITDA −20%, Debt unchanged  |  Severe = EBITDA −35%, Debt +10%  |  Covenant threshold: Net Debt/EBITDA 5.0x</t>
  </si>
  <si>
    <t>Base ND/EBITDA</t>
  </si>
  <si>
    <t>Base Coverage</t>
  </si>
  <si>
    <t>Base FCF/Debt%</t>
  </si>
  <si>
    <t>Base Score</t>
  </si>
  <si>
    <t>Base Rating</t>
  </si>
  <si>
    <t>Stress ND/EBITDA</t>
  </si>
  <si>
    <t>Stress Coverage</t>
  </si>
  <si>
    <t>Stress FCF/Debt%</t>
  </si>
  <si>
    <t>Stress Score</t>
  </si>
  <si>
    <t>Stress Rating</t>
  </si>
  <si>
    <t>Severe ND/EBITDA</t>
  </si>
  <si>
    <t>Severe Coverage</t>
  </si>
  <si>
    <t>Severe FCF/Debt%</t>
  </si>
  <si>
    <t>Severe Score</t>
  </si>
  <si>
    <t>Severe Rating</t>
  </si>
  <si>
    <t>Dist. to Distress (x)</t>
  </si>
  <si>
    <t>Distress Flag</t>
  </si>
  <si>
    <t>BASE CASE</t>
  </si>
  <si>
    <t>STRESS (EBITDA -20%)</t>
  </si>
  <si>
    <t>SEVERE (EBITDA -35%, DEBT +10%)</t>
  </si>
  <si>
    <t>DISTANCE TO DISTRESS</t>
  </si>
  <si>
    <t>—</t>
  </si>
  <si>
    <t>RELATIVE VALUE MATRIX — CROSS-ISSUER SPREAD DIFFERENTIALS</t>
  </si>
  <si>
    <t>Spread differential matrix (Row spread minus Column spread, bps). Green = row bond cheap vs. column; Red = row bond rich vs. column.</t>
  </si>
  <si>
    <t>Issuer \ vs.</t>
  </si>
  <si>
    <t>RR</t>
  </si>
  <si>
    <t>MSFT — Microsoft</t>
  </si>
  <si>
    <t>JNJ — J&amp;J</t>
  </si>
  <si>
    <t>VOD — Vodafone</t>
  </si>
  <si>
    <t>RR — Rolls-Royce</t>
  </si>
  <si>
    <t>F — Ford</t>
  </si>
  <si>
    <t>TIT — Telecom Italia</t>
  </si>
  <si>
    <t>MKS — M&amp;S</t>
  </si>
  <si>
    <t>TEF — Telefonica</t>
  </si>
  <si>
    <t>CCL — Carnival</t>
  </si>
  <si>
    <t>KHC — Kraft Heinz</t>
  </si>
  <si>
    <t>BBD — Bombardier</t>
  </si>
  <si>
    <t>COTY — Coty</t>
  </si>
  <si>
    <t>COLOUR LEGEND:</t>
  </si>
  <si>
    <t>Dark Green (&gt;50bps diff)</t>
  </si>
  <si>
    <t>Row issuer materially cheap vs. column — potential long/short pair</t>
  </si>
  <si>
    <t>Light Green (20-50bps)</t>
  </si>
  <si>
    <t>Row issuer modestly cheap vs. column — worth monitoring</t>
  </si>
  <si>
    <t>Light Pink (&lt;20bps tight)</t>
  </si>
  <si>
    <t>Row issuer modestly rich vs. column</t>
  </si>
  <si>
    <t>Dark Red (&gt;50bps tight)</t>
  </si>
  <si>
    <t>Row issuer materially rich vs. column — potential long/short pair</t>
  </si>
  <si>
    <t>SECTION 2 — TOP 3 RELATIVE VALUE PAIR TRADE OPPORTUNITIES</t>
  </si>
  <si>
    <t>Rank</t>
  </si>
  <si>
    <t>Long (Buy)</t>
  </si>
  <si>
    <t>Short (Sell)</t>
  </si>
  <si>
    <t>Spread Diff (bps)</t>
  </si>
  <si>
    <t>Rationale</t>
  </si>
  <si>
    <t>Expected Convergence</t>
  </si>
  <si>
    <t>Bombardier (BBD) — BB, ~310bps FV</t>
  </si>
  <si>
    <t>Coty (COTY) — B+, ~390bps FV</t>
  </si>
  <si>
    <t>Bombardier and Coty trade at similar spread levels (~310-400bps) but represent very different credit trajectories. Bombardier is a deleveraging story — Net Debt/EBITDA trending from 4.5x towards 3.5x with strong FCF generation and a business jet cycle tailwind. Coty is a re-leveraging consumer brand with Net Debt/EBITDA above 5x and limited near-term FCF after interest payments. On a risk-adjusted basis, Bombardier offers superior value. Long BBD / Short COTY is a convergence trade on credit trajectory divergence.</t>
  </si>
  <si>
    <t>12-18 months; Bombardier upgrade catalyst</t>
  </si>
  <si>
    <t>Telecom Italia (TIT) Short-dated — BB, ~360bps FV</t>
  </si>
  <si>
    <t>Carnival (CCL) — BB+, ~305bps FV</t>
  </si>
  <si>
    <t>Telecom Italia (ServiceCo post-NetCo disposal) trades ~55bps wide of Carnival despite having a comparable shadow rating and significantly less cyclical exposure. Carnival remains deeply exposed to consumer discretionary spending, fuel costs, and geopolitical travel risk. TIT ServiceCo has a more stable recurring revenue base (enterprise mobile, B2B telecoms) with improving EBITDA margins post-separation. On short-dated paper (2026-2027 maturities), TIT offers superior carry with lower downside risk than comparable Carnival paper.</t>
  </si>
  <si>
    <t>6-12 months; TIT ServiceCo stabilisation</t>
  </si>
  <si>
    <t>Telefonica (TEF) — BBB-, ~185bps FV</t>
  </si>
  <si>
    <t>Vodafone (VOD) — BBB-, ~185bps FV</t>
  </si>
  <si>
    <t>Telefonica and Vodafone trade at similar spread levels (~160-200bps) despite meaningfully different credit trajectories. Vodafone faces ongoing headwinds from its German cable integration, Vantage Towers earn-out obligations, and a balance sheet that remains stretched at ~2.8x Net Debt/EBITDA. Telefonica has made material progress deleveraging its domestic Spanish operations and its LatAm JV structures provide geographic diversification without full consolidation of debt. Long TEF / Short VOD is a relative value expression of divergent management execution risk within the same shadow rating band.</t>
  </si>
  <si>
    <t>12-24 months; sector technicals driven</t>
  </si>
  <si>
    <t>DISCLAIMER</t>
  </si>
  <si>
    <t>Tier Colour Guide:</t>
  </si>
  <si>
    <t>Green left border = IG (rows 5-8)</t>
  </si>
  <si>
    <t>Amber = Crossover (rows 9-12)</t>
  </si>
  <si>
    <t>Red = High Yield (rows 13-16)</t>
  </si>
  <si>
    <t>SCORING THRESHOLDS REFERENCE (for manual verification)</t>
  </si>
  <si>
    <t>Score</t>
  </si>
  <si>
    <t>Liquidity (Cash/ST Debt)</t>
  </si>
  <si>
    <t>&lt; 1.0x</t>
  </si>
  <si>
    <t>&gt; 10.0x</t>
  </si>
  <si>
    <t>&gt; 20%</t>
  </si>
  <si>
    <t>&gt; 3.0x</t>
  </si>
  <si>
    <t>1.0 – 2.0x</t>
  </si>
  <si>
    <t>7.0 – 10.0x</t>
  </si>
  <si>
    <t>15 – 20%</t>
  </si>
  <si>
    <t>2.0 – 3.0x</t>
  </si>
  <si>
    <t>4.0 – 7.0x</t>
  </si>
  <si>
    <t>10 – 15%</t>
  </si>
  <si>
    <t>1.5 – 2.0x</t>
  </si>
  <si>
    <t>3.0 – 4.0x</t>
  </si>
  <si>
    <t>2.0 – 4.0x</t>
  </si>
  <si>
    <t>5 – 10%</t>
  </si>
  <si>
    <t>1.0 – 1.5x</t>
  </si>
  <si>
    <t>&gt; 4.0x</t>
  </si>
  <si>
    <t>&lt; 2.0x</t>
  </si>
  <si>
    <t>&lt; 5%</t>
  </si>
  <si>
    <t>← USER INPUTS (fill from annual reports)</t>
  </si>
  <si>
    <t>← FORMULA-DERIVED RATIOS (auto-calculated)</t>
  </si>
  <si>
    <t>Debt Capital Markets  ·  Leveraged Finance  ·  March 2026</t>
  </si>
  <si>
    <t>INVESTMENT GRADE  (4 issuers · BBB+ to A · Microsoft, Johnson &amp; Johnson, Rolls-Royce, Ford)</t>
  </si>
  <si>
    <t>CROSSOVER  (4 issuers · BB+ to BBB− · Vodafone, Telecom Italia, Marks &amp; Spencer, Telefonica)</t>
  </si>
  <si>
    <t>HIGH YIELD  (4 issuers · BB to B · Carnival Corporation, Kraft Heinz, Bombardier, Coty)</t>
  </si>
  <si>
    <t>Credit Metric Definitions</t>
  </si>
  <si>
    <t>Shadow Rating Methodology</t>
  </si>
  <si>
    <t>Spread Analysis Approach</t>
  </si>
  <si>
    <t>Data Sources</t>
  </si>
  <si>
    <t>Key Assumptions</t>
  </si>
  <si>
    <t>Net Debt/EBITDA (leverage) · EBITDA/Interest (coverage) · FCF/Total Debt (cash generation) · EBIT Margin (profitability) · Cash/ST Debt (liquidity). All from most recent annual reports (FY2024/2025).</t>
  </si>
  <si>
    <t>Each issuer scored 1–5 on six metrics using rating-agency-calibrated thresholds. Weighted composite (Leverage 25% · Coverage 25% · FCF/Debt 20% · Margin 15% · D/E 10% · Liquidity 5%) mapped to shadow rating B+ through A.</t>
  </si>
  <si>
    <t>Fair value spreads derived from a rating- and maturity-adjusted reference grid (0–3y · 3–7y · 7+y), with sector adjustments (sector technicals) and issuer-specific adjustments (event risk, M&amp;A, litigation). Mispricing = Market Spread − FV Spread.</t>
  </si>
  <si>
    <t>Financials: company annual reports. Ratings: S&amp;P Global and Moody's published ratings. Benchmark rates: government bond yields (UST / Bund / Gilt). Spread data: Bloomberg / ICE BofA indices (user-input yellow cells).</t>
  </si>
  <si>
    <t>Distress EV: 5.0× EBITDA · HY covenant: Net Debt/EBITDA ≤ 5.0× · New issue premium: 20–25 bps · Stress: EBITDA −20% · Severe: EBITDA −35%, Debt +10% · All financials in reporting currency billions.</t>
  </si>
  <si>
    <t>CREDIT PORTFOLIO CONSTRUCTION</t>
  </si>
  <si>
    <t>Position sizing, portfolio weights, and aggregate portfolio characteristics vs. benchmark</t>
  </si>
  <si>
    <t>PORTFOLIO HOLDINGS — Enter Position Size (Face Value $M) in Yellow Cells</t>
  </si>
  <si>
    <t>Issuer</t>
  </si>
  <si>
    <t>Face Value ($M)</t>
  </si>
  <si>
    <t>Market Price</t>
  </si>
  <si>
    <t>Market Value ($M)</t>
  </si>
  <si>
    <t>Weight (%)</t>
  </si>
  <si>
    <t>Spread (bps)</t>
  </si>
  <si>
    <t>Duration (yrs)</t>
  </si>
  <si>
    <t>Contrib. Spread</t>
  </si>
  <si>
    <t>Contrib. Duration</t>
  </si>
  <si>
    <t>PORTFOLIO TOTAL</t>
  </si>
  <si>
    <t>PORTFOLIO CHARACTERISTICS SUMMARY</t>
  </si>
  <si>
    <t>Metric</t>
  </si>
  <si>
    <t>Portfolio</t>
  </si>
  <si>
    <t>Benchmark</t>
  </si>
  <si>
    <t>vs. Benchmark</t>
  </si>
  <si>
    <t>Yield to Maturity (%)</t>
  </si>
  <si>
    <t>YTM vs. benchmark</t>
  </si>
  <si>
    <t>Spread to Benchmark (bps)</t>
  </si>
  <si>
    <t>Spread pickup</t>
  </si>
  <si>
    <t>Modified Duration (yrs)</t>
  </si>
  <si>
    <t>Duration positioning</t>
  </si>
  <si>
    <t>Average Price ($)</t>
  </si>
  <si>
    <t>Discount/premium</t>
  </si>
  <si>
    <t>Number of Holdings</t>
  </si>
  <si>
    <t>Concentration</t>
  </si>
  <si>
    <t>Portfolio Size ($M)</t>
  </si>
  <si>
    <t>Scale</t>
  </si>
  <si>
    <t>RATING DISTRIBUTION (% of Portfolio MV)</t>
  </si>
  <si>
    <t>Portfolio Wt</t>
  </si>
  <si>
    <t>Benchmark Wt</t>
  </si>
  <si>
    <t>Over/Under</t>
  </si>
  <si>
    <t>Visual</t>
  </si>
  <si>
    <t>BENCHMARK COMPARISON — PORTFOLIO vs. INDEX</t>
  </si>
  <si>
    <t>Active positioning vs. blended IG/HY benchmark — sector, rating, and duration exposures</t>
  </si>
  <si>
    <t>SECTOR ALLOCATION</t>
  </si>
  <si>
    <t>Portfolio Wt (%)</t>
  </si>
  <si>
    <t>Benchmark Wt (%)</t>
  </si>
  <si>
    <t>Over/Under (%)</t>
  </si>
  <si>
    <t>Bet Description</t>
  </si>
  <si>
    <t>Consumer / Retail</t>
  </si>
  <si>
    <t>TOTAL</t>
  </si>
  <si>
    <t>ACTIVE BET SUMMARY</t>
  </si>
  <si>
    <t>Active Bet</t>
  </si>
  <si>
    <t>Size (%)</t>
  </si>
  <si>
    <t>Long Duration</t>
  </si>
  <si>
    <t>OW</t>
  </si>
  <si>
    <t>+0.5 yrs vs. BM</t>
  </si>
  <si>
    <t>Rates expected to decline; position for spread tightening on duration extension</t>
  </si>
  <si>
    <t>Long HY / Short IG</t>
  </si>
  <si>
    <t>OW HY</t>
  </si>
  <si>
    <t>+8% HY vs. BM</t>
  </si>
  <si>
    <t>Carry capture in stable macro environment; shadow ratings support undervalued HY credits</t>
  </si>
  <si>
    <t>Long Telecom</t>
  </si>
  <si>
    <t>+5% vs. BM</t>
  </si>
  <si>
    <t>Sector cheap on post-restructuring stories (TIT, TEF); spread compression catalyst imminent</t>
  </si>
  <si>
    <t>Short Consumer Discretionary</t>
  </si>
  <si>
    <t>UW</t>
  </si>
  <si>
    <t>-4% vs. BM</t>
  </si>
  <si>
    <t>Defensive positioning; consumer spending risks in discretionary leisure (ex-CCL position is diversification)</t>
  </si>
  <si>
    <t>Long Upgrade Candidates</t>
  </si>
  <si>
    <t>OW BB+</t>
  </si>
  <si>
    <t>Bombardier, Kraft Heinz, Rolls-Royce — shadow ratings suggest upgrades ahead of agency action</t>
  </si>
  <si>
    <t>Concentrated Portfolio</t>
  </si>
  <si>
    <t>Active</t>
  </si>
  <si>
    <t>12 names</t>
  </si>
  <si>
    <t>High-conviction concentrated bets vs. diversified index; alpha from credit selection, not beta exposure</t>
  </si>
  <si>
    <t>PERFORMANCE ATTRIBUTION &amp; RETURN DECOMPOSITION</t>
  </si>
  <si>
    <t>Portfolio total return breakdown: carry, spread return, rate return — with benchmark comparison and alpha calculation</t>
  </si>
  <si>
    <t>RETURN DECOMPOSITION (Period: Enter in Yellow)</t>
  </si>
  <si>
    <t>Analysis Period:</t>
  </si>
  <si>
    <t>Q1 2026</t>
  </si>
  <si>
    <t>Days in Period:</t>
  </si>
  <si>
    <t>Return Component</t>
  </si>
  <si>
    <t>Portfolio (%)</t>
  </si>
  <si>
    <t>Benchmark (%)</t>
  </si>
  <si>
    <t>Excess (%)</t>
  </si>
  <si>
    <t>Contribution ($M)</t>
  </si>
  <si>
    <t>Attribution</t>
  </si>
  <si>
    <t>Carry (Coupon Income)</t>
  </si>
  <si>
    <t>Income from portfolio yield</t>
  </si>
  <si>
    <t>Spread Return</t>
  </si>
  <si>
    <t>Spread tightening vs. benchmark</t>
  </si>
  <si>
    <t>Rate Return (Duration)</t>
  </si>
  <si>
    <t>Interest rate move × duration</t>
  </si>
  <si>
    <t>Residual / Selection</t>
  </si>
  <si>
    <t>Security selection alpha</t>
  </si>
  <si>
    <t>TOTAL RETURN</t>
  </si>
  <si>
    <t>Total return for period</t>
  </si>
  <si>
    <t>KEY PERFORMANCE METRICS</t>
  </si>
  <si>
    <t>vs. BM</t>
  </si>
  <si>
    <t>Information Ratio</t>
  </si>
  <si>
    <t>Alpha divided by tracking error (annualized)</t>
  </si>
  <si>
    <t>Sharpe Ratio (YTM basis)</t>
  </si>
  <si>
    <t>Return above risk-free rate / volatility proxy</t>
  </si>
  <si>
    <t>Yield Pickup vs. BM (bps)</t>
  </si>
  <si>
    <t>Additional yield earned vs. benchmark</t>
  </si>
  <si>
    <t>Duration Difference (yrs)</t>
  </si>
  <si>
    <t>Duration extension/reduction vs. benchmark</t>
  </si>
  <si>
    <t>Spread Pickup (bps)</t>
  </si>
  <si>
    <t>Weighted average spread above benchmark</t>
  </si>
  <si>
    <t>Hit Rate (%)</t>
  </si>
  <si>
    <t>Proportion of positions outperforming (estimate)</t>
  </si>
  <si>
    <t>Max Drawdown (%)</t>
  </si>
  <si>
    <t>Largest peak-to-trough decline (estimate)</t>
  </si>
  <si>
    <t>CREDIT PORTFOLIO CONSTRUCTION &amp; ANALYSIS</t>
  </si>
  <si>
    <t>Active Credit Portfolio  ·  Benchmark Comparison  ·  Performance Attribution</t>
  </si>
  <si>
    <t>This model provides an institutional-grade credit portfolio construction and management framework, designed to build, analyse, and track a concentrated high-conviction bond portfolio across investment grade, crossover, and high yield issuers — mirroring the workflow of a portfolio manager at a credit-focused hedge fund or asset manager.</t>
  </si>
  <si>
    <t>The 12-issuer portfolio is constructed to express specific active views vs. a blended IG/HY benchmark: long duration, overweight high yield for carry capture, concentrated sector bets in telecom and industrials, and overweight credits with imminent upgrade potential based on our shadow rating analysis.</t>
  </si>
  <si>
    <t>Portfolio construction is driven by a proprietary shadow rating model that identifies mispriced credits where our fundamental view diverges from agency ratings, enabling systematic capture of alpha through credit selection rather than broad market beta exposure.</t>
  </si>
  <si>
    <t>Benchmark comparison tracks portfolio characteristics (yield, spread, duration, rating distribution) vs. a blended IG/HY index, highlighting active bets with explicit overweight/underweight positioning by sector, rating bucket, and duration — the key levers of credit alpha generation.</t>
  </si>
  <si>
    <t>Performance attribution decomposes total return into carry (income), spread return (credit selection), and rate return (duration positioning), with explicit alpha calculation vs. benchmark — enabling clear identification of which active bets are contributing to outperformance.</t>
  </si>
  <si>
    <t>Tab 1 — Portfolio</t>
  </si>
  <si>
    <t>Position sizing, weights, portfolio characteristics, rating distribution vs. benchmark</t>
  </si>
  <si>
    <t>Return decomposition (carry, spread, rate), alpha calculation, key performance metrics</t>
  </si>
  <si>
    <t>Shadow rating engine: raw metrics → derived ratios → weighted scores → ratings</t>
  </si>
  <si>
    <t>Aa2</t>
  </si>
  <si>
    <t>US594918BW38</t>
  </si>
  <si>
    <t>Aa3</t>
  </si>
  <si>
    <t>US478160CN59</t>
  </si>
  <si>
    <t>Baa2</t>
  </si>
  <si>
    <t>XS1629774230</t>
  </si>
  <si>
    <t>Baa3</t>
  </si>
  <si>
    <t>XS2010039035</t>
  </si>
  <si>
    <t>Ba1</t>
  </si>
  <si>
    <t>US345370DA14</t>
  </si>
  <si>
    <t>Ba2</t>
  </si>
  <si>
    <t>XS1497606365</t>
  </si>
  <si>
    <t>XS2055079067</t>
  </si>
  <si>
    <t>XS1795406658</t>
  </si>
  <si>
    <t>B1</t>
  </si>
  <si>
    <t>US143658BR95</t>
  </si>
  <si>
    <t>US50077LAV62</t>
  </si>
  <si>
    <t>B2</t>
  </si>
  <si>
    <t>USC10602AK68</t>
  </si>
  <si>
    <t>US222070AC28</t>
  </si>
  <si>
    <t>Bull</t>
  </si>
  <si>
    <t>Neutral</t>
  </si>
  <si>
    <t>Bear</t>
  </si>
  <si>
    <t>Tab 2 — Benchmark vs Portfolio</t>
  </si>
  <si>
    <t>Sector allocation, active positioning summary, overweight/underweight signals</t>
  </si>
  <si>
    <t>Tab 3 — Performance Attribution</t>
  </si>
  <si>
    <t>Tab 4 — Credit Universe</t>
  </si>
  <si>
    <t>12-issuer master dashboard: shadow ratings, bond data, spreads, mispricing signals</t>
  </si>
  <si>
    <t>Tab 5 — Credit Scoring</t>
  </si>
  <si>
    <t>Tab 6 — Spread Analysis</t>
  </si>
  <si>
    <t>Fair value spread grid, sector/issuer adjustments, top 3 mispriced bond analysis</t>
  </si>
  <si>
    <t>Tab 7 — Scenario Analysis</t>
  </si>
  <si>
    <t>Stress testing: Base / Stress / Severe scenarios, rating migration, distance to distress</t>
  </si>
  <si>
    <t>Tab 8 — Relative Value</t>
  </si>
  <si>
    <t>12×12 spread differential matrix, top 3 relative value pair trade opportunities</t>
  </si>
  <si>
    <t>For illustrative and educational purposes only. Not investment advice. All financial data sourced from publicly available company filings. The analytical views expressed are those of the model author. Past performance is not indicative of future results.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</si>
</sst>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
    <numFmt numFmtId="165" formatCode="#,##0.0"/>
    <numFmt numFmtId="166" formatCode="0.0%"/>
    <numFmt numFmtId="167" formatCode="\+0.0%;\-0.0%;0.0%"/>
    <numFmt numFmtId="168" formatCode="\+0.00%;\-0.00%;0.00%"/>
    <numFmt numFmtId="170" formatCode="\+0.00;\-0.00;0.00"/>
    <numFmt numFmtId="171" formatCode="&quot;$&quot;#,##0.00"/>
  </numFmts>
  <fonts count="44" x14ac:knownFonts="1">
    <font>
      <sz val="12"/>
      <color theme="1"/>
      <name val="Aptos Narrow"/>
      <family val="2"/>
      <scheme val="minor"/>
    </font>
    <font>
      <b/>
      <sz val="12"/>
      <color theme="1"/>
      <name val="Aptos Narrow"/>
      <family val="2"/>
      <scheme val="minor"/>
    </font>
    <font>
      <sz val="12"/>
      <color rgb="FFFFFFFF"/>
      <name val="Aptos Narrow"/>
      <family val="2"/>
      <scheme val="minor"/>
    </font>
    <font>
      <b/>
      <sz val="12"/>
      <color rgb="FFFFFFFF"/>
      <name val="Aptos Narrow"/>
      <family val="2"/>
      <scheme val="minor"/>
    </font>
    <font>
      <b/>
      <sz val="11"/>
      <color rgb="FFFFFFFF"/>
      <name val="Aptos Narrow"/>
      <family val="2"/>
      <scheme val="minor"/>
    </font>
    <font>
      <sz val="10"/>
      <color theme="1"/>
      <name val="Aptos Narrow"/>
      <family val="2"/>
      <scheme val="minor"/>
    </font>
    <font>
      <sz val="9"/>
      <color theme="1"/>
      <name val="Aptos Narrow"/>
      <family val="2"/>
      <scheme val="minor"/>
    </font>
    <font>
      <i/>
      <sz val="9"/>
      <color theme="1"/>
      <name val="Aptos Narrow"/>
      <family val="2"/>
      <scheme val="minor"/>
    </font>
    <font>
      <i/>
      <sz val="9"/>
      <color rgb="FF595959"/>
      <name val="Aptos Narrow"/>
      <family val="2"/>
      <scheme val="minor"/>
    </font>
    <font>
      <b/>
      <sz val="16"/>
      <color rgb="FF1F4E79"/>
      <name val="Aptos Narrow"/>
      <family val="2"/>
      <scheme val="minor"/>
    </font>
    <font>
      <i/>
      <sz val="10"/>
      <color rgb="FF595959"/>
      <name val="Aptos Narrow"/>
      <family val="2"/>
      <scheme val="minor"/>
    </font>
    <font>
      <b/>
      <sz val="10"/>
      <color rgb="FFFFFFFF"/>
      <name val="Aptos Narrow"/>
      <family val="2"/>
      <scheme val="minor"/>
    </font>
    <font>
      <b/>
      <sz val="10"/>
      <color theme="1"/>
      <name val="Aptos Narrow"/>
      <family val="2"/>
      <scheme val="minor"/>
    </font>
    <font>
      <b/>
      <sz val="10"/>
      <color rgb="FF1F4E79"/>
      <name val="Aptos Narrow"/>
      <family val="2"/>
      <scheme val="minor"/>
    </font>
    <font>
      <b/>
      <sz val="9"/>
      <color theme="1"/>
      <name val="Aptos Narrow"/>
      <family val="2"/>
      <scheme val="minor"/>
    </font>
    <font>
      <b/>
      <sz val="9"/>
      <color rgb="FFFFFFFF"/>
      <name val="Aptos Narrow"/>
      <family val="2"/>
      <scheme val="minor"/>
    </font>
    <font>
      <sz val="8"/>
      <color rgb="FF999999"/>
      <name val="Aptos Narrow"/>
      <family val="2"/>
      <scheme val="minor"/>
    </font>
    <font>
      <b/>
      <sz val="8"/>
      <color rgb="FF999999"/>
      <name val="Aptos Narrow"/>
      <family val="2"/>
      <scheme val="minor"/>
    </font>
    <font>
      <b/>
      <sz val="9"/>
      <color rgb="FFC00000"/>
      <name val="Aptos Narrow"/>
      <family val="2"/>
      <scheme val="minor"/>
    </font>
    <font>
      <b/>
      <sz val="8"/>
      <color rgb="FFFFFFFF"/>
      <name val="Aptos Narrow"/>
      <family val="2"/>
      <scheme val="minor"/>
    </font>
    <font>
      <b/>
      <sz val="10"/>
      <color rgb="FF276221"/>
      <name val="Aptos Narrow"/>
      <family val="2"/>
      <scheme val="minor"/>
    </font>
    <font>
      <b/>
      <sz val="9"/>
      <color rgb="FF276221"/>
      <name val="Aptos Narrow"/>
      <family val="2"/>
      <scheme val="minor"/>
    </font>
    <font>
      <b/>
      <sz val="9"/>
      <color rgb="FF9C0006"/>
      <name val="Aptos Narrow"/>
      <family val="2"/>
      <scheme val="minor"/>
    </font>
    <font>
      <sz val="9"/>
      <color rgb="FF000000"/>
      <name val="Aptos Narrow"/>
      <family val="2"/>
      <scheme val="minor"/>
    </font>
    <font>
      <b/>
      <sz val="9"/>
      <color rgb="FF000000"/>
      <name val="Aptos Narrow"/>
      <family val="2"/>
      <scheme val="minor"/>
    </font>
    <font>
      <sz val="9"/>
      <color rgb="FF276221"/>
      <name val="Aptos Narrow"/>
      <family val="2"/>
      <scheme val="minor"/>
    </font>
    <font>
      <sz val="9"/>
      <color rgb="FF9C0006"/>
      <name val="Aptos Narrow"/>
      <family val="2"/>
      <scheme val="minor"/>
    </font>
    <font>
      <sz val="9"/>
      <color rgb="FFFFFFFF"/>
      <name val="Aptos Narrow"/>
      <family val="2"/>
      <scheme val="minor"/>
    </font>
    <font>
      <sz val="9"/>
      <color rgb="FF999999"/>
      <name val="Aptos Narrow"/>
      <family val="2"/>
      <scheme val="minor"/>
    </font>
    <font>
      <b/>
      <sz val="16"/>
      <color rgb="FFFFFFFF"/>
      <name val="Aptos Narrow"/>
      <family val="2"/>
      <scheme val="minor"/>
    </font>
    <font>
      <b/>
      <sz val="9"/>
      <color rgb="FF1F4E79"/>
      <name val="Aptos Narrow"/>
      <family val="2"/>
      <scheme val="minor"/>
    </font>
    <font>
      <i/>
      <sz val="8"/>
      <color rgb="FF595959"/>
      <name val="Aptos Narrow"/>
      <family val="2"/>
      <scheme val="minor"/>
    </font>
    <font>
      <b/>
      <sz val="9"/>
      <color rgb="FF595959"/>
      <name val="Aptos Narrow"/>
      <family val="2"/>
      <scheme val="minor"/>
    </font>
    <font>
      <sz val="9"/>
      <color rgb="FF70AD47"/>
      <name val="Aptos Narrow"/>
      <family val="2"/>
      <scheme val="minor"/>
    </font>
    <font>
      <sz val="9"/>
      <color rgb="FFED7D31"/>
      <name val="Aptos Narrow"/>
      <family val="2"/>
      <scheme val="minor"/>
    </font>
    <font>
      <sz val="9"/>
      <color rgb="FFC00000"/>
      <name val="Aptos Narrow"/>
      <family val="2"/>
      <scheme val="minor"/>
    </font>
    <font>
      <b/>
      <sz val="22"/>
      <color rgb="FFFFFFFF"/>
      <name val="Aptos Narrow"/>
      <family val="2"/>
      <scheme val="minor"/>
    </font>
    <font>
      <i/>
      <sz val="12"/>
      <color rgb="FFBDD7EE"/>
      <name val="Aptos Narrow"/>
      <family val="2"/>
      <scheme val="minor"/>
    </font>
    <font>
      <sz val="10"/>
      <color rgb="FF9DC3E6"/>
      <name val="Aptos Narrow"/>
      <family val="2"/>
      <scheme val="minor"/>
    </font>
    <font>
      <i/>
      <sz val="10"/>
      <color rgb="FFD4B8E8"/>
      <name val="Aptos Narrow"/>
      <family val="2"/>
      <scheme val="minor"/>
    </font>
    <font>
      <i/>
      <sz val="9"/>
      <color rgb="FF666666"/>
      <name val="Aptos Narrow"/>
      <family val="2"/>
      <scheme val="minor"/>
    </font>
    <font>
      <i/>
      <sz val="9"/>
      <color rgb="FF000000"/>
      <name val="Aptos Narrow"/>
      <family val="2"/>
      <scheme val="minor"/>
    </font>
    <font>
      <b/>
      <sz val="9"/>
      <color rgb="FF7030A0"/>
      <name val="Aptos Narrow"/>
      <family val="2"/>
      <scheme val="minor"/>
    </font>
    <font>
      <b/>
      <sz val="9"/>
      <color rgb="FFC6A000"/>
      <name val="Aptos Narrow"/>
      <family val="2"/>
      <scheme val="minor"/>
    </font>
  </fonts>
  <fills count="32">
    <fill>
      <patternFill patternType="none"/>
    </fill>
    <fill>
      <patternFill patternType="gray125"/>
    </fill>
    <fill>
      <patternFill patternType="solid">
        <fgColor rgb="FF1F4E79"/>
        <bgColor indexed="64"/>
      </patternFill>
    </fill>
    <fill>
      <patternFill patternType="solid">
        <fgColor rgb="FFF2F2F2"/>
        <bgColor indexed="64"/>
      </patternFill>
    </fill>
    <fill>
      <patternFill patternType="solid">
        <fgColor rgb="FFFFFFFF"/>
        <bgColor indexed="64"/>
      </patternFill>
    </fill>
    <fill>
      <patternFill patternType="solid">
        <fgColor rgb="FFFFFF99"/>
        <bgColor indexed="64"/>
      </patternFill>
    </fill>
    <fill>
      <patternFill patternType="solid">
        <fgColor rgb="FFF5F7FA"/>
        <bgColor indexed="64"/>
      </patternFill>
    </fill>
    <fill>
      <patternFill patternType="solid">
        <fgColor rgb="FF2E75B6"/>
        <bgColor indexed="64"/>
      </patternFill>
    </fill>
    <fill>
      <patternFill patternType="solid">
        <fgColor rgb="FFD6E4F0"/>
        <bgColor indexed="64"/>
      </patternFill>
    </fill>
    <fill>
      <patternFill patternType="solid">
        <fgColor rgb="FFE2F0D9"/>
        <bgColor indexed="64"/>
      </patternFill>
    </fill>
    <fill>
      <patternFill patternType="solid">
        <fgColor rgb="FFFFF2CC"/>
        <bgColor indexed="64"/>
      </patternFill>
    </fill>
    <fill>
      <patternFill patternType="solid">
        <fgColor rgb="FFFCE4D6"/>
        <bgColor indexed="64"/>
      </patternFill>
    </fill>
    <fill>
      <patternFill patternType="solid">
        <fgColor rgb="FFFFB3B3"/>
        <bgColor indexed="64"/>
      </patternFill>
    </fill>
    <fill>
      <patternFill patternType="solid">
        <fgColor rgb="FFC6EFCE"/>
        <bgColor indexed="64"/>
      </patternFill>
    </fill>
    <fill>
      <patternFill patternType="solid">
        <fgColor rgb="FFF0FFF0"/>
        <bgColor indexed="64"/>
      </patternFill>
    </fill>
    <fill>
      <patternFill patternType="solid">
        <fgColor rgb="FF70AD47"/>
        <bgColor indexed="64"/>
      </patternFill>
    </fill>
    <fill>
      <patternFill patternType="solid">
        <fgColor rgb="FFED7D31"/>
        <bgColor indexed="64"/>
      </patternFill>
    </fill>
    <fill>
      <patternFill patternType="solid">
        <fgColor rgb="FFC00000"/>
        <bgColor indexed="64"/>
      </patternFill>
    </fill>
    <fill>
      <patternFill patternType="solid">
        <fgColor rgb="FF7B2C9E"/>
        <bgColor indexed="64"/>
      </patternFill>
    </fill>
    <fill>
      <patternFill patternType="solid">
        <fgColor rgb="FFFFEB9C"/>
        <bgColor indexed="64"/>
      </patternFill>
    </fill>
    <fill>
      <patternFill patternType="solid">
        <fgColor rgb="FFFFC7CE"/>
        <bgColor indexed="64"/>
      </patternFill>
    </fill>
    <fill>
      <patternFill patternType="solid">
        <fgColor rgb="FFD9D9D9"/>
        <bgColor indexed="64"/>
      </patternFill>
    </fill>
    <fill>
      <patternFill patternType="solid">
        <fgColor rgb="FFFF7070"/>
        <bgColor indexed="64"/>
      </patternFill>
    </fill>
    <fill>
      <patternFill patternType="solid">
        <fgColor rgb="FF1E6F2E"/>
        <bgColor indexed="64"/>
      </patternFill>
    </fill>
    <fill>
      <patternFill patternType="solid">
        <fgColor rgb="FF002060"/>
        <bgColor indexed="64"/>
      </patternFill>
    </fill>
    <fill>
      <patternFill patternType="solid">
        <fgColor rgb="FF375623"/>
        <bgColor indexed="64"/>
      </patternFill>
    </fill>
    <fill>
      <patternFill patternType="solid">
        <fgColor rgb="FF7F6000"/>
        <bgColor indexed="64"/>
      </patternFill>
    </fill>
    <fill>
      <patternFill patternType="solid">
        <fgColor rgb="FF833C00"/>
        <bgColor indexed="64"/>
      </patternFill>
    </fill>
    <fill>
      <patternFill patternType="solid">
        <fgColor rgb="FFF2F7FC"/>
        <bgColor indexed="64"/>
      </patternFill>
    </fill>
    <fill>
      <patternFill patternType="solid">
        <fgColor rgb="FF7030A0"/>
        <bgColor indexed="64"/>
      </patternFill>
    </fill>
    <fill>
      <patternFill patternType="solid">
        <fgColor rgb="FF5B2C82"/>
        <bgColor indexed="64"/>
      </patternFill>
    </fill>
    <fill>
      <patternFill patternType="solid">
        <fgColor rgb="FFF5F0FA"/>
        <bgColor indexed="64"/>
      </patternFill>
    </fill>
  </fills>
  <borders count="64">
    <border>
      <left/>
      <right/>
      <top/>
      <bottom/>
      <diagonal/>
    </border>
    <border>
      <left style="thin">
        <color rgb="FFD9D9D9"/>
      </left>
      <right style="thin">
        <color rgb="FFD9D9D9"/>
      </right>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right style="thin">
        <color rgb="FFD9D9D9"/>
      </right>
      <top style="thin">
        <color auto="1"/>
      </top>
      <bottom style="thin">
        <color rgb="FFD9D9D9"/>
      </bottom>
      <diagonal/>
    </border>
    <border>
      <left style="thin">
        <color rgb="FFD9D9D9"/>
      </left>
      <right style="thin">
        <color rgb="FFD9D9D9"/>
      </right>
      <top style="thin">
        <color auto="1"/>
      </top>
      <bottom style="thin">
        <color rgb="FFD9D9D9"/>
      </bottom>
      <diagonal/>
    </border>
    <border>
      <left/>
      <right style="thin">
        <color rgb="FFD9D9D9"/>
      </right>
      <top style="thin">
        <color rgb="FFD9D9D9"/>
      </top>
      <bottom style="thin">
        <color auto="1"/>
      </bottom>
      <diagonal/>
    </border>
    <border>
      <left style="thin">
        <color rgb="FFD9D9D9"/>
      </left>
      <right style="thin">
        <color rgb="FFD9D9D9"/>
      </right>
      <top style="thin">
        <color rgb="FFD9D9D9"/>
      </top>
      <bottom style="thin">
        <color auto="1"/>
      </bottom>
      <diagonal/>
    </border>
    <border>
      <left style="thin">
        <color auto="1"/>
      </left>
      <right style="thin">
        <color rgb="FFD9D9D9"/>
      </right>
      <top style="thin">
        <color auto="1"/>
      </top>
      <bottom style="thin">
        <color rgb="FFD9D9D9"/>
      </bottom>
      <diagonal/>
    </border>
    <border>
      <left style="thin">
        <color auto="1"/>
      </left>
      <right style="thin">
        <color rgb="FFD9D9D9"/>
      </right>
      <top style="thin">
        <color rgb="FFD9D9D9"/>
      </top>
      <bottom style="thin">
        <color rgb="FFD9D9D9"/>
      </bottom>
      <diagonal/>
    </border>
    <border>
      <left style="thin">
        <color auto="1"/>
      </left>
      <right style="thin">
        <color rgb="FFD9D9D9"/>
      </right>
      <top style="thin">
        <color rgb="FFD9D9D9"/>
      </top>
      <bottom style="thin">
        <color auto="1"/>
      </bottom>
      <diagonal/>
    </border>
    <border>
      <left style="thin">
        <color rgb="FFD9D9D9"/>
      </left>
      <right style="thin">
        <color auto="1"/>
      </right>
      <top style="thin">
        <color auto="1"/>
      </top>
      <bottom style="thin">
        <color rgb="FFD9D9D9"/>
      </bottom>
      <diagonal/>
    </border>
    <border>
      <left style="thin">
        <color rgb="FFD9D9D9"/>
      </left>
      <right style="thin">
        <color auto="1"/>
      </right>
      <top style="thin">
        <color rgb="FFD9D9D9"/>
      </top>
      <bottom style="thin">
        <color rgb="FFD9D9D9"/>
      </bottom>
      <diagonal/>
    </border>
    <border>
      <left style="thin">
        <color rgb="FFD9D9D9"/>
      </left>
      <right style="thin">
        <color auto="1"/>
      </right>
      <top style="thin">
        <color rgb="FFD9D9D9"/>
      </top>
      <bottom style="thin">
        <color auto="1"/>
      </bottom>
      <diagonal/>
    </border>
    <border>
      <left style="thin">
        <color auto="1"/>
      </left>
      <right/>
      <top style="thin">
        <color auto="1"/>
      </top>
      <bottom style="thin">
        <color rgb="FFD9D9D9"/>
      </bottom>
      <diagonal/>
    </border>
    <border>
      <left style="thin">
        <color rgb="FF1F4E79"/>
      </left>
      <right style="thin">
        <color rgb="FFD9D9D9"/>
      </right>
      <top style="thin">
        <color auto="1"/>
      </top>
      <bottom style="thin">
        <color rgb="FFD9D9D9"/>
      </bottom>
      <diagonal/>
    </border>
    <border>
      <left/>
      <right/>
      <top/>
      <bottom style="thin">
        <color rgb="FF1F4E79"/>
      </bottom>
      <diagonal/>
    </border>
    <border>
      <left style="thin">
        <color rgb="FF276221"/>
      </left>
      <right/>
      <top/>
      <bottom style="thin">
        <color rgb="FF1F4E79"/>
      </bottom>
      <diagonal/>
    </border>
    <border>
      <left style="thin">
        <color rgb="FF276221"/>
      </left>
      <right/>
      <top/>
      <bottom/>
      <diagonal/>
    </border>
    <border>
      <left/>
      <right style="thin">
        <color rgb="FF276221"/>
      </right>
      <top/>
      <bottom/>
      <diagonal/>
    </border>
    <border>
      <left/>
      <right style="thin">
        <color rgb="FF276221"/>
      </right>
      <top/>
      <bottom style="thin">
        <color rgb="FF1F4E79"/>
      </bottom>
      <diagonal/>
    </border>
    <border>
      <left style="thin">
        <color rgb="FF276221"/>
      </left>
      <right/>
      <top style="thin">
        <color rgb="FF276221"/>
      </top>
      <bottom/>
      <diagonal/>
    </border>
    <border>
      <left/>
      <right/>
      <top style="thin">
        <color rgb="FF276221"/>
      </top>
      <bottom/>
      <diagonal/>
    </border>
    <border>
      <left/>
      <right style="thin">
        <color rgb="FF276221"/>
      </right>
      <top style="thin">
        <color rgb="FF276221"/>
      </top>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auto="1"/>
      </top>
      <bottom style="thin">
        <color rgb="FFFFFFFF"/>
      </bottom>
      <diagonal/>
    </border>
    <border>
      <left style="thin">
        <color rgb="FFFFFFFF"/>
      </left>
      <right style="thin">
        <color rgb="FFFFFFFF"/>
      </right>
      <top style="thin">
        <color rgb="FFFFFFFF"/>
      </top>
      <bottom style="thin">
        <color auto="1"/>
      </bottom>
      <diagonal/>
    </border>
    <border>
      <left style="thin">
        <color auto="1"/>
      </left>
      <right style="thin">
        <color rgb="FFFFFFFF"/>
      </right>
      <top style="thin">
        <color auto="1"/>
      </top>
      <bottom style="thin">
        <color rgb="FFFFFFFF"/>
      </bottom>
      <diagonal/>
    </border>
    <border>
      <left style="thin">
        <color auto="1"/>
      </left>
      <right style="thin">
        <color rgb="FFFFFFFF"/>
      </right>
      <top style="thin">
        <color rgb="FFFFFFFF"/>
      </top>
      <bottom style="thin">
        <color rgb="FFFFFFFF"/>
      </bottom>
      <diagonal/>
    </border>
    <border>
      <left style="thin">
        <color auto="1"/>
      </left>
      <right style="thin">
        <color rgb="FFFFFFFF"/>
      </right>
      <top style="thin">
        <color rgb="FFFFFFFF"/>
      </top>
      <bottom style="thin">
        <color auto="1"/>
      </bottom>
      <diagonal/>
    </border>
    <border>
      <left style="thin">
        <color rgb="FFFFFFFF"/>
      </left>
      <right style="thin">
        <color auto="1"/>
      </right>
      <top style="thin">
        <color auto="1"/>
      </top>
      <bottom style="thin">
        <color rgb="FFFFFFFF"/>
      </bottom>
      <diagonal/>
    </border>
    <border>
      <left style="thin">
        <color rgb="FFFFFFFF"/>
      </left>
      <right style="thin">
        <color auto="1"/>
      </right>
      <top style="thin">
        <color rgb="FFFFFFFF"/>
      </top>
      <bottom style="thin">
        <color rgb="FFFFFFFF"/>
      </bottom>
      <diagonal/>
    </border>
    <border>
      <left style="thin">
        <color rgb="FFFFFFFF"/>
      </left>
      <right style="thin">
        <color auto="1"/>
      </right>
      <top style="thin">
        <color rgb="FFFFFFFF"/>
      </top>
      <bottom style="thin">
        <color auto="1"/>
      </bottom>
      <diagonal/>
    </border>
    <border>
      <left/>
      <right style="thin">
        <color rgb="FFD9D9D9"/>
      </right>
      <top/>
      <bottom/>
      <diagonal/>
    </border>
    <border>
      <left style="thin">
        <color rgb="FFD9D9D9"/>
      </left>
      <right style="thin">
        <color rgb="FFD9D9D9"/>
      </right>
      <top/>
      <bottom/>
      <diagonal/>
    </border>
    <border>
      <left style="thin">
        <color rgb="FFD9D9D9"/>
      </left>
      <right style="thin">
        <color rgb="FFD9D9D9"/>
      </right>
      <top style="thin">
        <color auto="1"/>
      </top>
      <bottom/>
      <diagonal/>
    </border>
    <border>
      <left style="thin">
        <color rgb="FFD9D9D9"/>
      </left>
      <right style="thin">
        <color rgb="FFD9D9D9"/>
      </right>
      <top/>
      <bottom style="thin">
        <color auto="1"/>
      </bottom>
      <diagonal/>
    </border>
    <border>
      <left style="thin">
        <color auto="1"/>
      </left>
      <right style="thin">
        <color rgb="FFD9D9D9"/>
      </right>
      <top style="thin">
        <color auto="1"/>
      </top>
      <bottom/>
      <diagonal/>
    </border>
    <border>
      <left style="thin">
        <color auto="1"/>
      </left>
      <right style="thin">
        <color rgb="FFD9D9D9"/>
      </right>
      <top/>
      <bottom style="thin">
        <color rgb="FFD9D9D9"/>
      </bottom>
      <diagonal/>
    </border>
    <border>
      <left style="thin">
        <color auto="1"/>
      </left>
      <right style="thin">
        <color rgb="FFD9D9D9"/>
      </right>
      <top/>
      <bottom/>
      <diagonal/>
    </border>
    <border>
      <left style="thin">
        <color auto="1"/>
      </left>
      <right style="thin">
        <color rgb="FFD9D9D9"/>
      </right>
      <top/>
      <bottom style="thin">
        <color auto="1"/>
      </bottom>
      <diagonal/>
    </border>
    <border>
      <left style="thin">
        <color rgb="FFD9D9D9"/>
      </left>
      <right style="thin">
        <color auto="1"/>
      </right>
      <top style="thin">
        <color auto="1"/>
      </top>
      <bottom/>
      <diagonal/>
    </border>
    <border>
      <left style="thin">
        <color rgb="FFD9D9D9"/>
      </left>
      <right style="thin">
        <color auto="1"/>
      </right>
      <top/>
      <bottom style="thin">
        <color rgb="FFD9D9D9"/>
      </bottom>
      <diagonal/>
    </border>
    <border>
      <left style="thin">
        <color rgb="FFD9D9D9"/>
      </left>
      <right style="thin">
        <color auto="1"/>
      </right>
      <top/>
      <bottom/>
      <diagonal/>
    </border>
    <border>
      <left style="thin">
        <color rgb="FFD9D9D9"/>
      </left>
      <right style="thin">
        <color auto="1"/>
      </right>
      <top/>
      <bottom style="thin">
        <color auto="1"/>
      </bottom>
      <diagonal/>
    </border>
    <border>
      <left style="thick">
        <color rgb="FF70AD47"/>
      </left>
      <right style="thin">
        <color rgb="FFD9D9D9"/>
      </right>
      <top style="thin">
        <color rgb="FFD9D9D9"/>
      </top>
      <bottom/>
      <diagonal/>
    </border>
    <border>
      <left style="thick">
        <color rgb="FFED7D31"/>
      </left>
      <right style="thin">
        <color rgb="FFD9D9D9"/>
      </right>
      <top style="thin">
        <color rgb="FFD9D9D9"/>
      </top>
      <bottom/>
      <diagonal/>
    </border>
    <border>
      <left style="thick">
        <color rgb="FFC00000"/>
      </left>
      <right style="thin">
        <color rgb="FFD9D9D9"/>
      </right>
      <top style="thin">
        <color rgb="FFD9D9D9"/>
      </top>
      <bottom/>
      <diagonal/>
    </border>
    <border>
      <left style="thick">
        <color rgb="FFC00000"/>
      </left>
      <right style="thin">
        <color rgb="FFD9D9D9"/>
      </right>
      <top style="thin">
        <color rgb="FFD9D9D9"/>
      </top>
      <bottom style="thin">
        <color auto="1"/>
      </bottom>
      <diagonal/>
    </border>
    <border>
      <left/>
      <right style="thin">
        <color rgb="FFD9D9D9"/>
      </right>
      <top style="thin">
        <color rgb="FFE0E0E0"/>
      </top>
      <bottom style="thin">
        <color rgb="FFE0E0E0"/>
      </bottom>
      <diagonal/>
    </border>
    <border>
      <left/>
      <right style="thin">
        <color rgb="FFD9D9D9"/>
      </right>
      <top/>
      <bottom style="thin">
        <color rgb="FFE0E0E0"/>
      </bottom>
      <diagonal/>
    </border>
    <border>
      <left style="thin">
        <color rgb="FFE0D4EA"/>
      </left>
      <right style="thin">
        <color rgb="FFE0D4EA"/>
      </right>
      <top style="thin">
        <color rgb="FFE0D4EA"/>
      </top>
      <bottom style="thin">
        <color rgb="FFE0D4EA"/>
      </bottom>
      <diagonal/>
    </border>
    <border>
      <left style="thin">
        <color rgb="FFE0D4EA"/>
      </left>
      <right style="thin">
        <color rgb="FFE0D4EA"/>
      </right>
      <top style="thin">
        <color auto="1"/>
      </top>
      <bottom style="thin">
        <color rgb="FFE0D4EA"/>
      </bottom>
      <diagonal/>
    </border>
    <border>
      <left style="thin">
        <color rgb="FFE0D4EA"/>
      </left>
      <right style="thin">
        <color rgb="FFE0D4EA"/>
      </right>
      <top style="thin">
        <color rgb="FFE0D4EA"/>
      </top>
      <bottom style="thin">
        <color auto="1"/>
      </bottom>
      <diagonal/>
    </border>
    <border>
      <left style="thin">
        <color auto="1"/>
      </left>
      <right style="thin">
        <color rgb="FFE0D4EA"/>
      </right>
      <top style="thin">
        <color auto="1"/>
      </top>
      <bottom style="thin">
        <color rgb="FFE0D4EA"/>
      </bottom>
      <diagonal/>
    </border>
    <border>
      <left style="thin">
        <color auto="1"/>
      </left>
      <right style="thin">
        <color rgb="FFE0D4EA"/>
      </right>
      <top style="thin">
        <color rgb="FFE0D4EA"/>
      </top>
      <bottom style="thin">
        <color rgb="FFE0D4EA"/>
      </bottom>
      <diagonal/>
    </border>
    <border>
      <left style="thin">
        <color auto="1"/>
      </left>
      <right style="thin">
        <color rgb="FFE0D4EA"/>
      </right>
      <top style="thin">
        <color rgb="FFE0D4EA"/>
      </top>
      <bottom style="thin">
        <color auto="1"/>
      </bottom>
      <diagonal/>
    </border>
    <border>
      <left style="thin">
        <color rgb="FFE0D4EA"/>
      </left>
      <right style="thin">
        <color auto="1"/>
      </right>
      <top style="thin">
        <color auto="1"/>
      </top>
      <bottom style="thin">
        <color rgb="FFE0D4EA"/>
      </bottom>
      <diagonal/>
    </border>
    <border>
      <left style="thin">
        <color rgb="FFE0D4EA"/>
      </left>
      <right style="thin">
        <color auto="1"/>
      </right>
      <top style="thin">
        <color rgb="FFE0D4EA"/>
      </top>
      <bottom style="thin">
        <color rgb="FFE0D4EA"/>
      </bottom>
      <diagonal/>
    </border>
    <border>
      <left style="thin">
        <color rgb="FFE0D4EA"/>
      </left>
      <right style="thin">
        <color auto="1"/>
      </right>
      <top style="thin">
        <color rgb="FFE0D4EA"/>
      </top>
      <bottom style="thin">
        <color auto="1"/>
      </bottom>
      <diagonal/>
    </border>
    <border>
      <left style="thin">
        <color rgb="FFD9D9D9"/>
      </left>
      <right/>
      <top/>
      <bottom style="thin">
        <color rgb="FFE0E0E0"/>
      </bottom>
      <diagonal/>
    </border>
    <border>
      <left style="thin">
        <color rgb="FFD9D9D9"/>
      </left>
      <right/>
      <top style="thin">
        <color rgb="FFE0E0E0"/>
      </top>
      <bottom style="thin">
        <color rgb="FFE0E0E0"/>
      </bottom>
      <diagonal/>
    </border>
    <border>
      <left/>
      <right style="thin">
        <color rgb="FFD9D9D9"/>
      </right>
      <top style="thin">
        <color rgb="FFE0E0E0"/>
      </top>
      <bottom style="thin">
        <color rgb="FF1F4E79"/>
      </bottom>
      <diagonal/>
    </border>
    <border>
      <left style="thin">
        <color rgb="FFD9D9D9"/>
      </left>
      <right/>
      <top style="thin">
        <color rgb="FFE0E0E0"/>
      </top>
      <bottom style="thin">
        <color rgb="FF1F4E79"/>
      </bottom>
      <diagonal/>
    </border>
  </borders>
  <cellStyleXfs count="1">
    <xf numFmtId="0" fontId="0" fillId="0" borderId="0"/>
  </cellStyleXfs>
  <cellXfs count="346">
    <xf numFmtId="0" fontId="0" fillId="0" borderId="0" xfId="0"/>
    <xf numFmtId="0" fontId="0" fillId="2" borderId="0" xfId="0" applyFill="1"/>
    <xf numFmtId="0" fontId="4" fillId="2" borderId="0" xfId="0" applyFont="1" applyFill="1"/>
    <xf numFmtId="0" fontId="6" fillId="0" borderId="0" xfId="0" applyFont="1"/>
    <xf numFmtId="0" fontId="8" fillId="0" borderId="0" xfId="0" applyFont="1"/>
    <xf numFmtId="0" fontId="9" fillId="0" borderId="0" xfId="0" applyFont="1"/>
    <xf numFmtId="0" fontId="10" fillId="0" borderId="0" xfId="0" applyFont="1"/>
    <xf numFmtId="0" fontId="11" fillId="2" borderId="0" xfId="0" applyFont="1" applyFill="1"/>
    <xf numFmtId="0" fontId="0" fillId="4" borderId="0" xfId="0" applyFill="1"/>
    <xf numFmtId="0" fontId="5" fillId="4" borderId="2" xfId="0" applyFont="1" applyFill="1" applyBorder="1"/>
    <xf numFmtId="0" fontId="5" fillId="4" borderId="3" xfId="0" applyFont="1" applyFill="1" applyBorder="1"/>
    <xf numFmtId="0" fontId="5" fillId="5" borderId="3" xfId="0" applyFont="1" applyFill="1" applyBorder="1" applyAlignment="1">
      <alignment horizontal="center"/>
    </xf>
    <xf numFmtId="0" fontId="12" fillId="4" borderId="3" xfId="0" applyFont="1" applyFill="1" applyBorder="1" applyAlignment="1">
      <alignment horizontal="center"/>
    </xf>
    <xf numFmtId="2" fontId="5" fillId="4" borderId="3" xfId="0" applyNumberFormat="1" applyFont="1" applyFill="1" applyBorder="1" applyAlignment="1">
      <alignment horizontal="center"/>
    </xf>
    <xf numFmtId="1" fontId="5" fillId="4" borderId="3" xfId="0" applyNumberFormat="1" applyFont="1" applyFill="1" applyBorder="1" applyAlignment="1">
      <alignment horizontal="center"/>
    </xf>
    <xf numFmtId="0" fontId="12" fillId="0" borderId="3" xfId="0" applyFont="1" applyBorder="1" applyAlignment="1">
      <alignment horizontal="center"/>
    </xf>
    <xf numFmtId="0" fontId="5" fillId="6" borderId="2" xfId="0" applyFont="1" applyFill="1" applyBorder="1"/>
    <xf numFmtId="0" fontId="5" fillId="6" borderId="3" xfId="0" applyFont="1" applyFill="1" applyBorder="1"/>
    <xf numFmtId="0" fontId="12" fillId="6" borderId="3" xfId="0" applyFont="1" applyFill="1" applyBorder="1" applyAlignment="1">
      <alignment horizontal="center"/>
    </xf>
    <xf numFmtId="2" fontId="5" fillId="6" borderId="3" xfId="0" applyNumberFormat="1" applyFont="1" applyFill="1" applyBorder="1" applyAlignment="1">
      <alignment horizontal="center"/>
    </xf>
    <xf numFmtId="1" fontId="5" fillId="6" borderId="3" xfId="0" applyNumberFormat="1" applyFont="1" applyFill="1" applyBorder="1" applyAlignment="1">
      <alignment horizontal="center"/>
    </xf>
    <xf numFmtId="0" fontId="11" fillId="2" borderId="5" xfId="0" applyFont="1" applyFill="1" applyBorder="1" applyAlignment="1">
      <alignment horizontal="center" wrapText="1"/>
    </xf>
    <xf numFmtId="0" fontId="5" fillId="6" borderId="6" xfId="0" applyFont="1" applyFill="1" applyBorder="1"/>
    <xf numFmtId="0" fontId="5" fillId="6" borderId="7" xfId="0" applyFont="1" applyFill="1" applyBorder="1"/>
    <xf numFmtId="0" fontId="5" fillId="5" borderId="7" xfId="0" applyFont="1" applyFill="1" applyBorder="1" applyAlignment="1">
      <alignment horizontal="center"/>
    </xf>
    <xf numFmtId="0" fontId="12" fillId="6" borderId="7" xfId="0" applyFont="1" applyFill="1" applyBorder="1" applyAlignment="1">
      <alignment horizontal="center"/>
    </xf>
    <xf numFmtId="2" fontId="5" fillId="6" borderId="7" xfId="0" applyNumberFormat="1" applyFont="1" applyFill="1" applyBorder="1" applyAlignment="1">
      <alignment horizontal="center"/>
    </xf>
    <xf numFmtId="1" fontId="5" fillId="6" borderId="7" xfId="0" applyNumberFormat="1" applyFont="1" applyFill="1" applyBorder="1" applyAlignment="1">
      <alignment horizontal="center"/>
    </xf>
    <xf numFmtId="0" fontId="12" fillId="0" borderId="7" xfId="0" applyFont="1" applyBorder="1" applyAlignment="1">
      <alignment horizontal="center"/>
    </xf>
    <xf numFmtId="0" fontId="11" fillId="2" borderId="11" xfId="0" applyFont="1" applyFill="1" applyBorder="1" applyAlignment="1">
      <alignment horizontal="center" wrapText="1"/>
    </xf>
    <xf numFmtId="0" fontId="5" fillId="5" borderId="12" xfId="0" applyFont="1" applyFill="1" applyBorder="1" applyAlignment="1">
      <alignment horizontal="center"/>
    </xf>
    <xf numFmtId="0" fontId="5" fillId="5" borderId="13" xfId="0" applyFont="1" applyFill="1" applyBorder="1" applyAlignment="1">
      <alignment horizontal="center"/>
    </xf>
    <xf numFmtId="0" fontId="13" fillId="0" borderId="0" xfId="0" applyFont="1"/>
    <xf numFmtId="0" fontId="14" fillId="0" borderId="0" xfId="0" applyFont="1"/>
    <xf numFmtId="0" fontId="0" fillId="7" borderId="0" xfId="0" applyFill="1"/>
    <xf numFmtId="0" fontId="15" fillId="7" borderId="0" xfId="0" applyFont="1" applyFill="1"/>
    <xf numFmtId="0" fontId="6" fillId="5" borderId="0" xfId="0" applyFont="1" applyFill="1"/>
    <xf numFmtId="0" fontId="6" fillId="5" borderId="0" xfId="0" applyFont="1" applyFill="1" applyAlignment="1">
      <alignment horizontal="center"/>
    </xf>
    <xf numFmtId="164" fontId="6" fillId="5" borderId="3" xfId="0" applyNumberFormat="1" applyFont="1" applyFill="1" applyBorder="1" applyAlignment="1">
      <alignment horizontal="center"/>
    </xf>
    <xf numFmtId="2" fontId="6" fillId="4" borderId="3" xfId="0" applyNumberFormat="1" applyFont="1" applyFill="1" applyBorder="1" applyAlignment="1">
      <alignment horizontal="center"/>
    </xf>
    <xf numFmtId="164" fontId="6" fillId="4" borderId="3" xfId="0" applyNumberFormat="1" applyFont="1" applyFill="1" applyBorder="1" applyAlignment="1">
      <alignment horizontal="center"/>
    </xf>
    <xf numFmtId="2" fontId="6" fillId="6" borderId="3" xfId="0" applyNumberFormat="1" applyFont="1" applyFill="1" applyBorder="1" applyAlignment="1">
      <alignment horizontal="center"/>
    </xf>
    <xf numFmtId="164" fontId="6" fillId="6" borderId="3" xfId="0" applyNumberFormat="1" applyFont="1" applyFill="1" applyBorder="1" applyAlignment="1">
      <alignment horizontal="center"/>
    </xf>
    <xf numFmtId="0" fontId="15" fillId="7" borderId="4" xfId="0" applyFont="1" applyFill="1" applyBorder="1" applyAlignment="1">
      <alignment horizontal="center" wrapText="1"/>
    </xf>
    <xf numFmtId="0" fontId="15" fillId="7" borderId="5" xfId="0" applyFont="1" applyFill="1" applyBorder="1" applyAlignment="1">
      <alignment horizontal="center" wrapText="1"/>
    </xf>
    <xf numFmtId="164" fontId="6" fillId="5" borderId="7" xfId="0" applyNumberFormat="1" applyFont="1" applyFill="1" applyBorder="1" applyAlignment="1">
      <alignment horizontal="center"/>
    </xf>
    <xf numFmtId="2" fontId="6" fillId="6" borderId="7" xfId="0" applyNumberFormat="1" applyFont="1" applyFill="1" applyBorder="1" applyAlignment="1">
      <alignment horizontal="center"/>
    </xf>
    <xf numFmtId="164" fontId="6" fillId="6" borderId="7" xfId="0" applyNumberFormat="1" applyFont="1" applyFill="1" applyBorder="1" applyAlignment="1">
      <alignment horizontal="center"/>
    </xf>
    <xf numFmtId="0" fontId="15" fillId="7" borderId="8" xfId="0" applyFont="1" applyFill="1" applyBorder="1" applyAlignment="1">
      <alignment horizontal="center" wrapText="1"/>
    </xf>
    <xf numFmtId="0" fontId="14" fillId="4" borderId="9" xfId="0" applyFont="1" applyFill="1" applyBorder="1"/>
    <xf numFmtId="0" fontId="14" fillId="6" borderId="9" xfId="0" applyFont="1" applyFill="1" applyBorder="1"/>
    <xf numFmtId="0" fontId="14" fillId="6" borderId="10" xfId="0" applyFont="1" applyFill="1" applyBorder="1"/>
    <xf numFmtId="0" fontId="15" fillId="7" borderId="11" xfId="0" applyFont="1" applyFill="1" applyBorder="1" applyAlignment="1">
      <alignment horizontal="center" wrapText="1"/>
    </xf>
    <xf numFmtId="2" fontId="6" fillId="4" borderId="12" xfId="0" applyNumberFormat="1" applyFont="1" applyFill="1" applyBorder="1" applyAlignment="1">
      <alignment horizontal="center"/>
    </xf>
    <xf numFmtId="2" fontId="6" fillId="6" borderId="12" xfId="0" applyNumberFormat="1" applyFont="1" applyFill="1" applyBorder="1" applyAlignment="1">
      <alignment horizontal="center"/>
    </xf>
    <xf numFmtId="2" fontId="6" fillId="6" borderId="13" xfId="0" applyNumberFormat="1" applyFont="1" applyFill="1" applyBorder="1" applyAlignment="1">
      <alignment horizontal="center"/>
    </xf>
    <xf numFmtId="0" fontId="15" fillId="7" borderId="14" xfId="0" applyFont="1" applyFill="1" applyBorder="1" applyAlignment="1">
      <alignment horizontal="center" wrapText="1"/>
    </xf>
    <xf numFmtId="164" fontId="6" fillId="5" borderId="1" xfId="0" applyNumberFormat="1" applyFont="1" applyFill="1" applyBorder="1" applyAlignment="1">
      <alignment horizontal="center"/>
    </xf>
    <xf numFmtId="0" fontId="15" fillId="7" borderId="15" xfId="0" applyFont="1" applyFill="1" applyBorder="1" applyAlignment="1">
      <alignment horizontal="center" wrapText="1"/>
    </xf>
    <xf numFmtId="0" fontId="14" fillId="8" borderId="0" xfId="0" applyFont="1" applyFill="1"/>
    <xf numFmtId="0" fontId="14" fillId="8" borderId="0" xfId="0" applyFont="1" applyFill="1" applyAlignment="1">
      <alignment horizontal="center" wrapText="1"/>
    </xf>
    <xf numFmtId="0" fontId="6" fillId="4" borderId="3" xfId="0" applyFont="1" applyFill="1" applyBorder="1" applyAlignment="1">
      <alignment horizontal="center"/>
    </xf>
    <xf numFmtId="2" fontId="14" fillId="4" borderId="3" xfId="0" applyNumberFormat="1" applyFont="1" applyFill="1" applyBorder="1" applyAlignment="1">
      <alignment horizontal="center"/>
    </xf>
    <xf numFmtId="0" fontId="6" fillId="6" borderId="3" xfId="0" applyFont="1" applyFill="1" applyBorder="1" applyAlignment="1">
      <alignment horizontal="center"/>
    </xf>
    <xf numFmtId="2" fontId="14" fillId="6" borderId="3" xfId="0" applyNumberFormat="1" applyFont="1" applyFill="1" applyBorder="1" applyAlignment="1">
      <alignment horizontal="center"/>
    </xf>
    <xf numFmtId="0" fontId="6" fillId="6" borderId="7" xfId="0" applyFont="1" applyFill="1" applyBorder="1" applyAlignment="1">
      <alignment horizontal="center"/>
    </xf>
    <xf numFmtId="2" fontId="14" fillId="6" borderId="7" xfId="0" applyNumberFormat="1" applyFont="1" applyFill="1" applyBorder="1" applyAlignment="1">
      <alignment horizontal="center"/>
    </xf>
    <xf numFmtId="0" fontId="14" fillId="4" borderId="12" xfId="0" applyFont="1" applyFill="1" applyBorder="1" applyAlignment="1">
      <alignment horizontal="center"/>
    </xf>
    <xf numFmtId="0" fontId="14" fillId="6" borderId="12" xfId="0" applyFont="1" applyFill="1" applyBorder="1" applyAlignment="1">
      <alignment horizontal="center"/>
    </xf>
    <xf numFmtId="0" fontId="14" fillId="6" borderId="13" xfId="0" applyFont="1" applyFill="1" applyBorder="1" applyAlignment="1">
      <alignment horizontal="center"/>
    </xf>
    <xf numFmtId="0" fontId="6" fillId="9" borderId="3" xfId="0" applyFont="1" applyFill="1" applyBorder="1" applyAlignment="1">
      <alignment horizontal="center"/>
    </xf>
    <xf numFmtId="0" fontId="6" fillId="10" borderId="3" xfId="0" applyFont="1" applyFill="1" applyBorder="1" applyAlignment="1">
      <alignment horizontal="center"/>
    </xf>
    <xf numFmtId="0" fontId="6" fillId="11" borderId="3" xfId="0" applyFont="1" applyFill="1" applyBorder="1" applyAlignment="1">
      <alignment horizontal="center"/>
    </xf>
    <xf numFmtId="0" fontId="15" fillId="7" borderId="5" xfId="0" applyFont="1" applyFill="1" applyBorder="1" applyAlignment="1">
      <alignment horizontal="center"/>
    </xf>
    <xf numFmtId="0" fontId="6" fillId="12" borderId="7" xfId="0" applyFont="1" applyFill="1" applyBorder="1" applyAlignment="1">
      <alignment horizontal="center"/>
    </xf>
    <xf numFmtId="0" fontId="15" fillId="7" borderId="8" xfId="0" applyFont="1" applyFill="1" applyBorder="1" applyAlignment="1">
      <alignment horizontal="center"/>
    </xf>
    <xf numFmtId="0" fontId="6" fillId="9" borderId="9" xfId="0" applyFont="1" applyFill="1" applyBorder="1" applyAlignment="1">
      <alignment horizontal="center"/>
    </xf>
    <xf numFmtId="0" fontId="6" fillId="10" borderId="9" xfId="0" applyFont="1" applyFill="1" applyBorder="1" applyAlignment="1">
      <alignment horizontal="center"/>
    </xf>
    <xf numFmtId="0" fontId="6" fillId="11" borderId="9" xfId="0" applyFont="1" applyFill="1" applyBorder="1" applyAlignment="1">
      <alignment horizontal="center"/>
    </xf>
    <xf numFmtId="0" fontId="6" fillId="12" borderId="10" xfId="0" applyFont="1" applyFill="1" applyBorder="1" applyAlignment="1">
      <alignment horizontal="center"/>
    </xf>
    <xf numFmtId="0" fontId="15" fillId="7" borderId="11" xfId="0" applyFont="1" applyFill="1" applyBorder="1" applyAlignment="1">
      <alignment horizontal="center"/>
    </xf>
    <xf numFmtId="0" fontId="6" fillId="9" borderId="12" xfId="0" applyFont="1" applyFill="1" applyBorder="1" applyAlignment="1">
      <alignment horizontal="center"/>
    </xf>
    <xf numFmtId="0" fontId="6" fillId="10" borderId="12" xfId="0" applyFont="1" applyFill="1" applyBorder="1" applyAlignment="1">
      <alignment horizontal="center"/>
    </xf>
    <xf numFmtId="0" fontId="6" fillId="11" borderId="12" xfId="0" applyFont="1" applyFill="1" applyBorder="1" applyAlignment="1">
      <alignment horizontal="center"/>
    </xf>
    <xf numFmtId="0" fontId="6" fillId="12" borderId="13" xfId="0" applyFont="1" applyFill="1" applyBorder="1" applyAlignment="1">
      <alignment horizontal="center"/>
    </xf>
    <xf numFmtId="0" fontId="16" fillId="0" borderId="0" xfId="0" applyFont="1"/>
    <xf numFmtId="0" fontId="17" fillId="0" borderId="0" xfId="0" applyFont="1"/>
    <xf numFmtId="0" fontId="1" fillId="4" borderId="3" xfId="0" applyFont="1" applyFill="1" applyBorder="1" applyAlignment="1">
      <alignment horizontal="center"/>
    </xf>
    <xf numFmtId="0" fontId="0" fillId="4" borderId="3" xfId="0" applyFill="1" applyBorder="1" applyAlignment="1">
      <alignment horizontal="center"/>
    </xf>
    <xf numFmtId="0" fontId="1" fillId="6" borderId="3" xfId="0" applyFont="1" applyFill="1" applyBorder="1" applyAlignment="1">
      <alignment horizontal="center"/>
    </xf>
    <xf numFmtId="0" fontId="0" fillId="6" borderId="3" xfId="0" applyFill="1" applyBorder="1" applyAlignment="1">
      <alignment horizontal="center"/>
    </xf>
    <xf numFmtId="0" fontId="1" fillId="6" borderId="7" xfId="0" applyFont="1" applyFill="1" applyBorder="1" applyAlignment="1">
      <alignment horizontal="center"/>
    </xf>
    <xf numFmtId="0" fontId="0" fillId="6" borderId="7" xfId="0" applyFill="1" applyBorder="1" applyAlignment="1">
      <alignment horizontal="center"/>
    </xf>
    <xf numFmtId="0" fontId="18" fillId="4" borderId="12" xfId="0" applyFont="1" applyFill="1" applyBorder="1" applyAlignment="1">
      <alignment horizontal="center"/>
    </xf>
    <xf numFmtId="0" fontId="18" fillId="6" borderId="12" xfId="0" applyFont="1" applyFill="1" applyBorder="1" applyAlignment="1">
      <alignment horizontal="center"/>
    </xf>
    <xf numFmtId="0" fontId="18" fillId="6" borderId="13" xfId="0" applyFont="1" applyFill="1" applyBorder="1" applyAlignment="1">
      <alignment horizontal="center"/>
    </xf>
    <xf numFmtId="0" fontId="14" fillId="5" borderId="3" xfId="0" applyFont="1" applyFill="1" applyBorder="1"/>
    <xf numFmtId="0" fontId="15" fillId="7" borderId="5" xfId="0" applyFont="1" applyFill="1" applyBorder="1"/>
    <xf numFmtId="0" fontId="14" fillId="5" borderId="7" xfId="0" applyFont="1" applyFill="1" applyBorder="1"/>
    <xf numFmtId="0" fontId="15" fillId="7" borderId="8" xfId="0" applyFont="1" applyFill="1" applyBorder="1"/>
    <xf numFmtId="0" fontId="6" fillId="6" borderId="9" xfId="0" applyFont="1" applyFill="1" applyBorder="1"/>
    <xf numFmtId="0" fontId="6" fillId="4" borderId="9" xfId="0" applyFont="1" applyFill="1" applyBorder="1"/>
    <xf numFmtId="0" fontId="6" fillId="4" borderId="10" xfId="0" applyFont="1" applyFill="1" applyBorder="1"/>
    <xf numFmtId="0" fontId="15" fillId="7" borderId="11" xfId="0" applyFont="1" applyFill="1" applyBorder="1"/>
    <xf numFmtId="0" fontId="6" fillId="6" borderId="12" xfId="0" applyFont="1" applyFill="1" applyBorder="1"/>
    <xf numFmtId="0" fontId="6" fillId="4" borderId="12" xfId="0" applyFont="1" applyFill="1" applyBorder="1"/>
    <xf numFmtId="0" fontId="6" fillId="4" borderId="13" xfId="0" applyFont="1" applyFill="1" applyBorder="1"/>
    <xf numFmtId="0" fontId="6" fillId="5" borderId="3" xfId="0" applyFont="1" applyFill="1" applyBorder="1" applyAlignment="1">
      <alignment horizontal="center"/>
    </xf>
    <xf numFmtId="0" fontId="6" fillId="5" borderId="7" xfId="0" applyFont="1" applyFill="1" applyBorder="1" applyAlignment="1">
      <alignment horizontal="center"/>
    </xf>
    <xf numFmtId="0" fontId="6" fillId="5" borderId="12" xfId="0" applyFont="1" applyFill="1" applyBorder="1" applyAlignment="1">
      <alignment horizontal="center"/>
    </xf>
    <xf numFmtId="0" fontId="6" fillId="5" borderId="13" xfId="0" applyFont="1" applyFill="1" applyBorder="1" applyAlignment="1">
      <alignment horizontal="center"/>
    </xf>
    <xf numFmtId="0" fontId="17" fillId="7" borderId="0" xfId="0" applyFont="1" applyFill="1" applyAlignment="1">
      <alignment horizontal="center" wrapText="1"/>
    </xf>
    <xf numFmtId="0" fontId="14" fillId="4" borderId="3" xfId="0" applyFont="1" applyFill="1" applyBorder="1" applyAlignment="1">
      <alignment horizontal="center"/>
    </xf>
    <xf numFmtId="0" fontId="14" fillId="6" borderId="3" xfId="0" applyFont="1" applyFill="1" applyBorder="1" applyAlignment="1">
      <alignment horizontal="center"/>
    </xf>
    <xf numFmtId="0" fontId="14" fillId="6" borderId="7" xfId="0" applyFont="1" applyFill="1" applyBorder="1" applyAlignment="1">
      <alignment horizontal="center"/>
    </xf>
    <xf numFmtId="0" fontId="14" fillId="0" borderId="12" xfId="0" applyFont="1" applyBorder="1" applyAlignment="1">
      <alignment horizontal="center"/>
    </xf>
    <xf numFmtId="0" fontId="14" fillId="0" borderId="13" xfId="0" applyFont="1" applyBorder="1" applyAlignment="1">
      <alignment horizontal="center"/>
    </xf>
    <xf numFmtId="0" fontId="6" fillId="14" borderId="16" xfId="0" applyFont="1" applyFill="1" applyBorder="1" applyAlignment="1">
      <alignment wrapText="1"/>
    </xf>
    <xf numFmtId="0" fontId="0" fillId="0" borderId="16" xfId="0" applyBorder="1"/>
    <xf numFmtId="0" fontId="6" fillId="14" borderId="0" xfId="0" applyFont="1" applyFill="1" applyBorder="1"/>
    <xf numFmtId="0" fontId="0" fillId="0" borderId="0" xfId="0" applyBorder="1"/>
    <xf numFmtId="0" fontId="14" fillId="14" borderId="18" xfId="0" applyFont="1" applyFill="1" applyBorder="1"/>
    <xf numFmtId="0" fontId="14" fillId="14" borderId="17" xfId="0" applyFont="1" applyFill="1" applyBorder="1"/>
    <xf numFmtId="0" fontId="0" fillId="0" borderId="19" xfId="0" applyBorder="1"/>
    <xf numFmtId="0" fontId="0" fillId="0" borderId="20" xfId="0" applyBorder="1"/>
    <xf numFmtId="0" fontId="20" fillId="13" borderId="21" xfId="0" applyFont="1" applyFill="1" applyBorder="1"/>
    <xf numFmtId="0" fontId="0" fillId="13" borderId="22" xfId="0" applyFill="1" applyBorder="1"/>
    <xf numFmtId="0" fontId="0" fillId="13" borderId="23" xfId="0" applyFill="1" applyBorder="1"/>
    <xf numFmtId="0" fontId="0" fillId="15" borderId="0" xfId="0" applyFill="1"/>
    <xf numFmtId="0" fontId="15" fillId="15" borderId="0" xfId="0" applyFont="1" applyFill="1"/>
    <xf numFmtId="0" fontId="15" fillId="15" borderId="0" xfId="0" applyFont="1" applyFill="1" applyAlignment="1">
      <alignment horizontal="center"/>
    </xf>
    <xf numFmtId="0" fontId="0" fillId="16" borderId="0" xfId="0" applyFill="1"/>
    <xf numFmtId="0" fontId="15" fillId="16" borderId="0" xfId="0" applyFont="1" applyFill="1" applyAlignment="1">
      <alignment horizontal="center"/>
    </xf>
    <xf numFmtId="0" fontId="15" fillId="17" borderId="0" xfId="0" applyFont="1" applyFill="1" applyAlignment="1">
      <alignment horizontal="center"/>
    </xf>
    <xf numFmtId="0" fontId="0" fillId="18" borderId="0" xfId="0" applyFill="1"/>
    <xf numFmtId="0" fontId="19" fillId="2" borderId="5" xfId="0" applyFont="1" applyFill="1" applyBorder="1" applyAlignment="1">
      <alignment horizontal="center" wrapText="1"/>
    </xf>
    <xf numFmtId="0" fontId="19" fillId="2" borderId="8" xfId="0" applyFont="1" applyFill="1" applyBorder="1" applyAlignment="1">
      <alignment horizontal="center" wrapText="1"/>
    </xf>
    <xf numFmtId="0" fontId="14" fillId="4" borderId="9" xfId="0" applyFont="1" applyFill="1" applyBorder="1" applyAlignment="1">
      <alignment horizontal="left"/>
    </xf>
    <xf numFmtId="0" fontId="14" fillId="6" borderId="9" xfId="0" applyFont="1" applyFill="1" applyBorder="1" applyAlignment="1">
      <alignment horizontal="left"/>
    </xf>
    <xf numFmtId="0" fontId="14" fillId="6" borderId="10" xfId="0" applyFont="1" applyFill="1" applyBorder="1" applyAlignment="1">
      <alignment horizontal="left"/>
    </xf>
    <xf numFmtId="0" fontId="19" fillId="2" borderId="11" xfId="0" applyFont="1" applyFill="1" applyBorder="1" applyAlignment="1">
      <alignment horizontal="center" wrapText="1"/>
    </xf>
    <xf numFmtId="0" fontId="0" fillId="8" borderId="0" xfId="0" applyFill="1"/>
    <xf numFmtId="0" fontId="28" fillId="21" borderId="24" xfId="0" applyFont="1" applyFill="1" applyBorder="1" applyAlignment="1">
      <alignment horizontal="center"/>
    </xf>
    <xf numFmtId="0" fontId="26" fillId="11" borderId="24" xfId="0" applyFont="1" applyFill="1" applyBorder="1" applyAlignment="1">
      <alignment horizontal="center"/>
    </xf>
    <xf numFmtId="0" fontId="27" fillId="17" borderId="24" xfId="0" applyFont="1" applyFill="1" applyBorder="1" applyAlignment="1">
      <alignment horizontal="center"/>
    </xf>
    <xf numFmtId="0" fontId="27" fillId="22" borderId="24" xfId="0" applyFont="1" applyFill="1" applyBorder="1" applyAlignment="1">
      <alignment horizontal="center"/>
    </xf>
    <xf numFmtId="0" fontId="25" fillId="9" borderId="24" xfId="0" applyFont="1" applyFill="1" applyBorder="1" applyAlignment="1">
      <alignment horizontal="center"/>
    </xf>
    <xf numFmtId="0" fontId="27" fillId="23" borderId="24" xfId="0" applyFont="1" applyFill="1" applyBorder="1" applyAlignment="1">
      <alignment horizontal="center"/>
    </xf>
    <xf numFmtId="0" fontId="27" fillId="15" borderId="24" xfId="0" applyFont="1" applyFill="1" applyBorder="1" applyAlignment="1">
      <alignment horizontal="center"/>
    </xf>
    <xf numFmtId="0" fontId="15" fillId="2" borderId="25" xfId="0" applyFont="1" applyFill="1" applyBorder="1" applyAlignment="1">
      <alignment horizontal="center"/>
    </xf>
    <xf numFmtId="0" fontId="27" fillId="23" borderId="26" xfId="0" applyFont="1" applyFill="1" applyBorder="1" applyAlignment="1">
      <alignment horizontal="center"/>
    </xf>
    <xf numFmtId="0" fontId="27" fillId="15" borderId="26" xfId="0" applyFont="1" applyFill="1" applyBorder="1" applyAlignment="1">
      <alignment horizontal="center"/>
    </xf>
    <xf numFmtId="0" fontId="15" fillId="2" borderId="27" xfId="0" applyFont="1" applyFill="1" applyBorder="1" applyAlignment="1">
      <alignment horizontal="center"/>
    </xf>
    <xf numFmtId="0" fontId="15" fillId="2" borderId="28" xfId="0" applyFont="1" applyFill="1" applyBorder="1"/>
    <xf numFmtId="0" fontId="15" fillId="2" borderId="29" xfId="0" applyFont="1" applyFill="1" applyBorder="1"/>
    <xf numFmtId="0" fontId="15" fillId="2" borderId="30" xfId="0" applyFont="1" applyFill="1" applyBorder="1" applyAlignment="1">
      <alignment horizontal="center"/>
    </xf>
    <xf numFmtId="0" fontId="27" fillId="17" borderId="31" xfId="0" applyFont="1" applyFill="1" applyBorder="1" applyAlignment="1">
      <alignment horizontal="center"/>
    </xf>
    <xf numFmtId="0" fontId="27" fillId="22" borderId="31" xfId="0" applyFont="1" applyFill="1" applyBorder="1" applyAlignment="1">
      <alignment horizontal="center"/>
    </xf>
    <xf numFmtId="0" fontId="28" fillId="21" borderId="32" xfId="0" applyFont="1" applyFill="1" applyBorder="1" applyAlignment="1">
      <alignment horizontal="center"/>
    </xf>
    <xf numFmtId="0" fontId="15" fillId="2" borderId="0" xfId="0" applyFont="1" applyFill="1" applyBorder="1"/>
    <xf numFmtId="0" fontId="15" fillId="23" borderId="0" xfId="0" applyFont="1" applyFill="1" applyBorder="1"/>
    <xf numFmtId="0" fontId="15" fillId="15" borderId="0" xfId="0" applyFont="1" applyFill="1" applyBorder="1"/>
    <xf numFmtId="0" fontId="15" fillId="11" borderId="0" xfId="0" applyFont="1" applyFill="1" applyBorder="1"/>
    <xf numFmtId="0" fontId="15" fillId="17" borderId="0" xfId="0" applyFont="1" applyFill="1" applyBorder="1"/>
    <xf numFmtId="0" fontId="6" fillId="6" borderId="1" xfId="0" applyFont="1" applyFill="1" applyBorder="1"/>
    <xf numFmtId="0" fontId="6" fillId="6" borderId="1" xfId="0" applyFont="1" applyFill="1" applyBorder="1" applyAlignment="1">
      <alignment horizontal="center"/>
    </xf>
    <xf numFmtId="0" fontId="6" fillId="6" borderId="1" xfId="0" applyFont="1" applyFill="1" applyBorder="1" applyAlignment="1">
      <alignment wrapText="1"/>
    </xf>
    <xf numFmtId="0" fontId="0" fillId="0" borderId="34" xfId="0" applyBorder="1"/>
    <xf numFmtId="0" fontId="6" fillId="4" borderId="1" xfId="0" applyFont="1" applyFill="1" applyBorder="1"/>
    <xf numFmtId="0" fontId="6" fillId="4" borderId="1" xfId="0" applyFont="1" applyFill="1" applyBorder="1" applyAlignment="1">
      <alignment horizontal="center"/>
    </xf>
    <xf numFmtId="0" fontId="6" fillId="4" borderId="1" xfId="0" applyFont="1" applyFill="1" applyBorder="1" applyAlignment="1">
      <alignment wrapText="1"/>
    </xf>
    <xf numFmtId="0" fontId="15" fillId="7" borderId="35" xfId="0" applyFont="1" applyFill="1" applyBorder="1" applyAlignment="1">
      <alignment horizontal="center"/>
    </xf>
    <xf numFmtId="0" fontId="0" fillId="0" borderId="36" xfId="0" applyBorder="1"/>
    <xf numFmtId="0" fontId="15" fillId="7" borderId="37" xfId="0" applyFont="1" applyFill="1" applyBorder="1" applyAlignment="1">
      <alignment horizontal="center"/>
    </xf>
    <xf numFmtId="0" fontId="6" fillId="6" borderId="38" xfId="0" applyFont="1" applyFill="1" applyBorder="1" applyAlignment="1">
      <alignment horizontal="center"/>
    </xf>
    <xf numFmtId="0" fontId="0" fillId="0" borderId="39" xfId="0" applyBorder="1"/>
    <xf numFmtId="0" fontId="6" fillId="4" borderId="38" xfId="0" applyFont="1" applyFill="1" applyBorder="1" applyAlignment="1">
      <alignment horizontal="center"/>
    </xf>
    <xf numFmtId="0" fontId="0" fillId="0" borderId="40" xfId="0" applyBorder="1"/>
    <xf numFmtId="0" fontId="15" fillId="7" borderId="41" xfId="0" applyFont="1" applyFill="1" applyBorder="1" applyAlignment="1">
      <alignment horizontal="center"/>
    </xf>
    <xf numFmtId="0" fontId="6" fillId="6" borderId="42" xfId="0" applyFont="1" applyFill="1" applyBorder="1"/>
    <xf numFmtId="0" fontId="0" fillId="0" borderId="43" xfId="0" applyBorder="1"/>
    <xf numFmtId="0" fontId="6" fillId="4" borderId="42" xfId="0" applyFont="1" applyFill="1" applyBorder="1"/>
    <xf numFmtId="0" fontId="0" fillId="0" borderId="44" xfId="0" applyBorder="1"/>
    <xf numFmtId="0" fontId="0" fillId="24" borderId="0" xfId="0" applyFill="1"/>
    <xf numFmtId="0" fontId="11" fillId="2" borderId="37" xfId="0" applyFont="1" applyFill="1" applyBorder="1" applyAlignment="1">
      <alignment horizontal="center" wrapText="1"/>
    </xf>
    <xf numFmtId="0" fontId="5" fillId="4" borderId="45" xfId="0" applyFont="1" applyFill="1" applyBorder="1"/>
    <xf numFmtId="0" fontId="5" fillId="6" borderId="45" xfId="0" applyFont="1" applyFill="1" applyBorder="1"/>
    <xf numFmtId="0" fontId="5" fillId="4" borderId="46" xfId="0" applyFont="1" applyFill="1" applyBorder="1"/>
    <xf numFmtId="0" fontId="5" fillId="6" borderId="46" xfId="0" applyFont="1" applyFill="1" applyBorder="1"/>
    <xf numFmtId="0" fontId="5" fillId="4" borderId="47" xfId="0" applyFont="1" applyFill="1" applyBorder="1"/>
    <xf numFmtId="0" fontId="5" fillId="6" borderId="47" xfId="0" applyFont="1" applyFill="1" applyBorder="1"/>
    <xf numFmtId="0" fontId="5" fillId="6" borderId="48" xfId="0" applyFont="1" applyFill="1" applyBorder="1"/>
    <xf numFmtId="0" fontId="32" fillId="4" borderId="33" xfId="0" applyFont="1" applyFill="1" applyBorder="1"/>
    <xf numFmtId="0" fontId="33" fillId="4" borderId="33" xfId="0" applyFont="1" applyFill="1" applyBorder="1"/>
    <xf numFmtId="0" fontId="34" fillId="4" borderId="34" xfId="0" applyFont="1" applyFill="1" applyBorder="1"/>
    <xf numFmtId="0" fontId="35" fillId="4" borderId="34" xfId="0" applyFont="1" applyFill="1" applyBorder="1"/>
    <xf numFmtId="0" fontId="6" fillId="13" borderId="3" xfId="0" applyFont="1" applyFill="1" applyBorder="1" applyAlignment="1">
      <alignment horizontal="center"/>
    </xf>
    <xf numFmtId="0" fontId="6" fillId="19" borderId="3" xfId="0" applyFont="1" applyFill="1" applyBorder="1" applyAlignment="1">
      <alignment horizontal="center"/>
    </xf>
    <xf numFmtId="0" fontId="6" fillId="20" borderId="7" xfId="0" applyFont="1" applyFill="1" applyBorder="1" applyAlignment="1">
      <alignment horizontal="center"/>
    </xf>
    <xf numFmtId="0" fontId="14" fillId="13" borderId="9" xfId="0" applyFont="1" applyFill="1" applyBorder="1" applyAlignment="1">
      <alignment horizontal="center"/>
    </xf>
    <xf numFmtId="0" fontId="14" fillId="9" borderId="9" xfId="0" applyFont="1" applyFill="1" applyBorder="1" applyAlignment="1">
      <alignment horizontal="center"/>
    </xf>
    <xf numFmtId="0" fontId="14" fillId="19" borderId="9" xfId="0" applyFont="1" applyFill="1" applyBorder="1" applyAlignment="1">
      <alignment horizontal="center"/>
    </xf>
    <xf numFmtId="0" fontId="14" fillId="11" borderId="9" xfId="0" applyFont="1" applyFill="1" applyBorder="1" applyAlignment="1">
      <alignment horizontal="center"/>
    </xf>
    <xf numFmtId="0" fontId="14" fillId="20" borderId="10" xfId="0" applyFont="1" applyFill="1" applyBorder="1" applyAlignment="1">
      <alignment horizontal="center"/>
    </xf>
    <xf numFmtId="0" fontId="6" fillId="13" borderId="12" xfId="0" applyFont="1" applyFill="1" applyBorder="1" applyAlignment="1">
      <alignment horizontal="center"/>
    </xf>
    <xf numFmtId="0" fontId="6" fillId="19" borderId="12" xfId="0" applyFont="1" applyFill="1" applyBorder="1" applyAlignment="1">
      <alignment horizontal="center"/>
    </xf>
    <xf numFmtId="0" fontId="6" fillId="20" borderId="13" xfId="0" applyFont="1" applyFill="1" applyBorder="1" applyAlignment="1">
      <alignment horizontal="center"/>
    </xf>
    <xf numFmtId="0" fontId="36" fillId="2" borderId="0" xfId="0" applyFont="1" applyFill="1" applyAlignment="1"/>
    <xf numFmtId="0" fontId="37" fillId="2" borderId="0" xfId="0" applyFont="1" applyFill="1"/>
    <xf numFmtId="0" fontId="38" fillId="2" borderId="0" xfId="0" applyFont="1" applyFill="1"/>
    <xf numFmtId="0" fontId="0" fillId="25" borderId="0" xfId="0" applyFill="1"/>
    <xf numFmtId="0" fontId="15" fillId="25" borderId="0" xfId="0" applyFont="1" applyFill="1"/>
    <xf numFmtId="0" fontId="0" fillId="26" borderId="0" xfId="0" applyFill="1"/>
    <xf numFmtId="0" fontId="15" fillId="26" borderId="0" xfId="0" applyFont="1" applyFill="1"/>
    <xf numFmtId="0" fontId="0" fillId="27" borderId="0" xfId="0" applyFill="1"/>
    <xf numFmtId="0" fontId="15" fillId="27" borderId="0" xfId="0" applyFont="1" applyFill="1"/>
    <xf numFmtId="0" fontId="0" fillId="28" borderId="0" xfId="0" applyFill="1"/>
    <xf numFmtId="0" fontId="0" fillId="3" borderId="0" xfId="0" applyFill="1"/>
    <xf numFmtId="0" fontId="32" fillId="3" borderId="0" xfId="0" applyFont="1" applyFill="1"/>
    <xf numFmtId="0" fontId="31" fillId="3" borderId="0" xfId="0" applyFont="1" applyFill="1" applyAlignment="1">
      <alignment wrapText="1"/>
    </xf>
    <xf numFmtId="0" fontId="6" fillId="4" borderId="0" xfId="0" applyFont="1" applyFill="1" applyAlignment="1">
      <alignment vertical="top" wrapText="1"/>
    </xf>
    <xf numFmtId="0" fontId="4" fillId="2" borderId="0" xfId="0" applyFont="1" applyFill="1" applyAlignment="1">
      <alignment horizontal="center" vertical="center"/>
    </xf>
    <xf numFmtId="0" fontId="30" fillId="8" borderId="0" xfId="0" applyFont="1" applyFill="1" applyAlignment="1">
      <alignment vertical="top" wrapText="1"/>
    </xf>
    <xf numFmtId="0" fontId="6" fillId="28" borderId="0" xfId="0" applyFont="1" applyFill="1" applyAlignment="1">
      <alignment vertical="top" wrapText="1"/>
    </xf>
    <xf numFmtId="0" fontId="0" fillId="29" borderId="0" xfId="0" applyFill="1"/>
    <xf numFmtId="0" fontId="29" fillId="29" borderId="0" xfId="0" applyFont="1" applyFill="1"/>
    <xf numFmtId="0" fontId="39" fillId="29" borderId="0" xfId="0" applyFont="1" applyFill="1"/>
    <xf numFmtId="0" fontId="0" fillId="30" borderId="0" xfId="0" applyFill="1"/>
    <xf numFmtId="0" fontId="11" fillId="30" borderId="0" xfId="0" applyFont="1" applyFill="1"/>
    <xf numFmtId="0" fontId="6" fillId="4" borderId="51" xfId="0" applyFont="1" applyFill="1" applyBorder="1" applyAlignment="1">
      <alignment horizontal="center"/>
    </xf>
    <xf numFmtId="0" fontId="14" fillId="4" borderId="51" xfId="0" applyFont="1" applyFill="1" applyBorder="1" applyAlignment="1">
      <alignment horizontal="center"/>
    </xf>
    <xf numFmtId="165" fontId="6" fillId="5" borderId="51" xfId="0" applyNumberFormat="1" applyFont="1" applyFill="1" applyBorder="1" applyAlignment="1">
      <alignment horizontal="center"/>
    </xf>
    <xf numFmtId="2" fontId="6" fillId="5" borderId="51" xfId="0" applyNumberFormat="1" applyFont="1" applyFill="1" applyBorder="1" applyAlignment="1">
      <alignment horizontal="center"/>
    </xf>
    <xf numFmtId="165" fontId="6" fillId="4" borderId="51" xfId="0" applyNumberFormat="1" applyFont="1" applyFill="1" applyBorder="1" applyAlignment="1">
      <alignment horizontal="center"/>
    </xf>
    <xf numFmtId="166" fontId="6" fillId="4" borderId="51" xfId="0" applyNumberFormat="1" applyFont="1" applyFill="1" applyBorder="1" applyAlignment="1">
      <alignment horizontal="center"/>
    </xf>
    <xf numFmtId="1" fontId="6" fillId="4" borderId="51" xfId="0" applyNumberFormat="1" applyFont="1" applyFill="1" applyBorder="1" applyAlignment="1">
      <alignment horizontal="center"/>
    </xf>
    <xf numFmtId="164" fontId="6" fillId="5" borderId="51" xfId="0" applyNumberFormat="1" applyFont="1" applyFill="1" applyBorder="1" applyAlignment="1">
      <alignment horizontal="center"/>
    </xf>
    <xf numFmtId="164" fontId="6" fillId="4" borderId="51" xfId="0" applyNumberFormat="1" applyFont="1" applyFill="1" applyBorder="1" applyAlignment="1">
      <alignment horizontal="center"/>
    </xf>
    <xf numFmtId="0" fontId="6" fillId="31" borderId="51" xfId="0" applyFont="1" applyFill="1" applyBorder="1" applyAlignment="1">
      <alignment horizontal="center"/>
    </xf>
    <xf numFmtId="0" fontId="14" fillId="31" borderId="51" xfId="0" applyFont="1" applyFill="1" applyBorder="1" applyAlignment="1">
      <alignment horizontal="center"/>
    </xf>
    <xf numFmtId="165" fontId="6" fillId="31" borderId="51" xfId="0" applyNumberFormat="1" applyFont="1" applyFill="1" applyBorder="1" applyAlignment="1">
      <alignment horizontal="center"/>
    </xf>
    <xf numFmtId="166" fontId="6" fillId="31" borderId="51" xfId="0" applyNumberFormat="1" applyFont="1" applyFill="1" applyBorder="1" applyAlignment="1">
      <alignment horizontal="center"/>
    </xf>
    <xf numFmtId="1" fontId="6" fillId="31" borderId="51" xfId="0" applyNumberFormat="1" applyFont="1" applyFill="1" applyBorder="1" applyAlignment="1">
      <alignment horizontal="center"/>
    </xf>
    <xf numFmtId="164" fontId="6" fillId="31" borderId="51" xfId="0" applyNumberFormat="1" applyFont="1" applyFill="1" applyBorder="1" applyAlignment="1">
      <alignment horizontal="center"/>
    </xf>
    <xf numFmtId="0" fontId="15" fillId="29" borderId="52" xfId="0" applyFont="1" applyFill="1" applyBorder="1" applyAlignment="1">
      <alignment horizontal="center" wrapText="1"/>
    </xf>
    <xf numFmtId="0" fontId="0" fillId="30" borderId="53" xfId="0" applyFill="1" applyBorder="1" applyAlignment="1">
      <alignment horizontal="center"/>
    </xf>
    <xf numFmtId="165" fontId="3" fillId="30" borderId="53" xfId="0" applyNumberFormat="1" applyFont="1" applyFill="1" applyBorder="1" applyAlignment="1">
      <alignment horizontal="center"/>
    </xf>
    <xf numFmtId="166" fontId="3" fillId="30" borderId="53" xfId="0" applyNumberFormat="1" applyFont="1" applyFill="1" applyBorder="1" applyAlignment="1">
      <alignment horizontal="center"/>
    </xf>
    <xf numFmtId="2" fontId="3" fillId="30" borderId="53" xfId="0" applyNumberFormat="1" applyFont="1" applyFill="1" applyBorder="1" applyAlignment="1">
      <alignment horizontal="center"/>
    </xf>
    <xf numFmtId="1" fontId="3" fillId="30" borderId="53" xfId="0" applyNumberFormat="1" applyFont="1" applyFill="1" applyBorder="1" applyAlignment="1">
      <alignment horizontal="center"/>
    </xf>
    <xf numFmtId="0" fontId="15" fillId="29" borderId="54" xfId="0" applyFont="1" applyFill="1" applyBorder="1" applyAlignment="1">
      <alignment horizontal="center" wrapText="1"/>
    </xf>
    <xf numFmtId="0" fontId="14" fillId="4" borderId="55" xfId="0" applyFont="1" applyFill="1" applyBorder="1"/>
    <xf numFmtId="0" fontId="14" fillId="31" borderId="55" xfId="0" applyFont="1" applyFill="1" applyBorder="1"/>
    <xf numFmtId="0" fontId="15" fillId="30" borderId="56" xfId="0" applyFont="1" applyFill="1" applyBorder="1" applyAlignment="1">
      <alignment horizontal="left"/>
    </xf>
    <xf numFmtId="0" fontId="15" fillId="29" borderId="57" xfId="0" applyFont="1" applyFill="1" applyBorder="1" applyAlignment="1">
      <alignment horizontal="center" wrapText="1"/>
    </xf>
    <xf numFmtId="2" fontId="6" fillId="4" borderId="58" xfId="0" applyNumberFormat="1" applyFont="1" applyFill="1" applyBorder="1" applyAlignment="1">
      <alignment horizontal="center"/>
    </xf>
    <xf numFmtId="2" fontId="6" fillId="31" borderId="58" xfId="0" applyNumberFormat="1" applyFont="1" applyFill="1" applyBorder="1" applyAlignment="1">
      <alignment horizontal="center"/>
    </xf>
    <xf numFmtId="2" fontId="3" fillId="30" borderId="59" xfId="0" applyNumberFormat="1" applyFont="1" applyFill="1" applyBorder="1" applyAlignment="1">
      <alignment horizontal="center"/>
    </xf>
    <xf numFmtId="2" fontId="14" fillId="31" borderId="51" xfId="0" applyNumberFormat="1" applyFont="1" applyFill="1" applyBorder="1" applyAlignment="1">
      <alignment horizontal="center"/>
    </xf>
    <xf numFmtId="1" fontId="14" fillId="4" borderId="51" xfId="0" applyNumberFormat="1" applyFont="1" applyFill="1" applyBorder="1" applyAlignment="1">
      <alignment horizontal="center"/>
    </xf>
    <xf numFmtId="1" fontId="6" fillId="5" borderId="51" xfId="0" applyNumberFormat="1" applyFont="1" applyFill="1" applyBorder="1" applyAlignment="1">
      <alignment horizontal="center"/>
    </xf>
    <xf numFmtId="2" fontId="14" fillId="4" borderId="51" xfId="0" applyNumberFormat="1" applyFont="1" applyFill="1" applyBorder="1" applyAlignment="1">
      <alignment horizontal="center"/>
    </xf>
    <xf numFmtId="1" fontId="14" fillId="31" borderId="51" xfId="0" applyNumberFormat="1" applyFont="1" applyFill="1" applyBorder="1" applyAlignment="1">
      <alignment horizontal="center"/>
    </xf>
    <xf numFmtId="0" fontId="15" fillId="29" borderId="52" xfId="0" applyFont="1" applyFill="1" applyBorder="1" applyAlignment="1">
      <alignment horizontal="center"/>
    </xf>
    <xf numFmtId="3" fontId="14" fillId="4" borderId="53" xfId="0" applyNumberFormat="1" applyFont="1" applyFill="1" applyBorder="1" applyAlignment="1">
      <alignment horizontal="center"/>
    </xf>
    <xf numFmtId="3" fontId="6" fillId="5" borderId="53" xfId="0" applyNumberFormat="1" applyFont="1" applyFill="1" applyBorder="1" applyAlignment="1">
      <alignment horizontal="center"/>
    </xf>
    <xf numFmtId="0" fontId="15" fillId="29" borderId="54" xfId="0" applyFont="1" applyFill="1" applyBorder="1" applyAlignment="1">
      <alignment horizontal="center"/>
    </xf>
    <xf numFmtId="0" fontId="14" fillId="4" borderId="56" xfId="0" applyFont="1" applyFill="1" applyBorder="1"/>
    <xf numFmtId="0" fontId="15" fillId="29" borderId="57" xfId="0" applyFont="1" applyFill="1" applyBorder="1" applyAlignment="1">
      <alignment horizontal="center"/>
    </xf>
    <xf numFmtId="0" fontId="40" fillId="31" borderId="58" xfId="0" applyFont="1" applyFill="1" applyBorder="1"/>
    <xf numFmtId="0" fontId="40" fillId="4" borderId="58" xfId="0" applyFont="1" applyFill="1" applyBorder="1"/>
    <xf numFmtId="0" fontId="40" fillId="4" borderId="59" xfId="0" applyFont="1" applyFill="1" applyBorder="1"/>
    <xf numFmtId="166" fontId="6" fillId="5" borderId="51" xfId="0" applyNumberFormat="1" applyFont="1" applyFill="1" applyBorder="1" applyAlignment="1">
      <alignment horizontal="center"/>
    </xf>
    <xf numFmtId="167" fontId="14" fillId="31" borderId="51" xfId="0" applyNumberFormat="1" applyFont="1" applyFill="1" applyBorder="1" applyAlignment="1">
      <alignment horizontal="center"/>
    </xf>
    <xf numFmtId="167" fontId="14" fillId="4" borderId="51" xfId="0" applyNumberFormat="1" applyFont="1" applyFill="1" applyBorder="1" applyAlignment="1">
      <alignment horizontal="center"/>
    </xf>
    <xf numFmtId="166" fontId="6" fillId="31" borderId="53" xfId="0" applyNumberFormat="1" applyFont="1" applyFill="1" applyBorder="1" applyAlignment="1">
      <alignment horizontal="center"/>
    </xf>
    <xf numFmtId="166" fontId="6" fillId="5" borderId="53" xfId="0" applyNumberFormat="1" applyFont="1" applyFill="1" applyBorder="1" applyAlignment="1">
      <alignment horizontal="center"/>
    </xf>
    <xf numFmtId="167" fontId="14" fillId="31" borderId="53" xfId="0" applyNumberFormat="1" applyFont="1" applyFill="1" applyBorder="1" applyAlignment="1">
      <alignment horizontal="center"/>
    </xf>
    <xf numFmtId="0" fontId="14" fillId="31" borderId="55" xfId="0" applyFont="1" applyFill="1" applyBorder="1" applyAlignment="1">
      <alignment horizontal="center"/>
    </xf>
    <xf numFmtId="0" fontId="14" fillId="4" borderId="55" xfId="0" applyFont="1" applyFill="1" applyBorder="1" applyAlignment="1">
      <alignment horizontal="center"/>
    </xf>
    <xf numFmtId="0" fontId="14" fillId="31" borderId="56" xfId="0" applyFont="1" applyFill="1" applyBorder="1" applyAlignment="1">
      <alignment horizontal="center"/>
    </xf>
    <xf numFmtId="0" fontId="6" fillId="31" borderId="58" xfId="0" applyFont="1" applyFill="1" applyBorder="1" applyAlignment="1">
      <alignment horizontal="center"/>
    </xf>
    <xf numFmtId="0" fontId="6" fillId="4" borderId="58" xfId="0" applyFont="1" applyFill="1" applyBorder="1" applyAlignment="1">
      <alignment horizontal="center"/>
    </xf>
    <xf numFmtId="0" fontId="6" fillId="31" borderId="59" xfId="0" applyFont="1" applyFill="1" applyBorder="1" applyAlignment="1">
      <alignment horizontal="center"/>
    </xf>
    <xf numFmtId="166" fontId="14" fillId="31" borderId="51" xfId="0" applyNumberFormat="1" applyFont="1" applyFill="1" applyBorder="1" applyAlignment="1">
      <alignment horizontal="center"/>
    </xf>
    <xf numFmtId="166" fontId="14" fillId="4" borderId="51" xfId="0" applyNumberFormat="1" applyFont="1" applyFill="1" applyBorder="1" applyAlignment="1">
      <alignment horizontal="center"/>
    </xf>
    <xf numFmtId="166" fontId="2" fillId="30" borderId="53" xfId="0" applyNumberFormat="1" applyFont="1" applyFill="1" applyBorder="1" applyAlignment="1">
      <alignment horizontal="center"/>
    </xf>
    <xf numFmtId="0" fontId="3" fillId="30" borderId="56" xfId="0" applyFont="1" applyFill="1" applyBorder="1" applyAlignment="1">
      <alignment horizontal="left"/>
    </xf>
    <xf numFmtId="0" fontId="7" fillId="31" borderId="58" xfId="0" applyFont="1" applyFill="1" applyBorder="1"/>
    <xf numFmtId="0" fontId="7" fillId="4" borderId="58" xfId="0" applyFont="1" applyFill="1" applyBorder="1"/>
    <xf numFmtId="0" fontId="0" fillId="30" borderId="59" xfId="0" applyFill="1" applyBorder="1" applyAlignment="1">
      <alignment horizontal="center"/>
    </xf>
    <xf numFmtId="0" fontId="21" fillId="31" borderId="51" xfId="0" applyFont="1" applyFill="1" applyBorder="1" applyAlignment="1">
      <alignment horizontal="center"/>
    </xf>
    <xf numFmtId="0" fontId="21" fillId="4" borderId="51" xfId="0" applyFont="1" applyFill="1" applyBorder="1" applyAlignment="1">
      <alignment horizontal="center"/>
    </xf>
    <xf numFmtId="0" fontId="22" fillId="4" borderId="51" xfId="0" applyFont="1" applyFill="1" applyBorder="1" applyAlignment="1">
      <alignment horizontal="center"/>
    </xf>
    <xf numFmtId="9" fontId="6" fillId="31" borderId="51" xfId="0" applyNumberFormat="1" applyFont="1" applyFill="1" applyBorder="1" applyAlignment="1">
      <alignment horizontal="center"/>
    </xf>
    <xf numFmtId="0" fontId="21" fillId="4" borderId="53" xfId="0" applyFont="1" applyFill="1" applyBorder="1" applyAlignment="1">
      <alignment horizontal="center"/>
    </xf>
    <xf numFmtId="0" fontId="6" fillId="4" borderId="53" xfId="0" applyFont="1" applyFill="1" applyBorder="1" applyAlignment="1">
      <alignment horizontal="center"/>
    </xf>
    <xf numFmtId="0" fontId="6" fillId="31" borderId="58" xfId="0" applyFont="1" applyFill="1" applyBorder="1" applyAlignment="1">
      <alignment wrapText="1"/>
    </xf>
    <xf numFmtId="0" fontId="6" fillId="4" borderId="58" xfId="0" applyFont="1" applyFill="1" applyBorder="1" applyAlignment="1">
      <alignment wrapText="1"/>
    </xf>
    <xf numFmtId="0" fontId="6" fillId="4" borderId="59" xfId="0" applyFont="1" applyFill="1" applyBorder="1" applyAlignment="1">
      <alignment wrapText="1"/>
    </xf>
    <xf numFmtId="10" fontId="23" fillId="0" borderId="51" xfId="0" applyNumberFormat="1" applyFont="1" applyBorder="1" applyAlignment="1">
      <alignment horizontal="center"/>
    </xf>
    <xf numFmtId="10" fontId="23" fillId="5" borderId="51" xfId="0" applyNumberFormat="1" applyFont="1" applyFill="1" applyBorder="1" applyAlignment="1">
      <alignment horizontal="center"/>
    </xf>
    <xf numFmtId="168" fontId="24" fillId="31" borderId="51" xfId="0" applyNumberFormat="1" applyFont="1" applyFill="1" applyBorder="1" applyAlignment="1">
      <alignment horizontal="center"/>
    </xf>
    <xf numFmtId="168" fontId="24" fillId="4" borderId="51" xfId="0" applyNumberFormat="1" applyFont="1" applyFill="1" applyBorder="1" applyAlignment="1">
      <alignment horizontal="center"/>
    </xf>
    <xf numFmtId="10" fontId="15" fillId="30" borderId="53" xfId="0" applyNumberFormat="1" applyFont="1" applyFill="1" applyBorder="1" applyAlignment="1">
      <alignment horizontal="center"/>
    </xf>
    <xf numFmtId="10" fontId="27" fillId="30" borderId="53" xfId="0" applyNumberFormat="1" applyFont="1" applyFill="1" applyBorder="1" applyAlignment="1">
      <alignment horizontal="center"/>
    </xf>
    <xf numFmtId="168" fontId="15" fillId="30" borderId="53" xfId="0" applyNumberFormat="1" applyFont="1" applyFill="1" applyBorder="1" applyAlignment="1">
      <alignment horizontal="center"/>
    </xf>
    <xf numFmtId="0" fontId="24" fillId="31" borderId="55" xfId="0" applyFont="1" applyFill="1" applyBorder="1"/>
    <xf numFmtId="0" fontId="24" fillId="4" borderId="55" xfId="0" applyFont="1" applyFill="1" applyBorder="1"/>
    <xf numFmtId="0" fontId="15" fillId="30" borderId="56" xfId="0" applyFont="1" applyFill="1" applyBorder="1"/>
    <xf numFmtId="0" fontId="41" fillId="31" borderId="58" xfId="0" applyFont="1" applyFill="1" applyBorder="1"/>
    <xf numFmtId="0" fontId="41" fillId="4" borderId="58" xfId="0" applyFont="1" applyFill="1" applyBorder="1"/>
    <xf numFmtId="0" fontId="27" fillId="30" borderId="59" xfId="0" applyFont="1" applyFill="1" applyBorder="1"/>
    <xf numFmtId="2" fontId="14" fillId="0" borderId="51" xfId="0" applyNumberFormat="1" applyFont="1" applyBorder="1" applyAlignment="1">
      <alignment horizontal="center"/>
    </xf>
    <xf numFmtId="2" fontId="6" fillId="31" borderId="51" xfId="0" applyNumberFormat="1" applyFont="1" applyFill="1" applyBorder="1" applyAlignment="1">
      <alignment horizontal="center"/>
    </xf>
    <xf numFmtId="2" fontId="6" fillId="4" borderId="51" xfId="0" applyNumberFormat="1" applyFont="1" applyFill="1" applyBorder="1" applyAlignment="1">
      <alignment horizontal="center"/>
    </xf>
    <xf numFmtId="1" fontId="14" fillId="0" borderId="51" xfId="0" applyNumberFormat="1" applyFont="1" applyBorder="1" applyAlignment="1">
      <alignment horizontal="center"/>
    </xf>
    <xf numFmtId="0" fontId="6" fillId="31" borderId="51" xfId="0" applyNumberFormat="1" applyFont="1" applyFill="1" applyBorder="1" applyAlignment="1">
      <alignment horizontal="center"/>
    </xf>
    <xf numFmtId="0" fontId="6" fillId="4" borderId="51" xfId="0" applyNumberFormat="1" applyFont="1" applyFill="1" applyBorder="1" applyAlignment="1">
      <alignment horizontal="center"/>
    </xf>
    <xf numFmtId="166" fontId="14" fillId="5" borderId="51" xfId="0" applyNumberFormat="1" applyFont="1" applyFill="1" applyBorder="1" applyAlignment="1">
      <alignment horizontal="center"/>
    </xf>
    <xf numFmtId="0" fontId="6" fillId="5" borderId="53" xfId="0" applyFont="1" applyFill="1" applyBorder="1" applyAlignment="1">
      <alignment horizontal="center"/>
    </xf>
    <xf numFmtId="0" fontId="6" fillId="31" borderId="53" xfId="0" applyFont="1" applyFill="1" applyBorder="1" applyAlignment="1">
      <alignment horizontal="center"/>
    </xf>
    <xf numFmtId="0" fontId="14" fillId="31" borderId="56" xfId="0" applyFont="1" applyFill="1" applyBorder="1"/>
    <xf numFmtId="0" fontId="7" fillId="31" borderId="59" xfId="0" applyFont="1" applyFill="1" applyBorder="1"/>
    <xf numFmtId="170" fontId="14" fillId="31" borderId="51" xfId="0" applyNumberFormat="1" applyFont="1" applyFill="1" applyBorder="1" applyAlignment="1">
      <alignment horizontal="center"/>
    </xf>
    <xf numFmtId="171" fontId="23" fillId="31" borderId="51" xfId="0" applyNumberFormat="1" applyFont="1" applyFill="1" applyBorder="1" applyAlignment="1">
      <alignment horizontal="center"/>
    </xf>
    <xf numFmtId="171" fontId="23" fillId="4" borderId="51" xfId="0" applyNumberFormat="1" applyFont="1" applyFill="1" applyBorder="1" applyAlignment="1">
      <alignment horizontal="center"/>
    </xf>
    <xf numFmtId="171" fontId="15" fillId="30" borderId="53" xfId="0" applyNumberFormat="1" applyFont="1" applyFill="1" applyBorder="1" applyAlignment="1">
      <alignment horizontal="center"/>
    </xf>
    <xf numFmtId="166" fontId="14" fillId="5" borderId="53" xfId="0" applyNumberFormat="1" applyFont="1" applyFill="1" applyBorder="1" applyAlignment="1">
      <alignment horizontal="center"/>
    </xf>
    <xf numFmtId="0" fontId="11" fillId="2" borderId="50" xfId="0" applyFont="1" applyFill="1" applyBorder="1"/>
    <xf numFmtId="0" fontId="0" fillId="2" borderId="60" xfId="0" applyFill="1" applyBorder="1"/>
    <xf numFmtId="0" fontId="42" fillId="28" borderId="49" xfId="0" applyFont="1" applyFill="1" applyBorder="1" applyAlignment="1">
      <alignment vertical="top" wrapText="1"/>
    </xf>
    <xf numFmtId="0" fontId="6" fillId="28" borderId="61" xfId="0" applyFont="1" applyFill="1" applyBorder="1"/>
    <xf numFmtId="0" fontId="42" fillId="4" borderId="49" xfId="0" applyFont="1" applyFill="1" applyBorder="1"/>
    <xf numFmtId="0" fontId="6" fillId="4" borderId="61" xfId="0" applyFont="1" applyFill="1" applyBorder="1"/>
    <xf numFmtId="0" fontId="42" fillId="28" borderId="49" xfId="0" applyFont="1" applyFill="1" applyBorder="1"/>
    <xf numFmtId="0" fontId="30" fillId="4" borderId="49" xfId="0" applyFont="1" applyFill="1" applyBorder="1"/>
    <xf numFmtId="0" fontId="30" fillId="28" borderId="49" xfId="0" applyFont="1" applyFill="1" applyBorder="1"/>
    <xf numFmtId="0" fontId="18" fillId="28" borderId="49" xfId="0" applyFont="1" applyFill="1" applyBorder="1"/>
    <xf numFmtId="0" fontId="43" fillId="4" borderId="62" xfId="0" applyFont="1" applyFill="1" applyBorder="1"/>
    <xf numFmtId="0" fontId="6" fillId="4" borderId="63" xfId="0" applyFont="1" applyFill="1" applyBorder="1"/>
    <xf numFmtId="0" fontId="6" fillId="28" borderId="0" xfId="0" applyFont="1" applyFill="1" applyAlignment="1">
      <alignment horizontal="left" vertical="center" wrapText="1"/>
    </xf>
    <xf numFmtId="0" fontId="6" fillId="4" borderId="0" xfId="0" applyFont="1" applyFill="1" applyAlignment="1">
      <alignment horizontal="left" vertical="center" wrapText="1"/>
    </xf>
    <xf numFmtId="0" fontId="15" fillId="18" borderId="0" xfId="0" applyFont="1" applyFill="1" applyAlignment="1">
      <alignment horizontal="left"/>
    </xf>
    <xf numFmtId="0" fontId="15" fillId="17" borderId="0" xfId="0" applyFont="1" applyFill="1" applyAlignment="1">
      <alignment horizontal="left"/>
    </xf>
    <xf numFmtId="0" fontId="15" fillId="16" borderId="0" xfId="0" applyFont="1" applyFill="1" applyAlignment="1">
      <alignment horizontal="left"/>
    </xf>
  </cellXfs>
  <cellStyles count="1">
    <cellStyle name="Normal" xfId="0" builtinId="0"/>
  </cellStyles>
  <dxfs count="18">
    <dxf>
      <font>
        <color rgb="FF9C0006"/>
      </font>
      <fill>
        <patternFill patternType="solid">
          <fgColor indexed="64"/>
          <bgColor rgb="FFFFC7CE"/>
        </patternFill>
      </fill>
    </dxf>
    <dxf>
      <font>
        <color rgb="FF276221"/>
      </font>
      <fill>
        <patternFill patternType="solid">
          <fgColor indexed="64"/>
          <bgColor rgb="FFC6EFCE"/>
        </patternFill>
      </fill>
    </dxf>
    <dxf>
      <font>
        <color rgb="FF9C0006"/>
      </font>
      <fill>
        <patternFill patternType="solid">
          <fgColor indexed="64"/>
          <bgColor rgb="FFFFC7CE"/>
        </patternFill>
      </fill>
    </dxf>
    <dxf>
      <font>
        <color rgb="FF276221"/>
      </font>
      <fill>
        <patternFill patternType="solid">
          <fgColor indexed="64"/>
          <bgColor rgb="FFC6EFCE"/>
        </patternFill>
      </fill>
    </dxf>
    <dxf>
      <font>
        <color rgb="FF9C0006"/>
      </font>
      <fill>
        <patternFill patternType="solid">
          <fgColor indexed="64"/>
          <bgColor rgb="FFFFC7CE"/>
        </patternFill>
      </fill>
    </dxf>
    <dxf>
      <font>
        <color rgb="FF276221"/>
      </font>
      <fill>
        <patternFill patternType="solid">
          <fgColor indexed="64"/>
          <bgColor rgb="FFC6EFCE"/>
        </patternFill>
      </fill>
    </dxf>
    <dxf>
      <font>
        <color rgb="FF276221"/>
      </font>
      <fill>
        <patternFill patternType="solid">
          <fgColor indexed="64"/>
          <bgColor rgb="FFC6EFCE"/>
        </patternFill>
      </fill>
    </dxf>
    <dxf>
      <font>
        <color rgb="FF9C6500"/>
      </font>
      <fill>
        <patternFill patternType="solid">
          <fgColor indexed="64"/>
          <bgColor rgb="FFFFEB9C"/>
        </patternFill>
      </fill>
    </dxf>
    <dxf>
      <font>
        <color rgb="FF9C0006"/>
      </font>
      <fill>
        <patternFill patternType="solid">
          <fgColor indexed="64"/>
          <bgColor rgb="FFFFC7CE"/>
        </patternFill>
      </fill>
    </dxf>
    <dxf>
      <font>
        <color rgb="FF9C0006"/>
      </font>
      <fill>
        <patternFill patternType="solid">
          <fgColor indexed="64"/>
          <bgColor rgb="FFFFC7CE"/>
        </patternFill>
      </fill>
    </dxf>
    <dxf>
      <font>
        <color rgb="FF9C6500"/>
      </font>
      <fill>
        <patternFill patternType="solid">
          <fgColor indexed="64"/>
          <bgColor rgb="FFFFEB9C"/>
        </patternFill>
      </fill>
    </dxf>
    <dxf>
      <font>
        <color rgb="FF276221"/>
      </font>
      <fill>
        <patternFill patternType="solid">
          <fgColor indexed="64"/>
          <bgColor rgb="FFC6EFCE"/>
        </patternFill>
      </fill>
    </dxf>
    <dxf>
      <font>
        <color rgb="FF595959"/>
      </font>
      <fill>
        <patternFill patternType="solid">
          <fgColor indexed="64"/>
          <bgColor rgb="FFEDEDED"/>
        </patternFill>
      </fill>
    </dxf>
    <dxf>
      <font>
        <color rgb="FF9C0006"/>
      </font>
      <fill>
        <patternFill patternType="solid">
          <fgColor indexed="64"/>
          <bgColor rgb="FFFFC7CE"/>
        </patternFill>
      </fill>
    </dxf>
    <dxf>
      <font>
        <color rgb="FF276221"/>
      </font>
      <fill>
        <patternFill patternType="solid">
          <fgColor indexed="64"/>
          <bgColor rgb="FFC6EFCE"/>
        </patternFill>
      </fill>
    </dxf>
    <dxf>
      <font>
        <color rgb="FF595959"/>
      </font>
      <fill>
        <patternFill patternType="solid">
          <fgColor indexed="64"/>
          <bgColor rgb="FFEDEDED"/>
        </patternFill>
      </fill>
    </dxf>
    <dxf>
      <font>
        <color rgb="FF9C0006"/>
      </font>
      <fill>
        <patternFill patternType="solid">
          <fgColor indexed="64"/>
          <bgColor rgb="FFFFC7CE"/>
        </patternFill>
      </fill>
    </dxf>
    <dxf>
      <font>
        <color rgb="FF276221"/>
      </font>
      <fill>
        <patternFill patternType="solid">
          <fgColor indexed="64"/>
          <bgColor rgb="FFC6EFCE"/>
        </patternFill>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eetMetadata" Target="metadata.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tyles" Target="styles.xml"/><Relationship Id="rId5" Type="http://schemas.openxmlformats.org/officeDocument/2006/relationships/worksheet" Target="worksheets/sheet5.xml"/><Relationship Id="rId10"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0">
    <wetp:webextensionref xmlns:r="http://schemas.openxmlformats.org/officeDocument/2006/relationships" r:id="rId1"/>
  </wetp:taskpane>
</wetp:taskpanes>
</file>

<file path=xl/webextensions/webextension1.xml><?xml version="1.0" encoding="utf-8"?>
<we:webextension xmlns:we="http://schemas.microsoft.com/office/webextensions/webextension/2010/11" id="{955066DA-5C85-584B-A8B3-5918BE1B38B8}">
  <we:reference id="wa200009404" version="1.0.0.8" store="en-US" storeType="OMEX"/>
  <we:alternateReferences>
    <we:reference id="wa200009404" version="1.0.0.8" store="" storeType="OMEX"/>
  </we:alternateReferences>
  <we:properties/>
  <we:bindings/>
  <we:snapshot xmlns:r="http://schemas.openxmlformats.org/officeDocument/2006/relationships"/>
</we:webextension>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9A16C8-0A33-C543-A0BF-EC28A0319A9F}">
  <sheetPr>
    <tabColor rgb="FF808080"/>
  </sheetPr>
  <dimension ref="A1:D38"/>
  <sheetViews>
    <sheetView showGridLines="0" workbookViewId="0">
      <selection activeCell="F12" sqref="F12"/>
    </sheetView>
  </sheetViews>
  <sheetFormatPr baseColWidth="10" defaultRowHeight="16" x14ac:dyDescent="0.2"/>
  <cols>
    <col min="1" max="1" width="4.33203125" customWidth="1"/>
    <col min="2" max="2" width="34.5" customWidth="1"/>
    <col min="3" max="3" width="47" customWidth="1"/>
    <col min="4" max="4" width="49.5" customWidth="1"/>
  </cols>
  <sheetData>
    <row r="1" spans="1:4" ht="10" customHeight="1" x14ac:dyDescent="0.2">
      <c r="A1" s="183"/>
      <c r="B1" s="183"/>
      <c r="C1" s="183"/>
      <c r="D1" s="183"/>
    </row>
    <row r="2" spans="1:4" ht="36" customHeight="1" x14ac:dyDescent="0.35">
      <c r="A2" s="1"/>
      <c r="B2" s="207" t="s">
        <v>429</v>
      </c>
      <c r="C2" s="1"/>
      <c r="D2" s="1"/>
    </row>
    <row r="3" spans="1:4" ht="22" customHeight="1" x14ac:dyDescent="0.2">
      <c r="A3" s="1"/>
      <c r="B3" s="208" t="s">
        <v>430</v>
      </c>
      <c r="C3" s="1"/>
      <c r="D3" s="1"/>
    </row>
    <row r="4" spans="1:4" ht="22" customHeight="1" x14ac:dyDescent="0.2">
      <c r="A4" s="1"/>
      <c r="B4" s="209" t="s">
        <v>308</v>
      </c>
      <c r="C4" s="1"/>
      <c r="D4" s="1"/>
    </row>
    <row r="5" spans="1:4" ht="4" customHeight="1" x14ac:dyDescent="0.2">
      <c r="A5" s="131"/>
      <c r="B5" s="131"/>
      <c r="C5" s="131"/>
      <c r="D5" s="131"/>
    </row>
    <row r="6" spans="1:4" ht="10" customHeight="1" x14ac:dyDescent="0.2"/>
    <row r="7" spans="1:4" ht="18" customHeight="1" x14ac:dyDescent="0.2">
      <c r="B7" s="211" t="s">
        <v>309</v>
      </c>
      <c r="C7" s="210"/>
    </row>
    <row r="8" spans="1:4" ht="18" customHeight="1" x14ac:dyDescent="0.2">
      <c r="B8" s="213" t="s">
        <v>310</v>
      </c>
      <c r="C8" s="212"/>
    </row>
    <row r="9" spans="1:4" ht="18" customHeight="1" x14ac:dyDescent="0.2">
      <c r="B9" s="215" t="s">
        <v>311</v>
      </c>
      <c r="C9" s="214"/>
    </row>
    <row r="10" spans="1:4" ht="22" customHeight="1" x14ac:dyDescent="0.2">
      <c r="A10" s="1"/>
      <c r="B10" s="7" t="s">
        <v>0</v>
      </c>
      <c r="C10" s="1"/>
      <c r="D10" s="1"/>
    </row>
    <row r="11" spans="1:4" ht="52" customHeight="1" x14ac:dyDescent="0.2">
      <c r="A11" s="1"/>
      <c r="B11" s="221">
        <v>1</v>
      </c>
      <c r="C11" s="341" t="s">
        <v>431</v>
      </c>
      <c r="D11" s="341"/>
    </row>
    <row r="12" spans="1:4" ht="52" customHeight="1" x14ac:dyDescent="0.2">
      <c r="A12" s="1"/>
      <c r="B12" s="221">
        <v>2</v>
      </c>
      <c r="C12" s="342" t="s">
        <v>432</v>
      </c>
      <c r="D12" s="342"/>
    </row>
    <row r="13" spans="1:4" ht="52" customHeight="1" x14ac:dyDescent="0.2">
      <c r="A13" s="1"/>
      <c r="B13" s="221">
        <v>3</v>
      </c>
      <c r="C13" s="341" t="s">
        <v>433</v>
      </c>
      <c r="D13" s="341"/>
    </row>
    <row r="14" spans="1:4" ht="52" customHeight="1" x14ac:dyDescent="0.2">
      <c r="A14" s="1"/>
      <c r="B14" s="221">
        <v>4</v>
      </c>
      <c r="C14" s="342" t="s">
        <v>434</v>
      </c>
      <c r="D14" s="342"/>
    </row>
    <row r="15" spans="1:4" ht="52" customHeight="1" x14ac:dyDescent="0.2">
      <c r="A15" s="1"/>
      <c r="B15" s="221">
        <v>5</v>
      </c>
      <c r="C15" s="341" t="s">
        <v>435</v>
      </c>
      <c r="D15" s="341"/>
    </row>
    <row r="16" spans="1:4" ht="52" customHeight="1" x14ac:dyDescent="0.2"/>
    <row r="17" spans="1:4" ht="10" customHeight="1" x14ac:dyDescent="0.2"/>
    <row r="18" spans="1:4" ht="22" customHeight="1" x14ac:dyDescent="0.2">
      <c r="A18" s="1"/>
      <c r="B18" s="7" t="s">
        <v>1</v>
      </c>
      <c r="C18" s="1"/>
      <c r="D18" s="1"/>
    </row>
    <row r="19" spans="1:4" ht="40" customHeight="1" x14ac:dyDescent="0.2">
      <c r="A19" s="141"/>
      <c r="B19" s="222" t="s">
        <v>312</v>
      </c>
      <c r="C19" s="223" t="s">
        <v>317</v>
      </c>
      <c r="D19" s="216"/>
    </row>
    <row r="20" spans="1:4" ht="40" customHeight="1" x14ac:dyDescent="0.2">
      <c r="A20" s="141"/>
      <c r="B20" s="222" t="s">
        <v>313</v>
      </c>
      <c r="C20" s="220" t="s">
        <v>318</v>
      </c>
      <c r="D20" s="8"/>
    </row>
    <row r="21" spans="1:4" ht="40" customHeight="1" x14ac:dyDescent="0.2">
      <c r="A21" s="141"/>
      <c r="B21" s="222" t="s">
        <v>314</v>
      </c>
      <c r="C21" s="223" t="s">
        <v>319</v>
      </c>
      <c r="D21" s="216"/>
    </row>
    <row r="22" spans="1:4" ht="40" customHeight="1" x14ac:dyDescent="0.2">
      <c r="A22" s="141"/>
      <c r="B22" s="222" t="s">
        <v>315</v>
      </c>
      <c r="C22" s="220" t="s">
        <v>320</v>
      </c>
      <c r="D22" s="8"/>
    </row>
    <row r="23" spans="1:4" ht="40" customHeight="1" x14ac:dyDescent="0.2">
      <c r="A23" s="141"/>
      <c r="B23" s="222" t="s">
        <v>316</v>
      </c>
      <c r="C23" s="223" t="s">
        <v>321</v>
      </c>
      <c r="D23" s="216"/>
    </row>
    <row r="24" spans="1:4" ht="10" customHeight="1" x14ac:dyDescent="0.2"/>
    <row r="25" spans="1:4" ht="22" customHeight="1" x14ac:dyDescent="0.2">
      <c r="A25" s="1"/>
      <c r="B25" s="329" t="s">
        <v>2</v>
      </c>
      <c r="C25" s="330"/>
      <c r="D25" s="1"/>
    </row>
    <row r="26" spans="1:4" ht="20" customHeight="1" x14ac:dyDescent="0.2">
      <c r="A26" s="216"/>
      <c r="B26" s="331" t="s">
        <v>436</v>
      </c>
      <c r="C26" s="332" t="s">
        <v>437</v>
      </c>
      <c r="D26" s="216"/>
    </row>
    <row r="27" spans="1:4" ht="20" customHeight="1" x14ac:dyDescent="0.2">
      <c r="A27" s="8"/>
      <c r="B27" s="333" t="s">
        <v>463</v>
      </c>
      <c r="C27" s="334" t="s">
        <v>464</v>
      </c>
      <c r="D27" s="8"/>
    </row>
    <row r="28" spans="1:4" ht="20" customHeight="1" x14ac:dyDescent="0.2">
      <c r="A28" s="216"/>
      <c r="B28" s="335" t="s">
        <v>465</v>
      </c>
      <c r="C28" s="332" t="s">
        <v>438</v>
      </c>
      <c r="D28" s="216"/>
    </row>
    <row r="29" spans="1:4" ht="20" customHeight="1" x14ac:dyDescent="0.2">
      <c r="A29" s="8"/>
      <c r="B29" s="336" t="s">
        <v>466</v>
      </c>
      <c r="C29" s="334" t="s">
        <v>467</v>
      </c>
      <c r="D29" s="8"/>
    </row>
    <row r="30" spans="1:4" ht="20" customHeight="1" x14ac:dyDescent="0.2">
      <c r="A30" s="216"/>
      <c r="B30" s="337" t="s">
        <v>468</v>
      </c>
      <c r="C30" s="332" t="s">
        <v>439</v>
      </c>
      <c r="D30" s="216"/>
    </row>
    <row r="31" spans="1:4" ht="20" customHeight="1" x14ac:dyDescent="0.2">
      <c r="A31" s="8"/>
      <c r="B31" s="336" t="s">
        <v>469</v>
      </c>
      <c r="C31" s="334" t="s">
        <v>470</v>
      </c>
      <c r="D31" s="8"/>
    </row>
    <row r="32" spans="1:4" ht="20" customHeight="1" x14ac:dyDescent="0.2">
      <c r="A32" s="216"/>
      <c r="B32" s="338" t="s">
        <v>471</v>
      </c>
      <c r="C32" s="332" t="s">
        <v>472</v>
      </c>
      <c r="D32" s="216"/>
    </row>
    <row r="33" spans="1:4" ht="20" customHeight="1" x14ac:dyDescent="0.2">
      <c r="A33" s="8"/>
      <c r="B33" s="339" t="s">
        <v>473</v>
      </c>
      <c r="C33" s="340" t="s">
        <v>474</v>
      </c>
      <c r="D33" s="8"/>
    </row>
    <row r="34" spans="1:4" ht="10" customHeight="1" x14ac:dyDescent="0.2"/>
    <row r="35" spans="1:4" ht="18" customHeight="1" x14ac:dyDescent="0.2">
      <c r="A35" s="217"/>
      <c r="B35" s="218" t="s">
        <v>280</v>
      </c>
      <c r="C35" s="217"/>
      <c r="D35" s="217"/>
    </row>
    <row r="36" spans="1:4" ht="36" customHeight="1" x14ac:dyDescent="0.2">
      <c r="A36" s="217"/>
      <c r="B36" s="219" t="s">
        <v>475</v>
      </c>
      <c r="C36" s="217"/>
      <c r="D36" s="217"/>
    </row>
    <row r="37" spans="1:4" ht="6" customHeight="1" x14ac:dyDescent="0.2">
      <c r="A37" s="1"/>
      <c r="B37" s="1"/>
      <c r="C37" s="1"/>
      <c r="D37" s="1"/>
    </row>
    <row r="38" spans="1:4" ht="6" customHeight="1" x14ac:dyDescent="0.2">
      <c r="A38" s="1"/>
      <c r="B38" s="1"/>
      <c r="C38" s="1"/>
      <c r="D38" s="1"/>
    </row>
  </sheetData>
  <mergeCells count="5">
    <mergeCell ref="C11:D11"/>
    <mergeCell ref="C12:D12"/>
    <mergeCell ref="C13:D13"/>
    <mergeCell ref="C14:D14"/>
    <mergeCell ref="C15:D15"/>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62CF1A2-3344-7F42-B0C8-FC9E3427B130}">
  <sheetPr>
    <tabColor rgb="FF7030A0"/>
  </sheetPr>
  <dimension ref="A1:N30"/>
  <sheetViews>
    <sheetView showGridLines="0" workbookViewId="0">
      <pane ySplit="7" topLeftCell="A8" activePane="bottomLeft" state="frozen"/>
      <selection pane="bottomLeft"/>
    </sheetView>
  </sheetViews>
  <sheetFormatPr baseColWidth="10" defaultRowHeight="16" x14ac:dyDescent="0.2"/>
  <cols>
    <col min="2" max="2" width="20.6640625" customWidth="1"/>
    <col min="6" max="6" width="17" customWidth="1"/>
  </cols>
  <sheetData>
    <row r="1" spans="1:14" ht="8" customHeight="1" x14ac:dyDescent="0.2">
      <c r="A1" s="224"/>
      <c r="B1" s="224"/>
      <c r="C1" s="224"/>
      <c r="D1" s="224"/>
      <c r="E1" s="224"/>
      <c r="F1" s="224"/>
      <c r="G1" s="224"/>
      <c r="H1" s="224"/>
      <c r="I1" s="224"/>
      <c r="J1" s="224"/>
      <c r="K1" s="224"/>
      <c r="L1" s="224"/>
      <c r="M1" s="224"/>
      <c r="N1" s="224"/>
    </row>
    <row r="2" spans="1:14" ht="30" customHeight="1" x14ac:dyDescent="0.3">
      <c r="A2" s="224"/>
      <c r="B2" s="225" t="s">
        <v>322</v>
      </c>
      <c r="C2" s="224"/>
      <c r="D2" s="224"/>
      <c r="E2" s="224"/>
      <c r="F2" s="224"/>
      <c r="G2" s="224"/>
      <c r="H2" s="224"/>
      <c r="I2" s="224"/>
      <c r="J2" s="224"/>
      <c r="K2" s="224"/>
      <c r="L2" s="224"/>
      <c r="M2" s="224"/>
      <c r="N2" s="224"/>
    </row>
    <row r="3" spans="1:14" ht="20" customHeight="1" x14ac:dyDescent="0.2">
      <c r="A3" s="224"/>
      <c r="B3" s="226" t="s">
        <v>323</v>
      </c>
      <c r="C3" s="224"/>
      <c r="D3" s="224"/>
      <c r="E3" s="224"/>
      <c r="F3" s="224"/>
      <c r="G3" s="224"/>
      <c r="H3" s="224"/>
      <c r="I3" s="224"/>
      <c r="J3" s="224"/>
      <c r="K3" s="224"/>
      <c r="L3" s="224"/>
      <c r="M3" s="224"/>
      <c r="N3" s="224"/>
    </row>
    <row r="4" spans="1:14" ht="4" customHeight="1" x14ac:dyDescent="0.2">
      <c r="A4" s="131"/>
      <c r="B4" s="131"/>
      <c r="C4" s="131"/>
      <c r="D4" s="131"/>
      <c r="E4" s="131"/>
      <c r="F4" s="131"/>
      <c r="G4" s="131"/>
      <c r="H4" s="131"/>
      <c r="I4" s="131"/>
      <c r="J4" s="131"/>
      <c r="K4" s="131"/>
      <c r="L4" s="131"/>
      <c r="M4" s="131"/>
      <c r="N4" s="131"/>
    </row>
    <row r="5" spans="1:14" ht="8" customHeight="1" x14ac:dyDescent="0.2"/>
    <row r="6" spans="1:14" ht="22" customHeight="1" x14ac:dyDescent="0.2">
      <c r="B6" s="228" t="s">
        <v>324</v>
      </c>
      <c r="C6" s="227"/>
      <c r="D6" s="227"/>
      <c r="E6" s="227"/>
      <c r="F6" s="227"/>
      <c r="G6" s="227"/>
      <c r="H6" s="227"/>
      <c r="I6" s="227"/>
      <c r="J6" s="227"/>
      <c r="K6" s="227"/>
      <c r="L6" s="227"/>
      <c r="M6" s="227"/>
      <c r="N6" s="227"/>
    </row>
    <row r="7" spans="1:14" ht="36" customHeight="1" x14ac:dyDescent="0.2">
      <c r="B7" s="250" t="s">
        <v>325</v>
      </c>
      <c r="C7" s="244" t="s">
        <v>6</v>
      </c>
      <c r="D7" s="244" t="s">
        <v>11</v>
      </c>
      <c r="E7" s="244" t="s">
        <v>326</v>
      </c>
      <c r="F7" s="244" t="s">
        <v>327</v>
      </c>
      <c r="G7" s="244" t="s">
        <v>328</v>
      </c>
      <c r="H7" s="244" t="s">
        <v>329</v>
      </c>
      <c r="I7" s="244" t="s">
        <v>16</v>
      </c>
      <c r="J7" s="244" t="s">
        <v>330</v>
      </c>
      <c r="K7" s="244" t="s">
        <v>331</v>
      </c>
      <c r="L7" s="244" t="s">
        <v>332</v>
      </c>
      <c r="M7" s="254" t="s">
        <v>333</v>
      </c>
    </row>
    <row r="8" spans="1:14" ht="20" customHeight="1" x14ac:dyDescent="0.2">
      <c r="B8" s="251" t="s">
        <v>23</v>
      </c>
      <c r="C8" s="229" t="s">
        <v>24</v>
      </c>
      <c r="D8" s="230" t="str">
        <f>'Credit Scoring'!I22</f>
        <v>A</v>
      </c>
      <c r="E8" s="231">
        <v>15</v>
      </c>
      <c r="F8" s="315">
        <f>'Credit Universe'!K5</f>
        <v>101.25</v>
      </c>
      <c r="G8" s="233">
        <f>E8*F8/100</f>
        <v>15.1875</v>
      </c>
      <c r="H8" s="234">
        <f>G8/$G$20</f>
        <v>0.15990629359585168</v>
      </c>
      <c r="I8" s="315">
        <f>'Credit Universe'!L5</f>
        <v>3.4567901234567899</v>
      </c>
      <c r="J8" s="235">
        <f>'Credit Universe'!N5</f>
        <v>-104.320987654321</v>
      </c>
      <c r="K8" s="236">
        <v>6.5</v>
      </c>
      <c r="L8" s="237">
        <f>H8*J8</f>
        <v>-16.681582480061074</v>
      </c>
      <c r="M8" s="255">
        <f>H8*K8</f>
        <v>1.0393909083730359</v>
      </c>
    </row>
    <row r="9" spans="1:14" ht="20" customHeight="1" x14ac:dyDescent="0.2">
      <c r="B9" s="252" t="s">
        <v>27</v>
      </c>
      <c r="C9" s="238" t="s">
        <v>28</v>
      </c>
      <c r="D9" s="239" t="str">
        <f>'Credit Scoring'!I23</f>
        <v>A</v>
      </c>
      <c r="E9" s="231">
        <v>15</v>
      </c>
      <c r="F9" s="314">
        <f>'Credit Universe'!K6</f>
        <v>102.1</v>
      </c>
      <c r="G9" s="240">
        <f>E9*F9/100</f>
        <v>15.315</v>
      </c>
      <c r="H9" s="241">
        <f>G9/$G$20</f>
        <v>0.16124871680134772</v>
      </c>
      <c r="I9" s="314">
        <f>'Credit Universe'!L6</f>
        <v>3.3300685602350639</v>
      </c>
      <c r="J9" s="242">
        <f>'Credit Universe'!N6</f>
        <v>-116.99314397649361</v>
      </c>
      <c r="K9" s="236">
        <v>7.2</v>
      </c>
      <c r="L9" s="243">
        <f>H9*J9</f>
        <v>-18.86499434076492</v>
      </c>
      <c r="M9" s="256">
        <f>H9*K9</f>
        <v>1.1609907609697037</v>
      </c>
    </row>
    <row r="10" spans="1:14" ht="20" customHeight="1" x14ac:dyDescent="0.2">
      <c r="B10" s="251" t="s">
        <v>30</v>
      </c>
      <c r="C10" s="229" t="s">
        <v>31</v>
      </c>
      <c r="D10" s="230" t="str">
        <f>'Credit Scoring'!I24</f>
        <v>BBB-</v>
      </c>
      <c r="E10" s="231">
        <v>10</v>
      </c>
      <c r="F10" s="315">
        <f>'Credit Universe'!K7</f>
        <v>95.5</v>
      </c>
      <c r="G10" s="233">
        <f>E10*F10/100</f>
        <v>9.5500000000000007</v>
      </c>
      <c r="H10" s="234">
        <f>G10/$G$20</f>
        <v>0.10055013029401703</v>
      </c>
      <c r="I10" s="315">
        <f>'Credit Universe'!L7</f>
        <v>5.1047120418848166</v>
      </c>
      <c r="J10" s="235">
        <f>'Credit Universe'!N7</f>
        <v>90.47120418848165</v>
      </c>
      <c r="K10" s="236">
        <v>5.8</v>
      </c>
      <c r="L10" s="237">
        <f>H10*J10</f>
        <v>9.0968913690084499</v>
      </c>
      <c r="M10" s="255">
        <f>H10*K10</f>
        <v>0.58319075570529877</v>
      </c>
    </row>
    <row r="11" spans="1:14" ht="20" customHeight="1" x14ac:dyDescent="0.2">
      <c r="B11" s="252" t="s">
        <v>34</v>
      </c>
      <c r="C11" s="238" t="s">
        <v>35</v>
      </c>
      <c r="D11" s="239" t="str">
        <f>'Credit Scoring'!I25</f>
        <v>A</v>
      </c>
      <c r="E11" s="231">
        <v>10</v>
      </c>
      <c r="F11" s="314">
        <f>'Credit Universe'!K8</f>
        <v>99.25</v>
      </c>
      <c r="G11" s="240">
        <f>E11*F11/100</f>
        <v>9.9250000000000007</v>
      </c>
      <c r="H11" s="241">
        <f>G11/$G$20</f>
        <v>0.10449843383959362</v>
      </c>
      <c r="I11" s="314">
        <f>'Credit Universe'!L8</f>
        <v>5.7934508816120909</v>
      </c>
      <c r="J11" s="242">
        <f>'Credit Universe'!N8</f>
        <v>159.34508816120908</v>
      </c>
      <c r="K11" s="236">
        <v>5.2</v>
      </c>
      <c r="L11" s="243">
        <f>H11*J11</f>
        <v>16.651312152878319</v>
      </c>
      <c r="M11" s="256">
        <f>H11*K11</f>
        <v>0.54339185596588679</v>
      </c>
    </row>
    <row r="12" spans="1:14" ht="20" customHeight="1" x14ac:dyDescent="0.2">
      <c r="B12" s="251" t="s">
        <v>37</v>
      </c>
      <c r="C12" s="229" t="s">
        <v>38</v>
      </c>
      <c r="D12" s="230" t="str">
        <f>'Credit Scoring'!I26</f>
        <v>BBB</v>
      </c>
      <c r="E12" s="231">
        <v>8</v>
      </c>
      <c r="F12" s="315">
        <f>'Credit Universe'!K9</f>
        <v>92</v>
      </c>
      <c r="G12" s="233">
        <f>E12*F12/100</f>
        <v>7.36</v>
      </c>
      <c r="H12" s="234">
        <f>G12/$G$20</f>
        <v>7.7492037587849769E-2</v>
      </c>
      <c r="I12" s="315">
        <f>'Credit Universe'!L9</f>
        <v>6.6304347826086945</v>
      </c>
      <c r="J12" s="235">
        <f>'Credit Universe'!N9</f>
        <v>213.04347826086945</v>
      </c>
      <c r="K12" s="236">
        <v>3.8</v>
      </c>
      <c r="L12" s="237">
        <f>H12*J12</f>
        <v>16.50917322523755</v>
      </c>
      <c r="M12" s="255">
        <f>H12*K12</f>
        <v>0.2944697428338291</v>
      </c>
    </row>
    <row r="13" spans="1:14" ht="20" customHeight="1" x14ac:dyDescent="0.2">
      <c r="B13" s="252" t="s">
        <v>40</v>
      </c>
      <c r="C13" s="238" t="s">
        <v>41</v>
      </c>
      <c r="D13" s="239" t="str">
        <f>'Credit Scoring'!I27</f>
        <v>BBB-</v>
      </c>
      <c r="E13" s="231">
        <v>6</v>
      </c>
      <c r="F13" s="314">
        <f>'Credit Universe'!K10</f>
        <v>88.5</v>
      </c>
      <c r="G13" s="240">
        <f>E13*F13/100</f>
        <v>5.31</v>
      </c>
      <c r="H13" s="241">
        <f>G13/$G$20</f>
        <v>5.5907978205364438E-2</v>
      </c>
      <c r="I13" s="314">
        <f>'Credit Universe'!L10</f>
        <v>5.9322033898305087</v>
      </c>
      <c r="J13" s="242">
        <f>'Credit Universe'!N10</f>
        <v>213.22033898305088</v>
      </c>
      <c r="K13" s="236">
        <v>4.5</v>
      </c>
      <c r="L13" s="243">
        <f>H13*J13</f>
        <v>11.920718064804825</v>
      </c>
      <c r="M13" s="256">
        <f>H13*K13</f>
        <v>0.25158590192413999</v>
      </c>
    </row>
    <row r="14" spans="1:14" ht="20" customHeight="1" x14ac:dyDescent="0.2">
      <c r="B14" s="251" t="s">
        <v>43</v>
      </c>
      <c r="C14" s="229" t="s">
        <v>44</v>
      </c>
      <c r="D14" s="230" t="str">
        <f>'Credit Scoring'!I28</f>
        <v>BBB-</v>
      </c>
      <c r="E14" s="231">
        <v>6</v>
      </c>
      <c r="F14" s="315">
        <f>'Credit Universe'!K11</f>
        <v>97.25</v>
      </c>
      <c r="G14" s="233">
        <f>E14*F14/100</f>
        <v>5.835</v>
      </c>
      <c r="H14" s="234">
        <f>G14/$G$20</f>
        <v>6.1435603169171661E-2</v>
      </c>
      <c r="I14" s="315">
        <f>'Credit Universe'!L11</f>
        <v>4.6272493573264777</v>
      </c>
      <c r="J14" s="235">
        <f>'Credit Universe'!N11</f>
        <v>42.724935732647751</v>
      </c>
      <c r="K14" s="236">
        <v>4.2</v>
      </c>
      <c r="L14" s="237">
        <f>H14*J14</f>
        <v>2.6248321970993098</v>
      </c>
      <c r="M14" s="255">
        <f>H14*K14</f>
        <v>0.25802953331052098</v>
      </c>
    </row>
    <row r="15" spans="1:14" ht="20" customHeight="1" x14ac:dyDescent="0.2">
      <c r="B15" s="252" t="s">
        <v>46</v>
      </c>
      <c r="C15" s="238" t="s">
        <v>47</v>
      </c>
      <c r="D15" s="239" t="str">
        <f>'Credit Scoring'!I29</f>
        <v>BBB-</v>
      </c>
      <c r="E15" s="231">
        <v>8</v>
      </c>
      <c r="F15" s="314">
        <f>'Credit Universe'!K12</f>
        <v>94</v>
      </c>
      <c r="G15" s="240">
        <f>E15*F15/100</f>
        <v>7.52</v>
      </c>
      <c r="H15" s="241">
        <f>G15/$G$20</f>
        <v>7.9176647100629105E-2</v>
      </c>
      <c r="I15" s="314">
        <f>'Credit Universe'!L12</f>
        <v>5.207446808510638</v>
      </c>
      <c r="J15" s="242">
        <f>'Credit Universe'!N12</f>
        <v>140.74468085106383</v>
      </c>
      <c r="K15" s="236">
        <v>5.5</v>
      </c>
      <c r="L15" s="243">
        <f>H15*J15</f>
        <v>11.143691927035352</v>
      </c>
      <c r="M15" s="256">
        <f>H15*K15</f>
        <v>0.43547155905346008</v>
      </c>
    </row>
    <row r="16" spans="1:14" ht="20" customHeight="1" x14ac:dyDescent="0.2">
      <c r="B16" s="251" t="s">
        <v>49</v>
      </c>
      <c r="C16" s="229" t="s">
        <v>50</v>
      </c>
      <c r="D16" s="230" t="str">
        <f>'Credit Scoring'!I30</f>
        <v>BB</v>
      </c>
      <c r="E16" s="231">
        <v>5</v>
      </c>
      <c r="F16" s="315">
        <f>'Credit Universe'!K13</f>
        <v>85.5</v>
      </c>
      <c r="G16" s="233">
        <f>E16*F16/100</f>
        <v>4.2750000000000004</v>
      </c>
      <c r="H16" s="234">
        <f>G16/$G$20</f>
        <v>4.5010660419573072E-2</v>
      </c>
      <c r="I16" s="315">
        <f>'Credit Universe'!L13</f>
        <v>8.9181286549707597</v>
      </c>
      <c r="J16" s="235">
        <f>'Credit Universe'!N13</f>
        <v>441.81286549707596</v>
      </c>
      <c r="K16" s="236">
        <v>4.8</v>
      </c>
      <c r="L16" s="237">
        <f>H16*J16</f>
        <v>19.886288857887397</v>
      </c>
      <c r="M16" s="255">
        <f>H16*K16</f>
        <v>0.21605117001395074</v>
      </c>
    </row>
    <row r="17" spans="2:13" ht="20" customHeight="1" x14ac:dyDescent="0.2">
      <c r="B17" s="252" t="s">
        <v>52</v>
      </c>
      <c r="C17" s="238" t="s">
        <v>53</v>
      </c>
      <c r="D17" s="239" t="str">
        <f>'Credit Scoring'!I31</f>
        <v>BBB-</v>
      </c>
      <c r="E17" s="231">
        <v>8</v>
      </c>
      <c r="F17" s="314">
        <f>'Credit Universe'!K14</f>
        <v>93.25</v>
      </c>
      <c r="G17" s="240">
        <f>E17*F17/100</f>
        <v>7.46</v>
      </c>
      <c r="H17" s="241">
        <f>G17/$G$20</f>
        <v>7.8544918533336866E-2</v>
      </c>
      <c r="I17" s="314">
        <f>'Credit Universe'!L14</f>
        <v>5.3619302949061662</v>
      </c>
      <c r="J17" s="242">
        <f>'Credit Universe'!N14</f>
        <v>86.193029490616624</v>
      </c>
      <c r="K17" s="236">
        <v>5</v>
      </c>
      <c r="L17" s="243">
        <f>H17*J17</f>
        <v>6.770024479481985</v>
      </c>
      <c r="M17" s="256">
        <f>H17*K17</f>
        <v>0.39272459266668436</v>
      </c>
    </row>
    <row r="18" spans="2:13" ht="20" customHeight="1" x14ac:dyDescent="0.2">
      <c r="B18" s="251" t="s">
        <v>55</v>
      </c>
      <c r="C18" s="229" t="s">
        <v>56</v>
      </c>
      <c r="D18" s="230" t="str">
        <f>'Credit Scoring'!I32</f>
        <v>BB+</v>
      </c>
      <c r="E18" s="231">
        <v>5</v>
      </c>
      <c r="F18" s="315">
        <f>'Credit Universe'!K15</f>
        <v>82</v>
      </c>
      <c r="G18" s="233">
        <f>E18*F18/100</f>
        <v>4.0999999999999996</v>
      </c>
      <c r="H18" s="234">
        <f>G18/$G$20</f>
        <v>4.3168118764970655E-2</v>
      </c>
      <c r="I18" s="315">
        <f>'Credit Universe'!L15</f>
        <v>9.6036585365853657</v>
      </c>
      <c r="J18" s="235">
        <f>'Credit Universe'!N15</f>
        <v>510.36585365853659</v>
      </c>
      <c r="K18" s="236">
        <v>4.2</v>
      </c>
      <c r="L18" s="237">
        <f>H18*J18</f>
        <v>22.03153378431734</v>
      </c>
      <c r="M18" s="255">
        <f>H18*K18</f>
        <v>0.18130609881287676</v>
      </c>
    </row>
    <row r="19" spans="2:13" ht="20" customHeight="1" x14ac:dyDescent="0.2">
      <c r="B19" s="252" t="s">
        <v>58</v>
      </c>
      <c r="C19" s="238" t="s">
        <v>59</v>
      </c>
      <c r="D19" s="239" t="str">
        <f>'Credit Scoring'!I33</f>
        <v>BB</v>
      </c>
      <c r="E19" s="231">
        <v>4</v>
      </c>
      <c r="F19" s="314">
        <f>'Credit Universe'!K16</f>
        <v>78.5</v>
      </c>
      <c r="G19" s="240">
        <f>E19*F19/100</f>
        <v>3.14</v>
      </c>
      <c r="H19" s="241">
        <f>G19/$G$20</f>
        <v>3.3060461688294608E-2</v>
      </c>
      <c r="I19" s="314">
        <f>'Credit Universe'!L16</f>
        <v>8.2802547770700627</v>
      </c>
      <c r="J19" s="242">
        <f>'Credit Universe'!N16</f>
        <v>378.0254777070063</v>
      </c>
      <c r="K19" s="236">
        <v>3.5</v>
      </c>
      <c r="L19" s="243">
        <f>H19*J19</f>
        <v>12.497696822931749</v>
      </c>
      <c r="M19" s="256">
        <f>H19*K19</f>
        <v>0.11571161590903113</v>
      </c>
    </row>
    <row r="20" spans="2:13" ht="22" customHeight="1" x14ac:dyDescent="0.2">
      <c r="B20" s="253" t="s">
        <v>334</v>
      </c>
      <c r="C20" s="245"/>
      <c r="D20" s="245"/>
      <c r="E20" s="246">
        <f>SUM(E8:E19)</f>
        <v>100</v>
      </c>
      <c r="F20" s="245"/>
      <c r="G20" s="246">
        <f>SUM(G8:G19)</f>
        <v>94.977499999999978</v>
      </c>
      <c r="H20" s="247">
        <f>SUM(H8:H19)</f>
        <v>1</v>
      </c>
      <c r="I20" s="248">
        <f>SUMPRODUCT(H8:H19,I8:I19)</f>
        <v>5.2613513726935333</v>
      </c>
      <c r="J20" s="245"/>
      <c r="K20" s="245"/>
      <c r="L20" s="249">
        <f>SUM(L8:L19)</f>
        <v>93.585586059856269</v>
      </c>
      <c r="M20" s="257">
        <f>SUM(M8:M19)</f>
        <v>5.4723144955384182</v>
      </c>
    </row>
    <row r="21" spans="2:13" ht="12" customHeight="1" x14ac:dyDescent="0.2"/>
    <row r="22" spans="2:13" ht="22" customHeight="1" x14ac:dyDescent="0.2">
      <c r="B22" s="228" t="s">
        <v>335</v>
      </c>
      <c r="C22" s="227"/>
      <c r="D22" s="227"/>
      <c r="E22" s="227"/>
      <c r="F22" s="227"/>
      <c r="G22" s="227"/>
      <c r="H22" s="228" t="s">
        <v>352</v>
      </c>
      <c r="I22" s="227"/>
      <c r="J22" s="227"/>
      <c r="K22" s="227"/>
      <c r="L22" s="227"/>
      <c r="M22" s="227"/>
    </row>
    <row r="23" spans="2:13" ht="22" customHeight="1" x14ac:dyDescent="0.2">
      <c r="B23" s="266" t="s">
        <v>336</v>
      </c>
      <c r="C23" s="263" t="s">
        <v>337</v>
      </c>
      <c r="D23" s="263" t="s">
        <v>338</v>
      </c>
      <c r="E23" s="263" t="s">
        <v>339</v>
      </c>
      <c r="F23" s="268" t="s">
        <v>21</v>
      </c>
      <c r="H23" s="266" t="s">
        <v>151</v>
      </c>
      <c r="I23" s="263" t="s">
        <v>353</v>
      </c>
      <c r="J23" s="263" t="s">
        <v>354</v>
      </c>
      <c r="K23" s="263" t="s">
        <v>355</v>
      </c>
      <c r="L23" s="268" t="s">
        <v>356</v>
      </c>
    </row>
    <row r="24" spans="2:13" ht="20" customHeight="1" x14ac:dyDescent="0.2">
      <c r="B24" s="252" t="s">
        <v>340</v>
      </c>
      <c r="C24" s="258">
        <f>I20</f>
        <v>5.2613513726935333</v>
      </c>
      <c r="D24" s="232">
        <v>6.5</v>
      </c>
      <c r="E24" s="324">
        <f>C24-D24</f>
        <v>-1.2386486273064667</v>
      </c>
      <c r="F24" s="269" t="s">
        <v>341</v>
      </c>
      <c r="H24" s="278" t="s">
        <v>109</v>
      </c>
      <c r="I24" s="241">
        <f>SUMIF($D$8:$D$19,"A",$H$8:$H$19)</f>
        <v>0.42565344423679302</v>
      </c>
      <c r="J24" s="272">
        <v>0.15</v>
      </c>
      <c r="K24" s="273">
        <f>I24-J24</f>
        <v>0.27565344423679305</v>
      </c>
      <c r="L24" s="281" t="str">
        <f>IF(K24&gt;0.02,"▲ OW",IF(K24&lt;-0.02,"▼ UW","— Neutral"))</f>
        <v>▲ OW</v>
      </c>
    </row>
    <row r="25" spans="2:13" ht="20" customHeight="1" x14ac:dyDescent="0.2">
      <c r="B25" s="251" t="s">
        <v>342</v>
      </c>
      <c r="C25" s="259">
        <f>L20</f>
        <v>93.585586059856269</v>
      </c>
      <c r="D25" s="260">
        <v>250</v>
      </c>
      <c r="E25" s="259">
        <f>C25-D25</f>
        <v>-156.41441394014373</v>
      </c>
      <c r="F25" s="270" t="s">
        <v>343</v>
      </c>
      <c r="H25" s="279" t="s">
        <v>113</v>
      </c>
      <c r="I25" s="234">
        <f>SUMIF($D$8:$D$19,"BBB+",$H$8:$H$19)</f>
        <v>0</v>
      </c>
      <c r="J25" s="272">
        <v>0.2</v>
      </c>
      <c r="K25" s="274">
        <f>I25-J25</f>
        <v>-0.2</v>
      </c>
      <c r="L25" s="282" t="str">
        <f>IF(K25&gt;0.02,"▲ OW",IF(K25&lt;-0.02,"▼ UW","— Neutral"))</f>
        <v>▼ UW</v>
      </c>
    </row>
    <row r="26" spans="2:13" ht="20" customHeight="1" x14ac:dyDescent="0.2">
      <c r="B26" s="252" t="s">
        <v>344</v>
      </c>
      <c r="C26" s="258">
        <f>M20</f>
        <v>5.4723144955384182</v>
      </c>
      <c r="D26" s="232">
        <v>5</v>
      </c>
      <c r="E26" s="258">
        <f>C26-D26</f>
        <v>0.4723144955384182</v>
      </c>
      <c r="F26" s="269" t="s">
        <v>345</v>
      </c>
      <c r="H26" s="278" t="s">
        <v>116</v>
      </c>
      <c r="I26" s="241">
        <f>SUMIF($D$8:$D$19,"BBB",$H$8:$H$19)</f>
        <v>7.7492037587849769E-2</v>
      </c>
      <c r="J26" s="272">
        <v>0.2</v>
      </c>
      <c r="K26" s="273">
        <f>I26-J26</f>
        <v>-0.12250796241215024</v>
      </c>
      <c r="L26" s="281" t="str">
        <f>IF(K26&gt;0.02,"▲ OW",IF(K26&lt;-0.02,"▼ UW","— Neutral"))</f>
        <v>▼ UW</v>
      </c>
    </row>
    <row r="27" spans="2:13" ht="20" customHeight="1" x14ac:dyDescent="0.2">
      <c r="B27" s="251" t="s">
        <v>346</v>
      </c>
      <c r="C27" s="261">
        <f>SUMPRODUCT(H8:H19,F8:F19)</f>
        <v>95.430111078939774</v>
      </c>
      <c r="D27" s="232">
        <v>95</v>
      </c>
      <c r="E27" s="261">
        <f>C27-D27</f>
        <v>0.43011107893977396</v>
      </c>
      <c r="F27" s="270" t="s">
        <v>347</v>
      </c>
      <c r="H27" s="279" t="s">
        <v>119</v>
      </c>
      <c r="I27" s="234">
        <f>SUMIF($D$8:$D$19,"BBB-",$H$8:$H$19)</f>
        <v>0.37561527730251909</v>
      </c>
      <c r="J27" s="272">
        <v>0.15</v>
      </c>
      <c r="K27" s="274">
        <f>I27-J27</f>
        <v>0.2256152773025191</v>
      </c>
      <c r="L27" s="282" t="str">
        <f>IF(K27&gt;0.02,"▲ OW",IF(K27&lt;-0.02,"▼ UW","— Neutral"))</f>
        <v>▲ OW</v>
      </c>
    </row>
    <row r="28" spans="2:13" ht="20" customHeight="1" x14ac:dyDescent="0.2">
      <c r="B28" s="252" t="s">
        <v>348</v>
      </c>
      <c r="C28" s="262">
        <v>12</v>
      </c>
      <c r="D28" s="260">
        <v>1500</v>
      </c>
      <c r="E28" s="262">
        <f>C28-D28</f>
        <v>-1488</v>
      </c>
      <c r="F28" s="269" t="s">
        <v>349</v>
      </c>
      <c r="H28" s="278" t="s">
        <v>123</v>
      </c>
      <c r="I28" s="241">
        <f>SUMIF($D$8:$D$19,"BB+",$H$8:$H$19)</f>
        <v>4.3168118764970655E-2</v>
      </c>
      <c r="J28" s="272">
        <v>0.1</v>
      </c>
      <c r="K28" s="273">
        <f>I28-J28</f>
        <v>-5.6831881235029351E-2</v>
      </c>
      <c r="L28" s="281" t="str">
        <f>IF(K28&gt;0.02,"▲ OW",IF(K28&lt;-0.02,"▼ UW","— Neutral"))</f>
        <v>▼ UW</v>
      </c>
    </row>
    <row r="29" spans="2:13" ht="20" customHeight="1" x14ac:dyDescent="0.2">
      <c r="B29" s="267" t="s">
        <v>350</v>
      </c>
      <c r="C29" s="264">
        <f>G20</f>
        <v>94.977499999999978</v>
      </c>
      <c r="D29" s="265">
        <v>500</v>
      </c>
      <c r="E29" s="264">
        <f>C29-D29</f>
        <v>-405.02250000000004</v>
      </c>
      <c r="F29" s="271" t="s">
        <v>351</v>
      </c>
      <c r="H29" s="279" t="s">
        <v>127</v>
      </c>
      <c r="I29" s="234">
        <f>SUMIF($D$8:$D$19,"BB",$H$8:$H$19)</f>
        <v>7.807112210786768E-2</v>
      </c>
      <c r="J29" s="272">
        <v>0.12</v>
      </c>
      <c r="K29" s="274">
        <f>I29-J29</f>
        <v>-4.1928877892132316E-2</v>
      </c>
      <c r="L29" s="282" t="str">
        <f>IF(K29&gt;0.02,"▲ OW",IF(K29&lt;-0.02,"▼ UW","— Neutral"))</f>
        <v>▼ UW</v>
      </c>
    </row>
    <row r="30" spans="2:13" ht="20" customHeight="1" x14ac:dyDescent="0.2">
      <c r="H30" s="280" t="s">
        <v>131</v>
      </c>
      <c r="I30" s="275">
        <f>SUMIF($D$8:$D$19,"B+",$H$8:$H$19)</f>
        <v>0</v>
      </c>
      <c r="J30" s="276">
        <v>0.08</v>
      </c>
      <c r="K30" s="277">
        <f>I30-J30</f>
        <v>-0.08</v>
      </c>
      <c r="L30" s="283" t="str">
        <f>IF(K30&gt;0.02,"▲ OW",IF(K30&lt;-0.02,"▼ UW","— Neutral"))</f>
        <v>▼ UW</v>
      </c>
    </row>
  </sheetData>
  <conditionalFormatting sqref="K24:K30">
    <cfRule type="cellIs" dxfId="5" priority="1" operator="greaterThan">
      <formula>0.02</formula>
    </cfRule>
  </conditionalFormatting>
  <conditionalFormatting sqref="K24:K30">
    <cfRule type="cellIs" dxfId="4" priority="2" operator="lessThan">
      <formula>-0.02</formula>
    </cfRule>
  </conditionalFormatting>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FAAC48-8F55-D444-8E2E-84E1C52B05F7}">
  <sheetPr>
    <tabColor rgb="FF7030A0"/>
  </sheetPr>
  <dimension ref="A1:M16"/>
  <sheetViews>
    <sheetView showGridLines="0" workbookViewId="0">
      <pane ySplit="7" topLeftCell="A8" activePane="bottomLeft" state="frozen"/>
      <selection pane="bottomLeft"/>
    </sheetView>
  </sheetViews>
  <sheetFormatPr baseColWidth="10" defaultRowHeight="16" x14ac:dyDescent="0.2"/>
  <cols>
    <col min="2" max="2" width="18" customWidth="1"/>
    <col min="6" max="6" width="23.1640625" customWidth="1"/>
  </cols>
  <sheetData>
    <row r="1" spans="1:13" ht="8" customHeight="1" x14ac:dyDescent="0.2">
      <c r="A1" s="224"/>
      <c r="B1" s="224"/>
      <c r="C1" s="224"/>
      <c r="D1" s="224"/>
      <c r="E1" s="224"/>
      <c r="F1" s="224"/>
      <c r="G1" s="224"/>
      <c r="H1" s="224"/>
      <c r="I1" s="224"/>
      <c r="J1" s="224"/>
      <c r="K1" s="224"/>
      <c r="L1" s="224"/>
      <c r="M1" s="224"/>
    </row>
    <row r="2" spans="1:13" ht="30" customHeight="1" x14ac:dyDescent="0.3">
      <c r="A2" s="224"/>
      <c r="B2" s="225" t="s">
        <v>357</v>
      </c>
      <c r="C2" s="224"/>
      <c r="D2" s="224"/>
      <c r="E2" s="224"/>
      <c r="F2" s="224"/>
      <c r="G2" s="224"/>
      <c r="H2" s="224"/>
      <c r="I2" s="224"/>
      <c r="J2" s="224"/>
      <c r="K2" s="224"/>
      <c r="L2" s="224"/>
      <c r="M2" s="224"/>
    </row>
    <row r="3" spans="1:13" ht="20" customHeight="1" x14ac:dyDescent="0.2">
      <c r="A3" s="224"/>
      <c r="B3" s="226" t="s">
        <v>358</v>
      </c>
      <c r="C3" s="224"/>
      <c r="D3" s="224"/>
      <c r="E3" s="224"/>
      <c r="F3" s="224"/>
      <c r="G3" s="224"/>
      <c r="H3" s="224"/>
      <c r="I3" s="224"/>
      <c r="J3" s="224"/>
      <c r="K3" s="224"/>
      <c r="L3" s="224"/>
      <c r="M3" s="224"/>
    </row>
    <row r="4" spans="1:13" ht="4" customHeight="1" x14ac:dyDescent="0.2">
      <c r="A4" s="131"/>
      <c r="B4" s="131"/>
      <c r="C4" s="131"/>
      <c r="D4" s="131"/>
      <c r="E4" s="131"/>
      <c r="F4" s="131"/>
      <c r="G4" s="131"/>
      <c r="H4" s="131"/>
      <c r="I4" s="131"/>
      <c r="J4" s="131"/>
      <c r="K4" s="131"/>
      <c r="L4" s="131"/>
      <c r="M4" s="131"/>
    </row>
    <row r="5" spans="1:13" ht="8" customHeight="1" x14ac:dyDescent="0.2"/>
    <row r="6" spans="1:13" ht="22" customHeight="1" x14ac:dyDescent="0.2">
      <c r="B6" s="228" t="s">
        <v>359</v>
      </c>
      <c r="C6" s="227"/>
      <c r="D6" s="227"/>
      <c r="E6" s="227"/>
      <c r="F6" s="227"/>
      <c r="G6" s="227"/>
      <c r="I6" s="228" t="s">
        <v>366</v>
      </c>
      <c r="J6" s="227"/>
      <c r="K6" s="227"/>
      <c r="L6" s="227"/>
      <c r="M6" s="227"/>
    </row>
    <row r="7" spans="1:13" ht="24" customHeight="1" x14ac:dyDescent="0.2">
      <c r="B7" s="266" t="s">
        <v>8</v>
      </c>
      <c r="C7" s="263" t="s">
        <v>360</v>
      </c>
      <c r="D7" s="263" t="s">
        <v>361</v>
      </c>
      <c r="E7" s="263" t="s">
        <v>362</v>
      </c>
      <c r="F7" s="268" t="s">
        <v>363</v>
      </c>
      <c r="I7" s="266" t="s">
        <v>367</v>
      </c>
      <c r="J7" s="263" t="s">
        <v>181</v>
      </c>
      <c r="K7" s="263" t="s">
        <v>368</v>
      </c>
      <c r="L7" s="268" t="s">
        <v>266</v>
      </c>
    </row>
    <row r="8" spans="1:13" ht="36" customHeight="1" x14ac:dyDescent="0.2">
      <c r="B8" s="252" t="s">
        <v>26</v>
      </c>
      <c r="C8" s="284">
        <f>SUMIF(Portfolio!$C$8:$C$19,"MSFT",Portfolio!$H$8:$H$19)</f>
        <v>0.15990629359585168</v>
      </c>
      <c r="D8" s="272">
        <v>0.12</v>
      </c>
      <c r="E8" s="273">
        <f>C8-D8</f>
        <v>3.9906293595851683E-2</v>
      </c>
      <c r="F8" s="288" t="str">
        <f>IF(E8&gt;0.03,"OVERWEIGHT — active long",IF(E8&lt;-0.03,"UNDERWEIGHT — active short","NEUTRAL — index weight"))</f>
        <v>OVERWEIGHT — active long</v>
      </c>
      <c r="I8" s="252" t="s">
        <v>369</v>
      </c>
      <c r="J8" s="291" t="s">
        <v>370</v>
      </c>
      <c r="K8" s="238" t="s">
        <v>371</v>
      </c>
      <c r="L8" s="297" t="s">
        <v>372</v>
      </c>
    </row>
    <row r="9" spans="1:13" ht="36" customHeight="1" x14ac:dyDescent="0.2">
      <c r="B9" s="251" t="s">
        <v>29</v>
      </c>
      <c r="C9" s="285">
        <f>SUMIF(Portfolio!$C$8:$C$19,"JNJ",Portfolio!$H$8:$H$19)</f>
        <v>0.16124871680134772</v>
      </c>
      <c r="D9" s="272">
        <v>0.1</v>
      </c>
      <c r="E9" s="274">
        <f>C9-D9</f>
        <v>6.1248716801347719E-2</v>
      </c>
      <c r="F9" s="289" t="str">
        <f>IF(E9&gt;0.03,"OVERWEIGHT — active long",IF(E9&lt;-0.03,"UNDERWEIGHT — active short","NEUTRAL — index weight"))</f>
        <v>OVERWEIGHT — active long</v>
      </c>
      <c r="I9" s="251" t="s">
        <v>373</v>
      </c>
      <c r="J9" s="292" t="s">
        <v>374</v>
      </c>
      <c r="K9" s="229" t="s">
        <v>375</v>
      </c>
      <c r="L9" s="298" t="s">
        <v>376</v>
      </c>
    </row>
    <row r="10" spans="1:13" ht="36" customHeight="1" x14ac:dyDescent="0.2">
      <c r="B10" s="252" t="s">
        <v>33</v>
      </c>
      <c r="C10" s="284" cm="1">
        <f t="array" ref="C10">SUMPRODUCT(((Portfolio!$C$8:$C$19="VOD")+(Portfolio!$C$8:$C$19="TIT")+(Portfolio!$C$8:$C$19="TEF"))*Portfolio!$H$8:$H$19)</f>
        <v>0.23563475560001057</v>
      </c>
      <c r="D10" s="272">
        <v>0.15</v>
      </c>
      <c r="E10" s="273">
        <f>C10-D10</f>
        <v>8.5634755600010576E-2</v>
      </c>
      <c r="F10" s="288" t="str">
        <f>IF(E10&gt;0.03,"OVERWEIGHT — active long",IF(E10&lt;-0.03,"UNDERWEIGHT — active short","NEUTRAL — index weight"))</f>
        <v>OVERWEIGHT — active long</v>
      </c>
      <c r="I10" s="252" t="s">
        <v>377</v>
      </c>
      <c r="J10" s="291" t="s">
        <v>370</v>
      </c>
      <c r="K10" s="238" t="s">
        <v>378</v>
      </c>
      <c r="L10" s="297" t="s">
        <v>379</v>
      </c>
    </row>
    <row r="11" spans="1:13" ht="36" customHeight="1" x14ac:dyDescent="0.2">
      <c r="B11" s="251" t="s">
        <v>36</v>
      </c>
      <c r="C11" s="285" cm="1">
        <f t="array" ref="C11">SUMPRODUCT(((Portfolio!$C$8:$C$19="RR/")+(Portfolio!$C$8:$C$19="BBD"))*Portfolio!$H$8:$H$19)</f>
        <v>0.14766655260456427</v>
      </c>
      <c r="D11" s="272">
        <v>0.18</v>
      </c>
      <c r="E11" s="274">
        <f>C11-D11</f>
        <v>-3.2333447395435727E-2</v>
      </c>
      <c r="F11" s="289" t="str">
        <f>IF(E11&gt;0.03,"OVERWEIGHT — active long",IF(E11&lt;-0.03,"UNDERWEIGHT — active short","NEUTRAL — index weight"))</f>
        <v>UNDERWEIGHT — active short</v>
      </c>
      <c r="I11" s="251" t="s">
        <v>380</v>
      </c>
      <c r="J11" s="293" t="s">
        <v>381</v>
      </c>
      <c r="K11" s="229" t="s">
        <v>382</v>
      </c>
      <c r="L11" s="298" t="s">
        <v>383</v>
      </c>
    </row>
    <row r="12" spans="1:13" ht="36" customHeight="1" x14ac:dyDescent="0.2">
      <c r="B12" s="252" t="s">
        <v>39</v>
      </c>
      <c r="C12" s="284">
        <f>SUMIF(Portfolio!$C$8:$C$19,"F",Portfolio!$H$8:$H$19)</f>
        <v>7.7492037587849769E-2</v>
      </c>
      <c r="D12" s="272">
        <v>0.08</v>
      </c>
      <c r="E12" s="273">
        <f>C12-D12</f>
        <v>-2.5079624121502331E-3</v>
      </c>
      <c r="F12" s="288" t="str">
        <f>IF(E12&gt;0.03,"OVERWEIGHT — active long",IF(E12&lt;-0.03,"UNDERWEIGHT — active short","NEUTRAL — index weight"))</f>
        <v>NEUTRAL — index weight</v>
      </c>
      <c r="I12" s="252" t="s">
        <v>384</v>
      </c>
      <c r="J12" s="291" t="s">
        <v>385</v>
      </c>
      <c r="K12" s="294">
        <v>0.03</v>
      </c>
      <c r="L12" s="297" t="s">
        <v>386</v>
      </c>
    </row>
    <row r="13" spans="1:13" ht="36" customHeight="1" x14ac:dyDescent="0.2">
      <c r="B13" s="251" t="s">
        <v>364</v>
      </c>
      <c r="C13" s="285" cm="1">
        <f t="array" ref="C13">SUMPRODUCT(((Portfolio!$C$8:$C$19="MKS")+(Portfolio!$C$8:$C$19="KHC")+(Portfolio!$C$8:$C$19="COTY"))*Portfolio!$H$8:$H$19)</f>
        <v>0.17304098339080312</v>
      </c>
      <c r="D13" s="272">
        <v>0.22</v>
      </c>
      <c r="E13" s="274">
        <f>C13-D13</f>
        <v>-4.695901660919688E-2</v>
      </c>
      <c r="F13" s="289" t="str">
        <f>IF(E13&gt;0.03,"OVERWEIGHT — active long",IF(E13&lt;-0.03,"UNDERWEIGHT — active short","NEUTRAL — index weight"))</f>
        <v>UNDERWEIGHT — active short</v>
      </c>
      <c r="I13" s="267" t="s">
        <v>387</v>
      </c>
      <c r="J13" s="295" t="s">
        <v>388</v>
      </c>
      <c r="K13" s="296" t="s">
        <v>389</v>
      </c>
      <c r="L13" s="299" t="s">
        <v>390</v>
      </c>
    </row>
    <row r="14" spans="1:13" ht="20" customHeight="1" x14ac:dyDescent="0.2">
      <c r="B14" s="252" t="s">
        <v>51</v>
      </c>
      <c r="C14" s="284">
        <f>SUMIF(Portfolio!$C$8:$C$19,"CCL",Portfolio!$H$8:$H$19)</f>
        <v>4.5010660419573072E-2</v>
      </c>
      <c r="D14" s="272">
        <v>0.15</v>
      </c>
      <c r="E14" s="273">
        <f>C14-D14</f>
        <v>-0.10498933958042692</v>
      </c>
      <c r="F14" s="288" t="str">
        <f>IF(E14&gt;0.03,"OVERWEIGHT — active long",IF(E14&lt;-0.03,"UNDERWEIGHT — active short","NEUTRAL — index weight"))</f>
        <v>UNDERWEIGHT — active short</v>
      </c>
    </row>
    <row r="15" spans="1:13" ht="22" customHeight="1" x14ac:dyDescent="0.2">
      <c r="B15" s="287" t="s">
        <v>365</v>
      </c>
      <c r="C15" s="247">
        <f>SUM(C8:C14)</f>
        <v>1.0000000000000002</v>
      </c>
      <c r="D15" s="286">
        <f>SUM(D8:D14)</f>
        <v>1</v>
      </c>
      <c r="E15" s="245"/>
      <c r="F15" s="290"/>
    </row>
    <row r="16" spans="1:13" ht="12" customHeight="1" x14ac:dyDescent="0.2"/>
  </sheetData>
  <conditionalFormatting sqref="E8:E14">
    <cfRule type="cellIs" dxfId="3" priority="1" operator="greaterThan">
      <formula>0.03</formula>
    </cfRule>
  </conditionalFormatting>
  <conditionalFormatting sqref="E8:E14">
    <cfRule type="cellIs" dxfId="2" priority="2" operator="lessThan">
      <formula>-0.03</formula>
    </cfRule>
  </conditionalFormatting>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391D136-72DA-7647-AEAD-FAA5337FC426}">
  <sheetPr>
    <tabColor rgb="FF7030A0"/>
  </sheetPr>
  <dimension ref="A1:M23"/>
  <sheetViews>
    <sheetView showGridLines="0" workbookViewId="0">
      <pane ySplit="8" topLeftCell="A9" activePane="bottomLeft" state="frozen"/>
      <selection pane="bottomLeft" activeCell="G25" sqref="G25"/>
    </sheetView>
  </sheetViews>
  <sheetFormatPr baseColWidth="10" defaultRowHeight="16" x14ac:dyDescent="0.2"/>
  <cols>
    <col min="6" max="6" width="34.83203125" customWidth="1"/>
    <col min="7" max="7" width="24.1640625" customWidth="1"/>
  </cols>
  <sheetData>
    <row r="1" spans="1:13" ht="8" customHeight="1" x14ac:dyDescent="0.2">
      <c r="A1" s="224"/>
      <c r="B1" s="224"/>
      <c r="C1" s="224"/>
      <c r="D1" s="224"/>
      <c r="E1" s="224"/>
      <c r="F1" s="224"/>
      <c r="G1" s="224"/>
      <c r="H1" s="224"/>
      <c r="I1" s="224"/>
      <c r="J1" s="224"/>
      <c r="K1" s="224"/>
      <c r="L1" s="224"/>
      <c r="M1" s="224"/>
    </row>
    <row r="2" spans="1:13" ht="30" customHeight="1" x14ac:dyDescent="0.3">
      <c r="A2" s="224"/>
      <c r="B2" s="225" t="s">
        <v>391</v>
      </c>
      <c r="C2" s="224"/>
      <c r="D2" s="224"/>
      <c r="E2" s="224"/>
      <c r="F2" s="224"/>
      <c r="G2" s="224"/>
      <c r="H2" s="224"/>
      <c r="I2" s="224"/>
      <c r="J2" s="224"/>
      <c r="K2" s="224"/>
      <c r="L2" s="224"/>
      <c r="M2" s="224"/>
    </row>
    <row r="3" spans="1:13" ht="20" customHeight="1" x14ac:dyDescent="0.2">
      <c r="A3" s="224"/>
      <c r="B3" s="226" t="s">
        <v>392</v>
      </c>
      <c r="C3" s="224"/>
      <c r="D3" s="224"/>
      <c r="E3" s="224"/>
      <c r="F3" s="224"/>
      <c r="G3" s="224"/>
      <c r="H3" s="224"/>
      <c r="I3" s="224"/>
      <c r="J3" s="224"/>
      <c r="K3" s="224"/>
      <c r="L3" s="224"/>
      <c r="M3" s="224"/>
    </row>
    <row r="4" spans="1:13" ht="4" customHeight="1" x14ac:dyDescent="0.2">
      <c r="A4" s="131"/>
      <c r="B4" s="131"/>
      <c r="C4" s="131"/>
      <c r="D4" s="131"/>
      <c r="E4" s="131"/>
      <c r="F4" s="131"/>
      <c r="G4" s="131"/>
      <c r="H4" s="131"/>
      <c r="I4" s="131"/>
      <c r="J4" s="131"/>
      <c r="K4" s="131"/>
      <c r="L4" s="131"/>
      <c r="M4" s="131"/>
    </row>
    <row r="5" spans="1:13" ht="8" customHeight="1" x14ac:dyDescent="0.2"/>
    <row r="6" spans="1:13" ht="22" customHeight="1" x14ac:dyDescent="0.2">
      <c r="B6" s="228" t="s">
        <v>393</v>
      </c>
      <c r="C6" s="227"/>
      <c r="D6" s="227"/>
      <c r="E6" s="227"/>
      <c r="F6" s="227"/>
      <c r="G6" s="227"/>
      <c r="H6" s="227"/>
    </row>
    <row r="7" spans="1:13" ht="20" customHeight="1" x14ac:dyDescent="0.2">
      <c r="B7" s="33" t="s">
        <v>394</v>
      </c>
      <c r="C7" s="36" t="s">
        <v>395</v>
      </c>
      <c r="E7" s="33" t="s">
        <v>396</v>
      </c>
      <c r="F7" s="37">
        <v>90</v>
      </c>
    </row>
    <row r="8" spans="1:13" ht="24" customHeight="1" x14ac:dyDescent="0.2">
      <c r="B8" s="266" t="s">
        <v>397</v>
      </c>
      <c r="C8" s="263" t="s">
        <v>398</v>
      </c>
      <c r="D8" s="263" t="s">
        <v>399</v>
      </c>
      <c r="E8" s="263" t="s">
        <v>400</v>
      </c>
      <c r="F8" s="263" t="s">
        <v>401</v>
      </c>
      <c r="G8" s="268" t="s">
        <v>402</v>
      </c>
    </row>
    <row r="9" spans="1:13" ht="22" customHeight="1" x14ac:dyDescent="0.2">
      <c r="B9" s="307" t="s">
        <v>403</v>
      </c>
      <c r="C9" s="300">
        <f>Portfolio!$I$20/100*$F$7/365</f>
        <v>1.2973195165545699E-2</v>
      </c>
      <c r="D9" s="301">
        <v>1.6E-2</v>
      </c>
      <c r="E9" s="302">
        <f>C9-D9</f>
        <v>-3.0268048344543018E-3</v>
      </c>
      <c r="F9" s="325">
        <f>Portfolio!$G$20*C9</f>
        <v>1.2321616438356162</v>
      </c>
      <c r="G9" s="310" t="s">
        <v>404</v>
      </c>
    </row>
    <row r="10" spans="1:13" ht="22" customHeight="1" x14ac:dyDescent="0.2">
      <c r="B10" s="308" t="s">
        <v>405</v>
      </c>
      <c r="C10" s="301">
        <v>8.0000000000000002E-3</v>
      </c>
      <c r="D10" s="301">
        <v>5.0000000000000001E-3</v>
      </c>
      <c r="E10" s="303">
        <f>C10-D10</f>
        <v>3.0000000000000001E-3</v>
      </c>
      <c r="F10" s="326">
        <f>Portfolio!$G$20*C10</f>
        <v>0.75981999999999983</v>
      </c>
      <c r="G10" s="311" t="s">
        <v>406</v>
      </c>
    </row>
    <row r="11" spans="1:13" ht="22" customHeight="1" x14ac:dyDescent="0.2">
      <c r="B11" s="307" t="s">
        <v>407</v>
      </c>
      <c r="C11" s="301">
        <v>-3.0000000000000001E-3</v>
      </c>
      <c r="D11" s="301">
        <v>-4.0000000000000001E-3</v>
      </c>
      <c r="E11" s="302">
        <f>C11-D11</f>
        <v>1E-3</v>
      </c>
      <c r="F11" s="325">
        <f>Portfolio!$G$20*C11</f>
        <v>-0.28493249999999992</v>
      </c>
      <c r="G11" s="310" t="s">
        <v>408</v>
      </c>
    </row>
    <row r="12" spans="1:13" ht="22" customHeight="1" x14ac:dyDescent="0.2">
      <c r="B12" s="308" t="s">
        <v>409</v>
      </c>
      <c r="C12" s="301">
        <v>2E-3</v>
      </c>
      <c r="D12" s="301">
        <v>0</v>
      </c>
      <c r="E12" s="303">
        <f>C12-D12</f>
        <v>2E-3</v>
      </c>
      <c r="F12" s="326">
        <f>Portfolio!$G$20*C12</f>
        <v>0.18995499999999996</v>
      </c>
      <c r="G12" s="311" t="s">
        <v>410</v>
      </c>
    </row>
    <row r="13" spans="1:13" ht="22" customHeight="1" x14ac:dyDescent="0.2">
      <c r="B13" s="309" t="s">
        <v>411</v>
      </c>
      <c r="C13" s="304">
        <f>SUM(C9:C12)</f>
        <v>1.9973195165545701E-2</v>
      </c>
      <c r="D13" s="305">
        <f>SUM(D9:D12)</f>
        <v>1.7000000000000001E-2</v>
      </c>
      <c r="E13" s="306">
        <f>C13-D13</f>
        <v>2.9731951655457001E-3</v>
      </c>
      <c r="F13" s="327">
        <f>Portfolio!$G$20*C13</f>
        <v>1.8970041438356164</v>
      </c>
      <c r="G13" s="312" t="s">
        <v>412</v>
      </c>
    </row>
    <row r="14" spans="1:13" ht="12" customHeight="1" x14ac:dyDescent="0.2"/>
    <row r="15" spans="1:13" ht="22" customHeight="1" x14ac:dyDescent="0.2">
      <c r="B15" s="228" t="s">
        <v>413</v>
      </c>
      <c r="C15" s="227"/>
      <c r="D15" s="227"/>
      <c r="E15" s="227"/>
      <c r="F15" s="227"/>
      <c r="G15" s="227"/>
    </row>
    <row r="16" spans="1:13" ht="24" customHeight="1" x14ac:dyDescent="0.2">
      <c r="B16" s="266" t="s">
        <v>336</v>
      </c>
      <c r="C16" s="263" t="s">
        <v>155</v>
      </c>
      <c r="D16" s="263" t="s">
        <v>338</v>
      </c>
      <c r="E16" s="263" t="s">
        <v>414</v>
      </c>
      <c r="F16" s="268" t="s">
        <v>106</v>
      </c>
    </row>
    <row r="17" spans="2:6" ht="22" customHeight="1" x14ac:dyDescent="0.2">
      <c r="B17" s="252" t="s">
        <v>415</v>
      </c>
      <c r="C17" s="313">
        <f>E13/0.005</f>
        <v>0.59463903310914001</v>
      </c>
      <c r="D17" s="314">
        <v>0</v>
      </c>
      <c r="E17" s="314">
        <f>C17-D17</f>
        <v>0.59463903310914001</v>
      </c>
      <c r="F17" s="288" t="s">
        <v>416</v>
      </c>
    </row>
    <row r="18" spans="2:6" ht="22" customHeight="1" x14ac:dyDescent="0.2">
      <c r="B18" s="251" t="s">
        <v>417</v>
      </c>
      <c r="C18" s="313">
        <f>(Portfolio!$I$20-4.5)/3</f>
        <v>0.25378379089784442</v>
      </c>
      <c r="D18" s="232">
        <v>0.67</v>
      </c>
      <c r="E18" s="315">
        <f>C18-D18</f>
        <v>-0.41621620910215562</v>
      </c>
      <c r="F18" s="289" t="s">
        <v>418</v>
      </c>
    </row>
    <row r="19" spans="2:6" ht="22" customHeight="1" x14ac:dyDescent="0.2">
      <c r="B19" s="252" t="s">
        <v>419</v>
      </c>
      <c r="C19" s="316">
        <f>(Portfolio!$I$20-6.5)*100</f>
        <v>-123.86486273064668</v>
      </c>
      <c r="D19" s="242">
        <v>0</v>
      </c>
      <c r="E19" s="317"/>
      <c r="F19" s="288" t="s">
        <v>420</v>
      </c>
    </row>
    <row r="20" spans="2:6" ht="22" customHeight="1" x14ac:dyDescent="0.2">
      <c r="B20" s="251" t="s">
        <v>421</v>
      </c>
      <c r="C20" s="313">
        <f>Portfolio!$M$20-5</f>
        <v>0.4723144955384182</v>
      </c>
      <c r="D20" s="315">
        <v>0</v>
      </c>
      <c r="E20" s="318"/>
      <c r="F20" s="289" t="s">
        <v>422</v>
      </c>
    </row>
    <row r="21" spans="2:6" ht="22" customHeight="1" x14ac:dyDescent="0.2">
      <c r="B21" s="252" t="s">
        <v>423</v>
      </c>
      <c r="C21" s="316">
        <f>Portfolio!$L$20-250</f>
        <v>-156.41441394014373</v>
      </c>
      <c r="D21" s="241">
        <v>0</v>
      </c>
      <c r="E21" s="241"/>
      <c r="F21" s="288" t="s">
        <v>424</v>
      </c>
    </row>
    <row r="22" spans="2:6" ht="22" customHeight="1" x14ac:dyDescent="0.2">
      <c r="B22" s="251" t="s">
        <v>425</v>
      </c>
      <c r="C22" s="319">
        <v>0.75</v>
      </c>
      <c r="D22" s="272">
        <v>0.5</v>
      </c>
      <c r="E22" s="234">
        <f>C21-D21</f>
        <v>-156.41441394014373</v>
      </c>
      <c r="F22" s="289" t="s">
        <v>426</v>
      </c>
    </row>
    <row r="23" spans="2:6" ht="22" customHeight="1" x14ac:dyDescent="0.2">
      <c r="B23" s="322" t="s">
        <v>427</v>
      </c>
      <c r="C23" s="328">
        <v>-2.5000000000000001E-2</v>
      </c>
      <c r="D23" s="320">
        <v>-3.2</v>
      </c>
      <c r="E23" s="321">
        <f>C22-D22</f>
        <v>0.25</v>
      </c>
      <c r="F23" s="323" t="s">
        <v>428</v>
      </c>
    </row>
  </sheetData>
  <conditionalFormatting sqref="E9:E13">
    <cfRule type="cellIs" dxfId="1" priority="1" operator="greaterThan">
      <formula>0.001</formula>
    </cfRule>
  </conditionalFormatting>
  <conditionalFormatting sqref="E9:E13">
    <cfRule type="cellIs" dxfId="0" priority="2" operator="lessThan">
      <formula>-0.001</formula>
    </cfRule>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2FD1F1-CCEE-B249-B2D8-B8B33EDD75C9}">
  <sheetPr>
    <tabColor rgb="FF1F4E79"/>
  </sheetPr>
  <dimension ref="A1:R23"/>
  <sheetViews>
    <sheetView showGridLines="0" workbookViewId="0">
      <pane ySplit="4" topLeftCell="A5" activePane="bottomLeft" state="frozen"/>
      <selection pane="bottomLeft"/>
    </sheetView>
  </sheetViews>
  <sheetFormatPr baseColWidth="10" defaultRowHeight="16" x14ac:dyDescent="0.2"/>
  <sheetData>
    <row r="1" spans="1:18" ht="22" x14ac:dyDescent="0.3">
      <c r="A1" s="5" t="s">
        <v>3</v>
      </c>
    </row>
    <row r="2" spans="1:18" x14ac:dyDescent="0.2">
      <c r="A2" s="6" t="s">
        <v>4</v>
      </c>
    </row>
    <row r="3" spans="1:18" x14ac:dyDescent="0.2">
      <c r="A3" s="4" t="s">
        <v>60</v>
      </c>
    </row>
    <row r="4" spans="1:18" ht="28" customHeight="1" x14ac:dyDescent="0.2">
      <c r="A4" s="184" t="s">
        <v>5</v>
      </c>
      <c r="B4" s="21" t="s">
        <v>6</v>
      </c>
      <c r="C4" s="21" t="s">
        <v>7</v>
      </c>
      <c r="D4" s="21" t="s">
        <v>8</v>
      </c>
      <c r="E4" s="21" t="s">
        <v>9</v>
      </c>
      <c r="F4" s="21" t="s">
        <v>10</v>
      </c>
      <c r="G4" s="21" t="s">
        <v>11</v>
      </c>
      <c r="H4" s="21" t="s">
        <v>12</v>
      </c>
      <c r="I4" s="21" t="s">
        <v>13</v>
      </c>
      <c r="J4" s="21" t="s">
        <v>14</v>
      </c>
      <c r="K4" s="21" t="s">
        <v>15</v>
      </c>
      <c r="L4" s="21" t="s">
        <v>16</v>
      </c>
      <c r="M4" s="21" t="s">
        <v>17</v>
      </c>
      <c r="N4" s="21" t="s">
        <v>18</v>
      </c>
      <c r="O4" s="21" t="s">
        <v>19</v>
      </c>
      <c r="P4" s="21" t="s">
        <v>20</v>
      </c>
      <c r="Q4" s="21" t="s">
        <v>21</v>
      </c>
      <c r="R4" s="29" t="s">
        <v>22</v>
      </c>
    </row>
    <row r="5" spans="1:18" ht="22" customHeight="1" x14ac:dyDescent="0.2">
      <c r="A5" s="185" t="s">
        <v>23</v>
      </c>
      <c r="B5" s="9" t="s">
        <v>24</v>
      </c>
      <c r="C5" s="10" t="s">
        <v>25</v>
      </c>
      <c r="D5" s="10" t="s">
        <v>26</v>
      </c>
      <c r="E5" s="11" t="s">
        <v>139</v>
      </c>
      <c r="F5" s="11" t="s">
        <v>440</v>
      </c>
      <c r="G5" s="12" t="str">
        <f>'Credit Scoring'!$I$22</f>
        <v>A</v>
      </c>
      <c r="H5" s="11" t="s">
        <v>441</v>
      </c>
      <c r="I5" s="11">
        <v>2030</v>
      </c>
      <c r="J5" s="11">
        <v>3.5</v>
      </c>
      <c r="K5" s="11">
        <v>101.25</v>
      </c>
      <c r="L5" s="13">
        <f>IF(K5="","",J5/K5*100)</f>
        <v>3.4567901234567899</v>
      </c>
      <c r="M5" s="11">
        <v>4.5</v>
      </c>
      <c r="N5" s="14">
        <f>IF(OR(L5="",M5=""),"",(L5-M5)*100)</f>
        <v>-104.320987654321</v>
      </c>
      <c r="O5" s="14">
        <f>'Spread Analysis'!$J$16</f>
        <v>65</v>
      </c>
      <c r="P5" s="14">
        <f>IF(OR(N5="",O5=""),"",N5-O5)</f>
        <v>-169.32098765432102</v>
      </c>
      <c r="Q5" s="15" t="str">
        <f>IF(P5="","",IF(P5&gt;15,"Too Wide",IF(P5&lt;-15,"Too Tight","Fair")))</f>
        <v>Too Tight</v>
      </c>
      <c r="R5" s="30" t="s">
        <v>460</v>
      </c>
    </row>
    <row r="6" spans="1:18" ht="22" customHeight="1" x14ac:dyDescent="0.2">
      <c r="A6" s="186" t="s">
        <v>27</v>
      </c>
      <c r="B6" s="16" t="s">
        <v>28</v>
      </c>
      <c r="C6" s="17" t="s">
        <v>25</v>
      </c>
      <c r="D6" s="17" t="s">
        <v>29</v>
      </c>
      <c r="E6" s="11" t="s">
        <v>139</v>
      </c>
      <c r="F6" s="11" t="s">
        <v>442</v>
      </c>
      <c r="G6" s="18" t="str">
        <f>'Credit Scoring'!$I$23</f>
        <v>A</v>
      </c>
      <c r="H6" s="11" t="s">
        <v>443</v>
      </c>
      <c r="I6" s="11">
        <v>2031</v>
      </c>
      <c r="J6" s="11">
        <v>3.4</v>
      </c>
      <c r="K6" s="11">
        <v>102.1</v>
      </c>
      <c r="L6" s="19">
        <f>IF(K6="","",J6/K6*100)</f>
        <v>3.3300685602350639</v>
      </c>
      <c r="M6" s="11">
        <v>4.5</v>
      </c>
      <c r="N6" s="20">
        <f>IF(OR(L6="",M6=""),"",(L6-M6)*100)</f>
        <v>-116.99314397649361</v>
      </c>
      <c r="O6" s="20">
        <f>'Spread Analysis'!$J$17</f>
        <v>70</v>
      </c>
      <c r="P6" s="20">
        <f>IF(OR(N6="",O6=""),"",N6-O6)</f>
        <v>-186.99314397649363</v>
      </c>
      <c r="Q6" s="15" t="str">
        <f>IF(P6="","",IF(P6&gt;15,"Too Wide",IF(P6&lt;-15,"Too Tight","Fair")))</f>
        <v>Too Tight</v>
      </c>
      <c r="R6" s="30" t="s">
        <v>461</v>
      </c>
    </row>
    <row r="7" spans="1:18" ht="22" customHeight="1" x14ac:dyDescent="0.2">
      <c r="A7" s="185" t="s">
        <v>30</v>
      </c>
      <c r="B7" s="9" t="s">
        <v>31</v>
      </c>
      <c r="C7" s="10" t="s">
        <v>32</v>
      </c>
      <c r="D7" s="10" t="s">
        <v>33</v>
      </c>
      <c r="E7" s="11" t="s">
        <v>116</v>
      </c>
      <c r="F7" s="11" t="s">
        <v>444</v>
      </c>
      <c r="G7" s="12" t="str">
        <f>'Credit Scoring'!$I$24</f>
        <v>BBB-</v>
      </c>
      <c r="H7" s="11" t="s">
        <v>445</v>
      </c>
      <c r="I7" s="11">
        <v>2028</v>
      </c>
      <c r="J7" s="11">
        <v>4.875</v>
      </c>
      <c r="K7" s="11">
        <v>95.5</v>
      </c>
      <c r="L7" s="13">
        <f>IF(K7="","",J7/K7*100)</f>
        <v>5.1047120418848166</v>
      </c>
      <c r="M7" s="11">
        <v>4.2</v>
      </c>
      <c r="N7" s="14">
        <f>IF(OR(L7="",M7=""),"",(L7-M7)*100)</f>
        <v>90.47120418848165</v>
      </c>
      <c r="O7" s="14">
        <f>'Spread Analysis'!$J$18</f>
        <v>250</v>
      </c>
      <c r="P7" s="14">
        <f>IF(OR(N7="",O7=""),"",N7-O7)</f>
        <v>-159.52879581151836</v>
      </c>
      <c r="Q7" s="15" t="str">
        <f>IF(P7="","",IF(P7&gt;15,"Too Wide",IF(P7&lt;-15,"Too Tight","Fair")))</f>
        <v>Too Tight</v>
      </c>
      <c r="R7" s="30" t="s">
        <v>460</v>
      </c>
    </row>
    <row r="8" spans="1:18" ht="22" customHeight="1" x14ac:dyDescent="0.2">
      <c r="A8" s="186" t="s">
        <v>34</v>
      </c>
      <c r="B8" s="16" t="s">
        <v>35</v>
      </c>
      <c r="C8" s="17" t="s">
        <v>32</v>
      </c>
      <c r="D8" s="17" t="s">
        <v>36</v>
      </c>
      <c r="E8" s="11" t="s">
        <v>119</v>
      </c>
      <c r="F8" s="11" t="s">
        <v>446</v>
      </c>
      <c r="G8" s="18" t="str">
        <f>'Credit Scoring'!$I$25</f>
        <v>A</v>
      </c>
      <c r="H8" s="11" t="s">
        <v>447</v>
      </c>
      <c r="I8" s="11">
        <v>2027</v>
      </c>
      <c r="J8" s="11">
        <v>5.75</v>
      </c>
      <c r="K8" s="11">
        <v>99.25</v>
      </c>
      <c r="L8" s="19">
        <f>IF(K8="","",J8/K8*100)</f>
        <v>5.7934508816120909</v>
      </c>
      <c r="M8" s="11">
        <v>4.2</v>
      </c>
      <c r="N8" s="20">
        <f>IF(OR(L8="",M8=""),"",(L8-M8)*100)</f>
        <v>159.34508816120908</v>
      </c>
      <c r="O8" s="20">
        <f>'Spread Analysis'!$J$19</f>
        <v>80</v>
      </c>
      <c r="P8" s="20">
        <f>IF(OR(N8="",O8=""),"",N8-O8)</f>
        <v>79.345088161209077</v>
      </c>
      <c r="Q8" s="15" t="str">
        <f>IF(P8="","",IF(P8&gt;15,"Too Wide",IF(P8&lt;-15,"Too Tight","Fair")))</f>
        <v>Too Wide</v>
      </c>
      <c r="R8" s="30" t="s">
        <v>460</v>
      </c>
    </row>
    <row r="9" spans="1:18" ht="22" customHeight="1" x14ac:dyDescent="0.2">
      <c r="A9" s="187" t="s">
        <v>37</v>
      </c>
      <c r="B9" s="9" t="s">
        <v>38</v>
      </c>
      <c r="C9" s="10" t="s">
        <v>25</v>
      </c>
      <c r="D9" s="10" t="s">
        <v>39</v>
      </c>
      <c r="E9" s="11" t="s">
        <v>123</v>
      </c>
      <c r="F9" s="11" t="s">
        <v>448</v>
      </c>
      <c r="G9" s="12" t="str">
        <f>'Credit Scoring'!$I$26</f>
        <v>BBB</v>
      </c>
      <c r="H9" s="11" t="s">
        <v>449</v>
      </c>
      <c r="I9" s="11">
        <v>2027</v>
      </c>
      <c r="J9" s="11">
        <v>6.1</v>
      </c>
      <c r="K9" s="11">
        <v>92</v>
      </c>
      <c r="L9" s="13">
        <f>IF(K9="","",J9/K9*100)</f>
        <v>6.6304347826086945</v>
      </c>
      <c r="M9" s="11">
        <v>4.5</v>
      </c>
      <c r="N9" s="14">
        <f>IF(OR(L9="",M9=""),"",(L9-M9)*100)</f>
        <v>213.04347826086945</v>
      </c>
      <c r="O9" s="14">
        <f>'Spread Analysis'!$J$20</f>
        <v>195</v>
      </c>
      <c r="P9" s="14">
        <f>IF(OR(N9="",O9=""),"",N9-O9)</f>
        <v>18.043478260869449</v>
      </c>
      <c r="Q9" s="15" t="str">
        <f>IF(P9="","",IF(P9&gt;15,"Too Wide",IF(P9&lt;-15,"Too Tight","Fair")))</f>
        <v>Too Wide</v>
      </c>
      <c r="R9" s="30" t="s">
        <v>461</v>
      </c>
    </row>
    <row r="10" spans="1:18" ht="22" customHeight="1" x14ac:dyDescent="0.2">
      <c r="A10" s="188" t="s">
        <v>40</v>
      </c>
      <c r="B10" s="16" t="s">
        <v>41</v>
      </c>
      <c r="C10" s="17" t="s">
        <v>42</v>
      </c>
      <c r="D10" s="17" t="s">
        <v>33</v>
      </c>
      <c r="E10" s="11" t="s">
        <v>127</v>
      </c>
      <c r="F10" s="11" t="s">
        <v>450</v>
      </c>
      <c r="G10" s="18" t="str">
        <f>'Credit Scoring'!$I$27</f>
        <v>BBB-</v>
      </c>
      <c r="H10" s="11" t="s">
        <v>451</v>
      </c>
      <c r="I10" s="11">
        <v>2027</v>
      </c>
      <c r="J10" s="11">
        <v>5.25</v>
      </c>
      <c r="K10" s="11">
        <v>88.5</v>
      </c>
      <c r="L10" s="19">
        <f>IF(K10="","",J10/K10*100)</f>
        <v>5.9322033898305087</v>
      </c>
      <c r="M10" s="11">
        <v>3.8</v>
      </c>
      <c r="N10" s="20">
        <f>IF(OR(L10="",M10=""),"",(L10-M10)*100)</f>
        <v>213.22033898305088</v>
      </c>
      <c r="O10" s="20">
        <f>'Spread Analysis'!$J$21</f>
        <v>235</v>
      </c>
      <c r="P10" s="20">
        <f>IF(OR(N10="",O10=""),"",N10-O10)</f>
        <v>-21.77966101694912</v>
      </c>
      <c r="Q10" s="15" t="str">
        <f>IF(P10="","",IF(P10&gt;15,"Too Wide",IF(P10&lt;-15,"Too Tight","Fair")))</f>
        <v>Too Tight</v>
      </c>
      <c r="R10" s="30" t="s">
        <v>460</v>
      </c>
    </row>
    <row r="11" spans="1:18" ht="22" customHeight="1" x14ac:dyDescent="0.2">
      <c r="A11" s="187" t="s">
        <v>43</v>
      </c>
      <c r="B11" s="9" t="s">
        <v>44</v>
      </c>
      <c r="C11" s="10" t="s">
        <v>32</v>
      </c>
      <c r="D11" s="10" t="s">
        <v>45</v>
      </c>
      <c r="E11" s="11" t="s">
        <v>119</v>
      </c>
      <c r="F11" s="11" t="s">
        <v>446</v>
      </c>
      <c r="G11" s="12" t="str">
        <f>'Credit Scoring'!$I$28</f>
        <v>BBB-</v>
      </c>
      <c r="H11" s="11" t="s">
        <v>452</v>
      </c>
      <c r="I11" s="11">
        <v>2027</v>
      </c>
      <c r="J11" s="11">
        <v>4.5</v>
      </c>
      <c r="K11" s="11">
        <v>97.25</v>
      </c>
      <c r="L11" s="13">
        <f>IF(K11="","",J11/K11*100)</f>
        <v>4.6272493573264777</v>
      </c>
      <c r="M11" s="11">
        <v>4.2</v>
      </c>
      <c r="N11" s="14">
        <f>IF(OR(L11="",M11=""),"",(L11-M11)*100)</f>
        <v>42.724935732647751</v>
      </c>
      <c r="O11" s="14">
        <f>'Spread Analysis'!$J$22</f>
        <v>210</v>
      </c>
      <c r="P11" s="14">
        <f>IF(OR(N11="",O11=""),"",N11-O11)</f>
        <v>-167.27506426735226</v>
      </c>
      <c r="Q11" s="15" t="str">
        <f>IF(P11="","",IF(P11&gt;15,"Too Wide",IF(P11&lt;-15,"Too Tight","Fair")))</f>
        <v>Too Tight</v>
      </c>
      <c r="R11" s="30" t="s">
        <v>461</v>
      </c>
    </row>
    <row r="12" spans="1:18" ht="22" customHeight="1" x14ac:dyDescent="0.2">
      <c r="A12" s="188" t="s">
        <v>46</v>
      </c>
      <c r="B12" s="16" t="s">
        <v>47</v>
      </c>
      <c r="C12" s="17" t="s">
        <v>48</v>
      </c>
      <c r="D12" s="17" t="s">
        <v>33</v>
      </c>
      <c r="E12" s="11" t="s">
        <v>119</v>
      </c>
      <c r="F12" s="11" t="s">
        <v>446</v>
      </c>
      <c r="G12" s="18" t="str">
        <f>'Credit Scoring'!$I$29</f>
        <v>BBB-</v>
      </c>
      <c r="H12" s="11" t="s">
        <v>453</v>
      </c>
      <c r="I12" s="11">
        <v>2029</v>
      </c>
      <c r="J12" s="11">
        <v>4.8949999999999996</v>
      </c>
      <c r="K12" s="11">
        <v>94</v>
      </c>
      <c r="L12" s="19">
        <f>IF(K12="","",J12/K12*100)</f>
        <v>5.207446808510638</v>
      </c>
      <c r="M12" s="11">
        <v>3.8</v>
      </c>
      <c r="N12" s="20">
        <f>IF(OR(L12="",M12=""),"",(L12-M12)*100)</f>
        <v>140.74468085106383</v>
      </c>
      <c r="O12" s="20">
        <f>'Spread Analysis'!$J$23</f>
        <v>245</v>
      </c>
      <c r="P12" s="20">
        <f>IF(OR(N12="",O12=""),"",N12-O12)</f>
        <v>-104.25531914893617</v>
      </c>
      <c r="Q12" s="15" t="str">
        <f>IF(P12="","",IF(P12&gt;15,"Too Wide",IF(P12&lt;-15,"Too Tight","Fair")))</f>
        <v>Too Tight</v>
      </c>
      <c r="R12" s="30" t="s">
        <v>461</v>
      </c>
    </row>
    <row r="13" spans="1:18" ht="22" customHeight="1" x14ac:dyDescent="0.2">
      <c r="A13" s="189" t="s">
        <v>49</v>
      </c>
      <c r="B13" s="9" t="s">
        <v>50</v>
      </c>
      <c r="C13" s="10" t="s">
        <v>25</v>
      </c>
      <c r="D13" s="10" t="s">
        <v>51</v>
      </c>
      <c r="E13" s="11" t="s">
        <v>131</v>
      </c>
      <c r="F13" s="11" t="s">
        <v>454</v>
      </c>
      <c r="G13" s="12" t="str">
        <f>'Credit Scoring'!$I$30</f>
        <v>BB</v>
      </c>
      <c r="H13" s="11" t="s">
        <v>455</v>
      </c>
      <c r="I13" s="11">
        <v>2028</v>
      </c>
      <c r="J13" s="11">
        <v>7.625</v>
      </c>
      <c r="K13" s="11">
        <v>85.5</v>
      </c>
      <c r="L13" s="13">
        <f>IF(K13="","",J13/K13*100)</f>
        <v>8.9181286549707597</v>
      </c>
      <c r="M13" s="11">
        <v>4.5</v>
      </c>
      <c r="N13" s="14">
        <f>IF(OR(L13="",M13=""),"",(L13-M13)*100)</f>
        <v>441.81286549707596</v>
      </c>
      <c r="O13" s="14">
        <f>'Spread Analysis'!$J$24</f>
        <v>405</v>
      </c>
      <c r="P13" s="14">
        <f>IF(OR(N13="",O13=""),"",N13-O13)</f>
        <v>36.812865497075961</v>
      </c>
      <c r="Q13" s="15" t="str">
        <f>IF(P13="","",IF(P13&gt;15,"Too Wide",IF(P13&lt;-15,"Too Tight","Fair")))</f>
        <v>Too Wide</v>
      </c>
      <c r="R13" s="30" t="s">
        <v>462</v>
      </c>
    </row>
    <row r="14" spans="1:18" ht="22" customHeight="1" x14ac:dyDescent="0.2">
      <c r="A14" s="190" t="s">
        <v>52</v>
      </c>
      <c r="B14" s="16" t="s">
        <v>53</v>
      </c>
      <c r="C14" s="17" t="s">
        <v>25</v>
      </c>
      <c r="D14" s="17" t="s">
        <v>54</v>
      </c>
      <c r="E14" s="11" t="s">
        <v>119</v>
      </c>
      <c r="F14" s="11" t="s">
        <v>446</v>
      </c>
      <c r="G14" s="18" t="str">
        <f>'Credit Scoring'!$I$31</f>
        <v>BBB-</v>
      </c>
      <c r="H14" s="11" t="s">
        <v>456</v>
      </c>
      <c r="I14" s="11">
        <v>2027</v>
      </c>
      <c r="J14" s="11">
        <v>5</v>
      </c>
      <c r="K14" s="11">
        <v>93.25</v>
      </c>
      <c r="L14" s="19">
        <f>IF(K14="","",J14/K14*100)</f>
        <v>5.3619302949061662</v>
      </c>
      <c r="M14" s="11">
        <v>4.5</v>
      </c>
      <c r="N14" s="20">
        <f>IF(OR(L14="",M14=""),"",(L14-M14)*100)</f>
        <v>86.193029490616624</v>
      </c>
      <c r="O14" s="20">
        <f>'Spread Analysis'!$J$25</f>
        <v>215</v>
      </c>
      <c r="P14" s="20">
        <f>IF(OR(N14="",O14=""),"",N14-O14)</f>
        <v>-128.80697050938338</v>
      </c>
      <c r="Q14" s="15" t="str">
        <f>IF(P14="","",IF(P14&gt;15,"Too Wide",IF(P14&lt;-15,"Too Tight","Fair")))</f>
        <v>Too Tight</v>
      </c>
      <c r="R14" s="30" t="s">
        <v>460</v>
      </c>
    </row>
    <row r="15" spans="1:18" ht="22" customHeight="1" x14ac:dyDescent="0.2">
      <c r="A15" s="189" t="s">
        <v>55</v>
      </c>
      <c r="B15" s="9" t="s">
        <v>56</v>
      </c>
      <c r="C15" s="10" t="s">
        <v>57</v>
      </c>
      <c r="D15" s="10" t="s">
        <v>36</v>
      </c>
      <c r="E15" s="11" t="s">
        <v>143</v>
      </c>
      <c r="F15" s="11" t="s">
        <v>457</v>
      </c>
      <c r="G15" s="12" t="str">
        <f>'Credit Scoring'!$I$32</f>
        <v>BB+</v>
      </c>
      <c r="H15" s="11" t="s">
        <v>458</v>
      </c>
      <c r="I15" s="11">
        <v>2028</v>
      </c>
      <c r="J15" s="11">
        <v>7.875</v>
      </c>
      <c r="K15" s="11">
        <v>82</v>
      </c>
      <c r="L15" s="13">
        <f>IF(K15="","",J15/K15*100)</f>
        <v>9.6036585365853657</v>
      </c>
      <c r="M15" s="11">
        <v>4.5</v>
      </c>
      <c r="N15" s="14">
        <f>IF(OR(L15="",M15=""),"",(L15-M15)*100)</f>
        <v>510.36585365853659</v>
      </c>
      <c r="O15" s="14">
        <f>'Spread Analysis'!$J$26</f>
        <v>305</v>
      </c>
      <c r="P15" s="14">
        <f>IF(OR(N15="",O15=""),"",N15-O15)</f>
        <v>205.36585365853659</v>
      </c>
      <c r="Q15" s="15" t="str">
        <f>IF(P15="","",IF(P15&gt;15,"Too Wide",IF(P15&lt;-15,"Too Tight","Fair")))</f>
        <v>Too Wide</v>
      </c>
      <c r="R15" s="30" t="s">
        <v>460</v>
      </c>
    </row>
    <row r="16" spans="1:18" ht="22" customHeight="1" x14ac:dyDescent="0.2">
      <c r="A16" s="191" t="s">
        <v>58</v>
      </c>
      <c r="B16" s="22" t="s">
        <v>59</v>
      </c>
      <c r="C16" s="23" t="s">
        <v>25</v>
      </c>
      <c r="D16" s="23" t="s">
        <v>54</v>
      </c>
      <c r="E16" s="24" t="s">
        <v>143</v>
      </c>
      <c r="F16" s="24" t="s">
        <v>457</v>
      </c>
      <c r="G16" s="25" t="str">
        <f>'Credit Scoring'!$I$33</f>
        <v>BB</v>
      </c>
      <c r="H16" s="24" t="s">
        <v>459</v>
      </c>
      <c r="I16" s="24">
        <v>2027</v>
      </c>
      <c r="J16" s="24">
        <v>6.5</v>
      </c>
      <c r="K16" s="24">
        <v>78.5</v>
      </c>
      <c r="L16" s="26">
        <f>IF(K16="","",J16/K16*100)</f>
        <v>8.2802547770700627</v>
      </c>
      <c r="M16" s="24">
        <v>4.5</v>
      </c>
      <c r="N16" s="27">
        <f>IF(OR(L16="",M16=""),"",(L16-M16)*100)</f>
        <v>378.0254777070063</v>
      </c>
      <c r="O16" s="27">
        <f>'Spread Analysis'!$J$27</f>
        <v>385</v>
      </c>
      <c r="P16" s="27">
        <f>IF(OR(N16="",O16=""),"",N16-O16)</f>
        <v>-6.9745222929936972</v>
      </c>
      <c r="Q16" s="28" t="str">
        <f>IF(P16="","",IF(P16&gt;15,"Too Wide",IF(P16&lt;-15,"Too Tight","Fair")))</f>
        <v>Fair</v>
      </c>
      <c r="R16" s="31" t="s">
        <v>462</v>
      </c>
    </row>
    <row r="17" spans="1:4" x14ac:dyDescent="0.2">
      <c r="A17" s="192" t="s">
        <v>281</v>
      </c>
      <c r="B17" s="193" t="s">
        <v>282</v>
      </c>
      <c r="C17" s="194" t="s">
        <v>283</v>
      </c>
      <c r="D17" s="195" t="s">
        <v>284</v>
      </c>
    </row>
    <row r="18" spans="1:4" x14ac:dyDescent="0.2">
      <c r="A18" s="32" t="s">
        <v>61</v>
      </c>
    </row>
    <row r="19" spans="1:4" x14ac:dyDescent="0.2">
      <c r="A19" s="33" t="s">
        <v>62</v>
      </c>
      <c r="B19" s="3" t="s">
        <v>63</v>
      </c>
    </row>
    <row r="20" spans="1:4" x14ac:dyDescent="0.2">
      <c r="A20" s="33" t="s">
        <v>64</v>
      </c>
      <c r="B20" s="3" t="s">
        <v>65</v>
      </c>
    </row>
    <row r="21" spans="1:4" x14ac:dyDescent="0.2">
      <c r="A21" s="33" t="s">
        <v>66</v>
      </c>
      <c r="B21" s="3" t="s">
        <v>67</v>
      </c>
    </row>
    <row r="22" spans="1:4" x14ac:dyDescent="0.2">
      <c r="A22" s="33" t="s">
        <v>68</v>
      </c>
      <c r="B22" s="3" t="s">
        <v>69</v>
      </c>
    </row>
    <row r="23" spans="1:4" x14ac:dyDescent="0.2">
      <c r="A23" s="33" t="s">
        <v>70</v>
      </c>
      <c r="B23" s="3" t="s">
        <v>71</v>
      </c>
    </row>
  </sheetData>
  <conditionalFormatting sqref="Q5:Q16">
    <cfRule type="containsText" dxfId="17" priority="1" operator="containsText" text="Too Wide">
      <formula>NOT(ISERROR(SEARCH("Too Wide",Q5)))</formula>
    </cfRule>
  </conditionalFormatting>
  <conditionalFormatting sqref="Q5:Q16">
    <cfRule type="containsText" dxfId="16" priority="2" operator="containsText" text="Too Tight">
      <formula>NOT(ISERROR(SEARCH("Too Tight",Q5)))</formula>
    </cfRule>
  </conditionalFormatting>
  <conditionalFormatting sqref="Q5:Q16">
    <cfRule type="containsText" dxfId="15" priority="3" operator="containsText" text="Fair">
      <formula>NOT(ISERROR(SEARCH("Fair",Q5)))</formula>
    </cfRule>
  </conditionalFormatting>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834C34-C87B-5F49-A0E2-65C78D8CC839}">
  <sheetPr>
    <tabColor rgb="FF1F4E79"/>
  </sheetPr>
  <dimension ref="A1:R73"/>
  <sheetViews>
    <sheetView showGridLines="0" workbookViewId="0">
      <pane ySplit="5" topLeftCell="A44" activePane="bottomLeft" state="frozen"/>
      <selection pane="bottomLeft"/>
    </sheetView>
  </sheetViews>
  <sheetFormatPr baseColWidth="10" defaultRowHeight="16" x14ac:dyDescent="0.2"/>
  <sheetData>
    <row r="1" spans="1:18" ht="22" x14ac:dyDescent="0.3">
      <c r="A1" s="5" t="s">
        <v>72</v>
      </c>
    </row>
    <row r="2" spans="1:18" x14ac:dyDescent="0.2">
      <c r="A2" s="6" t="s">
        <v>73</v>
      </c>
    </row>
    <row r="4" spans="1:18" ht="18" customHeight="1" x14ac:dyDescent="0.2">
      <c r="A4" s="2" t="s">
        <v>74</v>
      </c>
      <c r="B4" s="129" t="s">
        <v>306</v>
      </c>
      <c r="C4" s="128"/>
      <c r="D4" s="128"/>
      <c r="E4" s="128"/>
      <c r="F4" s="128"/>
      <c r="G4" s="128"/>
      <c r="H4" s="128"/>
      <c r="I4" s="128"/>
      <c r="J4" s="35" t="s">
        <v>307</v>
      </c>
      <c r="K4" s="34"/>
      <c r="L4" s="34"/>
      <c r="M4" s="34"/>
      <c r="N4" s="34"/>
      <c r="O4" s="34"/>
      <c r="P4" s="1"/>
      <c r="Q4" s="1"/>
      <c r="R4" s="1"/>
    </row>
    <row r="5" spans="1:18" ht="32" customHeight="1" x14ac:dyDescent="0.2">
      <c r="A5" s="56" t="s">
        <v>5</v>
      </c>
      <c r="B5" s="58" t="s">
        <v>75</v>
      </c>
      <c r="C5" s="43" t="s">
        <v>76</v>
      </c>
      <c r="D5" s="44" t="s">
        <v>77</v>
      </c>
      <c r="E5" s="44" t="s">
        <v>78</v>
      </c>
      <c r="F5" s="44" t="s">
        <v>79</v>
      </c>
      <c r="G5" s="44" t="s">
        <v>80</v>
      </c>
      <c r="H5" s="44" t="s">
        <v>81</v>
      </c>
      <c r="I5" s="44" t="s">
        <v>82</v>
      </c>
      <c r="J5" s="44" t="s">
        <v>83</v>
      </c>
      <c r="K5" s="44" t="s">
        <v>84</v>
      </c>
      <c r="L5" s="44" t="s">
        <v>85</v>
      </c>
      <c r="M5" s="44" t="s">
        <v>86</v>
      </c>
      <c r="N5" s="44" t="s">
        <v>87</v>
      </c>
      <c r="O5" s="52" t="s">
        <v>88</v>
      </c>
    </row>
    <row r="6" spans="1:18" x14ac:dyDescent="0.2">
      <c r="A6" s="49" t="s">
        <v>23</v>
      </c>
      <c r="B6" s="57">
        <v>245.1</v>
      </c>
      <c r="C6" s="38">
        <v>130.1</v>
      </c>
      <c r="D6" s="38">
        <v>109.4</v>
      </c>
      <c r="E6" s="38">
        <v>79.400000000000006</v>
      </c>
      <c r="F6" s="38">
        <v>18.3</v>
      </c>
      <c r="G6" s="38">
        <v>1.9</v>
      </c>
      <c r="H6" s="38">
        <v>21.7</v>
      </c>
      <c r="I6" s="38">
        <v>74.099999999999994</v>
      </c>
      <c r="J6" s="39">
        <f>(E6-F6)/C6</f>
        <v>0.46963873943120688</v>
      </c>
      <c r="K6" s="40">
        <f>IF(G6=0,"N/A",C6/G6)</f>
        <v>68.473684210526315</v>
      </c>
      <c r="L6" s="40">
        <f>IF(E6=0,"N/A",I6/E6*100)</f>
        <v>93.324937027707804</v>
      </c>
      <c r="M6" s="39">
        <f>E6/MAX(C6*6-E6,0.01)</f>
        <v>0.11323445521962353</v>
      </c>
      <c r="N6" s="40">
        <f>IF(B6=0,"N/A",D6/B6*100)</f>
        <v>44.634842921256634</v>
      </c>
      <c r="O6" s="53">
        <f>IF(E6=0,"N/A",F6/(E6*0.2))</f>
        <v>1.1523929471032743</v>
      </c>
    </row>
    <row r="7" spans="1:18" x14ac:dyDescent="0.2">
      <c r="A7" s="50" t="s">
        <v>27</v>
      </c>
      <c r="B7" s="38">
        <v>88.2</v>
      </c>
      <c r="C7" s="38">
        <v>25.8</v>
      </c>
      <c r="D7" s="38">
        <v>22.1</v>
      </c>
      <c r="E7" s="38">
        <v>27.9</v>
      </c>
      <c r="F7" s="38">
        <v>21.9</v>
      </c>
      <c r="G7" s="38">
        <v>0.5</v>
      </c>
      <c r="H7" s="38">
        <v>3.3</v>
      </c>
      <c r="I7" s="38">
        <v>18.8</v>
      </c>
      <c r="J7" s="41">
        <f>(E7-F7)/C7</f>
        <v>0.23255813953488372</v>
      </c>
      <c r="K7" s="42">
        <f>IF(G7=0,"N/A",C7/G7)</f>
        <v>51.6</v>
      </c>
      <c r="L7" s="42">
        <f>IF(E7=0,"N/A",I7/E7*100)</f>
        <v>67.383512544802869</v>
      </c>
      <c r="M7" s="41">
        <f>E7/MAX(C7*6-E7,0.01)</f>
        <v>0.21985815602836878</v>
      </c>
      <c r="N7" s="42">
        <f>IF(B7=0,"N/A",D7/B7*100)</f>
        <v>25.056689342403626</v>
      </c>
      <c r="O7" s="54">
        <f>IF(E7=0,"N/A",F7/(E7*0.2))</f>
        <v>3.9247311827956985</v>
      </c>
    </row>
    <row r="8" spans="1:18" x14ac:dyDescent="0.2">
      <c r="A8" s="49" t="s">
        <v>30</v>
      </c>
      <c r="B8" s="38">
        <v>45.6</v>
      </c>
      <c r="C8" s="38">
        <v>14.8</v>
      </c>
      <c r="D8" s="38">
        <v>5.0999999999999996</v>
      </c>
      <c r="E8" s="38">
        <v>52.1</v>
      </c>
      <c r="F8" s="38">
        <v>5.2</v>
      </c>
      <c r="G8" s="38">
        <v>2.7</v>
      </c>
      <c r="H8" s="38">
        <v>5.9</v>
      </c>
      <c r="I8" s="38">
        <v>5.3</v>
      </c>
      <c r="J8" s="39">
        <f>(E8-F8)/C8</f>
        <v>3.1689189189189189</v>
      </c>
      <c r="K8" s="40">
        <f>IF(G8=0,"N/A",C8/G8)</f>
        <v>5.481481481481481</v>
      </c>
      <c r="L8" s="40">
        <f>IF(E8=0,"N/A",I8/E8*100)</f>
        <v>10.172744721689059</v>
      </c>
      <c r="M8" s="39">
        <f>E8/MAX(C8*6-E8,0.01)</f>
        <v>1.419618528610354</v>
      </c>
      <c r="N8" s="40">
        <f>IF(B8=0,"N/A",D8/B8*100)</f>
        <v>11.184210526315788</v>
      </c>
      <c r="O8" s="53">
        <f>IF(E8=0,"N/A",F8/(E8*0.2))</f>
        <v>0.49904030710172737</v>
      </c>
    </row>
    <row r="9" spans="1:18" x14ac:dyDescent="0.2">
      <c r="A9" s="50" t="s">
        <v>34</v>
      </c>
      <c r="B9" s="38">
        <v>18.7</v>
      </c>
      <c r="C9" s="38">
        <v>2.8</v>
      </c>
      <c r="D9" s="38">
        <v>1.9</v>
      </c>
      <c r="E9" s="38">
        <v>3.2</v>
      </c>
      <c r="F9" s="38">
        <v>2.4</v>
      </c>
      <c r="G9" s="38">
        <v>0.2</v>
      </c>
      <c r="H9" s="38">
        <v>0.9</v>
      </c>
      <c r="I9" s="38">
        <v>1.4</v>
      </c>
      <c r="J9" s="41">
        <f>(E9-F9)/C9</f>
        <v>0.28571428571428581</v>
      </c>
      <c r="K9" s="42">
        <f>IF(G9=0,"N/A",C9/G9)</f>
        <v>13.999999999999998</v>
      </c>
      <c r="L9" s="42">
        <f>IF(E9=0,"N/A",I9/E9*100)</f>
        <v>43.749999999999993</v>
      </c>
      <c r="M9" s="41">
        <f>E9/MAX(C9*6-E9,0.01)</f>
        <v>0.23529411764705888</v>
      </c>
      <c r="N9" s="42">
        <f>IF(B9=0,"N/A",D9/B9*100)</f>
        <v>10.160427807486631</v>
      </c>
      <c r="O9" s="54">
        <f>IF(E9=0,"N/A",F9/(E9*0.2))</f>
        <v>3.7499999999999991</v>
      </c>
    </row>
    <row r="10" spans="1:18" x14ac:dyDescent="0.2">
      <c r="A10" s="49" t="s">
        <v>37</v>
      </c>
      <c r="B10" s="38">
        <v>185</v>
      </c>
      <c r="C10" s="38">
        <v>10.199999999999999</v>
      </c>
      <c r="D10" s="38">
        <v>6.4</v>
      </c>
      <c r="E10" s="38">
        <v>22</v>
      </c>
      <c r="F10" s="38">
        <v>29.3</v>
      </c>
      <c r="G10" s="38">
        <v>1.5</v>
      </c>
      <c r="H10" s="38">
        <v>7.1</v>
      </c>
      <c r="I10" s="38">
        <v>2.8</v>
      </c>
      <c r="J10" s="39">
        <f>(E10-F10)/C10</f>
        <v>-0.71568627450980404</v>
      </c>
      <c r="K10" s="40">
        <f>IF(G10=0,"N/A",C10/G10)</f>
        <v>6.8</v>
      </c>
      <c r="L10" s="40">
        <f>IF(E10=0,"N/A",I10/E10*100)</f>
        <v>12.727272727272727</v>
      </c>
      <c r="M10" s="39">
        <f>E10/MAX(C10*6-E10,0.01)</f>
        <v>0.56122448979591844</v>
      </c>
      <c r="N10" s="40">
        <f>IF(B10=0,"N/A",D10/B10*100)</f>
        <v>3.4594594594594597</v>
      </c>
      <c r="O10" s="53">
        <f>IF(E10=0,"N/A",F10/(E10*0.2))</f>
        <v>6.6590909090909083</v>
      </c>
    </row>
    <row r="11" spans="1:18" x14ac:dyDescent="0.2">
      <c r="A11" s="50" t="s">
        <v>40</v>
      </c>
      <c r="B11" s="38">
        <v>14.2</v>
      </c>
      <c r="C11" s="38">
        <v>5.0999999999999996</v>
      </c>
      <c r="D11" s="38">
        <v>1.8</v>
      </c>
      <c r="E11" s="38">
        <v>14.2</v>
      </c>
      <c r="F11" s="38">
        <v>3.2</v>
      </c>
      <c r="G11" s="38">
        <v>1.8</v>
      </c>
      <c r="H11" s="38">
        <v>2.2000000000000002</v>
      </c>
      <c r="I11" s="38">
        <v>1.2</v>
      </c>
      <c r="J11" s="41">
        <f>(E11-F11)/C11</f>
        <v>2.1568627450980395</v>
      </c>
      <c r="K11" s="42">
        <f>IF(G11=0,"N/A",C11/G11)</f>
        <v>2.833333333333333</v>
      </c>
      <c r="L11" s="42">
        <f>IF(E11=0,"N/A",I11/E11*100)</f>
        <v>8.4507042253521121</v>
      </c>
      <c r="M11" s="41">
        <f>E11/MAX(C11*6-E11,0.01)</f>
        <v>0.86585365853658536</v>
      </c>
      <c r="N11" s="42">
        <f>IF(B11=0,"N/A",D11/B11*100)</f>
        <v>12.676056338028168</v>
      </c>
      <c r="O11" s="54">
        <f>IF(E11=0,"N/A",F11/(E11*0.2))</f>
        <v>1.1267605633802817</v>
      </c>
    </row>
    <row r="12" spans="1:18" x14ac:dyDescent="0.2">
      <c r="A12" s="49" t="s">
        <v>43</v>
      </c>
      <c r="B12" s="38">
        <v>13.7</v>
      </c>
      <c r="C12" s="38">
        <v>1.3</v>
      </c>
      <c r="D12" s="38">
        <v>0.8</v>
      </c>
      <c r="E12" s="38">
        <v>4.0999999999999996</v>
      </c>
      <c r="F12" s="38">
        <v>1.1000000000000001</v>
      </c>
      <c r="G12" s="38">
        <v>0.2</v>
      </c>
      <c r="H12" s="38">
        <v>0.7</v>
      </c>
      <c r="I12" s="38">
        <v>0.6</v>
      </c>
      <c r="J12" s="39">
        <f>(E12-F12)/C12</f>
        <v>2.3076923076923075</v>
      </c>
      <c r="K12" s="40">
        <f>IF(G12=0,"N/A",C12/G12)</f>
        <v>6.5</v>
      </c>
      <c r="L12" s="40">
        <f>IF(E12=0,"N/A",I12/E12*100)</f>
        <v>14.634146341463417</v>
      </c>
      <c r="M12" s="39">
        <f>E12/MAX(C12*6-E12,0.01)</f>
        <v>1.1081081081081077</v>
      </c>
      <c r="N12" s="40">
        <f>IF(B12=0,"N/A",D12/B12*100)</f>
        <v>5.8394160583941614</v>
      </c>
      <c r="O12" s="53">
        <f>IF(E12=0,"N/A",F12/(E12*0.2))</f>
        <v>1.3414634146341464</v>
      </c>
    </row>
    <row r="13" spans="1:18" x14ac:dyDescent="0.2">
      <c r="A13" s="50" t="s">
        <v>46</v>
      </c>
      <c r="B13" s="38">
        <v>41.4</v>
      </c>
      <c r="C13" s="38">
        <v>13</v>
      </c>
      <c r="D13" s="38">
        <v>6.1</v>
      </c>
      <c r="E13" s="38">
        <v>40.200000000000003</v>
      </c>
      <c r="F13" s="38">
        <v>7.3</v>
      </c>
      <c r="G13" s="38">
        <v>2.5</v>
      </c>
      <c r="H13" s="38">
        <v>5.6</v>
      </c>
      <c r="I13" s="38">
        <v>4.0999999999999996</v>
      </c>
      <c r="J13" s="41">
        <f>(E13-F13)/C13</f>
        <v>2.5307692307692311</v>
      </c>
      <c r="K13" s="42">
        <f>IF(G13=0,"N/A",C13/G13)</f>
        <v>5.2</v>
      </c>
      <c r="L13" s="42">
        <f>IF(E13=0,"N/A",I13/E13*100)</f>
        <v>10.199004975124376</v>
      </c>
      <c r="M13" s="41">
        <f>E13/MAX(C13*6-E13,0.01)</f>
        <v>1.0634920634920637</v>
      </c>
      <c r="N13" s="42">
        <f>IF(B13=0,"N/A",D13/B13*100)</f>
        <v>14.734299516908212</v>
      </c>
      <c r="O13" s="54">
        <f>IF(E13=0,"N/A",F13/(E13*0.2))</f>
        <v>0.90796019900497504</v>
      </c>
    </row>
    <row r="14" spans="1:18" x14ac:dyDescent="0.2">
      <c r="A14" s="49" t="s">
        <v>49</v>
      </c>
      <c r="B14" s="38">
        <v>22.4</v>
      </c>
      <c r="C14" s="38">
        <v>5.8</v>
      </c>
      <c r="D14" s="38">
        <v>2.6</v>
      </c>
      <c r="E14" s="38">
        <v>35.9</v>
      </c>
      <c r="F14" s="38">
        <v>1.7</v>
      </c>
      <c r="G14" s="38">
        <v>1.8</v>
      </c>
      <c r="H14" s="38">
        <v>2.6</v>
      </c>
      <c r="I14" s="38">
        <v>1.4</v>
      </c>
      <c r="J14" s="39">
        <f>(E14-F14)/C14</f>
        <v>5.8965517241379306</v>
      </c>
      <c r="K14" s="40">
        <f>IF(G14=0,"N/A",C14/G14)</f>
        <v>3.2222222222222219</v>
      </c>
      <c r="L14" s="40">
        <f>IF(E14=0,"N/A",I14/E14*100)</f>
        <v>3.8997214484679668</v>
      </c>
      <c r="M14" s="39">
        <f>E14/MAX(C14*6-E14,0.01)</f>
        <v>3590</v>
      </c>
      <c r="N14" s="40">
        <f>IF(B14=0,"N/A",D14/B14*100)</f>
        <v>11.607142857142859</v>
      </c>
      <c r="O14" s="53">
        <f>IF(E14=0,"N/A",F14/(E14*0.2))</f>
        <v>0.23676880222841226</v>
      </c>
    </row>
    <row r="15" spans="1:18" x14ac:dyDescent="0.2">
      <c r="A15" s="50" t="s">
        <v>52</v>
      </c>
      <c r="B15" s="38">
        <v>25.8</v>
      </c>
      <c r="C15" s="38">
        <v>5.9</v>
      </c>
      <c r="D15" s="38">
        <v>3.5</v>
      </c>
      <c r="E15" s="38">
        <v>21.1</v>
      </c>
      <c r="F15" s="38">
        <v>0.9</v>
      </c>
      <c r="G15" s="38">
        <v>1.4</v>
      </c>
      <c r="H15" s="38">
        <v>0.8</v>
      </c>
      <c r="I15" s="38">
        <v>3.3</v>
      </c>
      <c r="J15" s="41">
        <f>(E15-F15)/C15</f>
        <v>3.4237288135593222</v>
      </c>
      <c r="K15" s="42">
        <f>IF(G15=0,"N/A",C15/G15)</f>
        <v>4.2142857142857144</v>
      </c>
      <c r="L15" s="42">
        <f>IF(E15=0,"N/A",I15/E15*100)</f>
        <v>15.639810426540283</v>
      </c>
      <c r="M15" s="41">
        <f>E15/MAX(C15*6-E15,0.01)</f>
        <v>1.4755244755244752</v>
      </c>
      <c r="N15" s="42">
        <f>IF(B15=0,"N/A",D15/B15*100)</f>
        <v>13.565891472868216</v>
      </c>
      <c r="O15" s="54">
        <f>IF(E15=0,"N/A",F15/(E15*0.2))</f>
        <v>0.21327014218009477</v>
      </c>
    </row>
    <row r="16" spans="1:18" x14ac:dyDescent="0.2">
      <c r="A16" s="49" t="s">
        <v>55</v>
      </c>
      <c r="B16" s="38">
        <v>7.9</v>
      </c>
      <c r="C16" s="38">
        <v>1.8</v>
      </c>
      <c r="D16" s="38">
        <v>0.8</v>
      </c>
      <c r="E16" s="38">
        <v>8.4</v>
      </c>
      <c r="F16" s="38">
        <v>1.8</v>
      </c>
      <c r="G16" s="38">
        <v>0.8</v>
      </c>
      <c r="H16" s="38">
        <v>0.3</v>
      </c>
      <c r="I16" s="38">
        <v>0.7</v>
      </c>
      <c r="J16" s="39">
        <f>(E16-F16)/C16</f>
        <v>3.666666666666667</v>
      </c>
      <c r="K16" s="40">
        <f>IF(G16=0,"N/A",C16/G16)</f>
        <v>2.25</v>
      </c>
      <c r="L16" s="40">
        <f>IF(E16=0,"N/A",I16/E16*100)</f>
        <v>8.3333333333333321</v>
      </c>
      <c r="M16" s="39">
        <f>E16/MAX(C16*6-E16,0.01)</f>
        <v>3.4999999999999996</v>
      </c>
      <c r="N16" s="40">
        <f>IF(B16=0,"N/A",D16/B16*100)</f>
        <v>10.126582278481013</v>
      </c>
      <c r="O16" s="53">
        <f>IF(E16=0,"N/A",F16/(E16*0.2))</f>
        <v>1.0714285714285714</v>
      </c>
    </row>
    <row r="17" spans="1:18" x14ac:dyDescent="0.2">
      <c r="A17" s="51" t="s">
        <v>58</v>
      </c>
      <c r="B17" s="45">
        <v>5.6</v>
      </c>
      <c r="C17" s="45">
        <v>0.9</v>
      </c>
      <c r="D17" s="45">
        <v>0.4</v>
      </c>
      <c r="E17" s="45">
        <v>4.8</v>
      </c>
      <c r="F17" s="45">
        <v>0.5</v>
      </c>
      <c r="G17" s="45">
        <v>0.4</v>
      </c>
      <c r="H17" s="45">
        <v>0.2</v>
      </c>
      <c r="I17" s="45">
        <v>0.3</v>
      </c>
      <c r="J17" s="46">
        <f>(E17-F17)/C17</f>
        <v>4.7777777777777777</v>
      </c>
      <c r="K17" s="47">
        <f>IF(G17=0,"N/A",C17/G17)</f>
        <v>2.25</v>
      </c>
      <c r="L17" s="47">
        <f>IF(E17=0,"N/A",I17/E17*100)</f>
        <v>6.25</v>
      </c>
      <c r="M17" s="46">
        <f>E17/MAX(C17*6-E17,0.01)</f>
        <v>7.9999999999999929</v>
      </c>
      <c r="N17" s="47">
        <f>IF(B17=0,"N/A",D17/B17*100)</f>
        <v>7.1428571428571441</v>
      </c>
      <c r="O17" s="55">
        <f>IF(E17=0,"N/A",F17/(E17*0.2))</f>
        <v>0.52083333333333337</v>
      </c>
    </row>
    <row r="19" spans="1:18" x14ac:dyDescent="0.2">
      <c r="A19" s="2" t="s">
        <v>89</v>
      </c>
      <c r="B19" s="1"/>
      <c r="C19" s="1"/>
      <c r="D19" s="1"/>
      <c r="E19" s="1"/>
      <c r="F19" s="1"/>
      <c r="G19" s="1"/>
      <c r="H19" s="1"/>
      <c r="I19" s="1"/>
      <c r="J19" s="1"/>
      <c r="K19" s="1"/>
      <c r="L19" s="1"/>
      <c r="M19" s="1"/>
      <c r="N19" s="1"/>
      <c r="O19" s="1"/>
      <c r="P19" s="1"/>
      <c r="Q19" s="1"/>
      <c r="R19" s="1"/>
    </row>
    <row r="20" spans="1:18" ht="36" customHeight="1" x14ac:dyDescent="0.2">
      <c r="A20" s="59" t="s">
        <v>90</v>
      </c>
      <c r="B20" s="60" t="s">
        <v>91</v>
      </c>
      <c r="C20" s="60" t="s">
        <v>92</v>
      </c>
      <c r="D20" s="60" t="s">
        <v>93</v>
      </c>
      <c r="E20" s="60" t="s">
        <v>94</v>
      </c>
      <c r="F20" s="60" t="s">
        <v>95</v>
      </c>
      <c r="G20" s="60" t="s">
        <v>96</v>
      </c>
      <c r="H20" s="60" t="s">
        <v>97</v>
      </c>
      <c r="I20" s="60" t="s">
        <v>11</v>
      </c>
    </row>
    <row r="21" spans="1:18" ht="32" customHeight="1" x14ac:dyDescent="0.2">
      <c r="A21" s="48" t="s">
        <v>5</v>
      </c>
      <c r="B21" s="44" t="s">
        <v>98</v>
      </c>
      <c r="C21" s="44" t="s">
        <v>99</v>
      </c>
      <c r="D21" s="44" t="s">
        <v>100</v>
      </c>
      <c r="E21" s="44" t="s">
        <v>101</v>
      </c>
      <c r="F21" s="44" t="s">
        <v>102</v>
      </c>
      <c r="G21" s="44" t="s">
        <v>103</v>
      </c>
      <c r="H21" s="44" t="s">
        <v>97</v>
      </c>
      <c r="I21" s="52" t="s">
        <v>11</v>
      </c>
    </row>
    <row r="22" spans="1:18" x14ac:dyDescent="0.2">
      <c r="A22" s="49" t="s">
        <v>23</v>
      </c>
      <c r="B22" s="61">
        <f>IF(J6&lt;1,5,IF(J6&lt;2,4,IF(J6&lt;3,3,IF(J6&lt;4,2,1))))</f>
        <v>5</v>
      </c>
      <c r="C22" s="61">
        <f>IF(K6&gt;10,5,IF(K6&gt;7,4,IF(K6&gt;4,3,IF(K6&gt;2,2,1))))</f>
        <v>5</v>
      </c>
      <c r="D22" s="61">
        <f>IF(L6&gt;20,5,IF(L6&gt;15,4,IF(L6&gt;10,3,IF(L6&gt;5,2,1))))</f>
        <v>5</v>
      </c>
      <c r="E22" s="61">
        <f>IF(M6&lt;0.5,5,IF(M6&lt;1,4,IF(M6&lt;2,3,IF(M6&lt;3,2,1))))</f>
        <v>5</v>
      </c>
      <c r="F22" s="61">
        <f>IF(N6&gt;20,5,IF(N6&gt;15,4,IF(N6&gt;10,3,IF(N6&gt;5,2,1))))</f>
        <v>5</v>
      </c>
      <c r="G22" s="61">
        <f>IF(O6&gt;3,5,IF(O6&gt;2,4,IF(O6&gt;1.5,3,IF(O6&gt;1,2,1))))</f>
        <v>2</v>
      </c>
      <c r="H22" s="62">
        <f>B22*0.25+C22*0.25+D22*0.2+E22*0.1+F22*0.15+G22*0.05</f>
        <v>4.8499999999999996</v>
      </c>
      <c r="I22" s="67" t="str">
        <f>IF(H22&gt;=4.5,"A",IF(H22&gt;=3.8,"BBB+",IF(H22&gt;=3.2,"BBB",IF(H22&gt;=2.6,"BBB-",IF(H22&gt;=2,"BB+",IF(H22&gt;=1.5,"BB","B+"))))))</f>
        <v>A</v>
      </c>
    </row>
    <row r="23" spans="1:18" x14ac:dyDescent="0.2">
      <c r="A23" s="50" t="s">
        <v>27</v>
      </c>
      <c r="B23" s="63">
        <f>IF(J7&lt;1,5,IF(J7&lt;2,4,IF(J7&lt;3,3,IF(J7&lt;4,2,1))))</f>
        <v>5</v>
      </c>
      <c r="C23" s="63">
        <f>IF(K7&gt;10,5,IF(K7&gt;7,4,IF(K7&gt;4,3,IF(K7&gt;2,2,1))))</f>
        <v>5</v>
      </c>
      <c r="D23" s="63">
        <f>IF(L7&gt;20,5,IF(L7&gt;15,4,IF(L7&gt;10,3,IF(L7&gt;5,2,1))))</f>
        <v>5</v>
      </c>
      <c r="E23" s="63">
        <f>IF(M7&lt;0.5,5,IF(M7&lt;1,4,IF(M7&lt;2,3,IF(M7&lt;3,2,1))))</f>
        <v>5</v>
      </c>
      <c r="F23" s="63">
        <f>IF(N7&gt;20,5,IF(N7&gt;15,4,IF(N7&gt;10,3,IF(N7&gt;5,2,1))))</f>
        <v>5</v>
      </c>
      <c r="G23" s="63">
        <f>IF(O7&gt;3,5,IF(O7&gt;2,4,IF(O7&gt;1.5,3,IF(O7&gt;1,2,1))))</f>
        <v>5</v>
      </c>
      <c r="H23" s="64">
        <f>B23*0.25+C23*0.25+D23*0.2+E23*0.1+F23*0.15+G23*0.05</f>
        <v>5</v>
      </c>
      <c r="I23" s="68" t="str">
        <f>IF(H23&gt;=4.5,"A",IF(H23&gt;=3.8,"BBB+",IF(H23&gt;=3.2,"BBB",IF(H23&gt;=2.6,"BBB-",IF(H23&gt;=2,"BB+",IF(H23&gt;=1.5,"BB","B+"))))))</f>
        <v>A</v>
      </c>
    </row>
    <row r="24" spans="1:18" x14ac:dyDescent="0.2">
      <c r="A24" s="49" t="s">
        <v>30</v>
      </c>
      <c r="B24" s="61">
        <f>IF(J8&lt;1,5,IF(J8&lt;2,4,IF(J8&lt;3,3,IF(J8&lt;4,2,1))))</f>
        <v>2</v>
      </c>
      <c r="C24" s="61">
        <f>IF(K8&gt;10,5,IF(K8&gt;7,4,IF(K8&gt;4,3,IF(K8&gt;2,2,1))))</f>
        <v>3</v>
      </c>
      <c r="D24" s="61">
        <f>IF(L8&gt;20,5,IF(L8&gt;15,4,IF(L8&gt;10,3,IF(L8&gt;5,2,1))))</f>
        <v>3</v>
      </c>
      <c r="E24" s="61">
        <f>IF(M8&lt;0.5,5,IF(M8&lt;1,4,IF(M8&lt;2,3,IF(M8&lt;3,2,1))))</f>
        <v>3</v>
      </c>
      <c r="F24" s="61">
        <f>IF(N8&gt;20,5,IF(N8&gt;15,4,IF(N8&gt;10,3,IF(N8&gt;5,2,1))))</f>
        <v>3</v>
      </c>
      <c r="G24" s="61">
        <f>IF(O8&gt;3,5,IF(O8&gt;2,4,IF(O8&gt;1.5,3,IF(O8&gt;1,2,1))))</f>
        <v>1</v>
      </c>
      <c r="H24" s="62">
        <f>B24*0.25+C24*0.25+D24*0.2+E24*0.1+F24*0.15+G24*0.05</f>
        <v>2.6500000000000004</v>
      </c>
      <c r="I24" s="67" t="str">
        <f>IF(H24&gt;=4.5,"A",IF(H24&gt;=3.8,"BBB+",IF(H24&gt;=3.2,"BBB",IF(H24&gt;=2.6,"BBB-",IF(H24&gt;=2,"BB+",IF(H24&gt;=1.5,"BB","B+"))))))</f>
        <v>BBB-</v>
      </c>
    </row>
    <row r="25" spans="1:18" x14ac:dyDescent="0.2">
      <c r="A25" s="50" t="s">
        <v>34</v>
      </c>
      <c r="B25" s="63">
        <f>IF(J9&lt;1,5,IF(J9&lt;2,4,IF(J9&lt;3,3,IF(J9&lt;4,2,1))))</f>
        <v>5</v>
      </c>
      <c r="C25" s="63">
        <f>IF(K9&gt;10,5,IF(K9&gt;7,4,IF(K9&gt;4,3,IF(K9&gt;2,2,1))))</f>
        <v>5</v>
      </c>
      <c r="D25" s="63">
        <f>IF(L9&gt;20,5,IF(L9&gt;15,4,IF(L9&gt;10,3,IF(L9&gt;5,2,1))))</f>
        <v>5</v>
      </c>
      <c r="E25" s="63">
        <f>IF(M9&lt;0.5,5,IF(M9&lt;1,4,IF(M9&lt;2,3,IF(M9&lt;3,2,1))))</f>
        <v>5</v>
      </c>
      <c r="F25" s="63">
        <f>IF(N9&gt;20,5,IF(N9&gt;15,4,IF(N9&gt;10,3,IF(N9&gt;5,2,1))))</f>
        <v>3</v>
      </c>
      <c r="G25" s="63">
        <f>IF(O9&gt;3,5,IF(O9&gt;2,4,IF(O9&gt;1.5,3,IF(O9&gt;1,2,1))))</f>
        <v>5</v>
      </c>
      <c r="H25" s="64">
        <f>B25*0.25+C25*0.25+D25*0.2+E25*0.1+F25*0.15+G25*0.05</f>
        <v>4.7</v>
      </c>
      <c r="I25" s="68" t="str">
        <f>IF(H25&gt;=4.5,"A",IF(H25&gt;=3.8,"BBB+",IF(H25&gt;=3.2,"BBB",IF(H25&gt;=2.6,"BBB-",IF(H25&gt;=2,"BB+",IF(H25&gt;=1.5,"BB","B+"))))))</f>
        <v>A</v>
      </c>
    </row>
    <row r="26" spans="1:18" x14ac:dyDescent="0.2">
      <c r="A26" s="49" t="s">
        <v>37</v>
      </c>
      <c r="B26" s="61">
        <f>IF(J10&lt;1,5,IF(J10&lt;2,4,IF(J10&lt;3,3,IF(J10&lt;4,2,1))))</f>
        <v>5</v>
      </c>
      <c r="C26" s="61">
        <f>IF(K10&gt;10,5,IF(K10&gt;7,4,IF(K10&gt;4,3,IF(K10&gt;2,2,1))))</f>
        <v>3</v>
      </c>
      <c r="D26" s="61">
        <f>IF(L10&gt;20,5,IF(L10&gt;15,4,IF(L10&gt;10,3,IF(L10&gt;5,2,1))))</f>
        <v>3</v>
      </c>
      <c r="E26" s="61">
        <f>IF(M10&lt;0.5,5,IF(M10&lt;1,4,IF(M10&lt;2,3,IF(M10&lt;3,2,1))))</f>
        <v>4</v>
      </c>
      <c r="F26" s="61">
        <f>IF(N10&gt;20,5,IF(N10&gt;15,4,IF(N10&gt;10,3,IF(N10&gt;5,2,1))))</f>
        <v>1</v>
      </c>
      <c r="G26" s="61">
        <f>IF(O10&gt;3,5,IF(O10&gt;2,4,IF(O10&gt;1.5,3,IF(O10&gt;1,2,1))))</f>
        <v>5</v>
      </c>
      <c r="H26" s="62">
        <f>B26*0.25+C26*0.25+D26*0.2+E26*0.1+F26*0.15+G26*0.05</f>
        <v>3.4</v>
      </c>
      <c r="I26" s="67" t="str">
        <f>IF(H26&gt;=4.5,"A",IF(H26&gt;=3.8,"BBB+",IF(H26&gt;=3.2,"BBB",IF(H26&gt;=2.6,"BBB-",IF(H26&gt;=2,"BB+",IF(H26&gt;=1.5,"BB","B+"))))))</f>
        <v>BBB</v>
      </c>
    </row>
    <row r="27" spans="1:18" x14ac:dyDescent="0.2">
      <c r="A27" s="50" t="s">
        <v>40</v>
      </c>
      <c r="B27" s="63">
        <f>IF(J11&lt;1,5,IF(J11&lt;2,4,IF(J11&lt;3,3,IF(J11&lt;4,2,1))))</f>
        <v>3</v>
      </c>
      <c r="C27" s="63">
        <f>IF(K11&gt;10,5,IF(K11&gt;7,4,IF(K11&gt;4,3,IF(K11&gt;2,2,1))))</f>
        <v>2</v>
      </c>
      <c r="D27" s="63">
        <f>IF(L11&gt;20,5,IF(L11&gt;15,4,IF(L11&gt;10,3,IF(L11&gt;5,2,1))))</f>
        <v>2</v>
      </c>
      <c r="E27" s="63">
        <f>IF(M11&lt;0.5,5,IF(M11&lt;1,4,IF(M11&lt;2,3,IF(M11&lt;3,2,1))))</f>
        <v>4</v>
      </c>
      <c r="F27" s="63">
        <f>IF(N11&gt;20,5,IF(N11&gt;15,4,IF(N11&gt;10,3,IF(N11&gt;5,2,1))))</f>
        <v>3</v>
      </c>
      <c r="G27" s="63">
        <f>IF(O11&gt;3,5,IF(O11&gt;2,4,IF(O11&gt;1.5,3,IF(O11&gt;1,2,1))))</f>
        <v>2</v>
      </c>
      <c r="H27" s="64">
        <f>B27*0.25+C27*0.25+D27*0.2+E27*0.1+F27*0.15+G27*0.05</f>
        <v>2.6</v>
      </c>
      <c r="I27" s="68" t="str">
        <f>IF(H27&gt;=4.5,"A",IF(H27&gt;=3.8,"BBB+",IF(H27&gt;=3.2,"BBB",IF(H27&gt;=2.6,"BBB-",IF(H27&gt;=2,"BB+",IF(H27&gt;=1.5,"BB","B+"))))))</f>
        <v>BBB-</v>
      </c>
    </row>
    <row r="28" spans="1:18" x14ac:dyDescent="0.2">
      <c r="A28" s="49" t="s">
        <v>43</v>
      </c>
      <c r="B28" s="61">
        <f>IF(J12&lt;1,5,IF(J12&lt;2,4,IF(J12&lt;3,3,IF(J12&lt;4,2,1))))</f>
        <v>3</v>
      </c>
      <c r="C28" s="61">
        <f>IF(K12&gt;10,5,IF(K12&gt;7,4,IF(K12&gt;4,3,IF(K12&gt;2,2,1))))</f>
        <v>3</v>
      </c>
      <c r="D28" s="61">
        <f>IF(L12&gt;20,5,IF(L12&gt;15,4,IF(L12&gt;10,3,IF(L12&gt;5,2,1))))</f>
        <v>3</v>
      </c>
      <c r="E28" s="61">
        <f>IF(M12&lt;0.5,5,IF(M12&lt;1,4,IF(M12&lt;2,3,IF(M12&lt;3,2,1))))</f>
        <v>3</v>
      </c>
      <c r="F28" s="61">
        <f>IF(N12&gt;20,5,IF(N12&gt;15,4,IF(N12&gt;10,3,IF(N12&gt;5,2,1))))</f>
        <v>2</v>
      </c>
      <c r="G28" s="61">
        <f>IF(O12&gt;3,5,IF(O12&gt;2,4,IF(O12&gt;1.5,3,IF(O12&gt;1,2,1))))</f>
        <v>2</v>
      </c>
      <c r="H28" s="62">
        <f>B28*0.25+C28*0.25+D28*0.2+E28*0.1+F28*0.15+G28*0.05</f>
        <v>2.8000000000000003</v>
      </c>
      <c r="I28" s="67" t="str">
        <f>IF(H28&gt;=4.5,"A",IF(H28&gt;=3.8,"BBB+",IF(H28&gt;=3.2,"BBB",IF(H28&gt;=2.6,"BBB-",IF(H28&gt;=2,"BB+",IF(H28&gt;=1.5,"BB","B+"))))))</f>
        <v>BBB-</v>
      </c>
    </row>
    <row r="29" spans="1:18" x14ac:dyDescent="0.2">
      <c r="A29" s="50" t="s">
        <v>46</v>
      </c>
      <c r="B29" s="63">
        <f>IF(J13&lt;1,5,IF(J13&lt;2,4,IF(J13&lt;3,3,IF(J13&lt;4,2,1))))</f>
        <v>3</v>
      </c>
      <c r="C29" s="63">
        <f>IF(K13&gt;10,5,IF(K13&gt;7,4,IF(K13&gt;4,3,IF(K13&gt;2,2,1))))</f>
        <v>3</v>
      </c>
      <c r="D29" s="63">
        <f>IF(L13&gt;20,5,IF(L13&gt;15,4,IF(L13&gt;10,3,IF(L13&gt;5,2,1))))</f>
        <v>3</v>
      </c>
      <c r="E29" s="63">
        <f>IF(M13&lt;0.5,5,IF(M13&lt;1,4,IF(M13&lt;2,3,IF(M13&lt;3,2,1))))</f>
        <v>3</v>
      </c>
      <c r="F29" s="63">
        <f>IF(N13&gt;20,5,IF(N13&gt;15,4,IF(N13&gt;10,3,IF(N13&gt;5,2,1))))</f>
        <v>3</v>
      </c>
      <c r="G29" s="63">
        <f>IF(O13&gt;3,5,IF(O13&gt;2,4,IF(O13&gt;1.5,3,IF(O13&gt;1,2,1))))</f>
        <v>1</v>
      </c>
      <c r="H29" s="64">
        <f>B29*0.25+C29*0.25+D29*0.2+E29*0.1+F29*0.15+G29*0.05</f>
        <v>2.9000000000000004</v>
      </c>
      <c r="I29" s="68" t="str">
        <f>IF(H29&gt;=4.5,"A",IF(H29&gt;=3.8,"BBB+",IF(H29&gt;=3.2,"BBB",IF(H29&gt;=2.6,"BBB-",IF(H29&gt;=2,"BB+",IF(H29&gt;=1.5,"BB","B+"))))))</f>
        <v>BBB-</v>
      </c>
    </row>
    <row r="30" spans="1:18" x14ac:dyDescent="0.2">
      <c r="A30" s="49" t="s">
        <v>49</v>
      </c>
      <c r="B30" s="61">
        <f>IF(J14&lt;1,5,IF(J14&lt;2,4,IF(J14&lt;3,3,IF(J14&lt;4,2,1))))</f>
        <v>1</v>
      </c>
      <c r="C30" s="61">
        <f>IF(K14&gt;10,5,IF(K14&gt;7,4,IF(K14&gt;4,3,IF(K14&gt;2,2,1))))</f>
        <v>2</v>
      </c>
      <c r="D30" s="61">
        <f>IF(L14&gt;20,5,IF(L14&gt;15,4,IF(L14&gt;10,3,IF(L14&gt;5,2,1))))</f>
        <v>1</v>
      </c>
      <c r="E30" s="61">
        <f>IF(M14&lt;0.5,5,IF(M14&lt;1,4,IF(M14&lt;2,3,IF(M14&lt;3,2,1))))</f>
        <v>1</v>
      </c>
      <c r="F30" s="61">
        <f>IF(N14&gt;20,5,IF(N14&gt;15,4,IF(N14&gt;10,3,IF(N14&gt;5,2,1))))</f>
        <v>3</v>
      </c>
      <c r="G30" s="61">
        <f>IF(O14&gt;3,5,IF(O14&gt;2,4,IF(O14&gt;1.5,3,IF(O14&gt;1,2,1))))</f>
        <v>1</v>
      </c>
      <c r="H30" s="62">
        <f>B30*0.25+C30*0.25+D30*0.2+E30*0.1+F30*0.15+G30*0.05</f>
        <v>1.55</v>
      </c>
      <c r="I30" s="67" t="str">
        <f>IF(H30&gt;=4.5,"A",IF(H30&gt;=3.8,"BBB+",IF(H30&gt;=3.2,"BBB",IF(H30&gt;=2.6,"BBB-",IF(H30&gt;=2,"BB+",IF(H30&gt;=1.5,"BB","B+"))))))</f>
        <v>BB</v>
      </c>
    </row>
    <row r="31" spans="1:18" x14ac:dyDescent="0.2">
      <c r="A31" s="50" t="s">
        <v>52</v>
      </c>
      <c r="B31" s="63">
        <f>IF(J15&lt;1,5,IF(J15&lt;2,4,IF(J15&lt;3,3,IF(J15&lt;4,2,1))))</f>
        <v>2</v>
      </c>
      <c r="C31" s="63">
        <f>IF(K15&gt;10,5,IF(K15&gt;7,4,IF(K15&gt;4,3,IF(K15&gt;2,2,1))))</f>
        <v>3</v>
      </c>
      <c r="D31" s="63">
        <f>IF(L15&gt;20,5,IF(L15&gt;15,4,IF(L15&gt;10,3,IF(L15&gt;5,2,1))))</f>
        <v>4</v>
      </c>
      <c r="E31" s="63">
        <f>IF(M15&lt;0.5,5,IF(M15&lt;1,4,IF(M15&lt;2,3,IF(M15&lt;3,2,1))))</f>
        <v>3</v>
      </c>
      <c r="F31" s="63">
        <f>IF(N15&gt;20,5,IF(N15&gt;15,4,IF(N15&gt;10,3,IF(N15&gt;5,2,1))))</f>
        <v>3</v>
      </c>
      <c r="G31" s="63">
        <f>IF(O15&gt;3,5,IF(O15&gt;2,4,IF(O15&gt;1.5,3,IF(O15&gt;1,2,1))))</f>
        <v>1</v>
      </c>
      <c r="H31" s="64">
        <f>B31*0.25+C31*0.25+D31*0.2+E31*0.1+F31*0.15+G31*0.05</f>
        <v>2.8499999999999996</v>
      </c>
      <c r="I31" s="68" t="str">
        <f>IF(H31&gt;=4.5,"A",IF(H31&gt;=3.8,"BBB+",IF(H31&gt;=3.2,"BBB",IF(H31&gt;=2.6,"BBB-",IF(H31&gt;=2,"BB+",IF(H31&gt;=1.5,"BB","B+"))))))</f>
        <v>BBB-</v>
      </c>
    </row>
    <row r="32" spans="1:18" x14ac:dyDescent="0.2">
      <c r="A32" s="49" t="s">
        <v>55</v>
      </c>
      <c r="B32" s="61">
        <f>IF(J16&lt;1,5,IF(J16&lt;2,4,IF(J16&lt;3,3,IF(J16&lt;4,2,1))))</f>
        <v>2</v>
      </c>
      <c r="C32" s="61">
        <f>IF(K16&gt;10,5,IF(K16&gt;7,4,IF(K16&gt;4,3,IF(K16&gt;2,2,1))))</f>
        <v>2</v>
      </c>
      <c r="D32" s="61">
        <f>IF(L16&gt;20,5,IF(L16&gt;15,4,IF(L16&gt;10,3,IF(L16&gt;5,2,1))))</f>
        <v>2</v>
      </c>
      <c r="E32" s="61">
        <f>IF(M16&lt;0.5,5,IF(M16&lt;1,4,IF(M16&lt;2,3,IF(M16&lt;3,2,1))))</f>
        <v>1</v>
      </c>
      <c r="F32" s="61">
        <f>IF(N16&gt;20,5,IF(N16&gt;15,4,IF(N16&gt;10,3,IF(N16&gt;5,2,1))))</f>
        <v>3</v>
      </c>
      <c r="G32" s="61">
        <f>IF(O16&gt;3,5,IF(O16&gt;2,4,IF(O16&gt;1.5,3,IF(O16&gt;1,2,1))))</f>
        <v>2</v>
      </c>
      <c r="H32" s="62">
        <f>B32*0.25+C32*0.25+D32*0.2+E32*0.1+F32*0.15+G32*0.05</f>
        <v>2.0499999999999998</v>
      </c>
      <c r="I32" s="67" t="str">
        <f>IF(H32&gt;=4.5,"A",IF(H32&gt;=3.8,"BBB+",IF(H32&gt;=3.2,"BBB",IF(H32&gt;=2.6,"BBB-",IF(H32&gt;=2,"BB+",IF(H32&gt;=1.5,"BB","B+"))))))</f>
        <v>BB+</v>
      </c>
    </row>
    <row r="33" spans="1:12" x14ac:dyDescent="0.2">
      <c r="A33" s="51" t="s">
        <v>58</v>
      </c>
      <c r="B33" s="65">
        <f>IF(J17&lt;1,5,IF(J17&lt;2,4,IF(J17&lt;3,3,IF(J17&lt;4,2,1))))</f>
        <v>1</v>
      </c>
      <c r="C33" s="65">
        <f>IF(K17&gt;10,5,IF(K17&gt;7,4,IF(K17&gt;4,3,IF(K17&gt;2,2,1))))</f>
        <v>2</v>
      </c>
      <c r="D33" s="65">
        <f>IF(L17&gt;20,5,IF(L17&gt;15,4,IF(L17&gt;10,3,IF(L17&gt;5,2,1))))</f>
        <v>2</v>
      </c>
      <c r="E33" s="65">
        <f>IF(M17&lt;0.5,5,IF(M17&lt;1,4,IF(M17&lt;2,3,IF(M17&lt;3,2,1))))</f>
        <v>1</v>
      </c>
      <c r="F33" s="65">
        <f>IF(N17&gt;20,5,IF(N17&gt;15,4,IF(N17&gt;10,3,IF(N17&gt;5,2,1))))</f>
        <v>2</v>
      </c>
      <c r="G33" s="65">
        <f>IF(O17&gt;3,5,IF(O17&gt;2,4,IF(O17&gt;1.5,3,IF(O17&gt;1,2,1))))</f>
        <v>1</v>
      </c>
      <c r="H33" s="66">
        <f>B33*0.25+C33*0.25+D33*0.2+E33*0.1+F33*0.15+G33*0.05</f>
        <v>1.6</v>
      </c>
      <c r="I33" s="69" t="str">
        <f>IF(H33&gt;=4.5,"A",IF(H33&gt;=3.8,"BBB+",IF(H33&gt;=3.2,"BBB",IF(H33&gt;=2.6,"BBB-",IF(H33&gt;=2,"BB+",IF(H33&gt;=1.5,"BB","B+"))))))</f>
        <v>BB</v>
      </c>
    </row>
    <row r="35" spans="1:12" x14ac:dyDescent="0.2">
      <c r="A35" s="2" t="s">
        <v>104</v>
      </c>
      <c r="B35" s="1"/>
      <c r="C35" s="1"/>
      <c r="D35" s="1"/>
      <c r="E35" s="1"/>
      <c r="F35" s="1"/>
      <c r="G35" s="1"/>
      <c r="H35" s="1"/>
      <c r="I35" s="1"/>
    </row>
    <row r="36" spans="1:12" x14ac:dyDescent="0.2">
      <c r="A36" s="75" t="s">
        <v>105</v>
      </c>
      <c r="B36" s="73" t="s">
        <v>11</v>
      </c>
      <c r="C36" s="73" t="s">
        <v>106</v>
      </c>
      <c r="D36" s="80" t="s">
        <v>107</v>
      </c>
    </row>
    <row r="37" spans="1:12" ht="18" customHeight="1" x14ac:dyDescent="0.2">
      <c r="A37" s="76" t="s">
        <v>108</v>
      </c>
      <c r="B37" s="70" t="s">
        <v>109</v>
      </c>
      <c r="C37" s="70" t="s">
        <v>110</v>
      </c>
      <c r="D37" s="81" t="s">
        <v>111</v>
      </c>
    </row>
    <row r="38" spans="1:12" ht="18" customHeight="1" x14ac:dyDescent="0.2">
      <c r="A38" s="76" t="s">
        <v>112</v>
      </c>
      <c r="B38" s="70" t="s">
        <v>113</v>
      </c>
      <c r="C38" s="70" t="s">
        <v>114</v>
      </c>
      <c r="D38" s="81" t="s">
        <v>111</v>
      </c>
    </row>
    <row r="39" spans="1:12" ht="18" customHeight="1" x14ac:dyDescent="0.2">
      <c r="A39" s="77" t="s">
        <v>115</v>
      </c>
      <c r="B39" s="71" t="s">
        <v>116</v>
      </c>
      <c r="C39" s="71" t="s">
        <v>117</v>
      </c>
      <c r="D39" s="82" t="s">
        <v>111</v>
      </c>
    </row>
    <row r="40" spans="1:12" ht="18" customHeight="1" x14ac:dyDescent="0.2">
      <c r="A40" s="77" t="s">
        <v>118</v>
      </c>
      <c r="B40" s="71" t="s">
        <v>119</v>
      </c>
      <c r="C40" s="71" t="s">
        <v>120</v>
      </c>
      <c r="D40" s="82" t="s">
        <v>121</v>
      </c>
    </row>
    <row r="41" spans="1:12" ht="18" customHeight="1" x14ac:dyDescent="0.2">
      <c r="A41" s="78" t="s">
        <v>122</v>
      </c>
      <c r="B41" s="72" t="s">
        <v>123</v>
      </c>
      <c r="C41" s="72" t="s">
        <v>124</v>
      </c>
      <c r="D41" s="83" t="s">
        <v>125</v>
      </c>
    </row>
    <row r="42" spans="1:12" ht="18" customHeight="1" x14ac:dyDescent="0.2">
      <c r="A42" s="78" t="s">
        <v>126</v>
      </c>
      <c r="B42" s="72" t="s">
        <v>127</v>
      </c>
      <c r="C42" s="72" t="s">
        <v>128</v>
      </c>
      <c r="D42" s="83" t="s">
        <v>129</v>
      </c>
    </row>
    <row r="43" spans="1:12" ht="18" customHeight="1" x14ac:dyDescent="0.2">
      <c r="A43" s="79" t="s">
        <v>130</v>
      </c>
      <c r="B43" s="74" t="s">
        <v>131</v>
      </c>
      <c r="C43" s="74" t="s">
        <v>132</v>
      </c>
      <c r="D43" s="84" t="s">
        <v>129</v>
      </c>
    </row>
    <row r="45" spans="1:12" x14ac:dyDescent="0.2">
      <c r="A45" s="2" t="s">
        <v>133</v>
      </c>
      <c r="B45" s="1"/>
      <c r="C45" s="1"/>
      <c r="D45" s="1"/>
      <c r="E45" s="1"/>
      <c r="F45" s="1"/>
      <c r="G45" s="1"/>
      <c r="H45" s="1"/>
      <c r="I45" s="1"/>
    </row>
    <row r="46" spans="1:12" ht="32" customHeight="1" x14ac:dyDescent="0.2">
      <c r="A46" s="48" t="s">
        <v>5</v>
      </c>
      <c r="B46" s="44" t="s">
        <v>11</v>
      </c>
      <c r="C46" s="44" t="s">
        <v>9</v>
      </c>
      <c r="D46" s="44" t="s">
        <v>10</v>
      </c>
      <c r="E46" s="44" t="s">
        <v>134</v>
      </c>
      <c r="F46" s="44" t="s">
        <v>135</v>
      </c>
      <c r="G46" s="52" t="s">
        <v>136</v>
      </c>
      <c r="K46" s="86" t="s">
        <v>151</v>
      </c>
      <c r="L46" s="86" t="s">
        <v>152</v>
      </c>
    </row>
    <row r="47" spans="1:12" x14ac:dyDescent="0.2">
      <c r="A47" s="49" t="s">
        <v>23</v>
      </c>
      <c r="B47" s="87" t="str">
        <f>I22</f>
        <v>A</v>
      </c>
      <c r="C47" s="88" t="str">
        <f>'Credit Universe'!E5</f>
        <v>AA-</v>
      </c>
      <c r="D47" s="88" t="str">
        <f>'Credit Universe'!F5</f>
        <v>Aa2</v>
      </c>
      <c r="E47" s="61">
        <f>IF(OR(C47="",B47=""),"N/A",IFERROR(VLOOKUP(B47,$K$46:$L$67,2,FALSE)-VLOOKUP(C47,$K$46:$L$67,2,FALSE),"N/A"))</f>
        <v>-2</v>
      </c>
      <c r="F47" s="61" t="str">
        <f>IF(OR(D47="",B47=""),"N/A",IFERROR(VLOOKUP(B47,$K$46:$L$67,2,FALSE)-VLOOKUP(D47,$K$46:$L$67,2,FALSE),"N/A"))</f>
        <v>N/A</v>
      </c>
      <c r="G47" s="93" t="str">
        <f>IF(OR(E47="N/A",F47="N/A"),"",IF(OR(ABS(E47)&gt;=2,ABS(F47)&gt;=2),"⚑ INVESTIGATE",""))</f>
        <v/>
      </c>
      <c r="K47" s="85" t="s">
        <v>137</v>
      </c>
      <c r="L47" s="85">
        <v>21</v>
      </c>
    </row>
    <row r="48" spans="1:12" x14ac:dyDescent="0.2">
      <c r="A48" s="50" t="s">
        <v>27</v>
      </c>
      <c r="B48" s="89" t="str">
        <f>I23</f>
        <v>A</v>
      </c>
      <c r="C48" s="90" t="str">
        <f>'Credit Universe'!E6</f>
        <v>AA-</v>
      </c>
      <c r="D48" s="90" t="str">
        <f>'Credit Universe'!F6</f>
        <v>Aa3</v>
      </c>
      <c r="E48" s="63">
        <f>IF(OR(C48="",B48=""),"N/A",IFERROR(VLOOKUP(B48,$K$46:$L$67,2,FALSE)-VLOOKUP(C48,$K$46:$L$67,2,FALSE),"N/A"))</f>
        <v>-2</v>
      </c>
      <c r="F48" s="63" t="str">
        <f>IF(OR(D48="",B48=""),"N/A",IFERROR(VLOOKUP(B48,$K$46:$L$67,2,FALSE)-VLOOKUP(D48,$K$46:$L$67,2,FALSE),"N/A"))</f>
        <v>N/A</v>
      </c>
      <c r="G48" s="94" t="str">
        <f>IF(OR(E48="N/A",F48="N/A"),"",IF(OR(ABS(E48)&gt;=2,ABS(F48)&gt;=2),"⚑ INVESTIGATE",""))</f>
        <v/>
      </c>
      <c r="K48" s="85" t="s">
        <v>138</v>
      </c>
      <c r="L48" s="85">
        <v>20</v>
      </c>
    </row>
    <row r="49" spans="1:12" x14ac:dyDescent="0.2">
      <c r="A49" s="49" t="s">
        <v>30</v>
      </c>
      <c r="B49" s="87" t="str">
        <f>I24</f>
        <v>BBB-</v>
      </c>
      <c r="C49" s="88" t="str">
        <f>'Credit Universe'!E7</f>
        <v>BBB</v>
      </c>
      <c r="D49" s="88" t="str">
        <f>'Credit Universe'!F7</f>
        <v>Baa2</v>
      </c>
      <c r="E49" s="61">
        <f>IF(OR(C49="",B49=""),"N/A",IFERROR(VLOOKUP(B49,$K$46:$L$67,2,FALSE)-VLOOKUP(C49,$K$46:$L$67,2,FALSE),"N/A"))</f>
        <v>-1</v>
      </c>
      <c r="F49" s="61" t="str">
        <f>IF(OR(D49="",B49=""),"N/A",IFERROR(VLOOKUP(B49,$K$46:$L$67,2,FALSE)-VLOOKUP(D49,$K$46:$L$67,2,FALSE),"N/A"))</f>
        <v>N/A</v>
      </c>
      <c r="G49" s="93" t="str">
        <f>IF(OR(E49="N/A",F49="N/A"),"",IF(OR(ABS(E49)&gt;=2,ABS(F49)&gt;=2),"⚑ INVESTIGATE",""))</f>
        <v/>
      </c>
      <c r="K49" s="85" t="s">
        <v>139</v>
      </c>
      <c r="L49" s="85">
        <v>19</v>
      </c>
    </row>
    <row r="50" spans="1:12" x14ac:dyDescent="0.2">
      <c r="A50" s="50" t="s">
        <v>34</v>
      </c>
      <c r="B50" s="89" t="str">
        <f>I25</f>
        <v>A</v>
      </c>
      <c r="C50" s="90" t="str">
        <f>'Credit Universe'!E8</f>
        <v>BBB-</v>
      </c>
      <c r="D50" s="90" t="str">
        <f>'Credit Universe'!F8</f>
        <v>Baa3</v>
      </c>
      <c r="E50" s="63">
        <f>IF(OR(C50="",B50=""),"N/A",IFERROR(VLOOKUP(B50,$K$46:$L$67,2,FALSE)-VLOOKUP(C50,$K$46:$L$67,2,FALSE),"N/A"))</f>
        <v>4</v>
      </c>
      <c r="F50" s="63" t="str">
        <f>IF(OR(D50="",B50=""),"N/A",IFERROR(VLOOKUP(B50,$K$46:$L$67,2,FALSE)-VLOOKUP(D50,$K$46:$L$67,2,FALSE),"N/A"))</f>
        <v>N/A</v>
      </c>
      <c r="G50" s="94" t="str">
        <f>IF(OR(E50="N/A",F50="N/A"),"",IF(OR(ABS(E50)&gt;=2,ABS(F50)&gt;=2),"⚑ INVESTIGATE",""))</f>
        <v/>
      </c>
      <c r="K50" s="85" t="s">
        <v>140</v>
      </c>
      <c r="L50" s="85">
        <v>18</v>
      </c>
    </row>
    <row r="51" spans="1:12" x14ac:dyDescent="0.2">
      <c r="A51" s="49" t="s">
        <v>37</v>
      </c>
      <c r="B51" s="87" t="str">
        <f>I26</f>
        <v>BBB</v>
      </c>
      <c r="C51" s="88" t="str">
        <f>'Credit Universe'!E9</f>
        <v>BB+</v>
      </c>
      <c r="D51" s="88" t="str">
        <f>'Credit Universe'!F9</f>
        <v>Ba1</v>
      </c>
      <c r="E51" s="61">
        <f>IF(OR(C51="",B51=""),"N/A",IFERROR(VLOOKUP(B51,$K$46:$L$67,2,FALSE)-VLOOKUP(C51,$K$46:$L$67,2,FALSE),"N/A"))</f>
        <v>2</v>
      </c>
      <c r="F51" s="61" t="str">
        <f>IF(OR(D51="",B51=""),"N/A",IFERROR(VLOOKUP(B51,$K$46:$L$67,2,FALSE)-VLOOKUP(D51,$K$46:$L$67,2,FALSE),"N/A"))</f>
        <v>N/A</v>
      </c>
      <c r="G51" s="93" t="str">
        <f>IF(OR(E51="N/A",F51="N/A"),"",IF(OR(ABS(E51)&gt;=2,ABS(F51)&gt;=2),"⚑ INVESTIGATE",""))</f>
        <v/>
      </c>
      <c r="K51" s="85" t="s">
        <v>109</v>
      </c>
      <c r="L51" s="85">
        <v>17</v>
      </c>
    </row>
    <row r="52" spans="1:12" x14ac:dyDescent="0.2">
      <c r="A52" s="50" t="s">
        <v>40</v>
      </c>
      <c r="B52" s="89" t="str">
        <f>I27</f>
        <v>BBB-</v>
      </c>
      <c r="C52" s="90" t="str">
        <f>'Credit Universe'!E10</f>
        <v>BB</v>
      </c>
      <c r="D52" s="90" t="str">
        <f>'Credit Universe'!F10</f>
        <v>Ba2</v>
      </c>
      <c r="E52" s="63">
        <f>IF(OR(C52="",B52=""),"N/A",IFERROR(VLOOKUP(B52,$K$46:$L$67,2,FALSE)-VLOOKUP(C52,$K$46:$L$67,2,FALSE),"N/A"))</f>
        <v>2</v>
      </c>
      <c r="F52" s="63" t="str">
        <f>IF(OR(D52="",B52=""),"N/A",IFERROR(VLOOKUP(B52,$K$46:$L$67,2,FALSE)-VLOOKUP(D52,$K$46:$L$67,2,FALSE),"N/A"))</f>
        <v>N/A</v>
      </c>
      <c r="G52" s="94" t="str">
        <f>IF(OR(E52="N/A",F52="N/A"),"",IF(OR(ABS(E52)&gt;=2,ABS(F52)&gt;=2),"⚑ INVESTIGATE",""))</f>
        <v/>
      </c>
      <c r="K52" s="85" t="s">
        <v>141</v>
      </c>
      <c r="L52" s="85">
        <v>16</v>
      </c>
    </row>
    <row r="53" spans="1:12" x14ac:dyDescent="0.2">
      <c r="A53" s="49" t="s">
        <v>43</v>
      </c>
      <c r="B53" s="87" t="str">
        <f>I28</f>
        <v>BBB-</v>
      </c>
      <c r="C53" s="88" t="str">
        <f>'Credit Universe'!E11</f>
        <v>BBB-</v>
      </c>
      <c r="D53" s="88" t="str">
        <f>'Credit Universe'!F11</f>
        <v>Baa3</v>
      </c>
      <c r="E53" s="61">
        <f>IF(OR(C53="",B53=""),"N/A",IFERROR(VLOOKUP(B53,$K$46:$L$67,2,FALSE)-VLOOKUP(C53,$K$46:$L$67,2,FALSE),"N/A"))</f>
        <v>0</v>
      </c>
      <c r="F53" s="61" t="str">
        <f>IF(OR(D53="",B53=""),"N/A",IFERROR(VLOOKUP(B53,$K$46:$L$67,2,FALSE)-VLOOKUP(D53,$K$46:$L$67,2,FALSE),"N/A"))</f>
        <v>N/A</v>
      </c>
      <c r="G53" s="93" t="str">
        <f>IF(OR(E53="N/A",F53="N/A"),"",IF(OR(ABS(E53)&gt;=2,ABS(F53)&gt;=2),"⚑ INVESTIGATE",""))</f>
        <v/>
      </c>
      <c r="K53" s="85" t="s">
        <v>113</v>
      </c>
      <c r="L53" s="85">
        <v>15</v>
      </c>
    </row>
    <row r="54" spans="1:12" x14ac:dyDescent="0.2">
      <c r="A54" s="50" t="s">
        <v>46</v>
      </c>
      <c r="B54" s="89" t="str">
        <f>I29</f>
        <v>BBB-</v>
      </c>
      <c r="C54" s="90" t="str">
        <f>'Credit Universe'!E12</f>
        <v>BBB-</v>
      </c>
      <c r="D54" s="90" t="str">
        <f>'Credit Universe'!F12</f>
        <v>Baa3</v>
      </c>
      <c r="E54" s="63">
        <f>IF(OR(C54="",B54=""),"N/A",IFERROR(VLOOKUP(B54,$K$46:$L$67,2,FALSE)-VLOOKUP(C54,$K$46:$L$67,2,FALSE),"N/A"))</f>
        <v>0</v>
      </c>
      <c r="F54" s="63" t="str">
        <f>IF(OR(D54="",B54=""),"N/A",IFERROR(VLOOKUP(B54,$K$46:$L$67,2,FALSE)-VLOOKUP(D54,$K$46:$L$67,2,FALSE),"N/A"))</f>
        <v>N/A</v>
      </c>
      <c r="G54" s="94" t="str">
        <f>IF(OR(E54="N/A",F54="N/A"),"",IF(OR(ABS(E54)&gt;=2,ABS(F54)&gt;=2),"⚑ INVESTIGATE",""))</f>
        <v/>
      </c>
      <c r="K54" s="85" t="s">
        <v>116</v>
      </c>
      <c r="L54" s="85">
        <v>14</v>
      </c>
    </row>
    <row r="55" spans="1:12" x14ac:dyDescent="0.2">
      <c r="A55" s="49" t="s">
        <v>49</v>
      </c>
      <c r="B55" s="87" t="str">
        <f>I30</f>
        <v>BB</v>
      </c>
      <c r="C55" s="88" t="str">
        <f>'Credit Universe'!E13</f>
        <v>B+</v>
      </c>
      <c r="D55" s="88" t="str">
        <f>'Credit Universe'!F13</f>
        <v>B1</v>
      </c>
      <c r="E55" s="61">
        <f>IF(OR(C55="",B55=""),"N/A",IFERROR(VLOOKUP(B55,$K$46:$L$67,2,FALSE)-VLOOKUP(C55,$K$46:$L$67,2,FALSE),"N/A"))</f>
        <v>2</v>
      </c>
      <c r="F55" s="61" t="str">
        <f>IF(OR(D55="",B55=""),"N/A",IFERROR(VLOOKUP(B55,$K$46:$L$67,2,FALSE)-VLOOKUP(D55,$K$46:$L$67,2,FALSE),"N/A"))</f>
        <v>N/A</v>
      </c>
      <c r="G55" s="93" t="str">
        <f>IF(OR(E55="N/A",F55="N/A"),"",IF(OR(ABS(E55)&gt;=2,ABS(F55)&gt;=2),"⚑ INVESTIGATE",""))</f>
        <v/>
      </c>
      <c r="K55" s="85" t="s">
        <v>119</v>
      </c>
      <c r="L55" s="85">
        <v>13</v>
      </c>
    </row>
    <row r="56" spans="1:12" x14ac:dyDescent="0.2">
      <c r="A56" s="50" t="s">
        <v>52</v>
      </c>
      <c r="B56" s="89" t="str">
        <f>I31</f>
        <v>BBB-</v>
      </c>
      <c r="C56" s="90" t="str">
        <f>'Credit Universe'!E14</f>
        <v>BBB-</v>
      </c>
      <c r="D56" s="90" t="str">
        <f>'Credit Universe'!F14</f>
        <v>Baa3</v>
      </c>
      <c r="E56" s="63">
        <f>IF(OR(C56="",B56=""),"N/A",IFERROR(VLOOKUP(B56,$K$46:$L$67,2,FALSE)-VLOOKUP(C56,$K$46:$L$67,2,FALSE),"N/A"))</f>
        <v>0</v>
      </c>
      <c r="F56" s="63" t="str">
        <f>IF(OR(D56="",B56=""),"N/A",IFERROR(VLOOKUP(B56,$K$46:$L$67,2,FALSE)-VLOOKUP(D56,$K$46:$L$67,2,FALSE),"N/A"))</f>
        <v>N/A</v>
      </c>
      <c r="G56" s="94" t="str">
        <f>IF(OR(E56="N/A",F56="N/A"),"",IF(OR(ABS(E56)&gt;=2,ABS(F56)&gt;=2),"⚑ INVESTIGATE",""))</f>
        <v/>
      </c>
      <c r="K56" s="85" t="s">
        <v>123</v>
      </c>
      <c r="L56" s="85">
        <v>12</v>
      </c>
    </row>
    <row r="57" spans="1:12" x14ac:dyDescent="0.2">
      <c r="A57" s="49" t="s">
        <v>55</v>
      </c>
      <c r="B57" s="87" t="str">
        <f>I32</f>
        <v>BB+</v>
      </c>
      <c r="C57" s="88" t="str">
        <f>'Credit Universe'!E15</f>
        <v>B</v>
      </c>
      <c r="D57" s="88" t="str">
        <f>'Credit Universe'!F15</f>
        <v>B2</v>
      </c>
      <c r="E57" s="61">
        <f>IF(OR(C57="",B57=""),"N/A",IFERROR(VLOOKUP(B57,$K$46:$L$67,2,FALSE)-VLOOKUP(C57,$K$46:$L$67,2,FALSE),"N/A"))</f>
        <v>4</v>
      </c>
      <c r="F57" s="61" t="str">
        <f>IF(OR(D57="",B57=""),"N/A",IFERROR(VLOOKUP(B57,$K$46:$L$67,2,FALSE)-VLOOKUP(D57,$K$46:$L$67,2,FALSE),"N/A"))</f>
        <v>N/A</v>
      </c>
      <c r="G57" s="93" t="str">
        <f>IF(OR(E57="N/A",F57="N/A"),"",IF(OR(ABS(E57)&gt;=2,ABS(F57)&gt;=2),"⚑ INVESTIGATE",""))</f>
        <v/>
      </c>
      <c r="K57" s="85" t="s">
        <v>127</v>
      </c>
      <c r="L57" s="85">
        <v>11</v>
      </c>
    </row>
    <row r="58" spans="1:12" x14ac:dyDescent="0.2">
      <c r="A58" s="51" t="s">
        <v>58</v>
      </c>
      <c r="B58" s="91" t="str">
        <f>I33</f>
        <v>BB</v>
      </c>
      <c r="C58" s="92" t="str">
        <f>'Credit Universe'!E16</f>
        <v>B</v>
      </c>
      <c r="D58" s="92" t="str">
        <f>'Credit Universe'!F16</f>
        <v>B2</v>
      </c>
      <c r="E58" s="65">
        <f>IF(OR(C58="",B58=""),"N/A",IFERROR(VLOOKUP(B58,$K$46:$L$67,2,FALSE)-VLOOKUP(C58,$K$46:$L$67,2,FALSE),"N/A"))</f>
        <v>3</v>
      </c>
      <c r="F58" s="65" t="str">
        <f>IF(OR(D58="",B58=""),"N/A",IFERROR(VLOOKUP(B58,$K$46:$L$67,2,FALSE)-VLOOKUP(D58,$K$46:$L$67,2,FALSE),"N/A"))</f>
        <v>N/A</v>
      </c>
      <c r="G58" s="95" t="str">
        <f>IF(OR(E58="N/A",F58="N/A"),"",IF(OR(ABS(E58)&gt;=2,ABS(F58)&gt;=2),"⚑ INVESTIGATE",""))</f>
        <v/>
      </c>
      <c r="K58" s="85" t="s">
        <v>142</v>
      </c>
      <c r="L58" s="85">
        <v>10</v>
      </c>
    </row>
    <row r="59" spans="1:12" x14ac:dyDescent="0.2">
      <c r="K59" s="85" t="s">
        <v>131</v>
      </c>
      <c r="L59" s="85">
        <v>9</v>
      </c>
    </row>
    <row r="60" spans="1:12" x14ac:dyDescent="0.2">
      <c r="A60" s="32" t="s">
        <v>153</v>
      </c>
      <c r="K60" s="85" t="s">
        <v>143</v>
      </c>
      <c r="L60" s="85">
        <v>8</v>
      </c>
    </row>
    <row r="61" spans="1:12" x14ac:dyDescent="0.2">
      <c r="A61" s="99" t="s">
        <v>154</v>
      </c>
      <c r="B61" s="97" t="s">
        <v>155</v>
      </c>
      <c r="C61" s="103" t="s">
        <v>156</v>
      </c>
      <c r="D61" s="35"/>
      <c r="K61" s="85" t="s">
        <v>144</v>
      </c>
      <c r="L61" s="85">
        <v>7</v>
      </c>
    </row>
    <row r="62" spans="1:12" x14ac:dyDescent="0.2">
      <c r="A62" s="100" t="s">
        <v>157</v>
      </c>
      <c r="B62" s="96">
        <v>5</v>
      </c>
      <c r="C62" s="104" t="s">
        <v>158</v>
      </c>
      <c r="K62" s="85" t="s">
        <v>145</v>
      </c>
      <c r="L62" s="85">
        <v>6</v>
      </c>
    </row>
    <row r="63" spans="1:12" x14ac:dyDescent="0.2">
      <c r="A63" s="101" t="s">
        <v>159</v>
      </c>
      <c r="B63" s="96">
        <v>5</v>
      </c>
      <c r="C63" s="105" t="s">
        <v>160</v>
      </c>
      <c r="K63" s="85" t="s">
        <v>146</v>
      </c>
      <c r="L63" s="85">
        <v>5</v>
      </c>
    </row>
    <row r="64" spans="1:12" x14ac:dyDescent="0.2">
      <c r="A64" s="100" t="s">
        <v>161</v>
      </c>
      <c r="B64" s="96">
        <v>22.5</v>
      </c>
      <c r="C64" s="104" t="s">
        <v>162</v>
      </c>
      <c r="K64" s="85" t="s">
        <v>147</v>
      </c>
      <c r="L64" s="85">
        <v>4</v>
      </c>
    </row>
    <row r="65" spans="1:12" x14ac:dyDescent="0.2">
      <c r="A65" s="102" t="s">
        <v>163</v>
      </c>
      <c r="B65" s="98">
        <v>4.5</v>
      </c>
      <c r="C65" s="106" t="s">
        <v>164</v>
      </c>
      <c r="K65" s="85" t="s">
        <v>148</v>
      </c>
      <c r="L65" s="85">
        <v>3</v>
      </c>
    </row>
    <row r="66" spans="1:12" x14ac:dyDescent="0.2">
      <c r="K66" s="85" t="s">
        <v>149</v>
      </c>
      <c r="L66" s="85">
        <v>2</v>
      </c>
    </row>
    <row r="67" spans="1:12" x14ac:dyDescent="0.2">
      <c r="A67" s="7" t="s">
        <v>285</v>
      </c>
      <c r="B67" s="1"/>
      <c r="C67" s="1"/>
      <c r="D67" s="1"/>
      <c r="E67" s="1"/>
      <c r="F67" s="1"/>
      <c r="K67" s="85" t="s">
        <v>150</v>
      </c>
      <c r="L67" s="85">
        <v>1</v>
      </c>
    </row>
    <row r="68" spans="1:12" ht="22" customHeight="1" x14ac:dyDescent="0.2">
      <c r="A68" s="75" t="s">
        <v>286</v>
      </c>
      <c r="B68" s="73" t="s">
        <v>83</v>
      </c>
      <c r="C68" s="73" t="s">
        <v>84</v>
      </c>
      <c r="D68" s="73" t="s">
        <v>85</v>
      </c>
      <c r="E68" s="73" t="s">
        <v>87</v>
      </c>
      <c r="F68" s="80" t="s">
        <v>287</v>
      </c>
    </row>
    <row r="69" spans="1:12" ht="18" customHeight="1" x14ac:dyDescent="0.2">
      <c r="A69" s="199">
        <v>5</v>
      </c>
      <c r="B69" s="196" t="s">
        <v>288</v>
      </c>
      <c r="C69" s="196" t="s">
        <v>289</v>
      </c>
      <c r="D69" s="196" t="s">
        <v>290</v>
      </c>
      <c r="E69" s="196" t="s">
        <v>290</v>
      </c>
      <c r="F69" s="204" t="s">
        <v>291</v>
      </c>
    </row>
    <row r="70" spans="1:12" ht="18" customHeight="1" x14ac:dyDescent="0.2">
      <c r="A70" s="200">
        <v>4</v>
      </c>
      <c r="B70" s="70" t="s">
        <v>292</v>
      </c>
      <c r="C70" s="70" t="s">
        <v>293</v>
      </c>
      <c r="D70" s="70" t="s">
        <v>294</v>
      </c>
      <c r="E70" s="70" t="s">
        <v>294</v>
      </c>
      <c r="F70" s="81" t="s">
        <v>295</v>
      </c>
    </row>
    <row r="71" spans="1:12" ht="18" customHeight="1" x14ac:dyDescent="0.2">
      <c r="A71" s="201">
        <v>3</v>
      </c>
      <c r="B71" s="197" t="s">
        <v>295</v>
      </c>
      <c r="C71" s="197" t="s">
        <v>296</v>
      </c>
      <c r="D71" s="197" t="s">
        <v>297</v>
      </c>
      <c r="E71" s="197" t="s">
        <v>297</v>
      </c>
      <c r="F71" s="205" t="s">
        <v>298</v>
      </c>
    </row>
    <row r="72" spans="1:12" ht="18" customHeight="1" x14ac:dyDescent="0.2">
      <c r="A72" s="202">
        <v>2</v>
      </c>
      <c r="B72" s="72" t="s">
        <v>299</v>
      </c>
      <c r="C72" s="72" t="s">
        <v>300</v>
      </c>
      <c r="D72" s="72" t="s">
        <v>301</v>
      </c>
      <c r="E72" s="72" t="s">
        <v>301</v>
      </c>
      <c r="F72" s="83" t="s">
        <v>302</v>
      </c>
    </row>
    <row r="73" spans="1:12" ht="18" customHeight="1" x14ac:dyDescent="0.2">
      <c r="A73" s="203">
        <v>1</v>
      </c>
      <c r="B73" s="198" t="s">
        <v>303</v>
      </c>
      <c r="C73" s="198" t="s">
        <v>304</v>
      </c>
      <c r="D73" s="198" t="s">
        <v>305</v>
      </c>
      <c r="E73" s="198" t="s">
        <v>305</v>
      </c>
      <c r="F73" s="206" t="s">
        <v>288</v>
      </c>
    </row>
  </sheetData>
  <conditionalFormatting sqref="B22:G33">
    <cfRule type="colorScale" priority="1">
      <colorScale>
        <cfvo type="num" val="0"/>
        <cfvo type="num" val="50"/>
        <cfvo type="num" val="0"/>
        <color rgb="FFFFC7CE"/>
        <color rgb="FFFFEB9C"/>
        <color rgb="FFC6EFCE"/>
      </colorScale>
    </cfRule>
  </conditionalFormatting>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C306E1-7D45-264E-8187-D40BA230482E}">
  <sheetPr>
    <tabColor rgb="FF1F4E79"/>
  </sheetPr>
  <dimension ref="A1:M61"/>
  <sheetViews>
    <sheetView showGridLines="0" workbookViewId="0">
      <pane ySplit="4" topLeftCell="A5" activePane="bottomLeft" state="frozen"/>
      <selection pane="bottomLeft"/>
    </sheetView>
  </sheetViews>
  <sheetFormatPr baseColWidth="10" defaultRowHeight="16" x14ac:dyDescent="0.2"/>
  <sheetData>
    <row r="1" spans="1:13" ht="22" x14ac:dyDescent="0.3">
      <c r="A1" s="5" t="s">
        <v>165</v>
      </c>
    </row>
    <row r="2" spans="1:13" x14ac:dyDescent="0.2">
      <c r="A2" s="6" t="s">
        <v>166</v>
      </c>
    </row>
    <row r="4" spans="1:13" x14ac:dyDescent="0.2">
      <c r="A4" s="2" t="s">
        <v>167</v>
      </c>
      <c r="B4" s="1"/>
      <c r="C4" s="1"/>
      <c r="D4" s="1"/>
      <c r="E4" s="1"/>
      <c r="F4" s="1"/>
      <c r="G4" s="1"/>
      <c r="H4" s="1"/>
      <c r="I4" s="1"/>
      <c r="J4" s="1"/>
      <c r="K4" s="1"/>
    </row>
    <row r="5" spans="1:13" ht="24" customHeight="1" x14ac:dyDescent="0.2">
      <c r="A5" s="75" t="s">
        <v>11</v>
      </c>
      <c r="B5" s="73" t="s">
        <v>168</v>
      </c>
      <c r="C5" s="73" t="s">
        <v>169</v>
      </c>
      <c r="D5" s="80" t="s">
        <v>170</v>
      </c>
    </row>
    <row r="6" spans="1:13" x14ac:dyDescent="0.2">
      <c r="A6" s="76" t="s">
        <v>109</v>
      </c>
      <c r="B6" s="107">
        <v>65</v>
      </c>
      <c r="C6" s="107">
        <v>80</v>
      </c>
      <c r="D6" s="109">
        <v>95</v>
      </c>
    </row>
    <row r="7" spans="1:13" x14ac:dyDescent="0.2">
      <c r="A7" s="76" t="s">
        <v>113</v>
      </c>
      <c r="B7" s="107">
        <v>95</v>
      </c>
      <c r="C7" s="107">
        <v>115</v>
      </c>
      <c r="D7" s="109">
        <v>135</v>
      </c>
    </row>
    <row r="8" spans="1:13" x14ac:dyDescent="0.2">
      <c r="A8" s="77" t="s">
        <v>116</v>
      </c>
      <c r="B8" s="107">
        <v>125</v>
      </c>
      <c r="C8" s="107">
        <v>150</v>
      </c>
      <c r="D8" s="109">
        <v>175</v>
      </c>
    </row>
    <row r="9" spans="1:13" x14ac:dyDescent="0.2">
      <c r="A9" s="77" t="s">
        <v>119</v>
      </c>
      <c r="B9" s="107">
        <v>165</v>
      </c>
      <c r="C9" s="107">
        <v>195</v>
      </c>
      <c r="D9" s="109">
        <v>225</v>
      </c>
    </row>
    <row r="10" spans="1:13" x14ac:dyDescent="0.2">
      <c r="A10" s="78" t="s">
        <v>123</v>
      </c>
      <c r="B10" s="107">
        <v>225</v>
      </c>
      <c r="C10" s="107">
        <v>265</v>
      </c>
      <c r="D10" s="109">
        <v>300</v>
      </c>
    </row>
    <row r="11" spans="1:13" x14ac:dyDescent="0.2">
      <c r="A11" s="78" t="s">
        <v>127</v>
      </c>
      <c r="B11" s="107">
        <v>310</v>
      </c>
      <c r="C11" s="107">
        <v>360</v>
      </c>
      <c r="D11" s="109">
        <v>410</v>
      </c>
    </row>
    <row r="12" spans="1:13" x14ac:dyDescent="0.2">
      <c r="A12" s="79" t="s">
        <v>131</v>
      </c>
      <c r="B12" s="108">
        <v>450</v>
      </c>
      <c r="C12" s="108">
        <v>520</v>
      </c>
      <c r="D12" s="110">
        <v>590</v>
      </c>
    </row>
    <row r="14" spans="1:13" x14ac:dyDescent="0.2">
      <c r="A14" s="2" t="s">
        <v>171</v>
      </c>
      <c r="B14" s="1"/>
      <c r="C14" s="1"/>
      <c r="D14" s="1"/>
      <c r="E14" s="1"/>
      <c r="F14" s="1"/>
      <c r="G14" s="1"/>
      <c r="H14" s="1"/>
      <c r="I14" s="1"/>
      <c r="J14" s="1"/>
      <c r="K14" s="1"/>
      <c r="L14" s="1"/>
      <c r="M14" s="1"/>
    </row>
    <row r="15" spans="1:13" ht="32" customHeight="1" x14ac:dyDescent="0.2">
      <c r="A15" s="48" t="s">
        <v>5</v>
      </c>
      <c r="B15" s="44" t="s">
        <v>11</v>
      </c>
      <c r="C15" s="44" t="s">
        <v>172</v>
      </c>
      <c r="D15" s="44" t="s">
        <v>173</v>
      </c>
      <c r="E15" s="44" t="s">
        <v>174</v>
      </c>
      <c r="F15" s="44" t="s">
        <v>175</v>
      </c>
      <c r="G15" s="44" t="s">
        <v>176</v>
      </c>
      <c r="H15" s="52" t="s">
        <v>19</v>
      </c>
      <c r="J15" s="111" t="s">
        <v>177</v>
      </c>
    </row>
    <row r="16" spans="1:13" x14ac:dyDescent="0.2">
      <c r="A16" s="49" t="s">
        <v>23</v>
      </c>
      <c r="B16" s="112" t="str">
        <f>'Credit Scoring'!I22</f>
        <v>A</v>
      </c>
      <c r="C16" s="107">
        <v>5</v>
      </c>
      <c r="D16" s="61" t="str">
        <f>IF(C16&lt;=3,"0-3yr",IF(C16&lt;=7,"3-7yr","7+yr"))</f>
        <v>3-7yr</v>
      </c>
      <c r="E16" s="61">
        <f>IFERROR(IF(D16="0-3yr",VLOOKUP(B16,$A$6:$D$12,2,FALSE),IF(D16="3-7yr",VLOOKUP(B16,$A$6:$D$12,3,FALSE),VLOOKUP(B16,$A$6:$D$12,4,FALSE))),"N/A")</f>
        <v>80</v>
      </c>
      <c r="F16" s="107">
        <v>-5</v>
      </c>
      <c r="G16" s="107">
        <v>-10</v>
      </c>
      <c r="H16" s="67">
        <f>IF(E16="N/A","N/A",E16+F16+G16)</f>
        <v>65</v>
      </c>
      <c r="J16" s="3">
        <f>H16</f>
        <v>65</v>
      </c>
    </row>
    <row r="17" spans="1:13" x14ac:dyDescent="0.2">
      <c r="A17" s="50" t="s">
        <v>27</v>
      </c>
      <c r="B17" s="113" t="str">
        <f>'Credit Scoring'!I23</f>
        <v>A</v>
      </c>
      <c r="C17" s="107">
        <v>7</v>
      </c>
      <c r="D17" s="63" t="str">
        <f>IF(C17&lt;=3,"0-3yr",IF(C17&lt;=7,"3-7yr","7+yr"))</f>
        <v>3-7yr</v>
      </c>
      <c r="E17" s="63">
        <f>IFERROR(IF(D17="0-3yr",VLOOKUP(B17,$A$6:$D$12,2,FALSE),IF(D17="3-7yr",VLOOKUP(B17,$A$6:$D$12,3,FALSE),VLOOKUP(B17,$A$6:$D$12,4,FALSE))),"N/A")</f>
        <v>80</v>
      </c>
      <c r="F17" s="107">
        <v>-5</v>
      </c>
      <c r="G17" s="107">
        <v>-5</v>
      </c>
      <c r="H17" s="68">
        <f>IF(E17="N/A","N/A",E17+F17+G17)</f>
        <v>70</v>
      </c>
      <c r="J17" s="3">
        <f>H17</f>
        <v>70</v>
      </c>
    </row>
    <row r="18" spans="1:13" x14ac:dyDescent="0.2">
      <c r="A18" s="49" t="s">
        <v>30</v>
      </c>
      <c r="B18" s="112" t="str">
        <f>'Credit Scoring'!I24</f>
        <v>BBB-</v>
      </c>
      <c r="C18" s="107">
        <v>8</v>
      </c>
      <c r="D18" s="61" t="str">
        <f>IF(C18&lt;=3,"0-3yr",IF(C18&lt;=7,"3-7yr","7+yr"))</f>
        <v>7+yr</v>
      </c>
      <c r="E18" s="61">
        <f>IFERROR(IF(D18="0-3yr",VLOOKUP(B18,$A$6:$D$12,2,FALSE),IF(D18="3-7yr",VLOOKUP(B18,$A$6:$D$12,3,FALSE),VLOOKUP(B18,$A$6:$D$12,4,FALSE))),"N/A")</f>
        <v>225</v>
      </c>
      <c r="F18" s="107">
        <v>10</v>
      </c>
      <c r="G18" s="107">
        <v>15</v>
      </c>
      <c r="H18" s="67">
        <f>IF(E18="N/A","N/A",E18+F18+G18)</f>
        <v>250</v>
      </c>
      <c r="J18" s="3">
        <f>H18</f>
        <v>250</v>
      </c>
    </row>
    <row r="19" spans="1:13" x14ac:dyDescent="0.2">
      <c r="A19" s="50" t="s">
        <v>34</v>
      </c>
      <c r="B19" s="113" t="str">
        <f>'Credit Scoring'!I25</f>
        <v>A</v>
      </c>
      <c r="C19" s="107">
        <v>6</v>
      </c>
      <c r="D19" s="63" t="str">
        <f>IF(C19&lt;=3,"0-3yr",IF(C19&lt;=7,"3-7yr","7+yr"))</f>
        <v>3-7yr</v>
      </c>
      <c r="E19" s="63">
        <f>IFERROR(IF(D19="0-3yr",VLOOKUP(B19,$A$6:$D$12,2,FALSE),IF(D19="3-7yr",VLOOKUP(B19,$A$6:$D$12,3,FALSE),VLOOKUP(B19,$A$6:$D$12,4,FALSE))),"N/A")</f>
        <v>80</v>
      </c>
      <c r="F19" s="107">
        <v>5</v>
      </c>
      <c r="G19" s="107">
        <v>-5</v>
      </c>
      <c r="H19" s="68">
        <f>IF(E19="N/A","N/A",E19+F19+G19)</f>
        <v>80</v>
      </c>
      <c r="J19" s="3">
        <f>H19</f>
        <v>80</v>
      </c>
    </row>
    <row r="20" spans="1:13" x14ac:dyDescent="0.2">
      <c r="A20" s="49" t="s">
        <v>37</v>
      </c>
      <c r="B20" s="112" t="str">
        <f>'Credit Scoring'!I26</f>
        <v>BBB</v>
      </c>
      <c r="C20" s="107">
        <v>4</v>
      </c>
      <c r="D20" s="61" t="str">
        <f>IF(C20&lt;=3,"0-3yr",IF(C20&lt;=7,"3-7yr","7+yr"))</f>
        <v>3-7yr</v>
      </c>
      <c r="E20" s="61">
        <f>IFERROR(IF(D20="0-3yr",VLOOKUP(B20,$A$6:$D$12,2,FALSE),IF(D20="3-7yr",VLOOKUP(B20,$A$6:$D$12,3,FALSE),VLOOKUP(B20,$A$6:$D$12,4,FALSE))),"N/A")</f>
        <v>150</v>
      </c>
      <c r="F20" s="107">
        <v>20</v>
      </c>
      <c r="G20" s="107">
        <v>25</v>
      </c>
      <c r="H20" s="67">
        <f>IF(E20="N/A","N/A",E20+F20+G20)</f>
        <v>195</v>
      </c>
      <c r="J20" s="3">
        <f>H20</f>
        <v>195</v>
      </c>
    </row>
    <row r="21" spans="1:13" x14ac:dyDescent="0.2">
      <c r="A21" s="50" t="s">
        <v>40</v>
      </c>
      <c r="B21" s="113" t="str">
        <f>'Credit Scoring'!I27</f>
        <v>BBB-</v>
      </c>
      <c r="C21" s="107">
        <v>7</v>
      </c>
      <c r="D21" s="63" t="str">
        <f>IF(C21&lt;=3,"0-3yr",IF(C21&lt;=7,"3-7yr","7+yr"))</f>
        <v>3-7yr</v>
      </c>
      <c r="E21" s="63">
        <f>IFERROR(IF(D21="0-3yr",VLOOKUP(B21,$A$6:$D$12,2,FALSE),IF(D21="3-7yr",VLOOKUP(B21,$A$6:$D$12,3,FALSE),VLOOKUP(B21,$A$6:$D$12,4,FALSE))),"N/A")</f>
        <v>195</v>
      </c>
      <c r="F21" s="107">
        <v>10</v>
      </c>
      <c r="G21" s="107">
        <v>30</v>
      </c>
      <c r="H21" s="68">
        <f>IF(E21="N/A","N/A",E21+F21+G21)</f>
        <v>235</v>
      </c>
      <c r="J21" s="3">
        <f>H21</f>
        <v>235</v>
      </c>
    </row>
    <row r="22" spans="1:13" x14ac:dyDescent="0.2">
      <c r="A22" s="49" t="s">
        <v>43</v>
      </c>
      <c r="B22" s="112" t="str">
        <f>'Credit Scoring'!I28</f>
        <v>BBB-</v>
      </c>
      <c r="C22" s="107">
        <v>5</v>
      </c>
      <c r="D22" s="61" t="str">
        <f>IF(C22&lt;=3,"0-3yr",IF(C22&lt;=7,"3-7yr","7+yr"))</f>
        <v>3-7yr</v>
      </c>
      <c r="E22" s="61">
        <f>IFERROR(IF(D22="0-3yr",VLOOKUP(B22,$A$6:$D$12,2,FALSE),IF(D22="3-7yr",VLOOKUP(B22,$A$6:$D$12,3,FALSE),VLOOKUP(B22,$A$6:$D$12,4,FALSE))),"N/A")</f>
        <v>195</v>
      </c>
      <c r="F22" s="107">
        <v>10</v>
      </c>
      <c r="G22" s="107">
        <v>5</v>
      </c>
      <c r="H22" s="67">
        <f>IF(E22="N/A","N/A",E22+F22+G22)</f>
        <v>210</v>
      </c>
      <c r="J22" s="3">
        <f>H22</f>
        <v>210</v>
      </c>
    </row>
    <row r="23" spans="1:13" x14ac:dyDescent="0.2">
      <c r="A23" s="50" t="s">
        <v>46</v>
      </c>
      <c r="B23" s="113" t="str">
        <f>'Credit Scoring'!I29</f>
        <v>BBB-</v>
      </c>
      <c r="C23" s="107">
        <v>8</v>
      </c>
      <c r="D23" s="63" t="str">
        <f>IF(C23&lt;=3,"0-3yr",IF(C23&lt;=7,"3-7yr","7+yr"))</f>
        <v>7+yr</v>
      </c>
      <c r="E23" s="63">
        <f>IFERROR(IF(D23="0-3yr",VLOOKUP(B23,$A$6:$D$12,2,FALSE),IF(D23="3-7yr",VLOOKUP(B23,$A$6:$D$12,3,FALSE),VLOOKUP(B23,$A$6:$D$12,4,FALSE))),"N/A")</f>
        <v>225</v>
      </c>
      <c r="F23" s="107">
        <v>10</v>
      </c>
      <c r="G23" s="107">
        <v>10</v>
      </c>
      <c r="H23" s="68">
        <f>IF(E23="N/A","N/A",E23+F23+G23)</f>
        <v>245</v>
      </c>
      <c r="J23" s="3">
        <f>H23</f>
        <v>245</v>
      </c>
    </row>
    <row r="24" spans="1:13" x14ac:dyDescent="0.2">
      <c r="A24" s="49" t="s">
        <v>49</v>
      </c>
      <c r="B24" s="112" t="str">
        <f>'Credit Scoring'!I30</f>
        <v>BB</v>
      </c>
      <c r="C24" s="107">
        <v>7</v>
      </c>
      <c r="D24" s="61" t="str">
        <f>IF(C24&lt;=3,"0-3yr",IF(C24&lt;=7,"3-7yr","7+yr"))</f>
        <v>3-7yr</v>
      </c>
      <c r="E24" s="61">
        <f>IFERROR(IF(D24="0-3yr",VLOOKUP(B24,$A$6:$D$12,2,FALSE),IF(D24="3-7yr",VLOOKUP(B24,$A$6:$D$12,3,FALSE),VLOOKUP(B24,$A$6:$D$12,4,FALSE))),"N/A")</f>
        <v>360</v>
      </c>
      <c r="F24" s="107">
        <v>25</v>
      </c>
      <c r="G24" s="107">
        <v>20</v>
      </c>
      <c r="H24" s="67">
        <f>IF(E24="N/A","N/A",E24+F24+G24)</f>
        <v>405</v>
      </c>
      <c r="J24" s="3">
        <f>H24</f>
        <v>405</v>
      </c>
    </row>
    <row r="25" spans="1:13" x14ac:dyDescent="0.2">
      <c r="A25" s="50" t="s">
        <v>52</v>
      </c>
      <c r="B25" s="113" t="str">
        <f>'Credit Scoring'!I31</f>
        <v>BBB-</v>
      </c>
      <c r="C25" s="107">
        <v>6</v>
      </c>
      <c r="D25" s="63" t="str">
        <f>IF(C25&lt;=3,"0-3yr",IF(C25&lt;=7,"3-7yr","7+yr"))</f>
        <v>3-7yr</v>
      </c>
      <c r="E25" s="63">
        <f>IFERROR(IF(D25="0-3yr",VLOOKUP(B25,$A$6:$D$12,2,FALSE),IF(D25="3-7yr",VLOOKUP(B25,$A$6:$D$12,3,FALSE),VLOOKUP(B25,$A$6:$D$12,4,FALSE))),"N/A")</f>
        <v>195</v>
      </c>
      <c r="F25" s="107">
        <v>5</v>
      </c>
      <c r="G25" s="107">
        <v>15</v>
      </c>
      <c r="H25" s="68">
        <f>IF(E25="N/A","N/A",E25+F25+G25)</f>
        <v>215</v>
      </c>
      <c r="J25" s="3">
        <f>H25</f>
        <v>215</v>
      </c>
    </row>
    <row r="26" spans="1:13" x14ac:dyDescent="0.2">
      <c r="A26" s="49" t="s">
        <v>55</v>
      </c>
      <c r="B26" s="112" t="str">
        <f>'Credit Scoring'!I32</f>
        <v>BB+</v>
      </c>
      <c r="C26" s="107">
        <v>5</v>
      </c>
      <c r="D26" s="61" t="str">
        <f>IF(C26&lt;=3,"0-3yr",IF(C26&lt;=7,"3-7yr","7+yr"))</f>
        <v>3-7yr</v>
      </c>
      <c r="E26" s="61">
        <f>IFERROR(IF(D26="0-3yr",VLOOKUP(B26,$A$6:$D$12,2,FALSE),IF(D26="3-7yr",VLOOKUP(B26,$A$6:$D$12,3,FALSE),VLOOKUP(B26,$A$6:$D$12,4,FALSE))),"N/A")</f>
        <v>265</v>
      </c>
      <c r="F26" s="107">
        <v>5</v>
      </c>
      <c r="G26" s="107">
        <v>35</v>
      </c>
      <c r="H26" s="67">
        <f>IF(E26="N/A","N/A",E26+F26+G26)</f>
        <v>305</v>
      </c>
      <c r="J26" s="3">
        <f>H26</f>
        <v>305</v>
      </c>
    </row>
    <row r="27" spans="1:13" x14ac:dyDescent="0.2">
      <c r="A27" s="51" t="s">
        <v>58</v>
      </c>
      <c r="B27" s="114" t="str">
        <f>'Credit Scoring'!I33</f>
        <v>BB</v>
      </c>
      <c r="C27" s="108">
        <v>5</v>
      </c>
      <c r="D27" s="65" t="str">
        <f>IF(C27&lt;=3,"0-3yr",IF(C27&lt;=7,"3-7yr","7+yr"))</f>
        <v>3-7yr</v>
      </c>
      <c r="E27" s="65">
        <f>IFERROR(IF(D27="0-3yr",VLOOKUP(B27,$A$6:$D$12,2,FALSE),IF(D27="3-7yr",VLOOKUP(B27,$A$6:$D$12,3,FALSE),VLOOKUP(B27,$A$6:$D$12,4,FALSE))),"N/A")</f>
        <v>360</v>
      </c>
      <c r="F27" s="108">
        <v>5</v>
      </c>
      <c r="G27" s="108">
        <v>20</v>
      </c>
      <c r="H27" s="69">
        <f>IF(E27="N/A","N/A",E27+F27+G27)</f>
        <v>385</v>
      </c>
      <c r="J27" s="3">
        <f>H27</f>
        <v>385</v>
      </c>
    </row>
    <row r="29" spans="1:13" x14ac:dyDescent="0.2">
      <c r="A29" s="2" t="s">
        <v>178</v>
      </c>
      <c r="B29" s="1"/>
      <c r="C29" s="1"/>
      <c r="D29" s="1"/>
      <c r="E29" s="1"/>
      <c r="F29" s="1"/>
      <c r="G29" s="1"/>
      <c r="H29" s="1"/>
      <c r="I29" s="1"/>
      <c r="J29" s="1"/>
      <c r="K29" s="1"/>
      <c r="L29" s="1"/>
      <c r="M29" s="1"/>
    </row>
    <row r="30" spans="1:13" ht="28" customHeight="1" x14ac:dyDescent="0.2">
      <c r="A30" s="48" t="s">
        <v>5</v>
      </c>
      <c r="B30" s="44" t="s">
        <v>18</v>
      </c>
      <c r="C30" s="44" t="s">
        <v>19</v>
      </c>
      <c r="D30" s="44" t="s">
        <v>179</v>
      </c>
      <c r="E30" s="44" t="s">
        <v>180</v>
      </c>
      <c r="F30" s="52" t="s">
        <v>181</v>
      </c>
    </row>
    <row r="31" spans="1:13" x14ac:dyDescent="0.2">
      <c r="A31" s="49" t="s">
        <v>23</v>
      </c>
      <c r="B31" s="61">
        <f>'Credit Universe'!N5</f>
        <v>-104.320987654321</v>
      </c>
      <c r="C31" s="61">
        <f>H16</f>
        <v>65</v>
      </c>
      <c r="D31" s="112">
        <f>IF(OR(B31="",C31="","N/A"),"",B31-C31)</f>
        <v>-169.32098765432102</v>
      </c>
      <c r="E31" s="61" t="str">
        <f>IF(D31="","",IF(ABS(D31)&gt;30,"Significant",IF(ABS(D31)&gt;15,"Moderate","Marginal")))</f>
        <v>Significant</v>
      </c>
      <c r="F31" s="115" t="str">
        <f>IF(D31="","",IF(D31&gt;15,"Too Wide",IF(D31&lt;-15,"Too Tight","Fair")))</f>
        <v>Too Tight</v>
      </c>
    </row>
    <row r="32" spans="1:13" x14ac:dyDescent="0.2">
      <c r="A32" s="50" t="s">
        <v>27</v>
      </c>
      <c r="B32" s="63">
        <f>'Credit Universe'!N6</f>
        <v>-116.99314397649361</v>
      </c>
      <c r="C32" s="63">
        <f>H17</f>
        <v>70</v>
      </c>
      <c r="D32" s="113">
        <f>IF(OR(B32="",C32="","N/A"),"",B32-C32)</f>
        <v>-186.99314397649363</v>
      </c>
      <c r="E32" s="63" t="str">
        <f>IF(D32="","",IF(ABS(D32)&gt;30,"Significant",IF(ABS(D32)&gt;15,"Moderate","Marginal")))</f>
        <v>Significant</v>
      </c>
      <c r="F32" s="115" t="str">
        <f>IF(D32="","",IF(D32&gt;15,"Too Wide",IF(D32&lt;-15,"Too Tight","Fair")))</f>
        <v>Too Tight</v>
      </c>
    </row>
    <row r="33" spans="1:11" x14ac:dyDescent="0.2">
      <c r="A33" s="49" t="s">
        <v>30</v>
      </c>
      <c r="B33" s="61">
        <f>'Credit Universe'!N7</f>
        <v>90.47120418848165</v>
      </c>
      <c r="C33" s="61">
        <f>H18</f>
        <v>250</v>
      </c>
      <c r="D33" s="112">
        <f>IF(OR(B33="",C33="","N/A"),"",B33-C33)</f>
        <v>-159.52879581151836</v>
      </c>
      <c r="E33" s="61" t="str">
        <f>IF(D33="","",IF(ABS(D33)&gt;30,"Significant",IF(ABS(D33)&gt;15,"Moderate","Marginal")))</f>
        <v>Significant</v>
      </c>
      <c r="F33" s="115" t="str">
        <f>IF(D33="","",IF(D33&gt;15,"Too Wide",IF(D33&lt;-15,"Too Tight","Fair")))</f>
        <v>Too Tight</v>
      </c>
    </row>
    <row r="34" spans="1:11" x14ac:dyDescent="0.2">
      <c r="A34" s="50" t="s">
        <v>34</v>
      </c>
      <c r="B34" s="63">
        <f>'Credit Universe'!N8</f>
        <v>159.34508816120908</v>
      </c>
      <c r="C34" s="63">
        <f>H19</f>
        <v>80</v>
      </c>
      <c r="D34" s="113">
        <f>IF(OR(B34="",C34="","N/A"),"",B34-C34)</f>
        <v>79.345088161209077</v>
      </c>
      <c r="E34" s="63" t="str">
        <f>IF(D34="","",IF(ABS(D34)&gt;30,"Significant",IF(ABS(D34)&gt;15,"Moderate","Marginal")))</f>
        <v>Significant</v>
      </c>
      <c r="F34" s="115" t="str">
        <f>IF(D34="","",IF(D34&gt;15,"Too Wide",IF(D34&lt;-15,"Too Tight","Fair")))</f>
        <v>Too Wide</v>
      </c>
    </row>
    <row r="35" spans="1:11" x14ac:dyDescent="0.2">
      <c r="A35" s="49" t="s">
        <v>37</v>
      </c>
      <c r="B35" s="61">
        <f>'Credit Universe'!N9</f>
        <v>213.04347826086945</v>
      </c>
      <c r="C35" s="61">
        <f>H20</f>
        <v>195</v>
      </c>
      <c r="D35" s="112">
        <f>IF(OR(B35="",C35="","N/A"),"",B35-C35)</f>
        <v>18.043478260869449</v>
      </c>
      <c r="E35" s="61" t="str">
        <f>IF(D35="","",IF(ABS(D35)&gt;30,"Significant",IF(ABS(D35)&gt;15,"Moderate","Marginal")))</f>
        <v>Moderate</v>
      </c>
      <c r="F35" s="115" t="str">
        <f>IF(D35="","",IF(D35&gt;15,"Too Wide",IF(D35&lt;-15,"Too Tight","Fair")))</f>
        <v>Too Wide</v>
      </c>
    </row>
    <row r="36" spans="1:11" x14ac:dyDescent="0.2">
      <c r="A36" s="50" t="s">
        <v>40</v>
      </c>
      <c r="B36" s="63">
        <f>'Credit Universe'!N10</f>
        <v>213.22033898305088</v>
      </c>
      <c r="C36" s="63">
        <f>H21</f>
        <v>235</v>
      </c>
      <c r="D36" s="113">
        <f>IF(OR(B36="",C36="","N/A"),"",B36-C36)</f>
        <v>-21.77966101694912</v>
      </c>
      <c r="E36" s="63" t="str">
        <f>IF(D36="","",IF(ABS(D36)&gt;30,"Significant",IF(ABS(D36)&gt;15,"Moderate","Marginal")))</f>
        <v>Moderate</v>
      </c>
      <c r="F36" s="115" t="str">
        <f>IF(D36="","",IF(D36&gt;15,"Too Wide",IF(D36&lt;-15,"Too Tight","Fair")))</f>
        <v>Too Tight</v>
      </c>
    </row>
    <row r="37" spans="1:11" x14ac:dyDescent="0.2">
      <c r="A37" s="49" t="s">
        <v>43</v>
      </c>
      <c r="B37" s="61">
        <f>'Credit Universe'!N11</f>
        <v>42.724935732647751</v>
      </c>
      <c r="C37" s="61">
        <f>H22</f>
        <v>210</v>
      </c>
      <c r="D37" s="112">
        <f>IF(OR(B37="",C37="","N/A"),"",B37-C37)</f>
        <v>-167.27506426735226</v>
      </c>
      <c r="E37" s="61" t="str">
        <f>IF(D37="","",IF(ABS(D37)&gt;30,"Significant",IF(ABS(D37)&gt;15,"Moderate","Marginal")))</f>
        <v>Significant</v>
      </c>
      <c r="F37" s="115" t="str">
        <f>IF(D37="","",IF(D37&gt;15,"Too Wide",IF(D37&lt;-15,"Too Tight","Fair")))</f>
        <v>Too Tight</v>
      </c>
    </row>
    <row r="38" spans="1:11" x14ac:dyDescent="0.2">
      <c r="A38" s="50" t="s">
        <v>46</v>
      </c>
      <c r="B38" s="63">
        <f>'Credit Universe'!N12</f>
        <v>140.74468085106383</v>
      </c>
      <c r="C38" s="63">
        <f>H23</f>
        <v>245</v>
      </c>
      <c r="D38" s="113">
        <f>IF(OR(B38="",C38="","N/A"),"",B38-C38)</f>
        <v>-104.25531914893617</v>
      </c>
      <c r="E38" s="63" t="str">
        <f>IF(D38="","",IF(ABS(D38)&gt;30,"Significant",IF(ABS(D38)&gt;15,"Moderate","Marginal")))</f>
        <v>Significant</v>
      </c>
      <c r="F38" s="115" t="str">
        <f>IF(D38="","",IF(D38&gt;15,"Too Wide",IF(D38&lt;-15,"Too Tight","Fair")))</f>
        <v>Too Tight</v>
      </c>
    </row>
    <row r="39" spans="1:11" x14ac:dyDescent="0.2">
      <c r="A39" s="49" t="s">
        <v>49</v>
      </c>
      <c r="B39" s="61">
        <f>'Credit Universe'!N13</f>
        <v>441.81286549707596</v>
      </c>
      <c r="C39" s="61">
        <f>H24</f>
        <v>405</v>
      </c>
      <c r="D39" s="112">
        <f>IF(OR(B39="",C39="","N/A"),"",B39-C39)</f>
        <v>36.812865497075961</v>
      </c>
      <c r="E39" s="61" t="str">
        <f>IF(D39="","",IF(ABS(D39)&gt;30,"Significant",IF(ABS(D39)&gt;15,"Moderate","Marginal")))</f>
        <v>Significant</v>
      </c>
      <c r="F39" s="115" t="str">
        <f>IF(D39="","",IF(D39&gt;15,"Too Wide",IF(D39&lt;-15,"Too Tight","Fair")))</f>
        <v>Too Wide</v>
      </c>
    </row>
    <row r="40" spans="1:11" x14ac:dyDescent="0.2">
      <c r="A40" s="50" t="s">
        <v>52</v>
      </c>
      <c r="B40" s="63">
        <f>'Credit Universe'!N14</f>
        <v>86.193029490616624</v>
      </c>
      <c r="C40" s="63">
        <f>H25</f>
        <v>215</v>
      </c>
      <c r="D40" s="113">
        <f>IF(OR(B40="",C40="","N/A"),"",B40-C40)</f>
        <v>-128.80697050938338</v>
      </c>
      <c r="E40" s="63" t="str">
        <f>IF(D40="","",IF(ABS(D40)&gt;30,"Significant",IF(ABS(D40)&gt;15,"Moderate","Marginal")))</f>
        <v>Significant</v>
      </c>
      <c r="F40" s="115" t="str">
        <f>IF(D40="","",IF(D40&gt;15,"Too Wide",IF(D40&lt;-15,"Too Tight","Fair")))</f>
        <v>Too Tight</v>
      </c>
    </row>
    <row r="41" spans="1:11" x14ac:dyDescent="0.2">
      <c r="A41" s="49" t="s">
        <v>55</v>
      </c>
      <c r="B41" s="61">
        <f>'Credit Universe'!N15</f>
        <v>510.36585365853659</v>
      </c>
      <c r="C41" s="61">
        <f>H26</f>
        <v>305</v>
      </c>
      <c r="D41" s="112">
        <f>IF(OR(B41="",C41="","N/A"),"",B41-C41)</f>
        <v>205.36585365853659</v>
      </c>
      <c r="E41" s="61" t="str">
        <f>IF(D41="","",IF(ABS(D41)&gt;30,"Significant",IF(ABS(D41)&gt;15,"Moderate","Marginal")))</f>
        <v>Significant</v>
      </c>
      <c r="F41" s="115" t="str">
        <f>IF(D41="","",IF(D41&gt;15,"Too Wide",IF(D41&lt;-15,"Too Tight","Fair")))</f>
        <v>Too Wide</v>
      </c>
    </row>
    <row r="42" spans="1:11" x14ac:dyDescent="0.2">
      <c r="A42" s="51" t="s">
        <v>58</v>
      </c>
      <c r="B42" s="65">
        <f>'Credit Universe'!N16</f>
        <v>378.0254777070063</v>
      </c>
      <c r="C42" s="65">
        <f>H27</f>
        <v>385</v>
      </c>
      <c r="D42" s="114">
        <f>IF(OR(B42="",C42="","N/A"),"",B42-C42)</f>
        <v>-6.9745222929936972</v>
      </c>
      <c r="E42" s="65" t="str">
        <f>IF(D42="","",IF(ABS(D42)&gt;30,"Significant",IF(ABS(D42)&gt;15,"Moderate","Marginal")))</f>
        <v>Marginal</v>
      </c>
      <c r="F42" s="116" t="str">
        <f>IF(D42="","",IF(D42&gt;15,"Too Wide",IF(D42&lt;-15,"Too Tight","Fair")))</f>
        <v>Fair</v>
      </c>
    </row>
    <row r="44" spans="1:11" x14ac:dyDescent="0.2">
      <c r="A44" s="2" t="s">
        <v>182</v>
      </c>
      <c r="B44" s="1"/>
      <c r="C44" s="1"/>
      <c r="D44" s="1"/>
      <c r="E44" s="1"/>
      <c r="F44" s="1"/>
      <c r="G44" s="1"/>
      <c r="H44" s="1"/>
      <c r="I44" s="1"/>
      <c r="J44" s="1"/>
      <c r="K44" s="1"/>
    </row>
    <row r="45" spans="1:11" ht="22" customHeight="1" x14ac:dyDescent="0.2">
      <c r="A45" s="125" t="s">
        <v>189</v>
      </c>
      <c r="B45" s="126"/>
      <c r="C45" s="126"/>
      <c r="D45" s="126"/>
      <c r="E45" s="126"/>
      <c r="F45" s="126"/>
      <c r="G45" s="126"/>
      <c r="H45" s="127"/>
    </row>
    <row r="46" spans="1:11" x14ac:dyDescent="0.2">
      <c r="A46" s="121" t="s">
        <v>183</v>
      </c>
      <c r="B46" s="119" t="s">
        <v>190</v>
      </c>
      <c r="C46" s="119" t="s">
        <v>184</v>
      </c>
      <c r="D46" s="119" t="s">
        <v>191</v>
      </c>
      <c r="E46" s="120"/>
      <c r="F46" s="120"/>
      <c r="G46" s="120"/>
      <c r="H46" s="123"/>
    </row>
    <row r="47" spans="1:11" x14ac:dyDescent="0.2">
      <c r="A47" s="121" t="s">
        <v>185</v>
      </c>
      <c r="B47" s="119" t="s">
        <v>127</v>
      </c>
      <c r="C47" s="119" t="s">
        <v>192</v>
      </c>
      <c r="D47" s="119" t="s">
        <v>193</v>
      </c>
      <c r="E47" s="120"/>
      <c r="F47" s="120"/>
      <c r="G47" s="120"/>
      <c r="H47" s="123"/>
    </row>
    <row r="48" spans="1:11" x14ac:dyDescent="0.2">
      <c r="A48" s="121" t="s">
        <v>194</v>
      </c>
      <c r="B48" s="119" t="s">
        <v>195</v>
      </c>
      <c r="C48" s="119" t="s">
        <v>186</v>
      </c>
      <c r="D48" s="119" t="s">
        <v>187</v>
      </c>
      <c r="E48" s="120"/>
      <c r="F48" s="120"/>
      <c r="G48" s="120"/>
      <c r="H48" s="123"/>
    </row>
    <row r="49" spans="1:8" ht="80" customHeight="1" x14ac:dyDescent="0.2">
      <c r="A49" s="122" t="s">
        <v>188</v>
      </c>
      <c r="B49" s="117" t="s">
        <v>196</v>
      </c>
      <c r="C49" s="118"/>
      <c r="D49" s="118"/>
      <c r="E49" s="118"/>
      <c r="F49" s="118"/>
      <c r="G49" s="118"/>
      <c r="H49" s="124"/>
    </row>
    <row r="51" spans="1:8" ht="22" customHeight="1" x14ac:dyDescent="0.2">
      <c r="A51" s="125" t="s">
        <v>197</v>
      </c>
      <c r="B51" s="126"/>
      <c r="C51" s="126"/>
      <c r="D51" s="126"/>
      <c r="E51" s="126"/>
      <c r="F51" s="126"/>
      <c r="G51" s="126"/>
      <c r="H51" s="127"/>
    </row>
    <row r="52" spans="1:8" x14ac:dyDescent="0.2">
      <c r="A52" s="121" t="s">
        <v>183</v>
      </c>
      <c r="B52" s="119" t="s">
        <v>198</v>
      </c>
      <c r="C52" s="119" t="s">
        <v>184</v>
      </c>
      <c r="D52" s="119" t="s">
        <v>199</v>
      </c>
      <c r="E52" s="120"/>
      <c r="F52" s="120"/>
      <c r="G52" s="120"/>
      <c r="H52" s="123"/>
    </row>
    <row r="53" spans="1:8" x14ac:dyDescent="0.2">
      <c r="A53" s="121" t="s">
        <v>185</v>
      </c>
      <c r="B53" s="119" t="s">
        <v>127</v>
      </c>
      <c r="C53" s="119" t="s">
        <v>192</v>
      </c>
      <c r="D53" s="119" t="s">
        <v>200</v>
      </c>
      <c r="E53" s="120"/>
      <c r="F53" s="120"/>
      <c r="G53" s="120"/>
      <c r="H53" s="123"/>
    </row>
    <row r="54" spans="1:8" x14ac:dyDescent="0.2">
      <c r="A54" s="121" t="s">
        <v>194</v>
      </c>
      <c r="B54" s="119" t="s">
        <v>201</v>
      </c>
      <c r="C54" s="119" t="s">
        <v>186</v>
      </c>
      <c r="D54" s="119" t="s">
        <v>202</v>
      </c>
      <c r="E54" s="120"/>
      <c r="F54" s="120"/>
      <c r="G54" s="120"/>
      <c r="H54" s="123"/>
    </row>
    <row r="55" spans="1:8" ht="80" customHeight="1" x14ac:dyDescent="0.2">
      <c r="A55" s="122" t="s">
        <v>188</v>
      </c>
      <c r="B55" s="117" t="s">
        <v>203</v>
      </c>
      <c r="C55" s="118"/>
      <c r="D55" s="118"/>
      <c r="E55" s="118"/>
      <c r="F55" s="118"/>
      <c r="G55" s="118"/>
      <c r="H55" s="124"/>
    </row>
    <row r="57" spans="1:8" ht="22" customHeight="1" x14ac:dyDescent="0.2">
      <c r="A57" s="125" t="s">
        <v>204</v>
      </c>
      <c r="B57" s="126"/>
      <c r="C57" s="126"/>
      <c r="D57" s="126"/>
      <c r="E57" s="126"/>
      <c r="F57" s="126"/>
      <c r="G57" s="126"/>
      <c r="H57" s="127"/>
    </row>
    <row r="58" spans="1:8" x14ac:dyDescent="0.2">
      <c r="A58" s="121" t="s">
        <v>183</v>
      </c>
      <c r="B58" s="119" t="s">
        <v>205</v>
      </c>
      <c r="C58" s="119" t="s">
        <v>184</v>
      </c>
      <c r="D58" s="119" t="s">
        <v>206</v>
      </c>
      <c r="E58" s="120"/>
      <c r="F58" s="120"/>
      <c r="G58" s="120"/>
      <c r="H58" s="123"/>
    </row>
    <row r="59" spans="1:8" x14ac:dyDescent="0.2">
      <c r="A59" s="121" t="s">
        <v>185</v>
      </c>
      <c r="B59" s="119" t="s">
        <v>119</v>
      </c>
      <c r="C59" s="119" t="s">
        <v>192</v>
      </c>
      <c r="D59" s="119" t="s">
        <v>207</v>
      </c>
      <c r="E59" s="120"/>
      <c r="F59" s="120"/>
      <c r="G59" s="120"/>
      <c r="H59" s="123"/>
    </row>
    <row r="60" spans="1:8" x14ac:dyDescent="0.2">
      <c r="A60" s="121" t="s">
        <v>194</v>
      </c>
      <c r="B60" s="119" t="s">
        <v>208</v>
      </c>
      <c r="C60" s="119" t="s">
        <v>186</v>
      </c>
      <c r="D60" s="119" t="s">
        <v>209</v>
      </c>
      <c r="E60" s="120"/>
      <c r="F60" s="120"/>
      <c r="G60" s="120"/>
      <c r="H60" s="123"/>
    </row>
    <row r="61" spans="1:8" ht="80" customHeight="1" x14ac:dyDescent="0.2">
      <c r="A61" s="122" t="s">
        <v>188</v>
      </c>
      <c r="B61" s="117" t="s">
        <v>210</v>
      </c>
      <c r="C61" s="118"/>
      <c r="D61" s="118"/>
      <c r="E61" s="118"/>
      <c r="F61" s="118"/>
      <c r="G61" s="118"/>
      <c r="H61" s="124"/>
    </row>
  </sheetData>
  <conditionalFormatting sqref="F31:F42">
    <cfRule type="containsText" dxfId="14" priority="1" operator="containsText" text="Too Wide">
      <formula>NOT(ISERROR(SEARCH("Too Wide",F31)))</formula>
    </cfRule>
  </conditionalFormatting>
  <conditionalFormatting sqref="F31:F42">
    <cfRule type="containsText" dxfId="13" priority="2" operator="containsText" text="Too Tight">
      <formula>NOT(ISERROR(SEARCH("Too Tight",F31)))</formula>
    </cfRule>
  </conditionalFormatting>
  <conditionalFormatting sqref="F31:F42">
    <cfRule type="containsText" dxfId="12" priority="3" operator="containsText" text="Fair">
      <formula>NOT(ISERROR(SEARCH("Fair",F31)))</formula>
    </cfRule>
  </conditionalFormatting>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7EAD993-28CC-AD40-954E-E94295046B6D}">
  <sheetPr>
    <tabColor rgb="FFC00000"/>
  </sheetPr>
  <dimension ref="A1:R17"/>
  <sheetViews>
    <sheetView showGridLines="0" topLeftCell="E1" workbookViewId="0">
      <pane ySplit="5" topLeftCell="A6" activePane="bottomLeft" state="frozen"/>
      <selection pane="bottomLeft" activeCell="G22" sqref="G22"/>
    </sheetView>
  </sheetViews>
  <sheetFormatPr baseColWidth="10" defaultRowHeight="16" x14ac:dyDescent="0.2"/>
  <cols>
    <col min="16" max="16" width="12.83203125" customWidth="1"/>
  </cols>
  <sheetData>
    <row r="1" spans="1:18" ht="22" x14ac:dyDescent="0.3">
      <c r="A1" s="5" t="s">
        <v>211</v>
      </c>
    </row>
    <row r="2" spans="1:18" x14ac:dyDescent="0.2">
      <c r="A2" s="6" t="s">
        <v>212</v>
      </c>
    </row>
    <row r="3" spans="1:18" x14ac:dyDescent="0.2">
      <c r="A3" s="4" t="s">
        <v>213</v>
      </c>
    </row>
    <row r="4" spans="1:18" x14ac:dyDescent="0.2">
      <c r="B4" s="130" t="s">
        <v>231</v>
      </c>
      <c r="C4" s="130"/>
      <c r="D4" s="130"/>
      <c r="E4" s="130"/>
      <c r="F4" s="130"/>
      <c r="G4" s="345" t="s">
        <v>232</v>
      </c>
      <c r="H4" s="132"/>
      <c r="I4" s="132"/>
      <c r="J4" s="132"/>
      <c r="K4" s="132"/>
      <c r="L4" s="344" t="s">
        <v>233</v>
      </c>
      <c r="M4" s="133"/>
      <c r="N4" s="133"/>
      <c r="O4" s="133"/>
      <c r="P4" s="133"/>
      <c r="Q4" s="343" t="s">
        <v>234</v>
      </c>
      <c r="R4" s="134"/>
    </row>
    <row r="5" spans="1:18" ht="40" customHeight="1" x14ac:dyDescent="0.2">
      <c r="A5" s="136" t="s">
        <v>5</v>
      </c>
      <c r="B5" s="135" t="s">
        <v>214</v>
      </c>
      <c r="C5" s="135" t="s">
        <v>215</v>
      </c>
      <c r="D5" s="135" t="s">
        <v>216</v>
      </c>
      <c r="E5" s="135" t="s">
        <v>217</v>
      </c>
      <c r="F5" s="135" t="s">
        <v>218</v>
      </c>
      <c r="G5" s="135" t="s">
        <v>219</v>
      </c>
      <c r="H5" s="135" t="s">
        <v>220</v>
      </c>
      <c r="I5" s="135" t="s">
        <v>221</v>
      </c>
      <c r="J5" s="135" t="s">
        <v>222</v>
      </c>
      <c r="K5" s="135" t="s">
        <v>223</v>
      </c>
      <c r="L5" s="135" t="s">
        <v>224</v>
      </c>
      <c r="M5" s="135" t="s">
        <v>225</v>
      </c>
      <c r="N5" s="135" t="s">
        <v>226</v>
      </c>
      <c r="O5" s="135" t="s">
        <v>227</v>
      </c>
      <c r="P5" s="135" t="s">
        <v>228</v>
      </c>
      <c r="Q5" s="135" t="s">
        <v>229</v>
      </c>
      <c r="R5" s="140" t="s">
        <v>230</v>
      </c>
    </row>
    <row r="6" spans="1:18" x14ac:dyDescent="0.2">
      <c r="A6" s="137" t="s">
        <v>23</v>
      </c>
      <c r="B6" s="39">
        <f>('Credit Scoring'!E6-'Credit Scoring'!F6)/'Credit Scoring'!C6</f>
        <v>0.46963873943120688</v>
      </c>
      <c r="C6" s="40">
        <f>IF('Credit Scoring'!G6=0,"N/A",'Credit Scoring'!C6/'Credit Scoring'!G6)</f>
        <v>68.473684210526315</v>
      </c>
      <c r="D6" s="40">
        <f>IF('Credit Scoring'!E6=0,"N/A",'Credit Scoring'!I6/'Credit Scoring'!E6*100)</f>
        <v>93.324937027707804</v>
      </c>
      <c r="E6" s="62">
        <f>'Credit Scoring'!H22</f>
        <v>4.8499999999999996</v>
      </c>
      <c r="F6" s="112" t="str">
        <f>'Credit Scoring'!I22</f>
        <v>A</v>
      </c>
      <c r="G6" s="39">
        <f>('Credit Scoring'!E6-'Credit Scoring'!F6)/('Credit Scoring'!C6*0.8)</f>
        <v>0.5870484242890085</v>
      </c>
      <c r="H6" s="40">
        <f>IF('Credit Scoring'!G6=0,"N/A",('Credit Scoring'!C6*0.8)/'Credit Scoring'!G6)</f>
        <v>54.778947368421058</v>
      </c>
      <c r="I6" s="40">
        <f>IF('Credit Scoring'!E6=0,"N/A",('Credit Scoring'!I6*0.8)/'Credit Scoring'!E6*100)</f>
        <v>74.659949622166238</v>
      </c>
      <c r="J6" s="62">
        <f>IF(G6&lt;1,5,IF(G6&lt;2,4,IF(G6&lt;3,3,IF(G6&lt;4,2,1))))*0.25+IF(H6&gt;10,5,IF(H6&gt;7,4,IF(H6&gt;4,3,IF(H6&gt;2,2,1))))*0.25+IF(I6&gt;20,5,IF(I6&gt;15,4,IF(I6&gt;10,3,IF(I6&gt;5,2,1))))*0.2+'Credit Scoring'!E22*0.1+'Credit Scoring'!F22*0.15+'Credit Scoring'!G22*0.05</f>
        <v>4.8499999999999996</v>
      </c>
      <c r="K6" s="112" t="str">
        <f>IF(J6&gt;=4.5,"A",IF(J6&gt;=3.8,"BBB+",IF(J6&gt;=3.2,"BBB",IF(J6&gt;=2.6,"BBB-",IF(J6&gt;=2,"BB+",IF(J6&gt;=1.5,"BB","B+"))))))</f>
        <v>A</v>
      </c>
      <c r="L6" s="39">
        <f>(('Credit Scoring'!E6*1.1)-'Credit Scoring'!F6)/('Credit Scoring'!C6*0.65)</f>
        <v>0.81641340980311028</v>
      </c>
      <c r="M6" s="40">
        <f>IF('Credit Scoring'!G6=0,"N/A",('Credit Scoring'!C6*0.65)/'Credit Scoring'!G6)</f>
        <v>44.507894736842104</v>
      </c>
      <c r="N6" s="40">
        <f>IF(('Credit Scoring'!E6*1.1)=0,"N/A",('Credit Scoring'!I6*0.65)/('Credit Scoring'!E6*1.1)*100)</f>
        <v>55.146553698190971</v>
      </c>
      <c r="O6" s="62">
        <f>IF(L6&lt;1,5,IF(L6&lt;2,4,IF(L6&lt;3,3,IF(L6&lt;4,2,1))))*0.25+IF(M6&gt;10,5,IF(M6&gt;7,4,IF(M6&gt;4,3,IF(M6&gt;2,2,1))))*0.25+IF(N6&gt;20,5,IF(N6&gt;15,4,IF(N6&gt;10,3,IF(N6&gt;5,2,1))))*0.2+'Credit Scoring'!E22*0.1+'Credit Scoring'!F22*0.15+'Credit Scoring'!G22*0.05</f>
        <v>4.8499999999999996</v>
      </c>
      <c r="P6" s="112" t="str">
        <f>IF(O6&gt;=4.5,"A",IF(O6&gt;=3.8,"BBB+",IF(O6&gt;=3.2,"BBB",IF(O6&gt;=2.6,"BBB-",IF(O6&gt;=2,"BB+",IF(O6&gt;=1.5,"BB","B+"))))))</f>
        <v>A</v>
      </c>
      <c r="Q6" s="62">
        <f>('Credit Scoring'!$B$62*'Credit Scoring'!C6-('Credit Scoring'!E6-'Credit Scoring'!F6))/'Credit Scoring'!C6</f>
        <v>4.5303612605687933</v>
      </c>
      <c r="R6" s="67" t="str">
        <f>IF(Q6&gt;2,"Safe",IF(Q6&gt;1,"Watch","⚑ DISTRESS RISK"))</f>
        <v>Safe</v>
      </c>
    </row>
    <row r="7" spans="1:18" x14ac:dyDescent="0.2">
      <c r="A7" s="138" t="s">
        <v>27</v>
      </c>
      <c r="B7" s="41">
        <f>('Credit Scoring'!E7-'Credit Scoring'!F7)/'Credit Scoring'!C7</f>
        <v>0.23255813953488372</v>
      </c>
      <c r="C7" s="42">
        <f>IF('Credit Scoring'!G7=0,"N/A",'Credit Scoring'!C7/'Credit Scoring'!G7)</f>
        <v>51.6</v>
      </c>
      <c r="D7" s="42">
        <f>IF('Credit Scoring'!E7=0,"N/A",'Credit Scoring'!I7/'Credit Scoring'!E7*100)</f>
        <v>67.383512544802869</v>
      </c>
      <c r="E7" s="64">
        <f>'Credit Scoring'!H23</f>
        <v>5</v>
      </c>
      <c r="F7" s="113" t="str">
        <f>'Credit Scoring'!I23</f>
        <v>A</v>
      </c>
      <c r="G7" s="41">
        <f>('Credit Scoring'!E7-'Credit Scoring'!F7)/('Credit Scoring'!C7*0.8)</f>
        <v>0.29069767441860467</v>
      </c>
      <c r="H7" s="42">
        <f>IF('Credit Scoring'!G7=0,"N/A",('Credit Scoring'!C7*0.8)/'Credit Scoring'!G7)</f>
        <v>41.28</v>
      </c>
      <c r="I7" s="42">
        <f>IF('Credit Scoring'!E7=0,"N/A",('Credit Scoring'!I7*0.8)/'Credit Scoring'!E7*100)</f>
        <v>53.906810035842298</v>
      </c>
      <c r="J7" s="64">
        <f>IF(G7&lt;1,5,IF(G7&lt;2,4,IF(G7&lt;3,3,IF(G7&lt;4,2,1))))*0.25+IF(H7&gt;10,5,IF(H7&gt;7,4,IF(H7&gt;4,3,IF(H7&gt;2,2,1))))*0.25+IF(I7&gt;20,5,IF(I7&gt;15,4,IF(I7&gt;10,3,IF(I7&gt;5,2,1))))*0.2+'Credit Scoring'!E23*0.1+'Credit Scoring'!F23*0.15+'Credit Scoring'!G23*0.05</f>
        <v>5</v>
      </c>
      <c r="K7" s="113" t="str">
        <f>IF(J7&gt;=4.5,"A",IF(J7&gt;=3.8,"BBB+",IF(J7&gt;=3.2,"BBB",IF(J7&gt;=2.6,"BBB-",IF(J7&gt;=2,"BB+",IF(J7&gt;=1.5,"BB","B+"))))))</f>
        <v>A</v>
      </c>
      <c r="L7" s="41">
        <f>(('Credit Scoring'!E7*1.1)-'Credit Scoring'!F7)/('Credit Scoring'!C7*0.65)</f>
        <v>0.52415026833631506</v>
      </c>
      <c r="M7" s="42">
        <f>IF('Credit Scoring'!G7=0,"N/A",('Credit Scoring'!C7*0.65)/'Credit Scoring'!G7)</f>
        <v>33.54</v>
      </c>
      <c r="N7" s="42">
        <f>IF(('Credit Scoring'!E7*1.1)=0,"N/A",('Credit Scoring'!I7*0.65)/('Credit Scoring'!E7*1.1)*100)</f>
        <v>39.817530140110783</v>
      </c>
      <c r="O7" s="64">
        <f>IF(L7&lt;1,5,IF(L7&lt;2,4,IF(L7&lt;3,3,IF(L7&lt;4,2,1))))*0.25+IF(M7&gt;10,5,IF(M7&gt;7,4,IF(M7&gt;4,3,IF(M7&gt;2,2,1))))*0.25+IF(N7&gt;20,5,IF(N7&gt;15,4,IF(N7&gt;10,3,IF(N7&gt;5,2,1))))*0.2+'Credit Scoring'!E23*0.1+'Credit Scoring'!F23*0.15+'Credit Scoring'!G23*0.05</f>
        <v>5</v>
      </c>
      <c r="P7" s="113" t="str">
        <f>IF(O7&gt;=4.5,"A",IF(O7&gt;=3.8,"BBB+",IF(O7&gt;=3.2,"BBB",IF(O7&gt;=2.6,"BBB-",IF(O7&gt;=2,"BB+",IF(O7&gt;=1.5,"BB","B+"))))))</f>
        <v>A</v>
      </c>
      <c r="Q7" s="64">
        <f>('Credit Scoring'!$B$62*'Credit Scoring'!C7-('Credit Scoring'!E7-'Credit Scoring'!F7))/'Credit Scoring'!C7</f>
        <v>4.7674418604651159</v>
      </c>
      <c r="R7" s="68" t="str">
        <f>IF(Q7&gt;2,"Safe",IF(Q7&gt;1,"Watch","⚑ DISTRESS RISK"))</f>
        <v>Safe</v>
      </c>
    </row>
    <row r="8" spans="1:18" x14ac:dyDescent="0.2">
      <c r="A8" s="137" t="s">
        <v>30</v>
      </c>
      <c r="B8" s="39">
        <f>('Credit Scoring'!E8-'Credit Scoring'!F8)/'Credit Scoring'!C8</f>
        <v>3.1689189189189189</v>
      </c>
      <c r="C8" s="40">
        <f>IF('Credit Scoring'!G8=0,"N/A",'Credit Scoring'!C8/'Credit Scoring'!G8)</f>
        <v>5.481481481481481</v>
      </c>
      <c r="D8" s="40">
        <f>IF('Credit Scoring'!E8=0,"N/A",'Credit Scoring'!I8/'Credit Scoring'!E8*100)</f>
        <v>10.172744721689059</v>
      </c>
      <c r="E8" s="62">
        <f>'Credit Scoring'!H24</f>
        <v>2.6500000000000004</v>
      </c>
      <c r="F8" s="112" t="str">
        <f>'Credit Scoring'!I24</f>
        <v>BBB-</v>
      </c>
      <c r="G8" s="39">
        <f>('Credit Scoring'!E8-'Credit Scoring'!F8)/('Credit Scoring'!C8*0.8)</f>
        <v>3.9611486486486478</v>
      </c>
      <c r="H8" s="40">
        <f>IF('Credit Scoring'!G8=0,"N/A",('Credit Scoring'!C8*0.8)/'Credit Scoring'!G8)</f>
        <v>4.3851851851851853</v>
      </c>
      <c r="I8" s="40">
        <f>IF('Credit Scoring'!E8=0,"N/A",('Credit Scoring'!I8*0.8)/'Credit Scoring'!E8*100)</f>
        <v>8.1381957773512479</v>
      </c>
      <c r="J8" s="62">
        <f>IF(G8&lt;1,5,IF(G8&lt;2,4,IF(G8&lt;3,3,IF(G8&lt;4,2,1))))*0.25+IF(H8&gt;10,5,IF(H8&gt;7,4,IF(H8&gt;4,3,IF(H8&gt;2,2,1))))*0.25+IF(I8&gt;20,5,IF(I8&gt;15,4,IF(I8&gt;10,3,IF(I8&gt;5,2,1))))*0.2+'Credit Scoring'!E24*0.1+'Credit Scoring'!F24*0.15+'Credit Scoring'!G24*0.05</f>
        <v>2.4499999999999997</v>
      </c>
      <c r="K8" s="112" t="str">
        <f>IF(J8&gt;=4.5,"A",IF(J8&gt;=3.8,"BBB+",IF(J8&gt;=3.2,"BBB",IF(J8&gt;=2.6,"BBB-",IF(J8&gt;=2,"BB+",IF(J8&gt;=1.5,"BB","B+"))))))</f>
        <v>BB+</v>
      </c>
      <c r="L8" s="39">
        <f>(('Credit Scoring'!E8*1.1)-'Credit Scoring'!F8)/('Credit Scoring'!C8*0.65)</f>
        <v>5.4168399168399173</v>
      </c>
      <c r="M8" s="40">
        <f>IF('Credit Scoring'!G8=0,"N/A",('Credit Scoring'!C8*0.65)/'Credit Scoring'!G8)</f>
        <v>3.5629629629629629</v>
      </c>
      <c r="N8" s="40">
        <f>IF(('Credit Scoring'!E8*1.1)=0,"N/A",('Credit Scoring'!I8*0.65)/('Credit Scoring'!E8*1.1)*100)</f>
        <v>6.0111673355435338</v>
      </c>
      <c r="O8" s="62">
        <f>IF(L8&lt;1,5,IF(L8&lt;2,4,IF(L8&lt;3,3,IF(L8&lt;4,2,1))))*0.25+IF(M8&gt;10,5,IF(M8&gt;7,4,IF(M8&gt;4,3,IF(M8&gt;2,2,1))))*0.25+IF(N8&gt;20,5,IF(N8&gt;15,4,IF(N8&gt;10,3,IF(N8&gt;5,2,1))))*0.2+'Credit Scoring'!E24*0.1+'Credit Scoring'!F24*0.15+'Credit Scoring'!G24*0.05</f>
        <v>1.95</v>
      </c>
      <c r="P8" s="112" t="str">
        <f>IF(O8&gt;=4.5,"A",IF(O8&gt;=3.8,"BBB+",IF(O8&gt;=3.2,"BBB",IF(O8&gt;=2.6,"BBB-",IF(O8&gt;=2,"BB+",IF(O8&gt;=1.5,"BB","B+"))))))</f>
        <v>BB</v>
      </c>
      <c r="Q8" s="62">
        <f>('Credit Scoring'!$B$62*'Credit Scoring'!C8-('Credit Scoring'!E8-'Credit Scoring'!F8))/'Credit Scoring'!C8</f>
        <v>1.8310810810810811</v>
      </c>
      <c r="R8" s="67" t="str">
        <f>IF(Q8&gt;2,"Safe",IF(Q8&gt;1,"Watch","⚑ DISTRESS RISK"))</f>
        <v>Watch</v>
      </c>
    </row>
    <row r="9" spans="1:18" x14ac:dyDescent="0.2">
      <c r="A9" s="138" t="s">
        <v>34</v>
      </c>
      <c r="B9" s="41">
        <f>('Credit Scoring'!E9-'Credit Scoring'!F9)/'Credit Scoring'!C9</f>
        <v>0.28571428571428581</v>
      </c>
      <c r="C9" s="42">
        <f>IF('Credit Scoring'!G9=0,"N/A",'Credit Scoring'!C9/'Credit Scoring'!G9)</f>
        <v>13.999999999999998</v>
      </c>
      <c r="D9" s="42">
        <f>IF('Credit Scoring'!E9=0,"N/A",'Credit Scoring'!I9/'Credit Scoring'!E9*100)</f>
        <v>43.749999999999993</v>
      </c>
      <c r="E9" s="64">
        <f>'Credit Scoring'!H25</f>
        <v>4.7</v>
      </c>
      <c r="F9" s="113" t="str">
        <f>'Credit Scoring'!I25</f>
        <v>A</v>
      </c>
      <c r="G9" s="41">
        <f>('Credit Scoring'!E9-'Credit Scoring'!F9)/('Credit Scoring'!C9*0.8)</f>
        <v>0.35714285714285732</v>
      </c>
      <c r="H9" s="42">
        <f>IF('Credit Scoring'!G9=0,"N/A",('Credit Scoring'!C9*0.8)/'Credit Scoring'!G9)</f>
        <v>11.199999999999998</v>
      </c>
      <c r="I9" s="42">
        <f>IF('Credit Scoring'!E9=0,"N/A",('Credit Scoring'!I9*0.8)/'Credit Scoring'!E9*100)</f>
        <v>34.999999999999993</v>
      </c>
      <c r="J9" s="64">
        <f>IF(G9&lt;1,5,IF(G9&lt;2,4,IF(G9&lt;3,3,IF(G9&lt;4,2,1))))*0.25+IF(H9&gt;10,5,IF(H9&gt;7,4,IF(H9&gt;4,3,IF(H9&gt;2,2,1))))*0.25+IF(I9&gt;20,5,IF(I9&gt;15,4,IF(I9&gt;10,3,IF(I9&gt;5,2,1))))*0.2+'Credit Scoring'!E25*0.1+'Credit Scoring'!F25*0.15+'Credit Scoring'!G25*0.05</f>
        <v>4.7</v>
      </c>
      <c r="K9" s="113" t="str">
        <f>IF(J9&gt;=4.5,"A",IF(J9&gt;=3.8,"BBB+",IF(J9&gt;=3.2,"BBB",IF(J9&gt;=2.6,"BBB-",IF(J9&gt;=2,"BB+",IF(J9&gt;=1.5,"BB","B+"))))))</f>
        <v>A</v>
      </c>
      <c r="L9" s="41">
        <f>(('Credit Scoring'!E9*1.1)-'Credit Scoring'!F9)/('Credit Scoring'!C9*0.65)</f>
        <v>0.61538461538461575</v>
      </c>
      <c r="M9" s="42">
        <f>IF('Credit Scoring'!G9=0,"N/A",('Credit Scoring'!C9*0.65)/'Credit Scoring'!G9)</f>
        <v>9.0999999999999979</v>
      </c>
      <c r="N9" s="42">
        <f>IF(('Credit Scoring'!E9*1.1)=0,"N/A",('Credit Scoring'!I9*0.65)/('Credit Scoring'!E9*1.1)*100)</f>
        <v>25.852272727272723</v>
      </c>
      <c r="O9" s="64">
        <f>IF(L9&lt;1,5,IF(L9&lt;2,4,IF(L9&lt;3,3,IF(L9&lt;4,2,1))))*0.25+IF(M9&gt;10,5,IF(M9&gt;7,4,IF(M9&gt;4,3,IF(M9&gt;2,2,1))))*0.25+IF(N9&gt;20,5,IF(N9&gt;15,4,IF(N9&gt;10,3,IF(N9&gt;5,2,1))))*0.2+'Credit Scoring'!E25*0.1+'Credit Scoring'!F25*0.15+'Credit Scoring'!G25*0.05</f>
        <v>4.45</v>
      </c>
      <c r="P9" s="113" t="str">
        <f>IF(O9&gt;=4.5,"A",IF(O9&gt;=3.8,"BBB+",IF(O9&gt;=3.2,"BBB",IF(O9&gt;=2.6,"BBB-",IF(O9&gt;=2,"BB+",IF(O9&gt;=1.5,"BB","B+"))))))</f>
        <v>BBB+</v>
      </c>
      <c r="Q9" s="64">
        <f>('Credit Scoring'!$B$62*'Credit Scoring'!C9-('Credit Scoring'!E9-'Credit Scoring'!F9))/'Credit Scoring'!C9</f>
        <v>4.7142857142857144</v>
      </c>
      <c r="R9" s="68" t="str">
        <f>IF(Q9&gt;2,"Safe",IF(Q9&gt;1,"Watch","⚑ DISTRESS RISK"))</f>
        <v>Safe</v>
      </c>
    </row>
    <row r="10" spans="1:18" x14ac:dyDescent="0.2">
      <c r="A10" s="137" t="s">
        <v>37</v>
      </c>
      <c r="B10" s="39">
        <f>('Credit Scoring'!E10-'Credit Scoring'!F10)/'Credit Scoring'!C10</f>
        <v>-0.71568627450980404</v>
      </c>
      <c r="C10" s="40">
        <f>IF('Credit Scoring'!G10=0,"N/A",'Credit Scoring'!C10/'Credit Scoring'!G10)</f>
        <v>6.8</v>
      </c>
      <c r="D10" s="40">
        <f>IF('Credit Scoring'!E10=0,"N/A",'Credit Scoring'!I10/'Credit Scoring'!E10*100)</f>
        <v>12.727272727272727</v>
      </c>
      <c r="E10" s="62">
        <f>'Credit Scoring'!H26</f>
        <v>3.4</v>
      </c>
      <c r="F10" s="112" t="str">
        <f>'Credit Scoring'!I26</f>
        <v>BBB</v>
      </c>
      <c r="G10" s="39">
        <f>('Credit Scoring'!E10-'Credit Scoring'!F10)/('Credit Scoring'!C10*0.8)</f>
        <v>-0.89460784313725494</v>
      </c>
      <c r="H10" s="40">
        <f>IF('Credit Scoring'!G10=0,"N/A",('Credit Scoring'!C10*0.8)/'Credit Scoring'!G10)</f>
        <v>5.44</v>
      </c>
      <c r="I10" s="40">
        <f>IF('Credit Scoring'!E10=0,"N/A",('Credit Scoring'!I10*0.8)/'Credit Scoring'!E10*100)</f>
        <v>10.18181818181818</v>
      </c>
      <c r="J10" s="62">
        <f>IF(G10&lt;1,5,IF(G10&lt;2,4,IF(G10&lt;3,3,IF(G10&lt;4,2,1))))*0.25+IF(H10&gt;10,5,IF(H10&gt;7,4,IF(H10&gt;4,3,IF(H10&gt;2,2,1))))*0.25+IF(I10&gt;20,5,IF(I10&gt;15,4,IF(I10&gt;10,3,IF(I10&gt;5,2,1))))*0.2+'Credit Scoring'!E26*0.1+'Credit Scoring'!F26*0.15+'Credit Scoring'!G26*0.05</f>
        <v>3.4</v>
      </c>
      <c r="K10" s="112" t="str">
        <f>IF(J10&gt;=4.5,"A",IF(J10&gt;=3.8,"BBB+",IF(J10&gt;=3.2,"BBB",IF(J10&gt;=2.6,"BBB-",IF(J10&gt;=2,"BB+",IF(J10&gt;=1.5,"BB","B+"))))))</f>
        <v>BBB</v>
      </c>
      <c r="L10" s="39">
        <f>(('Credit Scoring'!E10*1.1)-'Credit Scoring'!F10)/('Credit Scoring'!C10*0.65)</f>
        <v>-0.76923076923076894</v>
      </c>
      <c r="M10" s="40">
        <f>IF('Credit Scoring'!G10=0,"N/A",('Credit Scoring'!C10*0.65)/'Credit Scoring'!G10)</f>
        <v>4.42</v>
      </c>
      <c r="N10" s="40">
        <f>IF(('Credit Scoring'!E10*1.1)=0,"N/A",('Credit Scoring'!I10*0.65)/('Credit Scoring'!E10*1.1)*100)</f>
        <v>7.5206611570247928</v>
      </c>
      <c r="O10" s="62">
        <f>IF(L10&lt;1,5,IF(L10&lt;2,4,IF(L10&lt;3,3,IF(L10&lt;4,2,1))))*0.25+IF(M10&gt;10,5,IF(M10&gt;7,4,IF(M10&gt;4,3,IF(M10&gt;2,2,1))))*0.25+IF(N10&gt;20,5,IF(N10&gt;15,4,IF(N10&gt;10,3,IF(N10&gt;5,2,1))))*0.2+'Credit Scoring'!E26*0.1+'Credit Scoring'!F26*0.15+'Credit Scoring'!G26*0.05</f>
        <v>3.1999999999999997</v>
      </c>
      <c r="P10" s="112" t="str">
        <f>IF(O10&gt;=4.5,"A",IF(O10&gt;=3.8,"BBB+",IF(O10&gt;=3.2,"BBB",IF(O10&gt;=2.6,"BBB-",IF(O10&gt;=2,"BB+",IF(O10&gt;=1.5,"BB","B+"))))))</f>
        <v>BBB</v>
      </c>
      <c r="Q10" s="62">
        <f>('Credit Scoring'!$B$62*'Credit Scoring'!C10-('Credit Scoring'!E10-'Credit Scoring'!F10))/'Credit Scoring'!C10</f>
        <v>5.715686274509804</v>
      </c>
      <c r="R10" s="67" t="str">
        <f>IF(Q10&gt;2,"Safe",IF(Q10&gt;1,"Watch","⚑ DISTRESS RISK"))</f>
        <v>Safe</v>
      </c>
    </row>
    <row r="11" spans="1:18" x14ac:dyDescent="0.2">
      <c r="A11" s="138" t="s">
        <v>40</v>
      </c>
      <c r="B11" s="41">
        <f>('Credit Scoring'!E11-'Credit Scoring'!F11)/'Credit Scoring'!C11</f>
        <v>2.1568627450980395</v>
      </c>
      <c r="C11" s="42">
        <f>IF('Credit Scoring'!G11=0,"N/A",'Credit Scoring'!C11/'Credit Scoring'!G11)</f>
        <v>2.833333333333333</v>
      </c>
      <c r="D11" s="42">
        <f>IF('Credit Scoring'!E11=0,"N/A",'Credit Scoring'!I11/'Credit Scoring'!E11*100)</f>
        <v>8.4507042253521121</v>
      </c>
      <c r="E11" s="64">
        <f>'Credit Scoring'!H27</f>
        <v>2.6</v>
      </c>
      <c r="F11" s="113" t="str">
        <f>'Credit Scoring'!I27</f>
        <v>BBB-</v>
      </c>
      <c r="G11" s="41">
        <f>('Credit Scoring'!E11-'Credit Scoring'!F11)/('Credit Scoring'!C11*0.8)</f>
        <v>2.6960784313725488</v>
      </c>
      <c r="H11" s="42">
        <f>IF('Credit Scoring'!G11=0,"N/A",('Credit Scoring'!C11*0.8)/'Credit Scoring'!G11)</f>
        <v>2.2666666666666666</v>
      </c>
      <c r="I11" s="42">
        <f>IF('Credit Scoring'!E11=0,"N/A",('Credit Scoring'!I11*0.8)/'Credit Scoring'!E11*100)</f>
        <v>6.7605633802816909</v>
      </c>
      <c r="J11" s="64">
        <f>IF(G11&lt;1,5,IF(G11&lt;2,4,IF(G11&lt;3,3,IF(G11&lt;4,2,1))))*0.25+IF(H11&gt;10,5,IF(H11&gt;7,4,IF(H11&gt;4,3,IF(H11&gt;2,2,1))))*0.25+IF(I11&gt;20,5,IF(I11&gt;15,4,IF(I11&gt;10,3,IF(I11&gt;5,2,1))))*0.2+'Credit Scoring'!E27*0.1+'Credit Scoring'!F27*0.15+'Credit Scoring'!G27*0.05</f>
        <v>2.6</v>
      </c>
      <c r="K11" s="113" t="str">
        <f>IF(J11&gt;=4.5,"A",IF(J11&gt;=3.8,"BBB+",IF(J11&gt;=3.2,"BBB",IF(J11&gt;=2.6,"BBB-",IF(J11&gt;=2,"BB+",IF(J11&gt;=1.5,"BB","B+"))))))</f>
        <v>BBB-</v>
      </c>
      <c r="L11" s="41">
        <f>(('Credit Scoring'!E11*1.1)-'Credit Scoring'!F11)/('Credit Scoring'!C11*0.65)</f>
        <v>3.7466063348416294</v>
      </c>
      <c r="M11" s="42">
        <f>IF('Credit Scoring'!G11=0,"N/A",('Credit Scoring'!C11*0.65)/'Credit Scoring'!G11)</f>
        <v>1.8416666666666666</v>
      </c>
      <c r="N11" s="42">
        <f>IF(('Credit Scoring'!E11*1.1)=0,"N/A",('Credit Scoring'!I11*0.65)/('Credit Scoring'!E11*1.1)*100)</f>
        <v>4.9935979513444302</v>
      </c>
      <c r="O11" s="64">
        <f>IF(L11&lt;1,5,IF(L11&lt;2,4,IF(L11&lt;3,3,IF(L11&lt;4,2,1))))*0.25+IF(M11&gt;10,5,IF(M11&gt;7,4,IF(M11&gt;4,3,IF(M11&gt;2,2,1))))*0.25+IF(N11&gt;20,5,IF(N11&gt;15,4,IF(N11&gt;10,3,IF(N11&gt;5,2,1))))*0.2+'Credit Scoring'!E27*0.1+'Credit Scoring'!F27*0.15+'Credit Scoring'!G27*0.05</f>
        <v>1.9000000000000001</v>
      </c>
      <c r="P11" s="113" t="str">
        <f>IF(O11&gt;=4.5,"A",IF(O11&gt;=3.8,"BBB+",IF(O11&gt;=3.2,"BBB",IF(O11&gt;=2.6,"BBB-",IF(O11&gt;=2,"BB+",IF(O11&gt;=1.5,"BB","B+"))))))</f>
        <v>BB</v>
      </c>
      <c r="Q11" s="64">
        <f>('Credit Scoring'!$B$62*'Credit Scoring'!C11-('Credit Scoring'!E11-'Credit Scoring'!F11))/'Credit Scoring'!C11</f>
        <v>2.8431372549019609</v>
      </c>
      <c r="R11" s="68" t="str">
        <f>IF(Q11&gt;2,"Safe",IF(Q11&gt;1,"Watch","⚑ DISTRESS RISK"))</f>
        <v>Safe</v>
      </c>
    </row>
    <row r="12" spans="1:18" x14ac:dyDescent="0.2">
      <c r="A12" s="137" t="s">
        <v>43</v>
      </c>
      <c r="B12" s="39">
        <f>('Credit Scoring'!E12-'Credit Scoring'!F12)/'Credit Scoring'!C12</f>
        <v>2.3076923076923075</v>
      </c>
      <c r="C12" s="40">
        <f>IF('Credit Scoring'!G12=0,"N/A",'Credit Scoring'!C12/'Credit Scoring'!G12)</f>
        <v>6.5</v>
      </c>
      <c r="D12" s="40">
        <f>IF('Credit Scoring'!E12=0,"N/A",'Credit Scoring'!I12/'Credit Scoring'!E12*100)</f>
        <v>14.634146341463417</v>
      </c>
      <c r="E12" s="62">
        <f>'Credit Scoring'!H28</f>
        <v>2.8000000000000003</v>
      </c>
      <c r="F12" s="112" t="str">
        <f>'Credit Scoring'!I28</f>
        <v>BBB-</v>
      </c>
      <c r="G12" s="39">
        <f>('Credit Scoring'!E12-'Credit Scoring'!F12)/('Credit Scoring'!C12*0.8)</f>
        <v>2.8846153846153841</v>
      </c>
      <c r="H12" s="40">
        <f>IF('Credit Scoring'!G12=0,"N/A",('Credit Scoring'!C12*0.8)/'Credit Scoring'!G12)</f>
        <v>5.2</v>
      </c>
      <c r="I12" s="40">
        <f>IF('Credit Scoring'!E12=0,"N/A",('Credit Scoring'!I12*0.8)/'Credit Scoring'!E12*100)</f>
        <v>11.707317073170733</v>
      </c>
      <c r="J12" s="62">
        <f>IF(G12&lt;1,5,IF(G12&lt;2,4,IF(G12&lt;3,3,IF(G12&lt;4,2,1))))*0.25+IF(H12&gt;10,5,IF(H12&gt;7,4,IF(H12&gt;4,3,IF(H12&gt;2,2,1))))*0.25+IF(I12&gt;20,5,IF(I12&gt;15,4,IF(I12&gt;10,3,IF(I12&gt;5,2,1))))*0.2+'Credit Scoring'!E28*0.1+'Credit Scoring'!F28*0.15+'Credit Scoring'!G28*0.05</f>
        <v>2.8000000000000003</v>
      </c>
      <c r="K12" s="112" t="str">
        <f>IF(J12&gt;=4.5,"A",IF(J12&gt;=3.8,"BBB+",IF(J12&gt;=3.2,"BBB",IF(J12&gt;=2.6,"BBB-",IF(J12&gt;=2,"BB+",IF(J12&gt;=1.5,"BB","B+"))))))</f>
        <v>BBB-</v>
      </c>
      <c r="L12" s="39">
        <f>(('Credit Scoring'!E12*1.1)-'Credit Scoring'!F12)/('Credit Scoring'!C12*0.65)</f>
        <v>4.0355029585798805</v>
      </c>
      <c r="M12" s="40">
        <f>IF('Credit Scoring'!G12=0,"N/A",('Credit Scoring'!C12*0.65)/'Credit Scoring'!G12)</f>
        <v>4.2250000000000005</v>
      </c>
      <c r="N12" s="40">
        <f>IF(('Credit Scoring'!E12*1.1)=0,"N/A",('Credit Scoring'!I12*0.65)/('Credit Scoring'!E12*1.1)*100)</f>
        <v>8.6474501108647459</v>
      </c>
      <c r="O12" s="62">
        <f>IF(L12&lt;1,5,IF(L12&lt;2,4,IF(L12&lt;3,3,IF(L12&lt;4,2,1))))*0.25+IF(M12&gt;10,5,IF(M12&gt;7,4,IF(M12&gt;4,3,IF(M12&gt;2,2,1))))*0.25+IF(N12&gt;20,5,IF(N12&gt;15,4,IF(N12&gt;10,3,IF(N12&gt;5,2,1))))*0.2+'Credit Scoring'!E28*0.1+'Credit Scoring'!F28*0.15+'Credit Scoring'!G28*0.05</f>
        <v>2.1</v>
      </c>
      <c r="P12" s="112" t="str">
        <f>IF(O12&gt;=4.5,"A",IF(O12&gt;=3.8,"BBB+",IF(O12&gt;=3.2,"BBB",IF(O12&gt;=2.6,"BBB-",IF(O12&gt;=2,"BB+",IF(O12&gt;=1.5,"BB","B+"))))))</f>
        <v>BB+</v>
      </c>
      <c r="Q12" s="62">
        <f>('Credit Scoring'!$B$62*'Credit Scoring'!C12-('Credit Scoring'!E12-'Credit Scoring'!F12))/'Credit Scoring'!C12</f>
        <v>2.6923076923076925</v>
      </c>
      <c r="R12" s="67" t="str">
        <f>IF(Q12&gt;2,"Safe",IF(Q12&gt;1,"Watch","⚑ DISTRESS RISK"))</f>
        <v>Safe</v>
      </c>
    </row>
    <row r="13" spans="1:18" x14ac:dyDescent="0.2">
      <c r="A13" s="138" t="s">
        <v>46</v>
      </c>
      <c r="B13" s="41">
        <f>('Credit Scoring'!E13-'Credit Scoring'!F13)/'Credit Scoring'!C13</f>
        <v>2.5307692307692311</v>
      </c>
      <c r="C13" s="42">
        <f>IF('Credit Scoring'!G13=0,"N/A",'Credit Scoring'!C13/'Credit Scoring'!G13)</f>
        <v>5.2</v>
      </c>
      <c r="D13" s="42">
        <f>IF('Credit Scoring'!E13=0,"N/A",'Credit Scoring'!I13/'Credit Scoring'!E13*100)</f>
        <v>10.199004975124376</v>
      </c>
      <c r="E13" s="64">
        <f>'Credit Scoring'!H29</f>
        <v>2.9000000000000004</v>
      </c>
      <c r="F13" s="113" t="str">
        <f>'Credit Scoring'!I29</f>
        <v>BBB-</v>
      </c>
      <c r="G13" s="41">
        <f>('Credit Scoring'!E13-'Credit Scoring'!F13)/('Credit Scoring'!C13*0.8)</f>
        <v>3.1634615384615388</v>
      </c>
      <c r="H13" s="42">
        <f>IF('Credit Scoring'!G13=0,"N/A",('Credit Scoring'!C13*0.8)/'Credit Scoring'!G13)</f>
        <v>4.16</v>
      </c>
      <c r="I13" s="42">
        <f>IF('Credit Scoring'!E13=0,"N/A",('Credit Scoring'!I13*0.8)/'Credit Scoring'!E13*100)</f>
        <v>8.1592039800995018</v>
      </c>
      <c r="J13" s="64">
        <f>IF(G13&lt;1,5,IF(G13&lt;2,4,IF(G13&lt;3,3,IF(G13&lt;4,2,1))))*0.25+IF(H13&gt;10,5,IF(H13&gt;7,4,IF(H13&gt;4,3,IF(H13&gt;2,2,1))))*0.25+IF(I13&gt;20,5,IF(I13&gt;15,4,IF(I13&gt;10,3,IF(I13&gt;5,2,1))))*0.2+'Credit Scoring'!E29*0.1+'Credit Scoring'!F29*0.15+'Credit Scoring'!G29*0.05</f>
        <v>2.4499999999999997</v>
      </c>
      <c r="K13" s="113" t="str">
        <f>IF(J13&gt;=4.5,"A",IF(J13&gt;=3.8,"BBB+",IF(J13&gt;=3.2,"BBB",IF(J13&gt;=2.6,"BBB-",IF(J13&gt;=2,"BB+",IF(J13&gt;=1.5,"BB","B+"))))))</f>
        <v>BB+</v>
      </c>
      <c r="L13" s="41">
        <f>(('Credit Scoring'!E13*1.1)-'Credit Scoring'!F13)/('Credit Scoring'!C13*0.65)</f>
        <v>4.3692307692307697</v>
      </c>
      <c r="M13" s="42">
        <f>IF('Credit Scoring'!G13=0,"N/A",('Credit Scoring'!C13*0.65)/'Credit Scoring'!G13)</f>
        <v>3.3800000000000003</v>
      </c>
      <c r="N13" s="42">
        <f>IF(('Credit Scoring'!E13*1.1)=0,"N/A",('Credit Scoring'!I13*0.65)/('Credit Scoring'!E13*1.1)*100)</f>
        <v>6.0266847580280407</v>
      </c>
      <c r="O13" s="64">
        <f>IF(L13&lt;1,5,IF(L13&lt;2,4,IF(L13&lt;3,3,IF(L13&lt;4,2,1))))*0.25+IF(M13&gt;10,5,IF(M13&gt;7,4,IF(M13&gt;4,3,IF(M13&gt;2,2,1))))*0.25+IF(N13&gt;20,5,IF(N13&gt;15,4,IF(N13&gt;10,3,IF(N13&gt;5,2,1))))*0.2+'Credit Scoring'!E29*0.1+'Credit Scoring'!F29*0.15+'Credit Scoring'!G29*0.05</f>
        <v>1.95</v>
      </c>
      <c r="P13" s="113" t="str">
        <f>IF(O13&gt;=4.5,"A",IF(O13&gt;=3.8,"BBB+",IF(O13&gt;=3.2,"BBB",IF(O13&gt;=2.6,"BBB-",IF(O13&gt;=2,"BB+",IF(O13&gt;=1.5,"BB","B+"))))))</f>
        <v>BB</v>
      </c>
      <c r="Q13" s="64">
        <f>('Credit Scoring'!$B$62*'Credit Scoring'!C13-('Credit Scoring'!E13-'Credit Scoring'!F13))/'Credit Scoring'!C13</f>
        <v>2.4692307692307689</v>
      </c>
      <c r="R13" s="68" t="str">
        <f>IF(Q13&gt;2,"Safe",IF(Q13&gt;1,"Watch","⚑ DISTRESS RISK"))</f>
        <v>Safe</v>
      </c>
    </row>
    <row r="14" spans="1:18" x14ac:dyDescent="0.2">
      <c r="A14" s="137" t="s">
        <v>49</v>
      </c>
      <c r="B14" s="39">
        <f>('Credit Scoring'!E14-'Credit Scoring'!F14)/'Credit Scoring'!C14</f>
        <v>5.8965517241379306</v>
      </c>
      <c r="C14" s="40">
        <f>IF('Credit Scoring'!G14=0,"N/A",'Credit Scoring'!C14/'Credit Scoring'!G14)</f>
        <v>3.2222222222222219</v>
      </c>
      <c r="D14" s="40">
        <f>IF('Credit Scoring'!E14=0,"N/A",'Credit Scoring'!I14/'Credit Scoring'!E14*100)</f>
        <v>3.8997214484679668</v>
      </c>
      <c r="E14" s="62">
        <f>'Credit Scoring'!H30</f>
        <v>1.55</v>
      </c>
      <c r="F14" s="112" t="str">
        <f>'Credit Scoring'!I30</f>
        <v>BB</v>
      </c>
      <c r="G14" s="39">
        <f>('Credit Scoring'!E14-'Credit Scoring'!F14)/('Credit Scoring'!C14*0.8)</f>
        <v>7.3706896551724137</v>
      </c>
      <c r="H14" s="40">
        <f>IF('Credit Scoring'!G14=0,"N/A",('Credit Scoring'!C14*0.8)/'Credit Scoring'!G14)</f>
        <v>2.5777777777777775</v>
      </c>
      <c r="I14" s="40">
        <f>IF('Credit Scoring'!E14=0,"N/A",('Credit Scoring'!I14*0.8)/'Credit Scoring'!E14*100)</f>
        <v>3.1197771587743732</v>
      </c>
      <c r="J14" s="62">
        <f>IF(G14&lt;1,5,IF(G14&lt;2,4,IF(G14&lt;3,3,IF(G14&lt;4,2,1))))*0.25+IF(H14&gt;10,5,IF(H14&gt;7,4,IF(H14&gt;4,3,IF(H14&gt;2,2,1))))*0.25+IF(I14&gt;20,5,IF(I14&gt;15,4,IF(I14&gt;10,3,IF(I14&gt;5,2,1))))*0.2+'Credit Scoring'!E30*0.1+'Credit Scoring'!F30*0.15+'Credit Scoring'!G30*0.05</f>
        <v>1.55</v>
      </c>
      <c r="K14" s="112" t="str">
        <f>IF(J14&gt;=4.5,"A",IF(J14&gt;=3.8,"BBB+",IF(J14&gt;=3.2,"BBB",IF(J14&gt;=2.6,"BBB-",IF(J14&gt;=2,"BB+",IF(J14&gt;=1.5,"BB","B+"))))))</f>
        <v>BB</v>
      </c>
      <c r="L14" s="39">
        <f>(('Credit Scoring'!E14*1.1)-'Credit Scoring'!F14)/('Credit Scoring'!C14*0.65)</f>
        <v>10.023872679045093</v>
      </c>
      <c r="M14" s="40">
        <f>IF('Credit Scoring'!G14=0,"N/A",('Credit Scoring'!C14*0.65)/'Credit Scoring'!G14)</f>
        <v>2.0944444444444446</v>
      </c>
      <c r="N14" s="40">
        <f>IF(('Credit Scoring'!E14*1.1)=0,"N/A",('Credit Scoring'!I14*0.65)/('Credit Scoring'!E14*1.1)*100)</f>
        <v>2.3043808559128891</v>
      </c>
      <c r="O14" s="62">
        <f>IF(L14&lt;1,5,IF(L14&lt;2,4,IF(L14&lt;3,3,IF(L14&lt;4,2,1))))*0.25+IF(M14&gt;10,5,IF(M14&gt;7,4,IF(M14&gt;4,3,IF(M14&gt;2,2,1))))*0.25+IF(N14&gt;20,5,IF(N14&gt;15,4,IF(N14&gt;10,3,IF(N14&gt;5,2,1))))*0.2+'Credit Scoring'!E30*0.1+'Credit Scoring'!F30*0.15+'Credit Scoring'!G30*0.05</f>
        <v>1.55</v>
      </c>
      <c r="P14" s="112" t="str">
        <f>IF(O14&gt;=4.5,"A",IF(O14&gt;=3.8,"BBB+",IF(O14&gt;=3.2,"BBB",IF(O14&gt;=2.6,"BBB-",IF(O14&gt;=2,"BB+",IF(O14&gt;=1.5,"BB","B+"))))))</f>
        <v>BB</v>
      </c>
      <c r="Q14" s="62">
        <f>('Credit Scoring'!$B$62*'Credit Scoring'!C14-('Credit Scoring'!E14-'Credit Scoring'!F14))/'Credit Scoring'!C14</f>
        <v>-0.89655172413793027</v>
      </c>
      <c r="R14" s="67" t="str">
        <f>IF(Q14&gt;2,"Safe",IF(Q14&gt;1,"Watch","⚑ DISTRESS RISK"))</f>
        <v>⚑ DISTRESS RISK</v>
      </c>
    </row>
    <row r="15" spans="1:18" x14ac:dyDescent="0.2">
      <c r="A15" s="138" t="s">
        <v>52</v>
      </c>
      <c r="B15" s="41">
        <f>('Credit Scoring'!E15-'Credit Scoring'!F15)/'Credit Scoring'!C15</f>
        <v>3.4237288135593222</v>
      </c>
      <c r="C15" s="42">
        <f>IF('Credit Scoring'!G15=0,"N/A",'Credit Scoring'!C15/'Credit Scoring'!G15)</f>
        <v>4.2142857142857144</v>
      </c>
      <c r="D15" s="42">
        <f>IF('Credit Scoring'!E15=0,"N/A",'Credit Scoring'!I15/'Credit Scoring'!E15*100)</f>
        <v>15.639810426540283</v>
      </c>
      <c r="E15" s="64">
        <f>'Credit Scoring'!H31</f>
        <v>2.8499999999999996</v>
      </c>
      <c r="F15" s="113" t="str">
        <f>'Credit Scoring'!I31</f>
        <v>BBB-</v>
      </c>
      <c r="G15" s="41">
        <f>('Credit Scoring'!E15-'Credit Scoring'!F15)/('Credit Scoring'!C15*0.8)</f>
        <v>4.2796610169491522</v>
      </c>
      <c r="H15" s="42">
        <f>IF('Credit Scoring'!G15=0,"N/A",('Credit Scoring'!C15*0.8)/'Credit Scoring'!G15)</f>
        <v>3.3714285714285719</v>
      </c>
      <c r="I15" s="42">
        <f>IF('Credit Scoring'!E15=0,"N/A",('Credit Scoring'!I15*0.8)/'Credit Scoring'!E15*100)</f>
        <v>12.511848341232227</v>
      </c>
      <c r="J15" s="64">
        <f>IF(G15&lt;1,5,IF(G15&lt;2,4,IF(G15&lt;3,3,IF(G15&lt;4,2,1))))*0.25+IF(H15&gt;10,5,IF(H15&gt;7,4,IF(H15&gt;4,3,IF(H15&gt;2,2,1))))*0.25+IF(I15&gt;20,5,IF(I15&gt;15,4,IF(I15&gt;10,3,IF(I15&gt;5,2,1))))*0.2+'Credit Scoring'!E31*0.1+'Credit Scoring'!F31*0.15+'Credit Scoring'!G31*0.05</f>
        <v>2.15</v>
      </c>
      <c r="K15" s="113" t="str">
        <f>IF(J15&gt;=4.5,"A",IF(J15&gt;=3.8,"BBB+",IF(J15&gt;=3.2,"BBB",IF(J15&gt;=2.6,"BBB-",IF(J15&gt;=2,"BB+",IF(J15&gt;=1.5,"BB","B+"))))))</f>
        <v>BB+</v>
      </c>
      <c r="L15" s="41">
        <f>(('Credit Scoring'!E15*1.1)-'Credit Scoring'!F15)/('Credit Scoring'!C15*0.65)</f>
        <v>5.817470664928293</v>
      </c>
      <c r="M15" s="42">
        <f>IF('Credit Scoring'!G15=0,"N/A",('Credit Scoring'!C15*0.65)/'Credit Scoring'!G15)</f>
        <v>2.7392857142857148</v>
      </c>
      <c r="N15" s="42">
        <f>IF(('Credit Scoring'!E15*1.1)=0,"N/A",('Credit Scoring'!I15*0.65)/('Credit Scoring'!E15*1.1)*100)</f>
        <v>9.2417061611374383</v>
      </c>
      <c r="O15" s="64">
        <f>IF(L15&lt;1,5,IF(L15&lt;2,4,IF(L15&lt;3,3,IF(L15&lt;4,2,1))))*0.25+IF(M15&gt;10,5,IF(M15&gt;7,4,IF(M15&gt;4,3,IF(M15&gt;2,2,1))))*0.25+IF(N15&gt;20,5,IF(N15&gt;15,4,IF(N15&gt;10,3,IF(N15&gt;5,2,1))))*0.2+'Credit Scoring'!E31*0.1+'Credit Scoring'!F31*0.15+'Credit Scoring'!G31*0.05</f>
        <v>1.95</v>
      </c>
      <c r="P15" s="113" t="str">
        <f>IF(O15&gt;=4.5,"A",IF(O15&gt;=3.8,"BBB+",IF(O15&gt;=3.2,"BBB",IF(O15&gt;=2.6,"BBB-",IF(O15&gt;=2,"BB+",IF(O15&gt;=1.5,"BB","B+"))))))</f>
        <v>BB</v>
      </c>
      <c r="Q15" s="64">
        <f>('Credit Scoring'!$B$62*'Credit Scoring'!C15-('Credit Scoring'!E15-'Credit Scoring'!F15))/'Credit Scoring'!C15</f>
        <v>1.5762711864406773</v>
      </c>
      <c r="R15" s="68" t="str">
        <f>IF(Q15&gt;2,"Safe",IF(Q15&gt;1,"Watch","⚑ DISTRESS RISK"))</f>
        <v>Watch</v>
      </c>
    </row>
    <row r="16" spans="1:18" x14ac:dyDescent="0.2">
      <c r="A16" s="137" t="s">
        <v>55</v>
      </c>
      <c r="B16" s="39">
        <f>('Credit Scoring'!E16-'Credit Scoring'!F16)/'Credit Scoring'!C16</f>
        <v>3.666666666666667</v>
      </c>
      <c r="C16" s="40">
        <f>IF('Credit Scoring'!G16=0,"N/A",'Credit Scoring'!C16/'Credit Scoring'!G16)</f>
        <v>2.25</v>
      </c>
      <c r="D16" s="40">
        <f>IF('Credit Scoring'!E16=0,"N/A",'Credit Scoring'!I16/'Credit Scoring'!E16*100)</f>
        <v>8.3333333333333321</v>
      </c>
      <c r="E16" s="62">
        <f>'Credit Scoring'!H32</f>
        <v>2.0499999999999998</v>
      </c>
      <c r="F16" s="112" t="str">
        <f>'Credit Scoring'!I32</f>
        <v>BB+</v>
      </c>
      <c r="G16" s="39">
        <f>('Credit Scoring'!E16-'Credit Scoring'!F16)/('Credit Scoring'!C16*0.8)</f>
        <v>4.583333333333333</v>
      </c>
      <c r="H16" s="40">
        <f>IF('Credit Scoring'!G16=0,"N/A",('Credit Scoring'!C16*0.8)/'Credit Scoring'!G16)</f>
        <v>1.8</v>
      </c>
      <c r="I16" s="40">
        <f>IF('Credit Scoring'!E16=0,"N/A",('Credit Scoring'!I16*0.8)/'Credit Scoring'!E16*100)</f>
        <v>6.6666666666666652</v>
      </c>
      <c r="J16" s="62">
        <f>IF(G16&lt;1,5,IF(G16&lt;2,4,IF(G16&lt;3,3,IF(G16&lt;4,2,1))))*0.25+IF(H16&gt;10,5,IF(H16&gt;7,4,IF(H16&gt;4,3,IF(H16&gt;2,2,1))))*0.25+IF(I16&gt;20,5,IF(I16&gt;15,4,IF(I16&gt;10,3,IF(I16&gt;5,2,1))))*0.2+'Credit Scoring'!E32*0.1+'Credit Scoring'!F32*0.15+'Credit Scoring'!G32*0.05</f>
        <v>1.55</v>
      </c>
      <c r="K16" s="112" t="str">
        <f>IF(J16&gt;=4.5,"A",IF(J16&gt;=3.8,"BBB+",IF(J16&gt;=3.2,"BBB",IF(J16&gt;=2.6,"BBB-",IF(J16&gt;=2,"BB+",IF(J16&gt;=1.5,"BB","B+"))))))</f>
        <v>BB</v>
      </c>
      <c r="L16" s="39">
        <f>(('Credit Scoring'!E16*1.1)-'Credit Scoring'!F16)/('Credit Scoring'!C16*0.65)</f>
        <v>6.3589743589743604</v>
      </c>
      <c r="M16" s="40">
        <f>IF('Credit Scoring'!G16=0,"N/A",('Credit Scoring'!C16*0.65)/'Credit Scoring'!G16)</f>
        <v>1.4625000000000001</v>
      </c>
      <c r="N16" s="40">
        <f>IF(('Credit Scoring'!E16*1.1)=0,"N/A",('Credit Scoring'!I16*0.65)/('Credit Scoring'!E16*1.1)*100)</f>
        <v>4.924242424242423</v>
      </c>
      <c r="O16" s="62">
        <f>IF(L16&lt;1,5,IF(L16&lt;2,4,IF(L16&lt;3,3,IF(L16&lt;4,2,1))))*0.25+IF(M16&gt;10,5,IF(M16&gt;7,4,IF(M16&gt;4,3,IF(M16&gt;2,2,1))))*0.25+IF(N16&gt;20,5,IF(N16&gt;15,4,IF(N16&gt;10,3,IF(N16&gt;5,2,1))))*0.2+'Credit Scoring'!E32*0.1+'Credit Scoring'!F32*0.15+'Credit Scoring'!G32*0.05</f>
        <v>1.35</v>
      </c>
      <c r="P16" s="112" t="str">
        <f>IF(O16&gt;=4.5,"A",IF(O16&gt;=3.8,"BBB+",IF(O16&gt;=3.2,"BBB",IF(O16&gt;=2.6,"BBB-",IF(O16&gt;=2,"BB+",IF(O16&gt;=1.5,"BB","B+"))))))</f>
        <v>B+</v>
      </c>
      <c r="Q16" s="62">
        <f>('Credit Scoring'!$B$62*'Credit Scoring'!C16-('Credit Scoring'!E16-'Credit Scoring'!F16))/'Credit Scoring'!C16</f>
        <v>1.333333333333333</v>
      </c>
      <c r="R16" s="67" t="str">
        <f>IF(Q16&gt;2,"Safe",IF(Q16&gt;1,"Watch","⚑ DISTRESS RISK"))</f>
        <v>Watch</v>
      </c>
    </row>
    <row r="17" spans="1:18" x14ac:dyDescent="0.2">
      <c r="A17" s="139" t="s">
        <v>58</v>
      </c>
      <c r="B17" s="46">
        <f>('Credit Scoring'!E17-'Credit Scoring'!F17)/'Credit Scoring'!C17</f>
        <v>4.7777777777777777</v>
      </c>
      <c r="C17" s="47">
        <f>IF('Credit Scoring'!G17=0,"N/A",'Credit Scoring'!C17/'Credit Scoring'!G17)</f>
        <v>2.25</v>
      </c>
      <c r="D17" s="47">
        <f>IF('Credit Scoring'!E17=0,"N/A",'Credit Scoring'!I17/'Credit Scoring'!E17*100)</f>
        <v>6.25</v>
      </c>
      <c r="E17" s="66">
        <f>'Credit Scoring'!H33</f>
        <v>1.6</v>
      </c>
      <c r="F17" s="114" t="str">
        <f>'Credit Scoring'!I33</f>
        <v>BB</v>
      </c>
      <c r="G17" s="46">
        <f>('Credit Scoring'!E17-'Credit Scoring'!F17)/('Credit Scoring'!C17*0.8)</f>
        <v>5.9722222222222214</v>
      </c>
      <c r="H17" s="47">
        <f>IF('Credit Scoring'!G17=0,"N/A",('Credit Scoring'!C17*0.8)/'Credit Scoring'!G17)</f>
        <v>1.8</v>
      </c>
      <c r="I17" s="47">
        <f>IF('Credit Scoring'!E17=0,"N/A",('Credit Scoring'!I17*0.8)/'Credit Scoring'!E17*100)</f>
        <v>5</v>
      </c>
      <c r="J17" s="66">
        <f>IF(G17&lt;1,5,IF(G17&lt;2,4,IF(G17&lt;3,3,IF(G17&lt;4,2,1))))*0.25+IF(H17&gt;10,5,IF(H17&gt;7,4,IF(H17&gt;4,3,IF(H17&gt;2,2,1))))*0.25+IF(I17&gt;20,5,IF(I17&gt;15,4,IF(I17&gt;10,3,IF(I17&gt;5,2,1))))*0.2+'Credit Scoring'!E33*0.1+'Credit Scoring'!F33*0.15+'Credit Scoring'!G33*0.05</f>
        <v>1.1499999999999999</v>
      </c>
      <c r="K17" s="114" t="str">
        <f>IF(J17&gt;=4.5,"A",IF(J17&gt;=3.8,"BBB+",IF(J17&gt;=3.2,"BBB",IF(J17&gt;=2.6,"BBB-",IF(J17&gt;=2,"BB+",IF(J17&gt;=1.5,"BB","B+"))))))</f>
        <v>B+</v>
      </c>
      <c r="L17" s="46">
        <f>(('Credit Scoring'!E17*1.1)-'Credit Scoring'!F17)/('Credit Scoring'!C17*0.65)</f>
        <v>8.1709401709401703</v>
      </c>
      <c r="M17" s="47">
        <f>IF('Credit Scoring'!G17=0,"N/A",('Credit Scoring'!C17*0.65)/'Credit Scoring'!G17)</f>
        <v>1.4625000000000001</v>
      </c>
      <c r="N17" s="47">
        <f>IF(('Credit Scoring'!E17*1.1)=0,"N/A",('Credit Scoring'!I17*0.65)/('Credit Scoring'!E17*1.1)*100)</f>
        <v>3.6931818181818183</v>
      </c>
      <c r="O17" s="66">
        <f>IF(L17&lt;1,5,IF(L17&lt;2,4,IF(L17&lt;3,3,IF(L17&lt;4,2,1))))*0.25+IF(M17&gt;10,5,IF(M17&gt;7,4,IF(M17&gt;4,3,IF(M17&gt;2,2,1))))*0.25+IF(N17&gt;20,5,IF(N17&gt;15,4,IF(N17&gt;10,3,IF(N17&gt;5,2,1))))*0.2+'Credit Scoring'!E33*0.1+'Credit Scoring'!F33*0.15+'Credit Scoring'!G33*0.05</f>
        <v>1.1499999999999999</v>
      </c>
      <c r="P17" s="114" t="str">
        <f>IF(O17&gt;=4.5,"A",IF(O17&gt;=3.8,"BBB+",IF(O17&gt;=3.2,"BBB",IF(O17&gt;=2.6,"BBB-",IF(O17&gt;=2,"BB+",IF(O17&gt;=1.5,"BB","B+"))))))</f>
        <v>B+</v>
      </c>
      <c r="Q17" s="66">
        <f>('Credit Scoring'!$B$62*'Credit Scoring'!C17-('Credit Scoring'!E17-'Credit Scoring'!F17))/'Credit Scoring'!C17</f>
        <v>0.2222222222222224</v>
      </c>
      <c r="R17" s="69" t="str">
        <f>IF(Q17&gt;2,"Safe",IF(Q17&gt;1,"Watch","⚑ DISTRESS RISK"))</f>
        <v>⚑ DISTRESS RISK</v>
      </c>
    </row>
  </sheetData>
  <conditionalFormatting sqref="Q6:Q17">
    <cfRule type="cellIs" dxfId="11" priority="1" operator="greaterThan">
      <formula>2</formula>
    </cfRule>
  </conditionalFormatting>
  <conditionalFormatting sqref="Q6:Q17">
    <cfRule type="cellIs" dxfId="10" priority="2" operator="between">
      <formula>1</formula>
      <formula>2</formula>
    </cfRule>
  </conditionalFormatting>
  <conditionalFormatting sqref="Q6:Q17">
    <cfRule type="cellIs" dxfId="9" priority="3" operator="lessThan">
      <formula>1</formula>
    </cfRule>
  </conditionalFormatting>
  <conditionalFormatting sqref="R6:R17">
    <cfRule type="containsText" dxfId="8" priority="4" operator="containsText" text="DISTRESS">
      <formula>NOT(ISERROR(SEARCH("DISTRESS",R6)))</formula>
    </cfRule>
  </conditionalFormatting>
  <conditionalFormatting sqref="R6:R17">
    <cfRule type="containsText" dxfId="7" priority="5" operator="containsText" text="Watch">
      <formula>NOT(ISERROR(SEARCH("Watch",R6)))</formula>
    </cfRule>
  </conditionalFormatting>
  <conditionalFormatting sqref="R6:R17">
    <cfRule type="containsText" dxfId="6" priority="6" operator="containsText" text="Safe">
      <formula>NOT(ISERROR(SEARCH("Safe",R6)))</formula>
    </cfRule>
  </conditionalFormatting>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03CBB73-16F0-384B-9D6C-ED330CC772D2}">
  <sheetPr>
    <tabColor rgb="FFC6A000"/>
  </sheetPr>
  <dimension ref="A1:M31"/>
  <sheetViews>
    <sheetView showGridLines="0" tabSelected="1" workbookViewId="0">
      <pane ySplit="4" topLeftCell="A5" activePane="bottomLeft" state="frozen"/>
      <selection pane="bottomLeft" activeCell="I18" sqref="I18"/>
    </sheetView>
  </sheetViews>
  <sheetFormatPr baseColWidth="10" defaultRowHeight="16" x14ac:dyDescent="0.2"/>
  <cols>
    <col min="1" max="1" width="19.5" customWidth="1"/>
  </cols>
  <sheetData>
    <row r="1" spans="1:13" ht="22" x14ac:dyDescent="0.3">
      <c r="A1" s="5" t="s">
        <v>236</v>
      </c>
    </row>
    <row r="2" spans="1:13" x14ac:dyDescent="0.2">
      <c r="A2" s="6" t="s">
        <v>237</v>
      </c>
    </row>
    <row r="4" spans="1:13" ht="22" customHeight="1" x14ac:dyDescent="0.2">
      <c r="A4" s="152" t="s">
        <v>238</v>
      </c>
      <c r="B4" s="149" t="s">
        <v>24</v>
      </c>
      <c r="C4" s="149" t="s">
        <v>28</v>
      </c>
      <c r="D4" s="149" t="s">
        <v>31</v>
      </c>
      <c r="E4" s="149" t="s">
        <v>239</v>
      </c>
      <c r="F4" s="149" t="s">
        <v>38</v>
      </c>
      <c r="G4" s="149" t="s">
        <v>41</v>
      </c>
      <c r="H4" s="149" t="s">
        <v>44</v>
      </c>
      <c r="I4" s="149" t="s">
        <v>47</v>
      </c>
      <c r="J4" s="149" t="s">
        <v>50</v>
      </c>
      <c r="K4" s="149" t="s">
        <v>53</v>
      </c>
      <c r="L4" s="149" t="s">
        <v>56</v>
      </c>
      <c r="M4" s="155" t="s">
        <v>59</v>
      </c>
    </row>
    <row r="5" spans="1:13" ht="18" customHeight="1" x14ac:dyDescent="0.2">
      <c r="A5" s="153" t="s">
        <v>240</v>
      </c>
      <c r="B5" s="142" t="s">
        <v>235</v>
      </c>
      <c r="C5" s="143">
        <v>-5</v>
      </c>
      <c r="D5" s="144">
        <v>-135</v>
      </c>
      <c r="E5" s="145">
        <v>-35</v>
      </c>
      <c r="F5" s="144">
        <v>-180</v>
      </c>
      <c r="G5" s="144">
        <v>-310</v>
      </c>
      <c r="H5" s="144">
        <v>-125</v>
      </c>
      <c r="I5" s="144">
        <v>-135</v>
      </c>
      <c r="J5" s="144">
        <v>-255</v>
      </c>
      <c r="K5" s="144">
        <v>-125</v>
      </c>
      <c r="L5" s="144">
        <v>-260</v>
      </c>
      <c r="M5" s="156">
        <v>-340</v>
      </c>
    </row>
    <row r="6" spans="1:13" ht="18" customHeight="1" x14ac:dyDescent="0.2">
      <c r="A6" s="153" t="s">
        <v>241</v>
      </c>
      <c r="B6" s="146">
        <v>5</v>
      </c>
      <c r="C6" s="142" t="s">
        <v>235</v>
      </c>
      <c r="D6" s="144">
        <v>-130</v>
      </c>
      <c r="E6" s="145">
        <v>-30</v>
      </c>
      <c r="F6" s="144">
        <v>-175</v>
      </c>
      <c r="G6" s="144">
        <v>-305</v>
      </c>
      <c r="H6" s="144">
        <v>-120</v>
      </c>
      <c r="I6" s="144">
        <v>-130</v>
      </c>
      <c r="J6" s="144">
        <v>-250</v>
      </c>
      <c r="K6" s="144">
        <v>-120</v>
      </c>
      <c r="L6" s="144">
        <v>-255</v>
      </c>
      <c r="M6" s="156">
        <v>-335</v>
      </c>
    </row>
    <row r="7" spans="1:13" ht="18" customHeight="1" x14ac:dyDescent="0.2">
      <c r="A7" s="153" t="s">
        <v>242</v>
      </c>
      <c r="B7" s="147">
        <v>135</v>
      </c>
      <c r="C7" s="147">
        <v>130</v>
      </c>
      <c r="D7" s="142" t="s">
        <v>235</v>
      </c>
      <c r="E7" s="147">
        <v>100</v>
      </c>
      <c r="F7" s="145">
        <v>-45</v>
      </c>
      <c r="G7" s="144">
        <v>-175</v>
      </c>
      <c r="H7" s="146">
        <v>10</v>
      </c>
      <c r="I7" s="143">
        <v>0</v>
      </c>
      <c r="J7" s="144">
        <v>-120</v>
      </c>
      <c r="K7" s="146">
        <v>10</v>
      </c>
      <c r="L7" s="144">
        <v>-125</v>
      </c>
      <c r="M7" s="156">
        <v>-205</v>
      </c>
    </row>
    <row r="8" spans="1:13" ht="18" customHeight="1" x14ac:dyDescent="0.2">
      <c r="A8" s="153" t="s">
        <v>243</v>
      </c>
      <c r="B8" s="148">
        <v>35</v>
      </c>
      <c r="C8" s="148">
        <v>30</v>
      </c>
      <c r="D8" s="144">
        <v>-100</v>
      </c>
      <c r="E8" s="142" t="s">
        <v>235</v>
      </c>
      <c r="F8" s="144">
        <v>-145</v>
      </c>
      <c r="G8" s="144">
        <v>-275</v>
      </c>
      <c r="H8" s="144">
        <v>-90</v>
      </c>
      <c r="I8" s="144">
        <v>-100</v>
      </c>
      <c r="J8" s="144">
        <v>-220</v>
      </c>
      <c r="K8" s="144">
        <v>-90</v>
      </c>
      <c r="L8" s="144">
        <v>-225</v>
      </c>
      <c r="M8" s="156">
        <v>-305</v>
      </c>
    </row>
    <row r="9" spans="1:13" ht="18" customHeight="1" x14ac:dyDescent="0.2">
      <c r="A9" s="153" t="s">
        <v>244</v>
      </c>
      <c r="B9" s="147">
        <v>180</v>
      </c>
      <c r="C9" s="147">
        <v>175</v>
      </c>
      <c r="D9" s="148">
        <v>45</v>
      </c>
      <c r="E9" s="147">
        <v>145</v>
      </c>
      <c r="F9" s="142" t="s">
        <v>235</v>
      </c>
      <c r="G9" s="144">
        <v>-130</v>
      </c>
      <c r="H9" s="147">
        <v>55</v>
      </c>
      <c r="I9" s="148">
        <v>45</v>
      </c>
      <c r="J9" s="144">
        <v>-75</v>
      </c>
      <c r="K9" s="147">
        <v>55</v>
      </c>
      <c r="L9" s="144">
        <v>-80</v>
      </c>
      <c r="M9" s="156">
        <v>-160</v>
      </c>
    </row>
    <row r="10" spans="1:13" ht="18" customHeight="1" x14ac:dyDescent="0.2">
      <c r="A10" s="153" t="s">
        <v>245</v>
      </c>
      <c r="B10" s="147">
        <v>310</v>
      </c>
      <c r="C10" s="147">
        <v>305</v>
      </c>
      <c r="D10" s="147">
        <v>175</v>
      </c>
      <c r="E10" s="147">
        <v>275</v>
      </c>
      <c r="F10" s="147">
        <v>130</v>
      </c>
      <c r="G10" s="142" t="s">
        <v>235</v>
      </c>
      <c r="H10" s="147">
        <v>185</v>
      </c>
      <c r="I10" s="147">
        <v>175</v>
      </c>
      <c r="J10" s="147">
        <v>55</v>
      </c>
      <c r="K10" s="147">
        <v>185</v>
      </c>
      <c r="L10" s="148">
        <v>50</v>
      </c>
      <c r="M10" s="157">
        <v>-30</v>
      </c>
    </row>
    <row r="11" spans="1:13" ht="18" customHeight="1" x14ac:dyDescent="0.2">
      <c r="A11" s="153" t="s">
        <v>246</v>
      </c>
      <c r="B11" s="147">
        <v>125</v>
      </c>
      <c r="C11" s="147">
        <v>120</v>
      </c>
      <c r="D11" s="143">
        <v>-10</v>
      </c>
      <c r="E11" s="147">
        <v>90</v>
      </c>
      <c r="F11" s="144">
        <v>-55</v>
      </c>
      <c r="G11" s="144">
        <v>-185</v>
      </c>
      <c r="H11" s="142" t="s">
        <v>235</v>
      </c>
      <c r="I11" s="143">
        <v>-10</v>
      </c>
      <c r="J11" s="144">
        <v>-130</v>
      </c>
      <c r="K11" s="143">
        <v>0</v>
      </c>
      <c r="L11" s="144">
        <v>-135</v>
      </c>
      <c r="M11" s="156">
        <v>-215</v>
      </c>
    </row>
    <row r="12" spans="1:13" ht="18" customHeight="1" x14ac:dyDescent="0.2">
      <c r="A12" s="153" t="s">
        <v>247</v>
      </c>
      <c r="B12" s="147">
        <v>135</v>
      </c>
      <c r="C12" s="147">
        <v>130</v>
      </c>
      <c r="D12" s="143">
        <v>0</v>
      </c>
      <c r="E12" s="147">
        <v>100</v>
      </c>
      <c r="F12" s="145">
        <v>-45</v>
      </c>
      <c r="G12" s="144">
        <v>-175</v>
      </c>
      <c r="H12" s="146">
        <v>10</v>
      </c>
      <c r="I12" s="142" t="s">
        <v>235</v>
      </c>
      <c r="J12" s="144">
        <v>-120</v>
      </c>
      <c r="K12" s="146">
        <v>10</v>
      </c>
      <c r="L12" s="144">
        <v>-125</v>
      </c>
      <c r="M12" s="156">
        <v>-205</v>
      </c>
    </row>
    <row r="13" spans="1:13" ht="18" customHeight="1" x14ac:dyDescent="0.2">
      <c r="A13" s="153" t="s">
        <v>248</v>
      </c>
      <c r="B13" s="147">
        <v>255</v>
      </c>
      <c r="C13" s="147">
        <v>250</v>
      </c>
      <c r="D13" s="147">
        <v>120</v>
      </c>
      <c r="E13" s="147">
        <v>220</v>
      </c>
      <c r="F13" s="147">
        <v>75</v>
      </c>
      <c r="G13" s="144">
        <v>-55</v>
      </c>
      <c r="H13" s="147">
        <v>130</v>
      </c>
      <c r="I13" s="147">
        <v>120</v>
      </c>
      <c r="J13" s="142" t="s">
        <v>235</v>
      </c>
      <c r="K13" s="147">
        <v>130</v>
      </c>
      <c r="L13" s="143">
        <v>-5</v>
      </c>
      <c r="M13" s="156">
        <v>-85</v>
      </c>
    </row>
    <row r="14" spans="1:13" ht="18" customHeight="1" x14ac:dyDescent="0.2">
      <c r="A14" s="153" t="s">
        <v>249</v>
      </c>
      <c r="B14" s="147">
        <v>125</v>
      </c>
      <c r="C14" s="147">
        <v>120</v>
      </c>
      <c r="D14" s="143">
        <v>-10</v>
      </c>
      <c r="E14" s="147">
        <v>90</v>
      </c>
      <c r="F14" s="144">
        <v>-55</v>
      </c>
      <c r="G14" s="144">
        <v>-185</v>
      </c>
      <c r="H14" s="143">
        <v>0</v>
      </c>
      <c r="I14" s="143">
        <v>-10</v>
      </c>
      <c r="J14" s="144">
        <v>-130</v>
      </c>
      <c r="K14" s="142" t="s">
        <v>235</v>
      </c>
      <c r="L14" s="144">
        <v>-135</v>
      </c>
      <c r="M14" s="156">
        <v>-215</v>
      </c>
    </row>
    <row r="15" spans="1:13" ht="18" customHeight="1" x14ac:dyDescent="0.2">
      <c r="A15" s="153" t="s">
        <v>250</v>
      </c>
      <c r="B15" s="147">
        <v>260</v>
      </c>
      <c r="C15" s="147">
        <v>255</v>
      </c>
      <c r="D15" s="147">
        <v>125</v>
      </c>
      <c r="E15" s="147">
        <v>225</v>
      </c>
      <c r="F15" s="147">
        <v>80</v>
      </c>
      <c r="G15" s="144">
        <v>-50</v>
      </c>
      <c r="H15" s="147">
        <v>135</v>
      </c>
      <c r="I15" s="147">
        <v>125</v>
      </c>
      <c r="J15" s="146">
        <v>5</v>
      </c>
      <c r="K15" s="147">
        <v>135</v>
      </c>
      <c r="L15" s="142" t="s">
        <v>235</v>
      </c>
      <c r="M15" s="156">
        <v>-80</v>
      </c>
    </row>
    <row r="16" spans="1:13" ht="18" customHeight="1" x14ac:dyDescent="0.2">
      <c r="A16" s="154" t="s">
        <v>251</v>
      </c>
      <c r="B16" s="150">
        <v>340</v>
      </c>
      <c r="C16" s="150">
        <v>335</v>
      </c>
      <c r="D16" s="150">
        <v>205</v>
      </c>
      <c r="E16" s="150">
        <v>305</v>
      </c>
      <c r="F16" s="150">
        <v>160</v>
      </c>
      <c r="G16" s="151">
        <v>30</v>
      </c>
      <c r="H16" s="150">
        <v>215</v>
      </c>
      <c r="I16" s="150">
        <v>205</v>
      </c>
      <c r="J16" s="150">
        <v>85</v>
      </c>
      <c r="K16" s="150">
        <v>215</v>
      </c>
      <c r="L16" s="150">
        <v>80</v>
      </c>
      <c r="M16" s="158" t="s">
        <v>235</v>
      </c>
    </row>
    <row r="18" spans="1:8" x14ac:dyDescent="0.2">
      <c r="A18" s="159" t="s">
        <v>252</v>
      </c>
    </row>
    <row r="19" spans="1:8" x14ac:dyDescent="0.2">
      <c r="A19" s="160" t="s">
        <v>253</v>
      </c>
      <c r="B19" s="3" t="s">
        <v>254</v>
      </c>
    </row>
    <row r="20" spans="1:8" x14ac:dyDescent="0.2">
      <c r="A20" s="161" t="s">
        <v>255</v>
      </c>
      <c r="B20" s="3" t="s">
        <v>256</v>
      </c>
    </row>
    <row r="21" spans="1:8" x14ac:dyDescent="0.2">
      <c r="A21" s="162" t="s">
        <v>257</v>
      </c>
      <c r="B21" s="3" t="s">
        <v>258</v>
      </c>
    </row>
    <row r="22" spans="1:8" x14ac:dyDescent="0.2">
      <c r="A22" s="163" t="s">
        <v>259</v>
      </c>
      <c r="B22" s="3" t="s">
        <v>260</v>
      </c>
    </row>
    <row r="24" spans="1:8" x14ac:dyDescent="0.2">
      <c r="A24" s="2" t="s">
        <v>261</v>
      </c>
      <c r="B24" s="1"/>
      <c r="C24" s="1"/>
      <c r="D24" s="1"/>
      <c r="E24" s="1"/>
      <c r="F24" s="1"/>
      <c r="G24" s="1"/>
      <c r="H24" s="1"/>
    </row>
    <row r="25" spans="1:8" ht="24" customHeight="1" x14ac:dyDescent="0.2">
      <c r="A25" s="173" t="s">
        <v>262</v>
      </c>
      <c r="B25" s="171" t="s">
        <v>263</v>
      </c>
      <c r="C25" s="171" t="s">
        <v>264</v>
      </c>
      <c r="D25" s="171" t="s">
        <v>265</v>
      </c>
      <c r="E25" s="171" t="s">
        <v>266</v>
      </c>
      <c r="F25" s="178" t="s">
        <v>267</v>
      </c>
    </row>
    <row r="26" spans="1:8" ht="80" customHeight="1" x14ac:dyDescent="0.2">
      <c r="A26" s="174">
        <v>1</v>
      </c>
      <c r="B26" s="164" t="s">
        <v>268</v>
      </c>
      <c r="C26" s="164" t="s">
        <v>269</v>
      </c>
      <c r="D26" s="165">
        <v>80</v>
      </c>
      <c r="E26" s="166" t="s">
        <v>270</v>
      </c>
      <c r="F26" s="179" t="s">
        <v>271</v>
      </c>
    </row>
    <row r="27" spans="1:8" x14ac:dyDescent="0.2">
      <c r="A27" s="175"/>
      <c r="B27" s="167"/>
      <c r="C27" s="167"/>
      <c r="D27" s="167"/>
      <c r="E27" s="167"/>
      <c r="F27" s="180"/>
    </row>
    <row r="28" spans="1:8" ht="80" customHeight="1" x14ac:dyDescent="0.2">
      <c r="A28" s="176">
        <v>2</v>
      </c>
      <c r="B28" s="168" t="s">
        <v>272</v>
      </c>
      <c r="C28" s="168" t="s">
        <v>273</v>
      </c>
      <c r="D28" s="169">
        <v>55</v>
      </c>
      <c r="E28" s="170" t="s">
        <v>274</v>
      </c>
      <c r="F28" s="181" t="s">
        <v>275</v>
      </c>
    </row>
    <row r="29" spans="1:8" x14ac:dyDescent="0.2">
      <c r="A29" s="175"/>
      <c r="B29" s="167"/>
      <c r="C29" s="167"/>
      <c r="D29" s="167"/>
      <c r="E29" s="167"/>
      <c r="F29" s="180"/>
    </row>
    <row r="30" spans="1:8" ht="80" customHeight="1" x14ac:dyDescent="0.2">
      <c r="A30" s="174">
        <v>3</v>
      </c>
      <c r="B30" s="164" t="s">
        <v>276</v>
      </c>
      <c r="C30" s="164" t="s">
        <v>277</v>
      </c>
      <c r="D30" s="165">
        <v>0</v>
      </c>
      <c r="E30" s="166" t="s">
        <v>278</v>
      </c>
      <c r="F30" s="179" t="s">
        <v>279</v>
      </c>
    </row>
    <row r="31" spans="1:8" x14ac:dyDescent="0.2">
      <c r="A31" s="177"/>
      <c r="B31" s="172"/>
      <c r="C31" s="172"/>
      <c r="D31" s="172"/>
      <c r="E31" s="172"/>
      <c r="F31" s="182"/>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9</vt:i4>
      </vt:variant>
    </vt:vector>
  </HeadingPairs>
  <TitlesOfParts>
    <vt:vector size="9" baseType="lpstr">
      <vt:lpstr>Cover</vt:lpstr>
      <vt:lpstr>Portfolio</vt:lpstr>
      <vt:lpstr>Benchmark vs Portfolio</vt:lpstr>
      <vt:lpstr>Performance Attribution</vt:lpstr>
      <vt:lpstr>Credit Universe</vt:lpstr>
      <vt:lpstr>Credit Scoring</vt:lpstr>
      <vt:lpstr>Spread Analysis</vt:lpstr>
      <vt:lpstr>Scenario Analysis</vt:lpstr>
      <vt:lpstr>Relative Value</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Divij Budhiraja</dc:creator>
  <cp:lastModifiedBy>Divij Budhiraja</cp:lastModifiedBy>
  <dcterms:created xsi:type="dcterms:W3CDTF">2026-03-24T20:33:23Z</dcterms:created>
  <dcterms:modified xsi:type="dcterms:W3CDTF">2026-03-24T21:28:26Z</dcterms:modified>
</cp:coreProperties>
</file>