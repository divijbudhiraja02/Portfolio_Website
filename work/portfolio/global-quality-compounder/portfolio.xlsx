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ijbudhiraja/Desktop/Fin_work/Portfolio Analysis/Global Quality Compounder Portfolio/"/>
    </mc:Choice>
  </mc:AlternateContent>
  <xr:revisionPtr revIDLastSave="0" documentId="13_ncr:1_{3388E481-9FFF-2046-AD6B-CA53E6FDB9D4}" xr6:coauthVersionLast="47" xr6:coauthVersionMax="47" xr10:uidLastSave="{00000000-0000-0000-0000-000000000000}"/>
  <bookViews>
    <workbookView xWindow="34200" yWindow="-4780" windowWidth="25760" windowHeight="18320" xr2:uid="{3B60B63C-513B-2F4C-972A-77757838EFCB}"/>
  </bookViews>
  <sheets>
    <sheet name="Mandate" sheetId="1" r:id="rId1"/>
    <sheet name="Universe" sheetId="2" r:id="rId2"/>
    <sheet name="Factor Screen" sheetId="3" r:id="rId3"/>
    <sheet name="Portfolio" sheetId="4" r:id="rId4"/>
    <sheet name="Backtest" sheetId="5" r:id="rId5"/>
    <sheet name="Attribution" sheetId="6" r:id="rId6"/>
    <sheet name="Risk Metrics" sheetId="7" r:id="rId7"/>
  </sheets>
  <definedNames>
    <definedName name="AnnFactor">'Risk Metrics'!$D$5</definedName>
    <definedName name="RiskFreeRate">'Risk Metrics'!$B$5</definedName>
    <definedName name="w_BS">'Factor Screen'!$G$5</definedName>
    <definedName name="w_Earn">'Factor Screen'!$K$5</definedName>
    <definedName name="w_FCF">'Factor Screen'!$I$5</definedName>
    <definedName name="w_GM">'Factor Screen'!$E$5</definedName>
    <definedName name="w_ROIC">'Factor Screen'!$C$5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6" l="1"/>
  <c r="G20" i="6"/>
  <c r="F20" i="6"/>
  <c r="E20" i="6"/>
  <c r="E18" i="6" a="1"/>
  <c r="E18" i="6" s="1"/>
  <c r="G18" i="6" s="1"/>
  <c r="I18" i="6" s="1"/>
  <c r="E16" i="6" a="1"/>
  <c r="E16" i="6" s="1"/>
  <c r="G16" i="6" s="1"/>
  <c r="I16" i="6" s="1"/>
  <c r="E15" i="6" a="1"/>
  <c r="E15" i="6" s="1"/>
  <c r="G15" i="6" s="1"/>
  <c r="I15" i="6" s="1"/>
  <c r="E14" i="6" a="1"/>
  <c r="E14" i="6"/>
  <c r="E13" i="6" a="1"/>
  <c r="E13" i="6" s="1"/>
  <c r="B10" i="6"/>
  <c r="C20" i="6"/>
  <c r="B20" i="6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B38" i="4"/>
  <c r="C38" i="4"/>
  <c r="D38" i="4"/>
  <c r="E38" i="4"/>
  <c r="F38" i="4"/>
  <c r="G38" i="4"/>
  <c r="H38" i="4"/>
  <c r="C43" i="4" s="1"/>
  <c r="I38" i="4"/>
  <c r="J38" i="4"/>
  <c r="K38" i="4"/>
  <c r="L38" i="4"/>
  <c r="M38" i="4"/>
  <c r="N38" i="4"/>
  <c r="O38" i="4"/>
  <c r="P38" i="4"/>
  <c r="C51" i="4" s="1"/>
  <c r="B39" i="4"/>
  <c r="C39" i="4"/>
  <c r="D39" i="4"/>
  <c r="E39" i="4"/>
  <c r="F39" i="4"/>
  <c r="G39" i="4"/>
  <c r="H39" i="4"/>
  <c r="I39" i="4"/>
  <c r="D44" i="4" s="1"/>
  <c r="J39" i="4"/>
  <c r="K39" i="4"/>
  <c r="L39" i="4"/>
  <c r="M39" i="4"/>
  <c r="N39" i="4"/>
  <c r="O39" i="4"/>
  <c r="P39" i="4"/>
  <c r="B40" i="4"/>
  <c r="C40" i="4"/>
  <c r="D40" i="4"/>
  <c r="E40" i="4"/>
  <c r="F40" i="4"/>
  <c r="G40" i="4"/>
  <c r="H40" i="4"/>
  <c r="I40" i="4"/>
  <c r="J40" i="4"/>
  <c r="E45" i="4" s="1"/>
  <c r="K40" i="4"/>
  <c r="L40" i="4"/>
  <c r="M40" i="4"/>
  <c r="N40" i="4"/>
  <c r="O40" i="4"/>
  <c r="P40" i="4"/>
  <c r="B41" i="4"/>
  <c r="C41" i="4"/>
  <c r="D41" i="4"/>
  <c r="E41" i="4"/>
  <c r="F41" i="4"/>
  <c r="G41" i="4"/>
  <c r="H41" i="4"/>
  <c r="I41" i="4"/>
  <c r="J41" i="4"/>
  <c r="K41" i="4"/>
  <c r="F46" i="4" s="1"/>
  <c r="L41" i="4"/>
  <c r="M41" i="4"/>
  <c r="N41" i="4"/>
  <c r="O41" i="4"/>
  <c r="P41" i="4"/>
  <c r="B42" i="4"/>
  <c r="C42" i="4"/>
  <c r="D42" i="4"/>
  <c r="E42" i="4"/>
  <c r="F42" i="4"/>
  <c r="G42" i="4"/>
  <c r="H42" i="4"/>
  <c r="G43" i="4" s="1"/>
  <c r="I42" i="4"/>
  <c r="J42" i="4"/>
  <c r="K42" i="4"/>
  <c r="L42" i="4"/>
  <c r="G47" i="4" s="1"/>
  <c r="M42" i="4"/>
  <c r="N42" i="4"/>
  <c r="O42" i="4"/>
  <c r="P42" i="4"/>
  <c r="B43" i="4"/>
  <c r="D43" i="4"/>
  <c r="E43" i="4"/>
  <c r="F43" i="4"/>
  <c r="H43" i="4"/>
  <c r="I43" i="4"/>
  <c r="H44" i="4" s="1"/>
  <c r="J43" i="4"/>
  <c r="K43" i="4"/>
  <c r="L43" i="4"/>
  <c r="M43" i="4"/>
  <c r="H48" i="4" s="1"/>
  <c r="N43" i="4"/>
  <c r="O43" i="4"/>
  <c r="P43" i="4"/>
  <c r="B44" i="4"/>
  <c r="C44" i="4"/>
  <c r="E44" i="4"/>
  <c r="F44" i="4"/>
  <c r="G44" i="4"/>
  <c r="I44" i="4"/>
  <c r="J44" i="4"/>
  <c r="I45" i="4" s="1"/>
  <c r="K44" i="4"/>
  <c r="L44" i="4"/>
  <c r="M44" i="4"/>
  <c r="N44" i="4"/>
  <c r="I49" i="4" s="1"/>
  <c r="O44" i="4"/>
  <c r="P44" i="4"/>
  <c r="B45" i="4"/>
  <c r="C45" i="4"/>
  <c r="D45" i="4"/>
  <c r="F45" i="4"/>
  <c r="G45" i="4"/>
  <c r="H45" i="4"/>
  <c r="J45" i="4"/>
  <c r="K45" i="4"/>
  <c r="J46" i="4" s="1"/>
  <c r="L45" i="4"/>
  <c r="M45" i="4"/>
  <c r="N45" i="4"/>
  <c r="O45" i="4"/>
  <c r="J50" i="4" s="1"/>
  <c r="P45" i="4"/>
  <c r="B46" i="4"/>
  <c r="C46" i="4"/>
  <c r="D46" i="4"/>
  <c r="E46" i="4"/>
  <c r="G46" i="4"/>
  <c r="H46" i="4"/>
  <c r="I46" i="4"/>
  <c r="K46" i="4"/>
  <c r="L46" i="4"/>
  <c r="K47" i="4" s="1"/>
  <c r="M46" i="4"/>
  <c r="K48" i="4" s="1"/>
  <c r="N46" i="4"/>
  <c r="O46" i="4"/>
  <c r="P46" i="4"/>
  <c r="K51" i="4" s="1"/>
  <c r="B47" i="4"/>
  <c r="C47" i="4"/>
  <c r="D47" i="4"/>
  <c r="E47" i="4"/>
  <c r="F47" i="4"/>
  <c r="H47" i="4"/>
  <c r="I47" i="4"/>
  <c r="J47" i="4"/>
  <c r="L47" i="4"/>
  <c r="M47" i="4"/>
  <c r="L48" i="4" s="1"/>
  <c r="N47" i="4"/>
  <c r="L49" i="4" s="1"/>
  <c r="O47" i="4"/>
  <c r="P47" i="4"/>
  <c r="B48" i="4"/>
  <c r="C48" i="4"/>
  <c r="D48" i="4"/>
  <c r="E48" i="4"/>
  <c r="F48" i="4"/>
  <c r="G48" i="4"/>
  <c r="I48" i="4"/>
  <c r="J48" i="4"/>
  <c r="M48" i="4"/>
  <c r="N48" i="4"/>
  <c r="M49" i="4" s="1"/>
  <c r="O48" i="4"/>
  <c r="M50" i="4" s="1"/>
  <c r="P48" i="4"/>
  <c r="B49" i="4"/>
  <c r="C49" i="4"/>
  <c r="D49" i="4"/>
  <c r="E49" i="4"/>
  <c r="F49" i="4"/>
  <c r="G49" i="4"/>
  <c r="H49" i="4"/>
  <c r="J49" i="4"/>
  <c r="K49" i="4"/>
  <c r="N49" i="4"/>
  <c r="O49" i="4"/>
  <c r="N50" i="4" s="1"/>
  <c r="P49" i="4"/>
  <c r="N51" i="4" s="1"/>
  <c r="B50" i="4"/>
  <c r="C50" i="4"/>
  <c r="D50" i="4"/>
  <c r="E50" i="4"/>
  <c r="F50" i="4"/>
  <c r="G50" i="4"/>
  <c r="H50" i="4"/>
  <c r="I50" i="4"/>
  <c r="K50" i="4"/>
  <c r="L50" i="4"/>
  <c r="O50" i="4"/>
  <c r="P50" i="4"/>
  <c r="O51" i="4" s="1"/>
  <c r="B51" i="4"/>
  <c r="D51" i="4"/>
  <c r="E51" i="4"/>
  <c r="F51" i="4"/>
  <c r="G51" i="4"/>
  <c r="H51" i="4"/>
  <c r="I51" i="4"/>
  <c r="J51" i="4"/>
  <c r="L51" i="4"/>
  <c r="M51" i="4"/>
  <c r="P51" i="4"/>
  <c r="D17" i="7"/>
  <c r="C17" i="7"/>
  <c r="B17" i="7"/>
  <c r="D16" i="7"/>
  <c r="C16" i="7" a="1"/>
  <c r="C16" i="7" s="1"/>
  <c r="B16" i="7" a="1"/>
  <c r="B16" i="7" s="1"/>
  <c r="D10" i="7"/>
  <c r="C10" i="7"/>
  <c r="B10" i="7"/>
  <c r="G14" i="6"/>
  <c r="I14" i="6" s="1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8" i="5"/>
  <c r="U8" i="5"/>
  <c r="Y8" i="5" s="1"/>
  <c r="B5" i="5"/>
  <c r="C5" i="5"/>
  <c r="Q11" i="5" s="1" a="1"/>
  <c r="Q11" i="5" s="1"/>
  <c r="D5" i="5"/>
  <c r="E5" i="5"/>
  <c r="F5" i="5"/>
  <c r="G5" i="5"/>
  <c r="H5" i="5"/>
  <c r="I5" i="5"/>
  <c r="J5" i="5"/>
  <c r="K5" i="5"/>
  <c r="L5" i="5"/>
  <c r="M5" i="5"/>
  <c r="N5" i="5"/>
  <c r="O5" i="5"/>
  <c r="P5" i="5"/>
  <c r="H28" i="4"/>
  <c r="F20" i="4"/>
  <c r="N29" i="4"/>
  <c r="M29" i="4"/>
  <c r="N28" i="4"/>
  <c r="M28" i="4"/>
  <c r="N27" i="4"/>
  <c r="M27" i="4"/>
  <c r="N26" i="4" a="1"/>
  <c r="N26" i="4" s="1"/>
  <c r="M26" i="4" a="1"/>
  <c r="M26" i="4" s="1"/>
  <c r="N25" i="4"/>
  <c r="M25" i="4"/>
  <c r="N24" i="4"/>
  <c r="M24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L10" i="3"/>
  <c r="M9" i="3" s="1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K40" i="3" s="1"/>
  <c r="J41" i="3"/>
  <c r="J42" i="3"/>
  <c r="J43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8" i="3"/>
  <c r="H29" i="3"/>
  <c r="H30" i="3"/>
  <c r="H31" i="3"/>
  <c r="H32" i="3"/>
  <c r="H35" i="3"/>
  <c r="H36" i="3"/>
  <c r="H38" i="3"/>
  <c r="H39" i="3"/>
  <c r="L9" i="3"/>
  <c r="J9" i="3"/>
  <c r="K34" i="3" s="1"/>
  <c r="H9" i="3"/>
  <c r="F10" i="3"/>
  <c r="F11" i="3"/>
  <c r="F12" i="3"/>
  <c r="F13" i="3"/>
  <c r="F14" i="3"/>
  <c r="F15" i="3"/>
  <c r="F16" i="3"/>
  <c r="G21" i="3" s="1"/>
  <c r="F17" i="3"/>
  <c r="G17" i="3" s="1"/>
  <c r="F18" i="3"/>
  <c r="F19" i="3"/>
  <c r="F20" i="3"/>
  <c r="F21" i="3"/>
  <c r="F22" i="3"/>
  <c r="F23" i="3"/>
  <c r="F24" i="3"/>
  <c r="G24" i="3" s="1"/>
  <c r="F25" i="3"/>
  <c r="G25" i="3" s="1"/>
  <c r="F26" i="3"/>
  <c r="G26" i="3" s="1"/>
  <c r="F27" i="3"/>
  <c r="F28" i="3"/>
  <c r="F29" i="3"/>
  <c r="F30" i="3"/>
  <c r="F31" i="3"/>
  <c r="F32" i="3"/>
  <c r="G32" i="3" s="1"/>
  <c r="F33" i="3"/>
  <c r="G33" i="3" s="1"/>
  <c r="F34" i="3"/>
  <c r="F35" i="3"/>
  <c r="F36" i="3"/>
  <c r="F37" i="3"/>
  <c r="F38" i="3"/>
  <c r="F39" i="3"/>
  <c r="F40" i="3"/>
  <c r="F41" i="3"/>
  <c r="F42" i="3"/>
  <c r="F43" i="3"/>
  <c r="F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9" i="3"/>
  <c r="I39" i="2"/>
  <c r="H43" i="3" s="1"/>
  <c r="F39" i="2"/>
  <c r="I38" i="2"/>
  <c r="H42" i="3" s="1"/>
  <c r="F38" i="2"/>
  <c r="I37" i="2"/>
  <c r="H41" i="3" s="1"/>
  <c r="F37" i="2"/>
  <c r="I36" i="2"/>
  <c r="H40" i="3" s="1"/>
  <c r="F36" i="2"/>
  <c r="F34" i="2"/>
  <c r="I33" i="2"/>
  <c r="H37" i="3" s="1"/>
  <c r="F33" i="2"/>
  <c r="F32" i="2"/>
  <c r="F31" i="2"/>
  <c r="I30" i="2"/>
  <c r="H34" i="3" s="1"/>
  <c r="F30" i="2"/>
  <c r="I29" i="2"/>
  <c r="H33" i="3" s="1"/>
  <c r="F29" i="2"/>
  <c r="F28" i="2"/>
  <c r="F27" i="2"/>
  <c r="K26" i="2"/>
  <c r="L30" i="3" s="1"/>
  <c r="F26" i="2"/>
  <c r="I25" i="2"/>
  <c r="G25" i="2"/>
  <c r="F25" i="2"/>
  <c r="F24" i="2"/>
  <c r="I23" i="2"/>
  <c r="H27" i="3" s="1"/>
  <c r="F23" i="2"/>
  <c r="I22" i="2"/>
  <c r="H26" i="3" s="1"/>
  <c r="G22" i="2"/>
  <c r="D26" i="3" s="1"/>
  <c r="F22" i="2"/>
  <c r="F21" i="2"/>
  <c r="F20" i="2"/>
  <c r="I5" i="2"/>
  <c r="C26" i="7"/>
  <c r="D26" i="7" s="1"/>
  <c r="C25" i="7"/>
  <c r="D25" i="7" s="1"/>
  <c r="C19" i="7"/>
  <c r="C15" i="7"/>
  <c r="C14" i="7"/>
  <c r="C12" i="7"/>
  <c r="C11" i="7"/>
  <c r="C9" i="7"/>
  <c r="C8" i="7"/>
  <c r="G19" i="6"/>
  <c r="I19" i="6" s="1"/>
  <c r="B19" i="6"/>
  <c r="D19" i="6" s="1"/>
  <c r="B18" i="6"/>
  <c r="D18" i="6" s="1"/>
  <c r="G17" i="6"/>
  <c r="I17" i="6" s="1"/>
  <c r="B17" i="6"/>
  <c r="D17" i="6" s="1"/>
  <c r="B16" i="6"/>
  <c r="D16" i="6" s="1"/>
  <c r="B15" i="6"/>
  <c r="D15" i="6" s="1"/>
  <c r="B14" i="6"/>
  <c r="D14" i="6" s="1"/>
  <c r="B13" i="6"/>
  <c r="D13" i="6" s="1"/>
  <c r="C76" i="5"/>
  <c r="C75" i="5"/>
  <c r="C74" i="5"/>
  <c r="C72" i="5" a="1"/>
  <c r="C72" i="5" s="1"/>
  <c r="C73" i="5" s="1"/>
  <c r="G27" i="4"/>
  <c r="I27" i="4" s="1"/>
  <c r="G26" i="4"/>
  <c r="I26" i="4" s="1"/>
  <c r="G25" i="4"/>
  <c r="I25" i="4" s="1"/>
  <c r="G24" i="4"/>
  <c r="I24" i="4" s="1"/>
  <c r="C31" i="4"/>
  <c r="B30" i="4"/>
  <c r="D30" i="4" s="1"/>
  <c r="B29" i="4"/>
  <c r="D29" i="4" s="1"/>
  <c r="B28" i="4"/>
  <c r="D28" i="4" s="1"/>
  <c r="B27" i="4"/>
  <c r="D27" i="4" s="1"/>
  <c r="B26" i="4"/>
  <c r="D26" i="4" s="1"/>
  <c r="B25" i="4"/>
  <c r="D25" i="4" s="1"/>
  <c r="B24" i="4"/>
  <c r="G20" i="4"/>
  <c r="G41" i="3"/>
  <c r="K32" i="3"/>
  <c r="G28" i="3"/>
  <c r="G27" i="3"/>
  <c r="G23" i="3"/>
  <c r="K22" i="3"/>
  <c r="G15" i="3"/>
  <c r="G11" i="3"/>
  <c r="N5" i="3"/>
  <c r="G13" i="6" l="1"/>
  <c r="I13" i="6" s="1"/>
  <c r="I20" i="6" s="1"/>
  <c r="Q66" i="5" a="1"/>
  <c r="Q66" i="5" s="1"/>
  <c r="U9" i="5"/>
  <c r="Q67" i="5" a="1"/>
  <c r="Q67" i="5" s="1"/>
  <c r="Q52" i="5" a="1"/>
  <c r="Q52" i="5" s="1"/>
  <c r="Q60" i="5" a="1"/>
  <c r="Q60" i="5" s="1"/>
  <c r="Q27" i="5" a="1"/>
  <c r="Q27" i="5" s="1"/>
  <c r="S27" i="5" s="1"/>
  <c r="Q35" i="5" a="1"/>
  <c r="Q35" i="5" s="1"/>
  <c r="S35" i="5" s="1"/>
  <c r="Q43" i="5" a="1"/>
  <c r="Q43" i="5" s="1"/>
  <c r="S43" i="5" s="1"/>
  <c r="Q51" i="5" a="1"/>
  <c r="Q51" i="5" s="1"/>
  <c r="S51" i="5" s="1"/>
  <c r="Q59" i="5" a="1"/>
  <c r="Q59" i="5" s="1"/>
  <c r="Q12" i="5" a="1"/>
  <c r="Q12" i="5" s="1"/>
  <c r="S12" i="5" s="1"/>
  <c r="Q20" i="5" a="1"/>
  <c r="Q20" i="5" s="1"/>
  <c r="S20" i="5" s="1"/>
  <c r="Q28" i="5" a="1"/>
  <c r="Q28" i="5" s="1"/>
  <c r="S28" i="5" s="1"/>
  <c r="Q36" i="5" a="1"/>
  <c r="Q36" i="5" s="1"/>
  <c r="S36" i="5" s="1"/>
  <c r="Q44" i="5" a="1"/>
  <c r="Q44" i="5" s="1"/>
  <c r="S44" i="5" s="1"/>
  <c r="Q13" i="5" a="1"/>
  <c r="Q13" i="5" s="1"/>
  <c r="S13" i="5" s="1"/>
  <c r="Q21" i="5" a="1"/>
  <c r="Q21" i="5" s="1"/>
  <c r="S21" i="5" s="1"/>
  <c r="Q29" i="5" a="1"/>
  <c r="Q29" i="5" s="1"/>
  <c r="Q37" i="5" a="1"/>
  <c r="Q37" i="5" s="1"/>
  <c r="S37" i="5" s="1"/>
  <c r="Q45" i="5" a="1"/>
  <c r="Q45" i="5" s="1"/>
  <c r="Q53" i="5" a="1"/>
  <c r="Q53" i="5" s="1"/>
  <c r="S53" i="5" s="1"/>
  <c r="Q61" i="5" a="1"/>
  <c r="Q61" i="5" s="1"/>
  <c r="S61" i="5" s="1"/>
  <c r="Q19" i="5" a="1"/>
  <c r="Q19" i="5" s="1"/>
  <c r="S19" i="5" s="1"/>
  <c r="Q14" i="5" a="1"/>
  <c r="Q14" i="5" s="1"/>
  <c r="S14" i="5" s="1"/>
  <c r="Q22" i="5" a="1"/>
  <c r="Q22" i="5" s="1"/>
  <c r="Q30" i="5" a="1"/>
  <c r="Q30" i="5" s="1"/>
  <c r="Q38" i="5" a="1"/>
  <c r="Q38" i="5" s="1"/>
  <c r="S38" i="5" s="1"/>
  <c r="Q46" i="5" a="1"/>
  <c r="Q46" i="5" s="1"/>
  <c r="S46" i="5" s="1"/>
  <c r="Q54" i="5" a="1"/>
  <c r="Q54" i="5" s="1"/>
  <c r="S54" i="5" s="1"/>
  <c r="Q62" i="5" a="1"/>
  <c r="Q62" i="5" s="1"/>
  <c r="S62" i="5" s="1"/>
  <c r="Q39" i="5" a="1"/>
  <c r="Q39" i="5" s="1"/>
  <c r="S39" i="5" s="1"/>
  <c r="Q65" i="5" a="1"/>
  <c r="Q65" i="5" s="1"/>
  <c r="S65" i="5" s="1"/>
  <c r="R5" i="5"/>
  <c r="Q15" i="5" a="1"/>
  <c r="Q15" i="5" s="1"/>
  <c r="Q23" i="5" a="1"/>
  <c r="Q23" i="5" s="1"/>
  <c r="S23" i="5" s="1"/>
  <c r="Q31" i="5" a="1"/>
  <c r="Q31" i="5" s="1"/>
  <c r="S31" i="5" s="1"/>
  <c r="Q47" i="5" a="1"/>
  <c r="Q47" i="5" s="1"/>
  <c r="S47" i="5" s="1"/>
  <c r="Q55" i="5" a="1"/>
  <c r="Q55" i="5" s="1"/>
  <c r="S55" i="5" s="1"/>
  <c r="Q63" i="5" a="1"/>
  <c r="Q63" i="5" s="1"/>
  <c r="S63" i="5" s="1"/>
  <c r="Q8" i="5" a="1"/>
  <c r="Q8" i="5" s="1"/>
  <c r="S8" i="5" s="1"/>
  <c r="Q16" i="5" a="1"/>
  <c r="Q16" i="5" s="1"/>
  <c r="S16" i="5" s="1"/>
  <c r="Q24" i="5" a="1"/>
  <c r="Q24" i="5" s="1"/>
  <c r="S24" i="5" s="1"/>
  <c r="Q32" i="5" a="1"/>
  <c r="Q32" i="5" s="1"/>
  <c r="Q40" i="5" a="1"/>
  <c r="Q40" i="5" s="1"/>
  <c r="S40" i="5" s="1"/>
  <c r="Q48" i="5" a="1"/>
  <c r="Q48" i="5" s="1"/>
  <c r="Q56" i="5" a="1"/>
  <c r="Q56" i="5" s="1"/>
  <c r="S56" i="5" s="1"/>
  <c r="Q64" i="5" a="1"/>
  <c r="Q64" i="5" s="1"/>
  <c r="S64" i="5" s="1"/>
  <c r="Q9" i="5" a="1"/>
  <c r="Q9" i="5" s="1"/>
  <c r="S9" i="5" s="1"/>
  <c r="Q17" i="5" a="1"/>
  <c r="Q17" i="5" s="1"/>
  <c r="S17" i="5" s="1"/>
  <c r="Q25" i="5" a="1"/>
  <c r="Q25" i="5" s="1"/>
  <c r="S25" i="5" s="1"/>
  <c r="Q33" i="5" a="1"/>
  <c r="Q33" i="5" s="1"/>
  <c r="S33" i="5" s="1"/>
  <c r="Q41" i="5" a="1"/>
  <c r="Q41" i="5" s="1"/>
  <c r="S41" i="5" s="1"/>
  <c r="Q49" i="5" a="1"/>
  <c r="Q49" i="5" s="1"/>
  <c r="Q57" i="5" a="1"/>
  <c r="Q57" i="5" s="1"/>
  <c r="Q10" i="5" a="1"/>
  <c r="Q10" i="5" s="1"/>
  <c r="S10" i="5" s="1"/>
  <c r="Q18" i="5" a="1"/>
  <c r="Q18" i="5" s="1"/>
  <c r="S18" i="5" s="1"/>
  <c r="Q26" i="5" a="1"/>
  <c r="Q26" i="5" s="1"/>
  <c r="S26" i="5" s="1"/>
  <c r="Q34" i="5" a="1"/>
  <c r="Q34" i="5" s="1"/>
  <c r="Q42" i="5" a="1"/>
  <c r="Q42" i="5" s="1"/>
  <c r="S42" i="5" s="1"/>
  <c r="Q50" i="5" a="1"/>
  <c r="Q50" i="5" s="1"/>
  <c r="Q58" i="5" a="1"/>
  <c r="Q58" i="5" s="1"/>
  <c r="S58" i="5" s="1"/>
  <c r="I41" i="3"/>
  <c r="M19" i="3"/>
  <c r="M42" i="3"/>
  <c r="M26" i="3"/>
  <c r="E34" i="3"/>
  <c r="I40" i="3"/>
  <c r="E33" i="3"/>
  <c r="E26" i="3"/>
  <c r="M34" i="3"/>
  <c r="E22" i="3"/>
  <c r="E30" i="3"/>
  <c r="E25" i="3"/>
  <c r="E38" i="3"/>
  <c r="E29" i="3"/>
  <c r="E21" i="3"/>
  <c r="I33" i="3"/>
  <c r="E41" i="3"/>
  <c r="I25" i="3"/>
  <c r="I17" i="3"/>
  <c r="M37" i="3"/>
  <c r="N37" i="3" s="1"/>
  <c r="N15" i="4" s="1"/>
  <c r="M28" i="3"/>
  <c r="E24" i="3"/>
  <c r="K31" i="3"/>
  <c r="K11" i="3"/>
  <c r="M33" i="3"/>
  <c r="N33" i="3" s="1"/>
  <c r="N8" i="4" s="1"/>
  <c r="M25" i="3"/>
  <c r="G20" i="3"/>
  <c r="K13" i="3"/>
  <c r="E18" i="3"/>
  <c r="G31" i="3"/>
  <c r="G35" i="3"/>
  <c r="E10" i="3"/>
  <c r="E14" i="3"/>
  <c r="N14" i="3" s="1"/>
  <c r="G18" i="3"/>
  <c r="G22" i="3"/>
  <c r="E40" i="3"/>
  <c r="I32" i="3"/>
  <c r="I16" i="3"/>
  <c r="E12" i="3"/>
  <c r="N12" i="3" s="1"/>
  <c r="N11" i="4" s="1"/>
  <c r="E16" i="3"/>
  <c r="G10" i="3"/>
  <c r="G14" i="3"/>
  <c r="G19" i="3"/>
  <c r="G38" i="3"/>
  <c r="E39" i="3"/>
  <c r="E31" i="3"/>
  <c r="E23" i="3"/>
  <c r="N23" i="3" s="1"/>
  <c r="N10" i="4" s="1"/>
  <c r="E15" i="3"/>
  <c r="N15" i="3" s="1"/>
  <c r="N19" i="4" s="1"/>
  <c r="I39" i="3"/>
  <c r="K41" i="3"/>
  <c r="K33" i="3"/>
  <c r="K25" i="3"/>
  <c r="K30" i="3"/>
  <c r="E20" i="3"/>
  <c r="G12" i="3"/>
  <c r="G16" i="3"/>
  <c r="B42" i="7" s="1" a="1"/>
  <c r="B42" i="7" s="1"/>
  <c r="G34" i="3"/>
  <c r="G39" i="3"/>
  <c r="G30" i="3"/>
  <c r="I34" i="3"/>
  <c r="K38" i="3"/>
  <c r="K36" i="3"/>
  <c r="M40" i="3"/>
  <c r="M32" i="3"/>
  <c r="M24" i="3"/>
  <c r="M29" i="3"/>
  <c r="E17" i="3"/>
  <c r="G29" i="3"/>
  <c r="E43" i="3"/>
  <c r="E35" i="3"/>
  <c r="E27" i="3"/>
  <c r="E19" i="3"/>
  <c r="E37" i="3"/>
  <c r="M39" i="3"/>
  <c r="M31" i="3"/>
  <c r="M23" i="3"/>
  <c r="M43" i="3"/>
  <c r="E9" i="3"/>
  <c r="E13" i="3"/>
  <c r="G9" i="3"/>
  <c r="G13" i="3"/>
  <c r="M27" i="3"/>
  <c r="H20" i="4"/>
  <c r="B31" i="4"/>
  <c r="I28" i="4"/>
  <c r="D24" i="4"/>
  <c r="D31" i="4" s="1"/>
  <c r="G28" i="4"/>
  <c r="M16" i="3"/>
  <c r="M21" i="3"/>
  <c r="N21" i="3" s="1"/>
  <c r="M41" i="3"/>
  <c r="N39" i="3"/>
  <c r="M14" i="3"/>
  <c r="M10" i="3"/>
  <c r="M35" i="3"/>
  <c r="M15" i="3"/>
  <c r="M20" i="3"/>
  <c r="N20" i="3" s="1"/>
  <c r="N14" i="4" s="1"/>
  <c r="M22" i="3"/>
  <c r="M30" i="3"/>
  <c r="M17" i="3"/>
  <c r="M38" i="3"/>
  <c r="M18" i="3"/>
  <c r="M36" i="3"/>
  <c r="N31" i="3"/>
  <c r="N17" i="4" s="1"/>
  <c r="M12" i="3"/>
  <c r="M11" i="3"/>
  <c r="M13" i="3"/>
  <c r="K15" i="3"/>
  <c r="K42" i="3"/>
  <c r="K17" i="3"/>
  <c r="B43" i="7" s="1" a="1"/>
  <c r="B43" i="7" s="1"/>
  <c r="K23" i="3"/>
  <c r="K35" i="3"/>
  <c r="K43" i="3"/>
  <c r="K28" i="3"/>
  <c r="K39" i="3"/>
  <c r="K19" i="3"/>
  <c r="K10" i="3"/>
  <c r="K14" i="3"/>
  <c r="K27" i="3"/>
  <c r="K29" i="3"/>
  <c r="K24" i="3"/>
  <c r="K37" i="3"/>
  <c r="K21" i="3"/>
  <c r="K12" i="3"/>
  <c r="K16" i="3"/>
  <c r="K18" i="3"/>
  <c r="K26" i="3"/>
  <c r="K9" i="3"/>
  <c r="K20" i="3"/>
  <c r="I42" i="3"/>
  <c r="I38" i="3"/>
  <c r="I24" i="3"/>
  <c r="N24" i="3" s="1"/>
  <c r="N6" i="4" s="1"/>
  <c r="I27" i="3"/>
  <c r="I30" i="3"/>
  <c r="I15" i="3"/>
  <c r="I31" i="3"/>
  <c r="I18" i="3"/>
  <c r="I21" i="3"/>
  <c r="I14" i="3"/>
  <c r="I10" i="3"/>
  <c r="I20" i="3"/>
  <c r="I35" i="3"/>
  <c r="I37" i="3"/>
  <c r="I28" i="3"/>
  <c r="I36" i="3"/>
  <c r="I11" i="3"/>
  <c r="I19" i="3"/>
  <c r="I26" i="3"/>
  <c r="I29" i="3"/>
  <c r="I22" i="3"/>
  <c r="I13" i="3"/>
  <c r="I23" i="3"/>
  <c r="I43" i="3"/>
  <c r="I9" i="3"/>
  <c r="N9" i="3" s="1"/>
  <c r="I12" i="3"/>
  <c r="G43" i="3"/>
  <c r="G37" i="3"/>
  <c r="G40" i="3"/>
  <c r="N40" i="3" s="1"/>
  <c r="G42" i="3"/>
  <c r="N25" i="3"/>
  <c r="G36" i="3"/>
  <c r="E28" i="3"/>
  <c r="N28" i="3" s="1"/>
  <c r="E36" i="3"/>
  <c r="E11" i="3"/>
  <c r="E32" i="3"/>
  <c r="N32" i="3" s="1"/>
  <c r="E42" i="3"/>
  <c r="J15" i="6"/>
  <c r="H15" i="6"/>
  <c r="J13" i="6"/>
  <c r="D20" i="6"/>
  <c r="H13" i="6"/>
  <c r="H18" i="6"/>
  <c r="J18" i="6"/>
  <c r="J19" i="6"/>
  <c r="H19" i="6"/>
  <c r="J16" i="6"/>
  <c r="H16" i="6"/>
  <c r="H14" i="6"/>
  <c r="J14" i="6"/>
  <c r="J17" i="6"/>
  <c r="H17" i="6"/>
  <c r="S49" i="5"/>
  <c r="S59" i="5"/>
  <c r="S34" i="5"/>
  <c r="S50" i="5"/>
  <c r="S66" i="5"/>
  <c r="S11" i="5"/>
  <c r="S67" i="5"/>
  <c r="S52" i="5"/>
  <c r="S60" i="5"/>
  <c r="S29" i="5"/>
  <c r="S45" i="5"/>
  <c r="S22" i="5"/>
  <c r="S30" i="5"/>
  <c r="S48" i="5"/>
  <c r="S57" i="5"/>
  <c r="S15" i="5"/>
  <c r="Y9" i="5" l="1"/>
  <c r="U10" i="5"/>
  <c r="S32" i="5"/>
  <c r="B13" i="7" s="1"/>
  <c r="B19" i="7"/>
  <c r="D19" i="7" s="1"/>
  <c r="B8" i="7"/>
  <c r="D8" i="7" s="1"/>
  <c r="B75" i="5"/>
  <c r="D75" i="5" s="1"/>
  <c r="B11" i="7"/>
  <c r="B18" i="7" s="1"/>
  <c r="B15" i="7"/>
  <c r="D15" i="7" s="1"/>
  <c r="T8" i="5"/>
  <c r="X8" i="5" s="1"/>
  <c r="B76" i="5"/>
  <c r="D76" i="5" s="1"/>
  <c r="B9" i="7"/>
  <c r="D9" i="7" s="1"/>
  <c r="B74" i="5"/>
  <c r="D74" i="5" s="1"/>
  <c r="C43" i="7"/>
  <c r="N30" i="3"/>
  <c r="N22" i="3"/>
  <c r="N41" i="3"/>
  <c r="N16" i="4" s="1"/>
  <c r="C41" i="7"/>
  <c r="N43" i="3"/>
  <c r="N12" i="4" s="1"/>
  <c r="N36" i="3"/>
  <c r="N16" i="3"/>
  <c r="N7" i="4" s="1"/>
  <c r="N18" i="3"/>
  <c r="N26" i="3"/>
  <c r="N13" i="4" s="1"/>
  <c r="N38" i="3"/>
  <c r="N10" i="3"/>
  <c r="R17" i="3" s="1" a="1"/>
  <c r="R17" i="3" s="1"/>
  <c r="Y17" i="3" s="1"/>
  <c r="N27" i="3"/>
  <c r="B41" i="7" a="1"/>
  <c r="B41" i="7" s="1"/>
  <c r="N42" i="3"/>
  <c r="D43" i="7"/>
  <c r="N35" i="3"/>
  <c r="N13" i="3"/>
  <c r="X26" i="3" s="1" a="1"/>
  <c r="X26" i="3" s="1"/>
  <c r="N17" i="3"/>
  <c r="N29" i="3"/>
  <c r="N9" i="4" s="1"/>
  <c r="N19" i="3"/>
  <c r="N11" i="3"/>
  <c r="N18" i="4" s="1"/>
  <c r="C42" i="7"/>
  <c r="D42" i="7" s="1"/>
  <c r="N34" i="3"/>
  <c r="J20" i="6"/>
  <c r="B26" i="6"/>
  <c r="H20" i="6"/>
  <c r="Y10" i="5" l="1"/>
  <c r="U11" i="5"/>
  <c r="B14" i="7"/>
  <c r="D14" i="7" s="1"/>
  <c r="B12" i="7"/>
  <c r="D12" i="7" s="1"/>
  <c r="T9" i="5"/>
  <c r="D11" i="7"/>
  <c r="V14" i="3" a="1"/>
  <c r="V14" i="3" s="1"/>
  <c r="W13" i="3" a="1"/>
  <c r="W13" i="3" s="1"/>
  <c r="W12" i="3" a="1"/>
  <c r="W12" i="3" s="1"/>
  <c r="X12" i="3" a="1"/>
  <c r="X12" i="3" s="1"/>
  <c r="S10" i="3" a="1"/>
  <c r="S10" i="3" s="1"/>
  <c r="T21" i="3" a="1"/>
  <c r="T21" i="3" s="1"/>
  <c r="V21" i="3" a="1"/>
  <c r="V21" i="3" s="1"/>
  <c r="T18" i="3" a="1"/>
  <c r="T18" i="3" s="1"/>
  <c r="B40" i="7" a="1"/>
  <c r="B40" i="7" s="1"/>
  <c r="B45" i="7" a="1"/>
  <c r="B45" i="7" s="1"/>
  <c r="D45" i="7" s="1"/>
  <c r="B44" i="7" a="1"/>
  <c r="B44" i="7" s="1"/>
  <c r="D44" i="7" s="1"/>
  <c r="N5" i="4"/>
  <c r="B45" i="3" a="1"/>
  <c r="B45" i="3" s="1"/>
  <c r="D41" i="7"/>
  <c r="V11" i="3" a="1"/>
  <c r="V11" i="3" s="1"/>
  <c r="V18" i="3" a="1"/>
  <c r="V18" i="3" s="1"/>
  <c r="V25" i="3" a="1"/>
  <c r="V25" i="3" s="1"/>
  <c r="U26" i="3" a="1"/>
  <c r="U26" i="3" s="1"/>
  <c r="R14" i="3" a="1"/>
  <c r="R14" i="3" s="1"/>
  <c r="Y14" i="3" s="1"/>
  <c r="U21" i="3" a="1"/>
  <c r="U21" i="3" s="1"/>
  <c r="X11" i="3" a="1"/>
  <c r="X11" i="3" s="1"/>
  <c r="W18" i="3" a="1"/>
  <c r="W18" i="3" s="1"/>
  <c r="T26" i="3" a="1"/>
  <c r="T26" i="3" s="1"/>
  <c r="R11" i="3" a="1"/>
  <c r="R11" i="3" s="1"/>
  <c r="Y11" i="3" s="1"/>
  <c r="T20" i="3" a="1"/>
  <c r="T20" i="3" s="1"/>
  <c r="R27" i="3" a="1"/>
  <c r="R27" i="3" s="1"/>
  <c r="Y27" i="3" s="1"/>
  <c r="T8" i="3" a="1"/>
  <c r="T8" i="3" s="1"/>
  <c r="Q15" i="3" a="1"/>
  <c r="Q15" i="3" s="1"/>
  <c r="U22" i="3" a="1"/>
  <c r="U22" i="3" s="1"/>
  <c r="U24" i="3" a="1"/>
  <c r="U24" i="3" s="1"/>
  <c r="Q18" i="3" a="1"/>
  <c r="Q18" i="3" s="1"/>
  <c r="V24" i="3" a="1"/>
  <c r="V24" i="3" s="1"/>
  <c r="W9" i="3" a="1"/>
  <c r="W9" i="3" s="1"/>
  <c r="S19" i="3" a="1"/>
  <c r="S19" i="3" s="1"/>
  <c r="T19" i="3" a="1"/>
  <c r="T19" i="3" s="1"/>
  <c r="X20" i="3" a="1"/>
  <c r="X20" i="3" s="1"/>
  <c r="X8" i="3" a="1"/>
  <c r="X8" i="3" s="1"/>
  <c r="W15" i="3" a="1"/>
  <c r="W15" i="3" s="1"/>
  <c r="R23" i="3" a="1"/>
  <c r="R23" i="3" s="1"/>
  <c r="Y23" i="3" s="1"/>
  <c r="V9" i="3" a="1"/>
  <c r="V9" i="3" s="1"/>
  <c r="U18" i="3" a="1"/>
  <c r="U18" i="3" s="1"/>
  <c r="T25" i="3" a="1"/>
  <c r="T25" i="3" s="1"/>
  <c r="T10" i="3" a="1"/>
  <c r="T10" i="3" s="1"/>
  <c r="V20" i="3" a="1"/>
  <c r="V20" i="3" s="1"/>
  <c r="S12" i="3" a="1"/>
  <c r="S12" i="3" s="1"/>
  <c r="V19" i="3" a="1"/>
  <c r="V19" i="3" s="1"/>
  <c r="T15" i="3" a="1"/>
  <c r="T15" i="3" s="1"/>
  <c r="T16" i="3" a="1"/>
  <c r="T16" i="3" s="1"/>
  <c r="Q24" i="3" a="1"/>
  <c r="Q24" i="3" s="1"/>
  <c r="R12" i="3" a="1"/>
  <c r="R12" i="3" s="1"/>
  <c r="Y12" i="3" s="1"/>
  <c r="R19" i="3" a="1"/>
  <c r="R19" i="3" s="1"/>
  <c r="Y19" i="3" s="1"/>
  <c r="R26" i="3" a="1"/>
  <c r="R26" i="3" s="1"/>
  <c r="Y26" i="3" s="1"/>
  <c r="X10" i="3" a="1"/>
  <c r="X10" i="3" s="1"/>
  <c r="S21" i="3" a="1"/>
  <c r="S21" i="3" s="1"/>
  <c r="X27" i="3" a="1"/>
  <c r="X27" i="3" s="1"/>
  <c r="V13" i="3" a="1"/>
  <c r="V13" i="3" s="1"/>
  <c r="V12" i="3" a="1"/>
  <c r="V12" i="3" s="1"/>
  <c r="Q20" i="3" a="1"/>
  <c r="Q20" i="3" s="1"/>
  <c r="V26" i="3" a="1"/>
  <c r="V26" i="3" s="1"/>
  <c r="U11" i="3" a="1"/>
  <c r="U11" i="3" s="1"/>
  <c r="V22" i="3" a="1"/>
  <c r="V22" i="3" s="1"/>
  <c r="S14" i="3" a="1"/>
  <c r="S14" i="3" s="1"/>
  <c r="V27" i="3" a="1"/>
  <c r="V27" i="3" s="1"/>
  <c r="U9" i="3" a="1"/>
  <c r="U9" i="3" s="1"/>
  <c r="T11" i="3" a="1"/>
  <c r="T11" i="3" s="1"/>
  <c r="Q14" i="3" a="1"/>
  <c r="Q14" i="3" s="1"/>
  <c r="T23" i="3" a="1"/>
  <c r="T23" i="3" s="1"/>
  <c r="S22" i="3" a="1"/>
  <c r="S22" i="3" s="1"/>
  <c r="S11" i="3" a="1"/>
  <c r="S11" i="3" s="1"/>
  <c r="R20" i="3" a="1"/>
  <c r="R20" i="3" s="1"/>
  <c r="Y20" i="3" s="1"/>
  <c r="W22" i="3" a="1"/>
  <c r="W22" i="3" s="1"/>
  <c r="Q13" i="3" a="1"/>
  <c r="Q13" i="3" s="1"/>
  <c r="R9" i="3" a="1"/>
  <c r="R9" i="3" s="1"/>
  <c r="Y9" i="3" s="1"/>
  <c r="S8" i="3" a="1"/>
  <c r="S8" i="3" s="1"/>
  <c r="S25" i="3" a="1"/>
  <c r="S25" i="3" s="1"/>
  <c r="Q10" i="3" a="1"/>
  <c r="Q10" i="3" s="1"/>
  <c r="W14" i="3" a="1"/>
  <c r="W14" i="3" s="1"/>
  <c r="S16" i="3" a="1"/>
  <c r="S16" i="3" s="1"/>
  <c r="X17" i="3" a="1"/>
  <c r="X17" i="3" s="1"/>
  <c r="R21" i="3" a="1"/>
  <c r="R21" i="3" s="1"/>
  <c r="Y21" i="3" s="1"/>
  <c r="Q16" i="3" a="1"/>
  <c r="Q16" i="3" s="1"/>
  <c r="U23" i="3" a="1"/>
  <c r="U23" i="3" s="1"/>
  <c r="U12" i="3" a="1"/>
  <c r="U12" i="3" s="1"/>
  <c r="U10" i="3" a="1"/>
  <c r="U10" i="3" s="1"/>
  <c r="T17" i="3" a="1"/>
  <c r="T17" i="3" s="1"/>
  <c r="W27" i="3" a="1"/>
  <c r="W27" i="3" s="1"/>
  <c r="U15" i="3" a="1"/>
  <c r="U15" i="3" s="1"/>
  <c r="T24" i="3" a="1"/>
  <c r="T24" i="3" s="1"/>
  <c r="T9" i="3" a="1"/>
  <c r="T9" i="3" s="1"/>
  <c r="W16" i="3" a="1"/>
  <c r="W16" i="3" s="1"/>
  <c r="X23" i="3" a="1"/>
  <c r="X23" i="3" s="1"/>
  <c r="Q23" i="3" a="1"/>
  <c r="Q23" i="3" s="1"/>
  <c r="R13" i="3" a="1"/>
  <c r="R13" i="3" s="1"/>
  <c r="Y13" i="3" s="1"/>
  <c r="Q19" i="3" a="1"/>
  <c r="Q19" i="3" s="1"/>
  <c r="Q12" i="3" a="1"/>
  <c r="Q12" i="3" s="1"/>
  <c r="R15" i="3" a="1"/>
  <c r="R15" i="3" s="1"/>
  <c r="Y15" i="3" s="1"/>
  <c r="Q22" i="3" a="1"/>
  <c r="Q22" i="3" s="1"/>
  <c r="Q8" i="3" a="1"/>
  <c r="Q8" i="3" s="1"/>
  <c r="U14" i="3" a="1"/>
  <c r="U14" i="3" s="1"/>
  <c r="U25" i="3" a="1"/>
  <c r="U25" i="3" s="1"/>
  <c r="S26" i="3" a="1"/>
  <c r="S26" i="3" s="1"/>
  <c r="T12" i="3" a="1"/>
  <c r="T12" i="3" s="1"/>
  <c r="W26" i="3" a="1"/>
  <c r="W26" i="3" s="1"/>
  <c r="S20" i="3" a="1"/>
  <c r="S20" i="3" s="1"/>
  <c r="R16" i="3" a="1"/>
  <c r="R16" i="3" s="1"/>
  <c r="Y16" i="3" s="1"/>
  <c r="V15" i="3" a="1"/>
  <c r="V15" i="3" s="1"/>
  <c r="X16" i="3" a="1"/>
  <c r="X16" i="3" s="1"/>
  <c r="R22" i="3" a="1"/>
  <c r="R22" i="3" s="1"/>
  <c r="Y22" i="3" s="1"/>
  <c r="W25" i="3" a="1"/>
  <c r="W25" i="3" s="1"/>
  <c r="W8" i="3" a="1"/>
  <c r="W8" i="3" s="1"/>
  <c r="X21" i="3" a="1"/>
  <c r="X21" i="3" s="1"/>
  <c r="S13" i="3" a="1"/>
  <c r="S13" i="3" s="1"/>
  <c r="R25" i="3" a="1"/>
  <c r="R25" i="3" s="1"/>
  <c r="Y25" i="3" s="1"/>
  <c r="S17" i="3" a="1"/>
  <c r="S17" i="3" s="1"/>
  <c r="S24" i="3" a="1"/>
  <c r="S24" i="3" s="1"/>
  <c r="W17" i="3" a="1"/>
  <c r="W17" i="3" s="1"/>
  <c r="W11" i="3" a="1"/>
  <c r="W11" i="3" s="1"/>
  <c r="U19" i="3" a="1"/>
  <c r="U19" i="3" s="1"/>
  <c r="S9" i="3" a="1"/>
  <c r="S9" i="3" s="1"/>
  <c r="U17" i="3" a="1"/>
  <c r="U17" i="3" s="1"/>
  <c r="X24" i="3" a="1"/>
  <c r="X24" i="3" s="1"/>
  <c r="R10" i="3" a="1"/>
  <c r="R10" i="3" s="1"/>
  <c r="Y10" i="3" s="1"/>
  <c r="V17" i="3" a="1"/>
  <c r="V17" i="3" s="1"/>
  <c r="Q25" i="3" a="1"/>
  <c r="Q25" i="3" s="1"/>
  <c r="Q26" i="3" a="1"/>
  <c r="Q26" i="3" s="1"/>
  <c r="X13" i="3" a="1"/>
  <c r="X13" i="3" s="1"/>
  <c r="U20" i="3" a="1"/>
  <c r="U20" i="3" s="1"/>
  <c r="X14" i="3" a="1"/>
  <c r="X14" i="3" s="1"/>
  <c r="X15" i="3" a="1"/>
  <c r="X15" i="3" s="1"/>
  <c r="S23" i="3" a="1"/>
  <c r="S23" i="3" s="1"/>
  <c r="U8" i="3" a="1"/>
  <c r="U8" i="3" s="1"/>
  <c r="U16" i="3" a="1"/>
  <c r="U16" i="3" s="1"/>
  <c r="U27" i="3" a="1"/>
  <c r="U27" i="3" s="1"/>
  <c r="R8" i="3" a="1"/>
  <c r="R8" i="3" s="1"/>
  <c r="Y8" i="3" s="1"/>
  <c r="V8" i="3" a="1"/>
  <c r="V8" i="3" s="1"/>
  <c r="W21" i="3" a="1"/>
  <c r="W21" i="3" s="1"/>
  <c r="T13" i="3" a="1"/>
  <c r="T13" i="3" s="1"/>
  <c r="V23" i="3" a="1"/>
  <c r="V23" i="3" s="1"/>
  <c r="T22" i="3" a="1"/>
  <c r="T22" i="3" s="1"/>
  <c r="W10" i="3" a="1"/>
  <c r="W10" i="3" s="1"/>
  <c r="S15" i="3" a="1"/>
  <c r="S15" i="3" s="1"/>
  <c r="V16" i="3" a="1"/>
  <c r="V16" i="3" s="1"/>
  <c r="W23" i="3" a="1"/>
  <c r="W23" i="3" s="1"/>
  <c r="X22" i="3" a="1"/>
  <c r="X22" i="3" s="1"/>
  <c r="S27" i="3" a="1"/>
  <c r="S27" i="3" s="1"/>
  <c r="T27" i="3" a="1"/>
  <c r="T27" i="3" s="1"/>
  <c r="X9" i="3" a="1"/>
  <c r="X9" i="3" s="1"/>
  <c r="R18" i="3" a="1"/>
  <c r="R18" i="3" s="1"/>
  <c r="Y18" i="3" s="1"/>
  <c r="W24" i="3" a="1"/>
  <c r="W24" i="3" s="1"/>
  <c r="X19" i="3" a="1"/>
  <c r="X19" i="3" s="1"/>
  <c r="U13" i="3" a="1"/>
  <c r="U13" i="3" s="1"/>
  <c r="W20" i="3" a="1"/>
  <c r="W20" i="3" s="1"/>
  <c r="Q11" i="3" a="1"/>
  <c r="Q11" i="3" s="1"/>
  <c r="S18" i="3" a="1"/>
  <c r="S18" i="3" s="1"/>
  <c r="X25" i="3" a="1"/>
  <c r="X25" i="3" s="1"/>
  <c r="V10" i="3" a="1"/>
  <c r="V10" i="3" s="1"/>
  <c r="W19" i="3" a="1"/>
  <c r="W19" i="3" s="1"/>
  <c r="Q27" i="3" a="1"/>
  <c r="Q27" i="3" s="1"/>
  <c r="C40" i="7"/>
  <c r="T14" i="3" a="1"/>
  <c r="T14" i="3" s="1"/>
  <c r="Q21" i="3" a="1"/>
  <c r="Q21" i="3" s="1"/>
  <c r="X18" i="3" a="1"/>
  <c r="X18" i="3" s="1"/>
  <c r="Q17" i="3" a="1"/>
  <c r="Q17" i="3" s="1"/>
  <c r="R24" i="3" a="1"/>
  <c r="R24" i="3" s="1"/>
  <c r="Y24" i="3" s="1"/>
  <c r="Q9" i="3" a="1"/>
  <c r="Q9" i="3" s="1"/>
  <c r="B28" i="6"/>
  <c r="C25" i="6"/>
  <c r="B25" i="6"/>
  <c r="C26" i="6"/>
  <c r="C27" i="6"/>
  <c r="B27" i="6"/>
  <c r="T10" i="5" l="1"/>
  <c r="X9" i="5"/>
  <c r="Y11" i="5"/>
  <c r="U12" i="5"/>
  <c r="C24" i="7"/>
  <c r="D24" i="7" s="1"/>
  <c r="N30" i="4"/>
  <c r="M30" i="4"/>
  <c r="N20" i="4"/>
  <c r="D40" i="7"/>
  <c r="E49" i="7" s="1"/>
  <c r="B49" i="7"/>
  <c r="Y12" i="5" l="1"/>
  <c r="U13" i="5"/>
  <c r="T11" i="5"/>
  <c r="X10" i="5"/>
  <c r="T12" i="5" l="1"/>
  <c r="X11" i="5"/>
  <c r="U14" i="5"/>
  <c r="Y13" i="5"/>
  <c r="U15" i="5" l="1"/>
  <c r="Y14" i="5"/>
  <c r="T13" i="5"/>
  <c r="X12" i="5"/>
  <c r="T14" i="5" l="1"/>
  <c r="X13" i="5"/>
  <c r="U16" i="5"/>
  <c r="Y15" i="5"/>
  <c r="U17" i="5" l="1"/>
  <c r="Y16" i="5"/>
  <c r="T15" i="5"/>
  <c r="X14" i="5"/>
  <c r="T16" i="5" l="1"/>
  <c r="X15" i="5"/>
  <c r="U18" i="5"/>
  <c r="Y17" i="5"/>
  <c r="U19" i="5" l="1"/>
  <c r="Y18" i="5"/>
  <c r="T17" i="5"/>
  <c r="X16" i="5"/>
  <c r="T18" i="5" l="1"/>
  <c r="X17" i="5"/>
  <c r="U20" i="5"/>
  <c r="Y19" i="5"/>
  <c r="U21" i="5" l="1"/>
  <c r="Y20" i="5"/>
  <c r="T19" i="5"/>
  <c r="X18" i="5"/>
  <c r="T20" i="5" l="1"/>
  <c r="X19" i="5"/>
  <c r="U22" i="5"/>
  <c r="Y21" i="5"/>
  <c r="U23" i="5" l="1"/>
  <c r="Y22" i="5"/>
  <c r="T21" i="5"/>
  <c r="X20" i="5"/>
  <c r="T22" i="5" l="1"/>
  <c r="X21" i="5"/>
  <c r="U24" i="5"/>
  <c r="Y23" i="5"/>
  <c r="U25" i="5" l="1"/>
  <c r="Y24" i="5"/>
  <c r="T23" i="5"/>
  <c r="X22" i="5"/>
  <c r="T24" i="5" l="1"/>
  <c r="X23" i="5"/>
  <c r="U26" i="5"/>
  <c r="Y25" i="5"/>
  <c r="U27" i="5" l="1"/>
  <c r="Y26" i="5"/>
  <c r="T25" i="5"/>
  <c r="X24" i="5"/>
  <c r="T26" i="5" l="1"/>
  <c r="X25" i="5"/>
  <c r="U28" i="5"/>
  <c r="Y27" i="5"/>
  <c r="U29" i="5" l="1"/>
  <c r="Y28" i="5"/>
  <c r="T27" i="5"/>
  <c r="X26" i="5"/>
  <c r="T28" i="5" l="1"/>
  <c r="X27" i="5"/>
  <c r="U30" i="5"/>
  <c r="Y29" i="5"/>
  <c r="U31" i="5" l="1"/>
  <c r="Y30" i="5"/>
  <c r="T29" i="5"/>
  <c r="X28" i="5"/>
  <c r="T30" i="5" l="1"/>
  <c r="X29" i="5"/>
  <c r="U32" i="5"/>
  <c r="Y31" i="5"/>
  <c r="U33" i="5" l="1"/>
  <c r="Y32" i="5"/>
  <c r="T31" i="5"/>
  <c r="X30" i="5"/>
  <c r="T32" i="5" l="1"/>
  <c r="X31" i="5"/>
  <c r="U34" i="5"/>
  <c r="Y33" i="5"/>
  <c r="U35" i="5" l="1"/>
  <c r="Y34" i="5"/>
  <c r="T33" i="5"/>
  <c r="X32" i="5"/>
  <c r="T34" i="5" l="1"/>
  <c r="X33" i="5"/>
  <c r="U36" i="5"/>
  <c r="Y35" i="5"/>
  <c r="U37" i="5" l="1"/>
  <c r="Y36" i="5"/>
  <c r="T35" i="5"/>
  <c r="X34" i="5"/>
  <c r="T36" i="5" l="1"/>
  <c r="X35" i="5"/>
  <c r="U38" i="5"/>
  <c r="Y37" i="5"/>
  <c r="U39" i="5" l="1"/>
  <c r="Y38" i="5"/>
  <c r="T37" i="5"/>
  <c r="X36" i="5"/>
  <c r="T38" i="5" l="1"/>
  <c r="X37" i="5"/>
  <c r="U40" i="5"/>
  <c r="Y39" i="5"/>
  <c r="U41" i="5" l="1"/>
  <c r="Y40" i="5"/>
  <c r="T39" i="5"/>
  <c r="X38" i="5"/>
  <c r="T40" i="5" l="1"/>
  <c r="X39" i="5"/>
  <c r="U42" i="5"/>
  <c r="Y41" i="5"/>
  <c r="U43" i="5" l="1"/>
  <c r="Y42" i="5"/>
  <c r="T41" i="5"/>
  <c r="X40" i="5"/>
  <c r="T42" i="5" l="1"/>
  <c r="X41" i="5"/>
  <c r="U44" i="5"/>
  <c r="Y43" i="5"/>
  <c r="U45" i="5" l="1"/>
  <c r="Y44" i="5"/>
  <c r="T43" i="5"/>
  <c r="X42" i="5"/>
  <c r="T44" i="5" l="1"/>
  <c r="X43" i="5"/>
  <c r="U46" i="5"/>
  <c r="Y45" i="5"/>
  <c r="U47" i="5" l="1"/>
  <c r="Y46" i="5"/>
  <c r="T45" i="5"/>
  <c r="X44" i="5"/>
  <c r="T46" i="5" l="1"/>
  <c r="X45" i="5"/>
  <c r="U48" i="5"/>
  <c r="Y47" i="5"/>
  <c r="U49" i="5" l="1"/>
  <c r="Y48" i="5"/>
  <c r="T47" i="5"/>
  <c r="X46" i="5"/>
  <c r="T48" i="5" l="1"/>
  <c r="X47" i="5"/>
  <c r="U50" i="5"/>
  <c r="Y49" i="5"/>
  <c r="U51" i="5" l="1"/>
  <c r="Y50" i="5"/>
  <c r="T49" i="5"/>
  <c r="X48" i="5"/>
  <c r="T50" i="5" l="1"/>
  <c r="X49" i="5"/>
  <c r="U52" i="5"/>
  <c r="Y51" i="5"/>
  <c r="U53" i="5" l="1"/>
  <c r="Y52" i="5"/>
  <c r="T51" i="5"/>
  <c r="X50" i="5"/>
  <c r="T52" i="5" l="1"/>
  <c r="X51" i="5"/>
  <c r="U54" i="5"/>
  <c r="Y53" i="5"/>
  <c r="U55" i="5" l="1"/>
  <c r="Y54" i="5"/>
  <c r="T53" i="5"/>
  <c r="X52" i="5"/>
  <c r="T54" i="5" l="1"/>
  <c r="X53" i="5"/>
  <c r="U56" i="5"/>
  <c r="Y55" i="5"/>
  <c r="U57" i="5" l="1"/>
  <c r="Y56" i="5"/>
  <c r="T55" i="5"/>
  <c r="X54" i="5"/>
  <c r="T56" i="5" l="1"/>
  <c r="X55" i="5"/>
  <c r="U58" i="5"/>
  <c r="Y57" i="5"/>
  <c r="U59" i="5" l="1"/>
  <c r="Y58" i="5"/>
  <c r="T57" i="5"/>
  <c r="X56" i="5"/>
  <c r="T58" i="5" l="1"/>
  <c r="X57" i="5"/>
  <c r="U60" i="5"/>
  <c r="Y59" i="5"/>
  <c r="U61" i="5" l="1"/>
  <c r="Y60" i="5"/>
  <c r="T59" i="5"/>
  <c r="X58" i="5"/>
  <c r="T60" i="5" l="1"/>
  <c r="X59" i="5"/>
  <c r="U62" i="5"/>
  <c r="Y61" i="5"/>
  <c r="U63" i="5" l="1"/>
  <c r="Y62" i="5"/>
  <c r="T61" i="5"/>
  <c r="X60" i="5"/>
  <c r="T62" i="5" l="1"/>
  <c r="X61" i="5"/>
  <c r="U64" i="5"/>
  <c r="Y63" i="5"/>
  <c r="U65" i="5" l="1"/>
  <c r="Y64" i="5"/>
  <c r="T63" i="5"/>
  <c r="X62" i="5"/>
  <c r="T64" i="5" l="1"/>
  <c r="X63" i="5"/>
  <c r="U66" i="5"/>
  <c r="Y65" i="5"/>
  <c r="U67" i="5" l="1"/>
  <c r="Y67" i="5" s="1"/>
  <c r="Y66" i="5"/>
  <c r="T65" i="5"/>
  <c r="X64" i="5"/>
  <c r="T66" i="5" l="1"/>
  <c r="X65" i="5"/>
  <c r="T67" i="5" l="1"/>
  <c r="X66" i="5"/>
  <c r="X67" i="5" l="1"/>
  <c r="B72" i="5"/>
  <c r="D72" i="5" l="1"/>
  <c r="B73" i="5"/>
  <c r="D7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tc={FDAD4D76-846E-1248-9DE6-015DCF6EDA40}</author>
    <author>tc={A4670CE1-D7FA-1F47-8FE7-D904B7F62DEB}</author>
    <author>tc={DDBA8BC4-FFF5-2045-977A-C7B3955DF937}</author>
    <author>tc={C3B1B1F0-F31E-7944-BBDF-915F260670FD}</author>
  </authors>
  <commentList>
    <comment ref="H24" authorId="0" shapeId="0" xr:uid="{FDAD4D76-846E-1248-9DE6-015DCF6EDA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America (US ~67.1% + Canada ~3.6% + other ~1.1%) — MSCI World approx end-2024</t>
      </text>
    </comment>
    <comment ref="H25" authorId="1" shapeId="0" xr:uid="{A4670CE1-D7FA-1F47-8FE7-D904B7F62DEB}">
      <text>
        <t>[Threaded comment]
Your version of Excel allows you to read this threaded comment; however, any edits to it will get removed if the file is opened in a newer version of Excel. Learn more: https://go.microsoft.com/fwlink/?linkid=870924
Comment:
    Europe ex-UK (France, Germany, Switzerland, Netherlands, etc.) — MSCI World approx end-2024</t>
      </text>
    </comment>
    <comment ref="H26" authorId="2" shapeId="0" xr:uid="{DDBA8BC4-FFF5-2045-977A-C7B3955DF937}">
      <text>
        <t>[Threaded comment]
Your version of Excel allows you to read this threaded comment; however, any edits to it will get removed if the file is opened in a newer version of Excel. Learn more: https://go.microsoft.com/fwlink/?linkid=870924
Comment:
    Asia Pacific (Japan ~5.5%, Australia, others) — MSCI World approx end-2024</t>
      </text>
    </comment>
    <comment ref="H27" authorId="3" shapeId="0" xr:uid="{C3B1B1F0-F31E-7944-BBDF-915F260670F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United Kingdom — MSCI World approx end-2024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<sst xmlns="http://schemas.openxmlformats.org/spreadsheetml/2006/main" count="696" uniqueCount="389">
  <si>
    <t>#</t>
  </si>
  <si>
    <t>MANDATE PARAMETER</t>
  </si>
  <si>
    <t>SPECIFICATION</t>
  </si>
  <si>
    <t>RATIONALE / NOTES</t>
  </si>
  <si>
    <t>STATUS</t>
  </si>
  <si>
    <t>Portfolio Objective</t>
  </si>
  <si>
    <t>Outperform MSCI World Index by +200 bps per annum, net of all fees, over a full market cycle (5+ years).</t>
  </si>
  <si>
    <t>Target alpha generation through disciplined quality factor exposure and concentrated high-conviction portfolio construction.</t>
  </si>
  <si>
    <t>Active</t>
  </si>
  <si>
    <t>Benchmark</t>
  </si>
  <si>
    <t>MSCI World Index (Net Total Return, USD)</t>
  </si>
  <si>
    <t>Broad global developed-market equity benchmark; representative of investment universe; widely used by institutional allocators.</t>
  </si>
  <si>
    <t>Defined</t>
  </si>
  <si>
    <t>Investment Universe</t>
  </si>
  <si>
    <t>Global large-cap equities. Minimum market capitalisation of USD $10 billion at time of purchase.</t>
  </si>
  <si>
    <t>Ensures liquidity, institutional coverage and reliable financial data. Excludes micro/small-cap risk.</t>
  </si>
  <si>
    <t>Geographic Limits</t>
  </si>
  <si>
    <t>Maximum 40% exposure to any single geographic region (North America / Europe / Asia Pacific).</t>
  </si>
  <si>
    <t>Prevents undue concentration in any single economic bloc; ensures genuine global diversification.</t>
  </si>
  <si>
    <t>Compliant</t>
  </si>
  <si>
    <t>Single Stock Position Limit</t>
  </si>
  <si>
    <t>Maximum 8% weight per holding at time of rebalance. Minimum 2% to ensure meaningful contribution.</t>
  </si>
  <si>
    <t>Balances concentration (for alpha) against idiosyncratic risk; prevents dilution of high-conviction names.</t>
  </si>
  <si>
    <t>Number of Holdings</t>
  </si>
  <si>
    <t>12 to 15 stocks at all times.</t>
  </si>
  <si>
    <t>Concentrated enough for active returns; diversified enough to manage stock-specific risk within tracking error budget.</t>
  </si>
  <si>
    <t>Rebalancing Frequency</t>
  </si>
  <si>
    <t>Quarterly (Jan, Apr, Jul, Oct). Interim rebalance if any position breaches +/-3% of target weight.</t>
  </si>
  <si>
    <t>Balances turnover efficiency against drift risk. Interim trigger prevents unintended concentration.</t>
  </si>
  <si>
    <t>Quarterly</t>
  </si>
  <si>
    <t>Risk Budget — Tracking Error</t>
  </si>
  <si>
    <t>Maximum 4.0% ex-ante tracking error versus MSCI World, measured monthly.</t>
  </si>
  <si>
    <t>Defines active risk budget. A 4% TE reflects high-conviction active management within typical AM mandates.</t>
  </si>
  <si>
    <t>Monitored</t>
  </si>
  <si>
    <t>Permitted Instruments</t>
  </si>
  <si>
    <t>No derivatives, leverage, short selling or fixed income. Pure long-only equity for mandate transparency.</t>
  </si>
  <si>
    <t>Currency Policy</t>
  </si>
  <si>
    <t>Unhedged. Portfolio denominated in USD for reporting purposes.</t>
  </si>
  <si>
    <t>Reflects natural currency exposure of a global equity mandate. Currency is an accepted source of return and risk.</t>
  </si>
  <si>
    <t>Unhedged</t>
  </si>
  <si>
    <t>ESG / Exclusions</t>
  </si>
  <si>
    <t>Exclude companies deriving &gt;10% revenue from tobacco, controversial weapons or thermal coal extraction.</t>
  </si>
  <si>
    <t>Reflects responsible investment principles; consistent with typical institutional AM client requirements.</t>
  </si>
  <si>
    <t>Screened</t>
  </si>
  <si>
    <t>Minimum 15% ROIC (5-year average) for inclusion in investable universe.</t>
  </si>
  <si>
    <t>Core quality factor: identifies businesses earning above their cost of capital consistently across cycles.</t>
  </si>
  <si>
    <t>Applied</t>
  </si>
  <si>
    <t>Minimum 70% FCF conversion (Net Income to FCF) for inclusion in investable universe.</t>
  </si>
  <si>
    <t>Distinguishes high-quality earnings from accounting artefacts. Signals capital-light business models.</t>
  </si>
  <si>
    <t>Net Debt / EBITDA must not exceed 3.0x at time of purchase.</t>
  </si>
  <si>
    <t>Avoids financially fragile businesses; preserves downside protection in credit tightening environments.</t>
  </si>
  <si>
    <t>Portfolio Manager</t>
  </si>
  <si>
    <t>Single PM accountability with IC oversight required for positions exceeding 6% portfolio weight.</t>
  </si>
  <si>
    <t>Assigned</t>
  </si>
  <si>
    <t>COMPANY</t>
  </si>
  <si>
    <t>TICKER</t>
  </si>
  <si>
    <t>COUNTRY</t>
  </si>
  <si>
    <t>SECTOR</t>
  </si>
  <si>
    <t>Microsoft Corporation</t>
  </si>
  <si>
    <t>MSFT</t>
  </si>
  <si>
    <t>United States</t>
  </si>
  <si>
    <t>Technology</t>
  </si>
  <si>
    <t>Accenture plc</t>
  </si>
  <si>
    <t>ACN</t>
  </si>
  <si>
    <t>Automatic Data Processing</t>
  </si>
  <si>
    <t>ADP</t>
  </si>
  <si>
    <t>Veeva Systems</t>
  </si>
  <si>
    <t>VEEV</t>
  </si>
  <si>
    <t>Constellation Software</t>
  </si>
  <si>
    <t>CSU</t>
  </si>
  <si>
    <t>Canada</t>
  </si>
  <si>
    <t>Wolters Kluwer</t>
  </si>
  <si>
    <t>WKL</t>
  </si>
  <si>
    <t>Netherlands</t>
  </si>
  <si>
    <t>Rightmove</t>
  </si>
  <si>
    <t>RMV</t>
  </si>
  <si>
    <t>United Kingdom</t>
  </si>
  <si>
    <t>Visa Inc.</t>
  </si>
  <si>
    <t>V</t>
  </si>
  <si>
    <t>Financials</t>
  </si>
  <si>
    <t>Mastercard Incorporated</t>
  </si>
  <si>
    <t>MA</t>
  </si>
  <si>
    <t>S&amp;P Global Inc.</t>
  </si>
  <si>
    <t>SPGI</t>
  </si>
  <si>
    <t>Moody's Corporation</t>
  </si>
  <si>
    <t>MCO</t>
  </si>
  <si>
    <t>MSCI Inc.</t>
  </si>
  <si>
    <t>MSCI</t>
  </si>
  <si>
    <t>Intercontinental Exchange</t>
  </si>
  <si>
    <t>ICE</t>
  </si>
  <si>
    <t>London Stock Exchange Group</t>
  </si>
  <si>
    <t>LSEG</t>
  </si>
  <si>
    <t>Novo Nordisk A/S</t>
  </si>
  <si>
    <t>NOVO B</t>
  </si>
  <si>
    <t>Denmark</t>
  </si>
  <si>
    <t>Healthcare</t>
  </si>
  <si>
    <t>Idexx Laboratories</t>
  </si>
  <si>
    <t>IDXX</t>
  </si>
  <si>
    <t>Danaher Corporation</t>
  </si>
  <si>
    <t>DHR</t>
  </si>
  <si>
    <t>Align Technology</t>
  </si>
  <si>
    <t>ALGN</t>
  </si>
  <si>
    <t>West Pharmaceutical Services</t>
  </si>
  <si>
    <t>WST</t>
  </si>
  <si>
    <t>LVMH Moët Hennessy</t>
  </si>
  <si>
    <t>MC</t>
  </si>
  <si>
    <t>France</t>
  </si>
  <si>
    <t>Consumer Discretionary</t>
  </si>
  <si>
    <t>Hermès International</t>
  </si>
  <si>
    <t>RMS</t>
  </si>
  <si>
    <t>L'Oréal S.A.</t>
  </si>
  <si>
    <t>OR</t>
  </si>
  <si>
    <t>Consumer Staples</t>
  </si>
  <si>
    <t>Ferrari N.V.</t>
  </si>
  <si>
    <t>RACE</t>
  </si>
  <si>
    <t>Italy</t>
  </si>
  <si>
    <t>Diageo plc</t>
  </si>
  <si>
    <t>DGE</t>
  </si>
  <si>
    <t>ASML Holding N.V.</t>
  </si>
  <si>
    <t>ASML</t>
  </si>
  <si>
    <t>Fastenal Company</t>
  </si>
  <si>
    <t>FAST</t>
  </si>
  <si>
    <t>Industrials</t>
  </si>
  <si>
    <t>Copart Inc.</t>
  </si>
  <si>
    <t>CPRT</t>
  </si>
  <si>
    <t>Roper Technologies</t>
  </si>
  <si>
    <t>ROP</t>
  </si>
  <si>
    <t>Rational AG</t>
  </si>
  <si>
    <t>RAA</t>
  </si>
  <si>
    <t>Germany</t>
  </si>
  <si>
    <t>Verisk Analytics</t>
  </si>
  <si>
    <t>VRSK</t>
  </si>
  <si>
    <t>TransUnion</t>
  </si>
  <si>
    <t>TRU</t>
  </si>
  <si>
    <t>Taiwan Semiconductor</t>
  </si>
  <si>
    <t>TSM</t>
  </si>
  <si>
    <t>Taiwan</t>
  </si>
  <si>
    <t>Keyence Corporation</t>
  </si>
  <si>
    <t>Japan</t>
  </si>
  <si>
    <t>EssilorLuxottica</t>
  </si>
  <si>
    <t>EL</t>
  </si>
  <si>
    <t>Mettler-Toledo International</t>
  </si>
  <si>
    <t>MTD</t>
  </si>
  <si>
    <t>Switzerland</t>
  </si>
  <si>
    <t>Input Legend:</t>
  </si>
  <si>
    <t>Yellow cells = user input required (fill from annual reports / Bloomberg)</t>
  </si>
  <si>
    <t>Quality Score = composite rank across 5 metrics (auto-calculated when all 5 inputs are filled)</t>
  </si>
  <si>
    <t>GLOBAL QUALITY COMPOUNDER PORTFOLIO — FACTOR SCORING MODEL</t>
  </si>
  <si>
    <t>Quality Factor Screen — Each stock scored 1–5 per factor. Composite score = weighted average. Yellow cells = raw metric inputs. Scores auto-calculate via IF/PERCENTRANK logic.</t>
  </si>
  <si>
    <t>FACTOR WEIGHTS (must sum to 100%)</t>
  </si>
  <si>
    <t>Factor:</t>
  </si>
  <si>
    <t>ROIC vs WACC Spread</t>
  </si>
  <si>
    <t>Gross Margin Stability</t>
  </si>
  <si>
    <t>Balance Sheet Strength</t>
  </si>
  <si>
    <t>FCF Conversion</t>
  </si>
  <si>
    <t>Earnings Consistency</t>
  </si>
  <si>
    <t>Sum:</t>
  </si>
  <si>
    <t>Scoring Scale:</t>
  </si>
  <si>
    <t xml:space="preserve">  5 = Top quintile (&gt;80th pctile)  |  4 = Second quintile (60–80th)  |  3 = Middle (40–60th)  |  2 = Below avg (20–40th)  |  1 = Bottom quintile (&lt;20th pctile)</t>
  </si>
  <si>
    <t>ROIC (%)
[Input]</t>
  </si>
  <si>
    <t>ROIC
Score</t>
  </si>
  <si>
    <t>GROSS MARGIN (%)
[Input]</t>
  </si>
  <si>
    <t>GM
Score</t>
  </si>
  <si>
    <t>NET DEBT/EBITDA
[Input]</t>
  </si>
  <si>
    <t>BS
Score</t>
  </si>
  <si>
    <t>FCF CONV (%)
[Input]</t>
  </si>
  <si>
    <t>FCF
Score</t>
  </si>
  <si>
    <t>Earn
Score</t>
  </si>
  <si>
    <t>COMPOSITE
SCORE</t>
  </si>
  <si>
    <t>Note:</t>
  </si>
  <si>
    <t>Final 15-holding portfolio. Yellow cells = user inputs. Active Weight = Portfolio Weight − Benchmark Weight. Thesis column for investment rationale.</t>
  </si>
  <si>
    <t>STOCK</t>
  </si>
  <si>
    <t>REGION</t>
  </si>
  <si>
    <t>PORT. WEIGHT (%)</t>
  </si>
  <si>
    <t>BMRK WEIGHT (%)</t>
  </si>
  <si>
    <t>ACTIVE WEIGHT (%)</t>
  </si>
  <si>
    <t>CONVICTION</t>
  </si>
  <si>
    <t>THESIS (ONE LINE)</t>
  </si>
  <si>
    <t>ENTRY DATE</t>
  </si>
  <si>
    <t>TARGET WEIGHT (%)</t>
  </si>
  <si>
    <t>TOTAL</t>
  </si>
  <si>
    <t>SECTOR CONCENTRATION</t>
  </si>
  <si>
    <t>PORT. WEIGHT</t>
  </si>
  <si>
    <t>BMRK WEIGHT</t>
  </si>
  <si>
    <t>ACTIVE WEIGHT</t>
  </si>
  <si>
    <t>Other</t>
  </si>
  <si>
    <t>REGION CONCENTRATION</t>
  </si>
  <si>
    <t>North America</t>
  </si>
  <si>
    <t>Europe</t>
  </si>
  <si>
    <t>Asia Pacific</t>
  </si>
  <si>
    <t>UK</t>
  </si>
  <si>
    <t>CORRELATION MATRIX (fill from Portfolio tab backtest returns)</t>
  </si>
  <si>
    <t>Note: Once backtest return data is filled in the Backtest tab, paste monthly returns per stock here and use =CORREL() formulas. Matrix header tickers to be filled manually based on your final 15 holdings.</t>
  </si>
  <si>
    <t>STOCK \ STOCK</t>
  </si>
  <si>
    <t>Monthly return table for 15 holdings + portfolio + benchmark. Yellow = input cells. Portfolio return is weighted average. Cumulative NAV starts at 100.</t>
  </si>
  <si>
    <t>PORTFOLIO WEIGHTS (must match Portfolio tab — link or re-enter here)</t>
  </si>
  <si>
    <t>Weight:</t>
  </si>
  <si>
    <t>DATE</t>
  </si>
  <si>
    <t>PORT. RETURN</t>
  </si>
  <si>
    <t>BMRK RETURN</t>
  </si>
  <si>
    <t>EXCESS RETURN</t>
  </si>
  <si>
    <t>PORT. NAV</t>
  </si>
  <si>
    <t>PERFORMANCE SUMMARY</t>
  </si>
  <si>
    <t>METRIC</t>
  </si>
  <si>
    <t>PORTFOLIO</t>
  </si>
  <si>
    <t>BENCHMARK</t>
  </si>
  <si>
    <t>vs BENCHMARK</t>
  </si>
  <si>
    <t>Total Return (2020–2024)</t>
  </si>
  <si>
    <t>Annualised Return (CAGR)</t>
  </si>
  <si>
    <t>Best Month</t>
  </si>
  <si>
    <t>Worst Month</t>
  </si>
  <si>
    <t>Positive Months</t>
  </si>
  <si>
    <t>BHB FORMULA REFERENCE</t>
  </si>
  <si>
    <t>Allocation Effect</t>
  </si>
  <si>
    <t>GLOBAL QUALITY COMPOUNDER PORTFOLIO - PERFORMANCE ATTRIBUTION (BRINSON-HOOD-BEEBOWER)</t>
  </si>
  <si>
    <t>BHB Attribution decomposes active return into Allocation Effect, Selection Effect, and Interaction Effect. Yellow cells = inputs. Portfolio weights auto-linked from Portfolio tab.</t>
  </si>
  <si>
    <t xml:space="preserve"> (wp_i - wb_i) x (Rb_i - Rb_total)</t>
  </si>
  <si>
    <t>Active weight bet times (sector benchmark return minus total benchmark return)</t>
  </si>
  <si>
    <t>Selection Effect</t>
  </si>
  <si>
    <t xml:space="preserve"> wb_i x (Rp_i - Rb_i)</t>
  </si>
  <si>
    <t>Benchmark-weighted outperformance of portfolio return vs benchmark within each sector</t>
  </si>
  <si>
    <t>Interaction Effect</t>
  </si>
  <si>
    <t xml:space="preserve"> (wp_i - wb_i) x (Rp_i - Rb_i)</t>
  </si>
  <si>
    <t>Joint effect of active weight decision and active return selection</t>
  </si>
  <si>
    <t>Total Active Return</t>
  </si>
  <si>
    <t xml:space="preserve"> Allocation + Selection + Interaction</t>
  </si>
  <si>
    <t>Sum of the three BHB effects; equals total portfolio return minus benchmark return</t>
  </si>
  <si>
    <t>Benchmark Total Return (Rb_total):</t>
  </si>
  <si>
    <t>Input total benchmark return for the attribution period (e.g. full year 2024 MSCI World return)</t>
  </si>
  <si>
    <t>PORT. WEIGHT (wp)</t>
  </si>
  <si>
    <t>BMRK WEIGHT (wb)</t>
  </si>
  <si>
    <t>ACTIVE WEIGHT (wp-wb)</t>
  </si>
  <si>
    <t>PORT. RETURN (Rp)</t>
  </si>
  <si>
    <t>BMRK RETURN (Rb)</t>
  </si>
  <si>
    <t>ACTIVE RETURN (Rp-Rb)</t>
  </si>
  <si>
    <t>ALLOCATION EFFECT</t>
  </si>
  <si>
    <t>SELECTION EFFECT</t>
  </si>
  <si>
    <t>INTERACTION EFFECT</t>
  </si>
  <si>
    <t>TOTAL / PORTFOLIO SUMMARY</t>
  </si>
  <si>
    <t>ALPHA DECOMPOSITION SUMMARY</t>
  </si>
  <si>
    <t>COMPONENT</t>
  </si>
  <si>
    <t>VALUE</t>
  </si>
  <si>
    <t>% OF TOTAL ALPHA</t>
  </si>
  <si>
    <t>INTERPRETATION</t>
  </si>
  <si>
    <t>Total Allocation Effect</t>
  </si>
  <si>
    <t>Contribution from sector weight bets vs benchmark</t>
  </si>
  <si>
    <t>Total Selection Effect</t>
  </si>
  <si>
    <t>Contribution from stock picking within sectors</t>
  </si>
  <si>
    <t>Total Interaction Effect</t>
  </si>
  <si>
    <t>Joint weight and selection decision effect</t>
  </si>
  <si>
    <t>TOTAL ACTIVE RETURN</t>
  </si>
  <si>
    <t>Sum of all three BHB effects = Total portfolio alpha</t>
  </si>
  <si>
    <t>GLOBAL QUALITY COMPOUNDER PORTFOLIO - RISK METRICS DASHBOARD</t>
  </si>
  <si>
    <t>All risk metrics calculated from Backtest tab monthly returns (Jan 2020 - Dec 2024). Risk-free rate assumption in yellow. Data auto-referenced.</t>
  </si>
  <si>
    <t>ASSUMPTIONS</t>
  </si>
  <si>
    <t>Risk-Free Rate (Annual):</t>
  </si>
  <si>
    <t>Annualisation Factor:</t>
  </si>
  <si>
    <t>Backtest Length (Months):</t>
  </si>
  <si>
    <t>RISK METRIC</t>
  </si>
  <si>
    <t>vs BENCHMARK / THRESHOLD</t>
  </si>
  <si>
    <t>CATEGORY</t>
  </si>
  <si>
    <t>Annualised Volatility</t>
  </si>
  <si>
    <t>Absolute Risk</t>
  </si>
  <si>
    <t>Annualised std dev of monthly returns. Mandate limit: manage within reasonable range vs benchmark.</t>
  </si>
  <si>
    <t>Sharpe Ratio</t>
  </si>
  <si>
    <t>Risk-Adjusted</t>
  </si>
  <si>
    <t>Excess return per unit of total risk. Higher is better. Target: &gt;1.0 for quality equity strategy.</t>
  </si>
  <si>
    <t>Maximum Drawdown</t>
  </si>
  <si>
    <t>Downside Risk</t>
  </si>
  <si>
    <t>Largest peak-to-trough decline in portfolio NAV. Calculated from cumulative NAV series in Backtest.</t>
  </si>
  <si>
    <t>Beta vs Benchmark</t>
  </si>
  <si>
    <t>Market Risk</t>
  </si>
  <si>
    <t>Sensitivity of portfolio returns to benchmark. Beta &lt;1 implies defensiveness; &gt;1 implies amplified market risk.</t>
  </si>
  <si>
    <t>Tracking Error (Ex-Post)</t>
  </si>
  <si>
    <t>Active Risk</t>
  </si>
  <si>
    <t>Annualised std dev of excess returns vs benchmark. Mandate max: 4.0%. Higher TE = more active.</t>
  </si>
  <si>
    <t>Information Ratio</t>
  </si>
  <si>
    <t>Active Risk-Adj.</t>
  </si>
  <si>
    <t>Annualised active return divided by tracking error. Target: &gt;0.5. Elite managers typically achieve &gt;0.7.</t>
  </si>
  <si>
    <t>% Months Outperforming</t>
  </si>
  <si>
    <t>Consistency</t>
  </si>
  <si>
    <t>Proportion of months where portfolio beat benchmark. &gt;50% confirms strategy consistency.</t>
  </si>
  <si>
    <t>Hit Rate (Positive Months)</t>
  </si>
  <si>
    <t>Proportion of months with positive portfolio return. Useful for downside analysis.</t>
  </si>
  <si>
    <t>Sortino Ratio</t>
  </si>
  <si>
    <t>Downside Risk-Adj.</t>
  </si>
  <si>
    <t>Sharpe-like ratio using only downside deviation. Penalises bad volatility only. Target: &gt;1.5.</t>
  </si>
  <si>
    <t>Calmar Ratio</t>
  </si>
  <si>
    <t>Drawdown-Adj.</t>
  </si>
  <si>
    <t>Annualised CAGR divided by maximum drawdown. Measures return per unit of worst-case loss.</t>
  </si>
  <si>
    <t>Annualised Alpha (CAPM)</t>
  </si>
  <si>
    <t>Alpha</t>
  </si>
  <si>
    <t>Jensen's alpha: portfolio excess return above CAPM-implied expected return given observed beta.</t>
  </si>
  <si>
    <t>Correlation vs Benchmark</t>
  </si>
  <si>
    <t>Diversification</t>
  </si>
  <si>
    <t>Pearson correlation of monthly returns vs benchmark. High correlation reduces diversification benefit.</t>
  </si>
  <si>
    <t>MANDATE COMPLIANCE CHECKS</t>
  </si>
  <si>
    <t>CONSTRAINT</t>
  </si>
  <si>
    <t>LIMIT</t>
  </si>
  <si>
    <t>CURRENT VALUE</t>
  </si>
  <si>
    <t>Tracking Error</t>
  </si>
  <si>
    <t>Max 4.0%</t>
  </si>
  <si>
    <t>12-15 stocks</t>
  </si>
  <si>
    <t>Max Single Stock Weight</t>
  </si>
  <si>
    <t>Max 8%</t>
  </si>
  <si>
    <t>Equity only, ordinary shares and ADRs listed on NYSE, NASDAQ, LSE, Euronext, TSX or ASX.</t>
  </si>
  <si>
    <t>Senior Portfolio Manager : Global Quality Equities</t>
  </si>
  <si>
    <t>Investment Policy Statement(IPS) :  Defines the mandate, constraints and risk parameters governing portfolio construction and management.</t>
  </si>
  <si>
    <t>This document is for internal portfolio management purposes only. All parameters subject to Investment Committee approval. Last reviewed: Q1 2026.</t>
  </si>
  <si>
    <t>Quality Screen: ROIC</t>
  </si>
  <si>
    <t>Quality Screen: FCF</t>
  </si>
  <si>
    <t>Quality Screen: Leverage</t>
  </si>
  <si>
    <t>GLOBAL QUALITY COMPOUNDER PORTFOLIO: INVESTMENT MANDATE</t>
  </si>
  <si>
    <t>Quality Compounder Screening Universe: 35 global large-cap candidates. Static data pre-filled; highlighted yellow columns require annual report inputs.</t>
  </si>
  <si>
    <t>GLOBAL QUALITY COMPOUNDER PORTFOLIO: INVESTMENT UNIVERSE</t>
  </si>
  <si>
    <t>MKT CAP ($BN) (Mar 26)</t>
  </si>
  <si>
    <t>ROIC (%) (FY 25)</t>
  </si>
  <si>
    <t>GROSS MARGIN (%) (FY 25)</t>
  </si>
  <si>
    <t>NET DEBT / EBITDA (FY 25)</t>
  </si>
  <si>
    <t>FCF CONVERSION (%). (FY 25)</t>
  </si>
  <si>
    <t>5Y REV AVG PER SH  (FY 21-25) ($)</t>
  </si>
  <si>
    <t>2330-TW</t>
  </si>
  <si>
    <t>GLOBAL QUALITY COMPOUNDER PORTFOLIO: PORTFOLIO CONSTRUCTION</t>
  </si>
  <si>
    <t>RANKED SHORTLIST — TOP 20 BY COMPOSITE SCORE</t>
  </si>
  <si>
    <t>Auto-ranked from composite scores. 'In Portfolio?' links live to Portfolio tab. Top 15 scores = primary candidates.</t>
  </si>
  <si>
    <t>RANK</t>
  </si>
  <si>
    <t>EARN
Score</t>
  </si>
  <si>
    <t>IN PORTFOLIO?</t>
  </si>
  <si>
    <t>Amber rank = primary shortlist (top 15). Divider line separates top 15 from reserve candidates (16-20). 'In Portfolio?' updates live when tickers are entered in Portfolio tab.</t>
  </si>
  <si>
    <t>PORTFOLIO QUALITY SCORE</t>
  </si>
  <si>
    <t>vs UNIVERSE</t>
  </si>
  <si>
    <t>Portfolio Weighted Composite Score</t>
  </si>
  <si>
    <t>UNIVERSE AVG</t>
  </si>
  <si>
    <t>Weighted ROIC Score (Portfolio)</t>
  </si>
  <si>
    <t>Avg ROIC score of holdings vs full universe. Confirms portfolio overweights the highest-ROIC compounders in the candidate pool.</t>
  </si>
  <si>
    <t>Weighted Gross Margin Score (Portfolio)</t>
  </si>
  <si>
    <t>Weighted GM score of holdings. High scores confirm portfolio tilts toward premium-priced, capital-light business models.</t>
  </si>
  <si>
    <t>Weighted FCF Conversion Score (Portfolio)</t>
  </si>
  <si>
    <t>FCF conversion score of portfolio. High score signals earnings are cash-backed — critical validation of reported profitability quality.</t>
  </si>
  <si>
    <t>Holdings with Score &gt;= 3.5 (High Conviction)</t>
  </si>
  <si>
    <t>Target: 10+ of 15</t>
  </si>
  <si>
    <t>Count of portfolio holdings scoring &gt;=3.5 composite. At least 10 of 15 holdings should be high-conviction quality names.</t>
  </si>
  <si>
    <t>Weakest Holding Score (Min Composite)</t>
  </si>
  <si>
    <t>Weighted-average composite quality score of live portfolio vs full 35-stock universe. Linked live from Factor Screen and Portfolio tabs.</t>
  </si>
  <si>
    <t>Composite quality score of holdings weighted by position size (1-5 scale). Target: &gt;3.5 signals high-conviction quality tilt vs universe.</t>
  </si>
  <si>
    <t>Threshold: &gt;= 2.5</t>
  </si>
  <si>
    <t>Lowest composite score in the portfolio. Any holding below 2.5 warrants qualitative review or replacement consideration.</t>
  </si>
  <si>
    <t>PORTFOLIO QUALITY SCORE SUMMARY</t>
  </si>
  <si>
    <t>Overall Score:</t>
  </si>
  <si>
    <t>vs Universe Avg:</t>
  </si>
  <si>
    <t>High</t>
  </si>
  <si>
    <t>Dominant global payments network; near-zero marginal cost growth; 50%+ EBIT margins structurally protected by two-sided network effects.</t>
  </si>
  <si>
    <t>Monopoly in veterinary diagnostics; recurring consumables revenue; pricing power validated by &gt;30% EBIT margins across economic cycles.</t>
  </si>
  <si>
    <t>Unrivalled global payment rail; asset-light model converts &gt;50% of revenue to FCF; secular cashless transition provides long-duration growth.</t>
  </si>
  <si>
    <t>Monopoly supplier of EUV lithography; zero substitutes; semi capex cycle creates lumpy but structurally growing revenue with 50%+ gross margins.</t>
  </si>
  <si>
    <t>Irreplaceable luxury brand with artificial scarcity model; pricing power untested by cycles; 40%+ EBIT margins and negative working capital.</t>
  </si>
  <si>
    <t>Global leader in GLP-1 obesity and diabetes drugs; durable patent moat; manufacturing scale creates structural competitive advantage.</t>
  </si>
  <si>
    <t>Mission-critical SaaS for life sciences; near-100% gross retention; switching costs extreme as platform embeds into clinical and commercial workflows.</t>
  </si>
  <si>
    <t>Precision instruments with consumables and calibration annuity; capital-light compounder with 30-year track record of double-digit EPS growth.</t>
  </si>
  <si>
    <t>Medium</t>
  </si>
  <si>
    <t>Dominant clear aligner franchise; iTero scanner creates sticky ecosystem; secular orthodontic market penetration still &lt;30% of addressable cases.</t>
  </si>
  <si>
    <t>Index and analytics monopoly embedded in global asset management; AUM-linked recurring revenue; regulatory moat with 90%+ retention rates.</t>
  </si>
  <si>
    <t>Global leader in professional combi-steamer ovens; 50%+ installed-base market share; consumables and service revenue drives high recurring mix.</t>
  </si>
  <si>
    <t>Direct-sales factory automation sensors; no distributors means superior margins and customer insight; net-cash balance sheet funds R&amp;D moat.</t>
  </si>
  <si>
    <t>Scarcity-driven luxury brand; multi-year order backlog decouples revenue from macro; electrification transition protects rather than dilutes brand.</t>
  </si>
  <si>
    <t>Payroll and HCM SaaS compounder; float income tailwind in high-rate environment; switching costs embedded after years of client data integration.</t>
  </si>
  <si>
    <t>Monopoly UK property portal; near-100% market share with no credible challenger; high-margin, capital-light business with structural pricing power.</t>
  </si>
  <si>
    <t>QUALITY
SCORE</t>
  </si>
  <si>
    <t>MANDATE CHECKS</t>
  </si>
  <si>
    <t>CURRENT</t>
  </si>
  <si>
    <t>Total Weight</t>
  </si>
  <si>
    <t>Max Single Weight</t>
  </si>
  <si>
    <t>Min Single Weight</t>
  </si>
  <si>
    <t>No. of Holdings</t>
  </si>
  <si>
    <t>12–15</t>
  </si>
  <si>
    <t>NA Region</t>
  </si>
  <si>
    <t>≤40%</t>
  </si>
  <si>
    <t>Europe Region</t>
  </si>
  <si>
    <t>Quality Score</t>
  </si>
  <si>
    <t>≥3.50</t>
  </si>
  <si>
    <t>Note:  Benchmark sector/region weights are MSCI World Index approximations (end-2024). Italicised blue cells = pre-filled estimates — update from official MSCI factsheet. Portfolio weights are suggested starting points based on Factor Screen composite scores — adjust to satisfy mandate constraints (see checks above).</t>
  </si>
  <si>
    <t>GLOBAL QUALITY COMPOUNDER PORTFOLIO: BACKTEST ENGINE (JAN 2020 – DEC 2024)</t>
  </si>
  <si>
    <t>BMRK NAV</t>
  </si>
  <si>
    <t>Date</t>
  </si>
  <si>
    <t>Portfolio</t>
  </si>
  <si>
    <t>MSCI World</t>
  </si>
  <si>
    <t>▲ MSCI World sector index 5Y total returns (2020–2024 approximations — update from MSCI factsheet)</t>
  </si>
  <si>
    <t>Normal in BHB attribution. The three sector-level effects (Allocation + Selection + Interaction) sum arithmetically, while the actual excess return (3.62%) is measured geometrically. This gap is expected and does not indicate a model error.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</si>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</sst>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0D1B2A"/>
      <name val="Calibri"/>
      <family val="2"/>
    </font>
    <font>
      <i/>
      <sz val="10"/>
      <color rgb="FF555F6D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FFFFFF"/>
      <name val="Calibri"/>
      <family val="2"/>
    </font>
    <font>
      <sz val="9.5"/>
      <color theme="1"/>
      <name val="Aptos Narrow"/>
      <family val="2"/>
      <scheme val="minor"/>
    </font>
    <font>
      <sz val="9.5"/>
      <color rgb="FF0D1B2A"/>
      <name val="Calibri"/>
      <family val="2"/>
    </font>
    <font>
      <b/>
      <sz val="9.5"/>
      <color rgb="FF0D1B2A"/>
      <name val="Calibri"/>
      <family val="2"/>
    </font>
    <font>
      <b/>
      <sz val="9.5"/>
      <color rgb="FF1E6F3E"/>
      <name val="Calibri"/>
      <family val="2"/>
    </font>
    <font>
      <b/>
      <sz val="9.5"/>
      <color rgb="FF1A73E8"/>
      <name val="Calibri"/>
      <family val="2"/>
    </font>
    <font>
      <b/>
      <sz val="9.5"/>
      <color rgb="FFB45309"/>
      <name val="Calibri"/>
      <family val="2"/>
    </font>
    <font>
      <i/>
      <sz val="8.5"/>
      <color rgb="FF888888"/>
      <name val="Aptos Narrow"/>
      <family val="2"/>
      <scheme val="minor"/>
    </font>
    <font>
      <b/>
      <sz val="9.5"/>
      <color rgb="FFFFFFFF"/>
      <name val="Aptos Narrow"/>
      <family val="2"/>
      <scheme val="minor"/>
    </font>
    <font>
      <b/>
      <sz val="9.5"/>
      <color rgb="FFFFFFFF"/>
      <name val="Calibri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9"/>
      <color rgb="FF555F6D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2"/>
      <color rgb="FF1E6F3E"/>
      <name val="Aptos Narrow"/>
      <family val="2"/>
      <scheme val="minor"/>
    </font>
    <font>
      <i/>
      <sz val="8.5"/>
      <color rgb="FF555F6D"/>
      <name val="Aptos Narrow"/>
      <family val="2"/>
      <scheme val="minor"/>
    </font>
    <font>
      <b/>
      <sz val="9"/>
      <color rgb="FFFFFFFF"/>
      <name val="Calibri"/>
      <family val="2"/>
    </font>
    <font>
      <b/>
      <sz val="9.5"/>
      <color theme="1"/>
      <name val="Aptos Narrow"/>
      <family val="2"/>
      <scheme val="minor"/>
    </font>
    <font>
      <sz val="9.5"/>
      <color rgb="FF1E6F3E"/>
      <name val="Calibri"/>
      <family val="2"/>
    </font>
    <font>
      <b/>
      <sz val="9.5"/>
      <color rgb="FF1A3A5C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.5"/>
      <color rgb="FF1A3A5C"/>
      <name val="Aptos Narrow"/>
      <family val="2"/>
      <scheme val="minor"/>
    </font>
    <font>
      <b/>
      <sz val="9"/>
      <color rgb="FF1A3A5C"/>
      <name val="Aptos Narrow"/>
      <family val="2"/>
      <scheme val="minor"/>
    </font>
    <font>
      <sz val="8.5"/>
      <color theme="1"/>
      <name val="Courier New"/>
      <family val="1"/>
    </font>
    <font>
      <sz val="9.5"/>
      <color rgb="FF0D1B2A"/>
      <name val="Aptos Narrow"/>
      <family val="2"/>
      <scheme val="minor"/>
    </font>
    <font>
      <b/>
      <sz val="8.5"/>
      <color rgb="FFFFFFFF"/>
      <name val="Aptos Narrow"/>
      <family val="2"/>
      <scheme val="minor"/>
    </font>
    <font>
      <b/>
      <sz val="8.5"/>
      <color rgb="FF1A3A5C"/>
      <name val="Calibri"/>
      <family val="2"/>
    </font>
    <font>
      <i/>
      <sz val="8.5"/>
      <color rgb="FF444444"/>
      <name val="Calibri"/>
      <family val="2"/>
    </font>
    <font>
      <i/>
      <sz val="9.5"/>
      <color rgb="FF0D1B2A"/>
      <name val="Calibri"/>
      <family val="2"/>
    </font>
    <font>
      <b/>
      <sz val="9.5"/>
      <color rgb="FF92400E"/>
      <name val="Calibri"/>
      <family val="2"/>
    </font>
    <font>
      <b/>
      <sz val="12"/>
      <color rgb="FF1A3A5C"/>
      <name val="Aptos Narrow"/>
      <family val="2"/>
      <scheme val="minor"/>
    </font>
    <font>
      <b/>
      <sz val="14"/>
      <color rgb="FF1A3A5C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9.5"/>
      <color rgb="FF555F6D"/>
      <name val="Aptos Narrow"/>
      <family val="2"/>
      <scheme val="minor"/>
    </font>
    <font>
      <b/>
      <sz val="12"/>
      <color rgb="FFFFFFFF"/>
      <name val="Aptos Narrow"/>
      <scheme val="minor"/>
    </font>
    <font>
      <sz val="12"/>
      <color theme="0"/>
      <name val="Aptos Narrow"/>
      <family val="2"/>
      <scheme val="minor"/>
    </font>
    <font>
      <b/>
      <sz val="9"/>
      <color theme="0"/>
      <name val="Calibri"/>
      <family val="2"/>
    </font>
    <font>
      <i/>
      <sz val="8"/>
      <color rgb="FF555F6D"/>
      <name val="Aptos Narrow"/>
      <family val="2"/>
      <scheme val="minor"/>
    </font>
    <font>
      <b/>
      <sz val="12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D1B2A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EF3FA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EBF2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D6E8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/>
      <top style="thin">
        <color rgb="FF0D1B2A"/>
      </top>
      <bottom/>
      <diagonal/>
    </border>
    <border>
      <left/>
      <right/>
      <top style="thin">
        <color rgb="FFD0D5DD"/>
      </top>
      <bottom style="thin">
        <color rgb="FF0D1B2A"/>
      </bottom>
      <diagonal/>
    </border>
    <border>
      <left style="thin">
        <color rgb="FF0D1B2A"/>
      </left>
      <right/>
      <top style="thin">
        <color rgb="FF0D1B2A"/>
      </top>
      <bottom/>
      <diagonal/>
    </border>
    <border>
      <left style="thin">
        <color rgb="FF0D1B2A"/>
      </left>
      <right/>
      <top/>
      <bottom style="thin">
        <color rgb="FFD0D5DD"/>
      </bottom>
      <diagonal/>
    </border>
    <border>
      <left style="thin">
        <color rgb="FF0D1B2A"/>
      </left>
      <right/>
      <top style="thin">
        <color rgb="FFD0D5DD"/>
      </top>
      <bottom style="thin">
        <color rgb="FFD0D5DD"/>
      </bottom>
      <diagonal/>
    </border>
    <border>
      <left style="thin">
        <color rgb="FF0D1B2A"/>
      </left>
      <right/>
      <top style="thin">
        <color rgb="FFD0D5DD"/>
      </top>
      <bottom style="thin">
        <color rgb="FF0D1B2A"/>
      </bottom>
      <diagonal/>
    </border>
    <border>
      <left/>
      <right style="thin">
        <color rgb="FF0D1B2A"/>
      </right>
      <top style="thin">
        <color rgb="FF0D1B2A"/>
      </top>
      <bottom/>
      <diagonal/>
    </border>
    <border>
      <left/>
      <right style="thin">
        <color rgb="FF0D1B2A"/>
      </right>
      <top/>
      <bottom style="thin">
        <color rgb="FFD0D5DD"/>
      </bottom>
      <diagonal/>
    </border>
    <border>
      <left/>
      <right style="thin">
        <color rgb="FF0D1B2A"/>
      </right>
      <top style="thin">
        <color rgb="FFD0D5DD"/>
      </top>
      <bottom style="thin">
        <color rgb="FFD0D5DD"/>
      </bottom>
      <diagonal/>
    </border>
    <border>
      <left/>
      <right style="thin">
        <color rgb="FF0D1B2A"/>
      </right>
      <top style="thin">
        <color rgb="FFD0D5DD"/>
      </top>
      <bottom style="thin">
        <color rgb="FF0D1B2A"/>
      </bottom>
      <diagonal/>
    </border>
    <border>
      <left/>
      <right/>
      <top style="thin">
        <color rgb="FFD0D5DD"/>
      </top>
      <bottom/>
      <diagonal/>
    </border>
    <border>
      <left/>
      <right/>
      <top/>
      <bottom style="thin">
        <color rgb="FF0D1B2A"/>
      </bottom>
      <diagonal/>
    </border>
    <border>
      <left/>
      <right style="thin">
        <color rgb="FF0D1B2A"/>
      </right>
      <top/>
      <bottom style="thin">
        <color rgb="FF0D1B2A"/>
      </bottom>
      <diagonal/>
    </border>
    <border>
      <left style="thin">
        <color rgb="FF0D1B2A"/>
      </left>
      <right/>
      <top/>
      <bottom/>
      <diagonal/>
    </border>
    <border>
      <left style="thin">
        <color rgb="FF0D1B2A"/>
      </left>
      <right/>
      <top/>
      <bottom style="thin">
        <color rgb="FF0D1B2A"/>
      </bottom>
      <diagonal/>
    </border>
    <border>
      <left/>
      <right style="thin">
        <color rgb="FF0D1B2A"/>
      </right>
      <top/>
      <bottom/>
      <diagonal/>
    </border>
    <border>
      <left style="thin">
        <color rgb="FF0D1B2A"/>
      </left>
      <right/>
      <top style="thin">
        <color rgb="FFD0D5DD"/>
      </top>
      <bottom/>
      <diagonal/>
    </border>
    <border>
      <left/>
      <right style="thin">
        <color rgb="FF0D1B2A"/>
      </right>
      <top style="thin">
        <color rgb="FFD0D5DD"/>
      </top>
      <bottom/>
      <diagonal/>
    </border>
    <border>
      <left style="thin">
        <color rgb="FF0D1B2A"/>
      </left>
      <right/>
      <top style="thin">
        <color rgb="FF92400E"/>
      </top>
      <bottom style="thin">
        <color rgb="FFD0D5DD"/>
      </bottom>
      <diagonal/>
    </border>
    <border>
      <left/>
      <right/>
      <top style="thin">
        <color rgb="FF92400E"/>
      </top>
      <bottom style="thin">
        <color rgb="FFD0D5DD"/>
      </bottom>
      <diagonal/>
    </border>
    <border>
      <left/>
      <right style="thin">
        <color rgb="FF0D1B2A"/>
      </right>
      <top style="thin">
        <color rgb="FF92400E"/>
      </top>
      <bottom style="thin">
        <color rgb="FFD0D5DD"/>
      </bottom>
      <diagonal/>
    </border>
    <border>
      <left style="thin">
        <color rgb="FF0D1B2A"/>
      </left>
      <right style="thin">
        <color rgb="FF0D1B2A"/>
      </right>
      <top/>
      <bottom style="thin">
        <color rgb="FFD0D5DD"/>
      </bottom>
      <diagonal/>
    </border>
    <border>
      <left style="thin">
        <color rgb="FF0D1B2A"/>
      </left>
      <right style="thin">
        <color rgb="FF0D1B2A"/>
      </right>
      <top style="thin">
        <color rgb="FFD0D5DD"/>
      </top>
      <bottom style="thin">
        <color rgb="FFD0D5DD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8">
    <xf numFmtId="0" fontId="0" fillId="0" borderId="0" xfId="0"/>
    <xf numFmtId="0" fontId="9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/>
    </xf>
    <xf numFmtId="164" fontId="9" fillId="4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/>
    </xf>
    <xf numFmtId="164" fontId="9" fillId="2" borderId="2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center" vertical="center"/>
    </xf>
    <xf numFmtId="165" fontId="9" fillId="6" borderId="2" xfId="0" applyNumberFormat="1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2" fontId="9" fillId="6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164" fontId="9" fillId="2" borderId="4" xfId="0" applyNumberFormat="1" applyFont="1" applyFill="1" applyBorder="1" applyAlignment="1">
      <alignment horizontal="right" vertical="center"/>
    </xf>
    <xf numFmtId="165" fontId="9" fillId="6" borderId="4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7" fillId="0" borderId="0" xfId="0" applyFont="1"/>
    <xf numFmtId="0" fontId="20" fillId="0" borderId="0" xfId="0" applyFont="1"/>
    <xf numFmtId="0" fontId="17" fillId="7" borderId="0" xfId="0" applyFont="1" applyFill="1"/>
    <xf numFmtId="9" fontId="22" fillId="7" borderId="0" xfId="0" applyNumberFormat="1" applyFont="1" applyFill="1"/>
    <xf numFmtId="0" fontId="0" fillId="7" borderId="0" xfId="0" applyFill="1"/>
    <xf numFmtId="0" fontId="26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2" fontId="27" fillId="9" borderId="1" xfId="0" applyNumberFormat="1" applyFont="1" applyFill="1" applyBorder="1" applyAlignment="1">
      <alignment vertical="center"/>
    </xf>
    <xf numFmtId="0" fontId="26" fillId="1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2" fontId="27" fillId="11" borderId="2" xfId="0" applyNumberFormat="1" applyFont="1" applyFill="1" applyBorder="1" applyAlignment="1">
      <alignment vertical="center"/>
    </xf>
    <xf numFmtId="0" fontId="26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2" fontId="27" fillId="9" borderId="2" xfId="0" applyNumberFormat="1" applyFont="1" applyFill="1" applyBorder="1" applyAlignment="1">
      <alignment vertical="center"/>
    </xf>
    <xf numFmtId="0" fontId="24" fillId="3" borderId="3" xfId="0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/>
    </xf>
    <xf numFmtId="0" fontId="11" fillId="8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/>
    </xf>
    <xf numFmtId="0" fontId="9" fillId="4" borderId="7" xfId="0" applyFont="1" applyFill="1" applyBorder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24" fillId="3" borderId="9" xfId="0" applyFont="1" applyFill="1" applyBorder="1" applyAlignment="1">
      <alignment horizontal="center" vertical="center" wrapText="1"/>
    </xf>
    <xf numFmtId="2" fontId="27" fillId="9" borderId="10" xfId="0" applyNumberFormat="1" applyFont="1" applyFill="1" applyBorder="1" applyAlignment="1">
      <alignment horizontal="center" vertical="center"/>
    </xf>
    <xf numFmtId="2" fontId="27" fillId="11" borderId="11" xfId="0" applyNumberFormat="1" applyFont="1" applyFill="1" applyBorder="1" applyAlignment="1">
      <alignment horizontal="center" vertical="center"/>
    </xf>
    <xf numFmtId="2" fontId="27" fillId="9" borderId="11" xfId="0" applyNumberFormat="1" applyFont="1" applyFill="1" applyBorder="1" applyAlignment="1">
      <alignment horizontal="center" vertical="center"/>
    </xf>
    <xf numFmtId="2" fontId="27" fillId="9" borderId="12" xfId="0" applyNumberFormat="1" applyFont="1" applyFill="1" applyBorder="1" applyAlignment="1">
      <alignment horizontal="center" vertical="center"/>
    </xf>
    <xf numFmtId="165" fontId="5" fillId="3" borderId="14" xfId="0" applyNumberFormat="1" applyFont="1" applyFill="1" applyBorder="1"/>
    <xf numFmtId="0" fontId="5" fillId="3" borderId="14" xfId="0" applyFont="1" applyFill="1" applyBorder="1"/>
    <xf numFmtId="0" fontId="5" fillId="3" borderId="15" xfId="0" applyFont="1" applyFill="1" applyBorder="1"/>
    <xf numFmtId="165" fontId="8" fillId="2" borderId="1" xfId="0" applyNumberFormat="1" applyFont="1" applyFill="1" applyBorder="1" applyAlignment="1">
      <alignment horizontal="center"/>
    </xf>
    <xf numFmtId="165" fontId="8" fillId="4" borderId="2" xfId="0" applyNumberFormat="1" applyFont="1" applyFill="1" applyBorder="1" applyAlignment="1">
      <alignment horizontal="center"/>
    </xf>
    <xf numFmtId="165" fontId="8" fillId="2" borderId="2" xfId="0" applyNumberFormat="1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21" fillId="3" borderId="16" xfId="0" applyFont="1" applyFill="1" applyBorder="1" applyAlignment="1">
      <alignment horizontal="center"/>
    </xf>
    <xf numFmtId="0" fontId="8" fillId="2" borderId="6" xfId="0" applyFont="1" applyFill="1" applyBorder="1"/>
    <xf numFmtId="0" fontId="8" fillId="4" borderId="7" xfId="0" applyFont="1" applyFill="1" applyBorder="1"/>
    <xf numFmtId="0" fontId="8" fillId="2" borderId="7" xfId="0" applyFont="1" applyFill="1" applyBorder="1"/>
    <xf numFmtId="0" fontId="15" fillId="3" borderId="17" xfId="0" applyFont="1" applyFill="1" applyBorder="1"/>
    <xf numFmtId="0" fontId="21" fillId="3" borderId="18" xfId="0" applyFont="1" applyFill="1" applyBorder="1" applyAlignment="1">
      <alignment horizontal="center"/>
    </xf>
    <xf numFmtId="165" fontId="8" fillId="2" borderId="10" xfId="0" applyNumberFormat="1" applyFont="1" applyFill="1" applyBorder="1" applyAlignment="1">
      <alignment horizontal="center"/>
    </xf>
    <xf numFmtId="165" fontId="8" fillId="4" borderId="11" xfId="0" applyNumberFormat="1" applyFont="1" applyFill="1" applyBorder="1" applyAlignment="1">
      <alignment horizontal="center"/>
    </xf>
    <xf numFmtId="165" fontId="8" fillId="2" borderId="11" xfId="0" applyNumberFormat="1" applyFont="1" applyFill="1" applyBorder="1" applyAlignment="1">
      <alignment horizontal="center"/>
    </xf>
    <xf numFmtId="165" fontId="15" fillId="3" borderId="15" xfId="0" applyNumberFormat="1" applyFont="1" applyFill="1" applyBorder="1" applyAlignment="1">
      <alignment horizontal="center"/>
    </xf>
    <xf numFmtId="0" fontId="5" fillId="3" borderId="17" xfId="0" applyFont="1" applyFill="1" applyBorder="1"/>
    <xf numFmtId="0" fontId="2" fillId="6" borderId="0" xfId="0" applyFont="1" applyFill="1"/>
    <xf numFmtId="2" fontId="21" fillId="5" borderId="0" xfId="0" applyNumberFormat="1" applyFont="1" applyFill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4" borderId="0" xfId="0" applyNumberFormat="1" applyFont="1" applyFill="1" applyAlignment="1">
      <alignment horizontal="center"/>
    </xf>
    <xf numFmtId="2" fontId="18" fillId="2" borderId="14" xfId="0" applyNumberFormat="1" applyFont="1" applyFill="1" applyBorder="1" applyAlignment="1">
      <alignment horizontal="center"/>
    </xf>
    <xf numFmtId="0" fontId="21" fillId="3" borderId="5" xfId="0" applyFont="1" applyFill="1" applyBorder="1"/>
    <xf numFmtId="2" fontId="18" fillId="2" borderId="18" xfId="0" applyNumberFormat="1" applyFont="1" applyFill="1" applyBorder="1" applyAlignment="1">
      <alignment horizontal="center"/>
    </xf>
    <xf numFmtId="2" fontId="18" fillId="4" borderId="18" xfId="0" applyNumberFormat="1" applyFont="1" applyFill="1" applyBorder="1" applyAlignment="1">
      <alignment horizontal="center"/>
    </xf>
    <xf numFmtId="2" fontId="21" fillId="5" borderId="15" xfId="0" applyNumberFormat="1" applyFont="1" applyFill="1" applyBorder="1" applyAlignment="1">
      <alignment horizontal="center"/>
    </xf>
    <xf numFmtId="165" fontId="2" fillId="6" borderId="0" xfId="0" applyNumberFormat="1" applyFont="1" applyFill="1" applyAlignment="1">
      <alignment horizontal="center"/>
    </xf>
    <xf numFmtId="165" fontId="22" fillId="7" borderId="0" xfId="0" applyNumberFormat="1" applyFont="1" applyFill="1"/>
    <xf numFmtId="165" fontId="31" fillId="2" borderId="1" xfId="0" applyNumberFormat="1" applyFont="1" applyFill="1" applyBorder="1" applyAlignment="1">
      <alignment horizontal="center" vertical="center"/>
    </xf>
    <xf numFmtId="165" fontId="31" fillId="6" borderId="1" xfId="0" applyNumberFormat="1" applyFont="1" applyFill="1" applyBorder="1" applyAlignment="1">
      <alignment horizontal="center" vertical="center"/>
    </xf>
    <xf numFmtId="165" fontId="30" fillId="9" borderId="1" xfId="0" applyNumberFormat="1" applyFont="1" applyFill="1" applyBorder="1" applyAlignment="1">
      <alignment vertical="center"/>
    </xf>
    <xf numFmtId="165" fontId="31" fillId="4" borderId="2" xfId="0" applyNumberFormat="1" applyFont="1" applyFill="1" applyBorder="1" applyAlignment="1">
      <alignment horizontal="center" vertical="center"/>
    </xf>
    <xf numFmtId="165" fontId="31" fillId="6" borderId="2" xfId="0" applyNumberFormat="1" applyFont="1" applyFill="1" applyBorder="1" applyAlignment="1">
      <alignment horizontal="center" vertical="center"/>
    </xf>
    <xf numFmtId="165" fontId="30" fillId="11" borderId="2" xfId="0" applyNumberFormat="1" applyFont="1" applyFill="1" applyBorder="1" applyAlignment="1">
      <alignment vertical="center"/>
    </xf>
    <xf numFmtId="165" fontId="31" fillId="2" borderId="2" xfId="0" applyNumberFormat="1" applyFont="1" applyFill="1" applyBorder="1" applyAlignment="1">
      <alignment horizontal="center" vertical="center"/>
    </xf>
    <xf numFmtId="165" fontId="30" fillId="9" borderId="2" xfId="0" applyNumberFormat="1" applyFont="1" applyFill="1" applyBorder="1" applyAlignment="1">
      <alignment vertical="center"/>
    </xf>
    <xf numFmtId="165" fontId="31" fillId="6" borderId="4" xfId="0" applyNumberFormat="1" applyFont="1" applyFill="1" applyBorder="1" applyAlignment="1">
      <alignment horizontal="center" vertical="center"/>
    </xf>
    <xf numFmtId="165" fontId="30" fillId="11" borderId="4" xfId="0" applyNumberFormat="1" applyFont="1" applyFill="1" applyBorder="1" applyAlignment="1">
      <alignment vertical="center"/>
    </xf>
    <xf numFmtId="165" fontId="31" fillId="4" borderId="4" xfId="0" applyNumberFormat="1" applyFont="1" applyFill="1" applyBorder="1" applyAlignment="1">
      <alignment horizontal="center" vertical="center"/>
    </xf>
    <xf numFmtId="17" fontId="30" fillId="2" borderId="6" xfId="0" applyNumberFormat="1" applyFont="1" applyFill="1" applyBorder="1" applyAlignment="1">
      <alignment vertical="center"/>
    </xf>
    <xf numFmtId="17" fontId="30" fillId="4" borderId="7" xfId="0" applyNumberFormat="1" applyFont="1" applyFill="1" applyBorder="1" applyAlignment="1">
      <alignment vertical="center"/>
    </xf>
    <xf numFmtId="17" fontId="30" fillId="2" borderId="7" xfId="0" applyNumberFormat="1" applyFont="1" applyFill="1" applyBorder="1" applyAlignment="1">
      <alignment vertical="center"/>
    </xf>
    <xf numFmtId="17" fontId="30" fillId="4" borderId="8" xfId="0" applyNumberFormat="1" applyFont="1" applyFill="1" applyBorder="1" applyAlignment="1">
      <alignment vertical="center"/>
    </xf>
    <xf numFmtId="2" fontId="30" fillId="8" borderId="10" xfId="0" applyNumberFormat="1" applyFont="1" applyFill="1" applyBorder="1" applyAlignment="1">
      <alignment vertical="center"/>
    </xf>
    <xf numFmtId="2" fontId="30" fillId="10" borderId="11" xfId="0" applyNumberFormat="1" applyFont="1" applyFill="1" applyBorder="1" applyAlignment="1">
      <alignment vertical="center"/>
    </xf>
    <xf numFmtId="2" fontId="30" fillId="8" borderId="11" xfId="0" applyNumberFormat="1" applyFont="1" applyFill="1" applyBorder="1" applyAlignment="1">
      <alignment vertical="center"/>
    </xf>
    <xf numFmtId="2" fontId="30" fillId="10" borderId="12" xfId="0" applyNumberFormat="1" applyFont="1" applyFill="1" applyBorder="1" applyAlignment="1">
      <alignment vertical="center"/>
    </xf>
    <xf numFmtId="165" fontId="8" fillId="2" borderId="1" xfId="0" applyNumberFormat="1" applyFont="1" applyFill="1" applyBorder="1"/>
    <xf numFmtId="165" fontId="8" fillId="4" borderId="2" xfId="0" applyNumberFormat="1" applyFont="1" applyFill="1" applyBorder="1"/>
    <xf numFmtId="165" fontId="8" fillId="2" borderId="2" xfId="0" applyNumberFormat="1" applyFont="1" applyFill="1" applyBorder="1"/>
    <xf numFmtId="1" fontId="8" fillId="2" borderId="4" xfId="0" applyNumberFormat="1" applyFont="1" applyFill="1" applyBorder="1"/>
    <xf numFmtId="0" fontId="21" fillId="3" borderId="16" xfId="0" applyFont="1" applyFill="1" applyBorder="1" applyAlignment="1">
      <alignment horizontal="left"/>
    </xf>
    <xf numFmtId="0" fontId="8" fillId="2" borderId="8" xfId="0" applyFont="1" applyFill="1" applyBorder="1"/>
    <xf numFmtId="165" fontId="32" fillId="2" borderId="10" xfId="0" applyNumberFormat="1" applyFont="1" applyFill="1" applyBorder="1"/>
    <xf numFmtId="165" fontId="32" fillId="4" borderId="11" xfId="0" applyNumberFormat="1" applyFont="1" applyFill="1" applyBorder="1"/>
    <xf numFmtId="165" fontId="32" fillId="2" borderId="11" xfId="0" applyNumberFormat="1" applyFont="1" applyFill="1" applyBorder="1"/>
    <xf numFmtId="1" fontId="32" fillId="2" borderId="12" xfId="0" applyNumberFormat="1" applyFont="1" applyFill="1" applyBorder="1"/>
    <xf numFmtId="0" fontId="33" fillId="12" borderId="0" xfId="0" applyFont="1" applyFill="1"/>
    <xf numFmtId="0" fontId="34" fillId="12" borderId="0" xfId="0" applyFont="1" applyFill="1"/>
    <xf numFmtId="0" fontId="33" fillId="2" borderId="0" xfId="0" applyFont="1" applyFill="1"/>
    <xf numFmtId="0" fontId="34" fillId="2" borderId="0" xfId="0" applyFont="1" applyFill="1"/>
    <xf numFmtId="165" fontId="22" fillId="6" borderId="0" xfId="0" applyNumberFormat="1" applyFont="1" applyFill="1"/>
    <xf numFmtId="10" fontId="9" fillId="2" borderId="1" xfId="0" applyNumberFormat="1" applyFont="1" applyFill="1" applyBorder="1" applyAlignment="1">
      <alignment horizontal="center" vertical="center"/>
    </xf>
    <xf numFmtId="10" fontId="9" fillId="6" borderId="1" xfId="0" applyNumberFormat="1" applyFont="1" applyFill="1" applyBorder="1" applyAlignment="1">
      <alignment horizontal="center" vertical="center"/>
    </xf>
    <xf numFmtId="10" fontId="10" fillId="9" borderId="1" xfId="0" applyNumberFormat="1" applyFont="1" applyFill="1" applyBorder="1" applyAlignment="1">
      <alignment horizontal="center" vertical="center"/>
    </xf>
    <xf numFmtId="10" fontId="10" fillId="8" borderId="1" xfId="0" applyNumberFormat="1" applyFont="1" applyFill="1" applyBorder="1" applyAlignment="1">
      <alignment horizontal="center" vertical="center"/>
    </xf>
    <xf numFmtId="10" fontId="9" fillId="4" borderId="2" xfId="0" applyNumberFormat="1" applyFont="1" applyFill="1" applyBorder="1" applyAlignment="1">
      <alignment horizontal="center" vertical="center"/>
    </xf>
    <xf numFmtId="10" fontId="9" fillId="6" borderId="2" xfId="0" applyNumberFormat="1" applyFont="1" applyFill="1" applyBorder="1" applyAlignment="1">
      <alignment horizontal="center" vertical="center"/>
    </xf>
    <xf numFmtId="10" fontId="10" fillId="11" borderId="2" xfId="0" applyNumberFormat="1" applyFont="1" applyFill="1" applyBorder="1" applyAlignment="1">
      <alignment horizontal="center" vertical="center"/>
    </xf>
    <xf numFmtId="10" fontId="10" fillId="10" borderId="2" xfId="0" applyNumberFormat="1" applyFont="1" applyFill="1" applyBorder="1" applyAlignment="1">
      <alignment horizontal="center" vertical="center"/>
    </xf>
    <xf numFmtId="10" fontId="9" fillId="2" borderId="2" xfId="0" applyNumberFormat="1" applyFont="1" applyFill="1" applyBorder="1" applyAlignment="1">
      <alignment horizontal="center" vertical="center"/>
    </xf>
    <xf numFmtId="10" fontId="10" fillId="9" borderId="2" xfId="0" applyNumberFormat="1" applyFont="1" applyFill="1" applyBorder="1" applyAlignment="1">
      <alignment horizontal="center" vertical="center"/>
    </xf>
    <xf numFmtId="10" fontId="10" fillId="8" borderId="2" xfId="0" applyNumberFormat="1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left" vertical="center" wrapText="1"/>
    </xf>
    <xf numFmtId="0" fontId="24" fillId="3" borderId="5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vertical="center"/>
    </xf>
    <xf numFmtId="10" fontId="10" fillId="13" borderId="10" xfId="0" applyNumberFormat="1" applyFont="1" applyFill="1" applyBorder="1" applyAlignment="1">
      <alignment horizontal="center" vertical="center"/>
    </xf>
    <xf numFmtId="10" fontId="10" fillId="14" borderId="11" xfId="0" applyNumberFormat="1" applyFont="1" applyFill="1" applyBorder="1" applyAlignment="1">
      <alignment horizontal="center" vertical="center"/>
    </xf>
    <xf numFmtId="10" fontId="10" fillId="13" borderId="11" xfId="0" applyNumberFormat="1" applyFont="1" applyFill="1" applyBorder="1" applyAlignment="1">
      <alignment horizontal="center" vertical="center"/>
    </xf>
    <xf numFmtId="165" fontId="35" fillId="2" borderId="1" xfId="0" applyNumberFormat="1" applyFont="1" applyFill="1" applyBorder="1" applyAlignment="1">
      <alignment horizontal="center"/>
    </xf>
    <xf numFmtId="10" fontId="35" fillId="2" borderId="1" xfId="0" applyNumberFormat="1" applyFont="1" applyFill="1" applyBorder="1" applyAlignment="1">
      <alignment horizontal="center"/>
    </xf>
    <xf numFmtId="165" fontId="35" fillId="4" borderId="2" xfId="0" applyNumberFormat="1" applyFont="1" applyFill="1" applyBorder="1" applyAlignment="1">
      <alignment horizontal="center"/>
    </xf>
    <xf numFmtId="10" fontId="35" fillId="4" borderId="2" xfId="0" applyNumberFormat="1" applyFont="1" applyFill="1" applyBorder="1" applyAlignment="1">
      <alignment horizontal="center"/>
    </xf>
    <xf numFmtId="165" fontId="35" fillId="2" borderId="2" xfId="0" applyNumberFormat="1" applyFont="1" applyFill="1" applyBorder="1" applyAlignment="1">
      <alignment horizontal="center"/>
    </xf>
    <xf numFmtId="10" fontId="35" fillId="2" borderId="2" xfId="0" applyNumberFormat="1" applyFont="1" applyFill="1" applyBorder="1" applyAlignment="1">
      <alignment horizontal="center"/>
    </xf>
    <xf numFmtId="0" fontId="15" fillId="3" borderId="4" xfId="0" applyFont="1" applyFill="1" applyBorder="1"/>
    <xf numFmtId="10" fontId="15" fillId="3" borderId="4" xfId="0" applyNumberFormat="1" applyFont="1" applyFill="1" applyBorder="1" applyAlignment="1">
      <alignment horizontal="center"/>
    </xf>
    <xf numFmtId="0" fontId="35" fillId="2" borderId="6" xfId="0" applyFont="1" applyFill="1" applyBorder="1"/>
    <xf numFmtId="0" fontId="35" fillId="4" borderId="7" xfId="0" applyFont="1" applyFill="1" applyBorder="1"/>
    <xf numFmtId="0" fontId="35" fillId="2" borderId="7" xfId="0" applyFont="1" applyFill="1" applyBorder="1"/>
    <xf numFmtId="0" fontId="15" fillId="3" borderId="8" xfId="0" applyFont="1" applyFill="1" applyBorder="1"/>
    <xf numFmtId="165" fontId="9" fillId="2" borderId="1" xfId="0" applyNumberFormat="1" applyFont="1" applyFill="1" applyBorder="1" applyAlignment="1">
      <alignment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10" fontId="10" fillId="2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2" fontId="10" fillId="4" borderId="2" xfId="0" applyNumberFormat="1" applyFont="1" applyFill="1" applyBorder="1" applyAlignment="1">
      <alignment horizontal="center" vertical="center" wrapText="1"/>
    </xf>
    <xf numFmtId="2" fontId="9" fillId="4" borderId="2" xfId="0" applyNumberFormat="1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vertical="center" wrapText="1"/>
    </xf>
    <xf numFmtId="165" fontId="10" fillId="2" borderId="2" xfId="0" applyNumberFormat="1" applyFont="1" applyFill="1" applyBorder="1" applyAlignment="1">
      <alignment horizontal="center" vertical="center" wrapText="1"/>
    </xf>
    <xf numFmtId="0" fontId="37" fillId="13" borderId="2" xfId="0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 wrapText="1"/>
    </xf>
    <xf numFmtId="10" fontId="10" fillId="2" borderId="2" xfId="0" applyNumberFormat="1" applyFont="1" applyFill="1" applyBorder="1" applyAlignment="1">
      <alignment horizontal="center" vertical="center" wrapText="1"/>
    </xf>
    <xf numFmtId="0" fontId="37" fillId="9" borderId="2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horizontal="center" vertical="center" wrapText="1"/>
    </xf>
    <xf numFmtId="165" fontId="9" fillId="4" borderId="2" xfId="0" applyNumberFormat="1" applyFont="1" applyFill="1" applyBorder="1" applyAlignment="1">
      <alignment vertical="center" wrapText="1"/>
    </xf>
    <xf numFmtId="165" fontId="10" fillId="4" borderId="2" xfId="0" applyNumberFormat="1" applyFont="1" applyFill="1" applyBorder="1" applyAlignment="1">
      <alignment horizontal="center"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 wrapText="1"/>
    </xf>
    <xf numFmtId="2" fontId="10" fillId="4" borderId="4" xfId="0" applyNumberFormat="1" applyFont="1" applyFill="1" applyBorder="1" applyAlignment="1">
      <alignment horizontal="center" vertical="center" wrapText="1"/>
    </xf>
    <xf numFmtId="2" fontId="9" fillId="4" borderId="4" xfId="0" applyNumberFormat="1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vertical="center" wrapText="1"/>
    </xf>
    <xf numFmtId="0" fontId="38" fillId="2" borderId="10" xfId="0" applyFont="1" applyFill="1" applyBorder="1" applyAlignment="1">
      <alignment vertical="center" wrapText="1"/>
    </xf>
    <xf numFmtId="0" fontId="38" fillId="4" borderId="11" xfId="0" applyFont="1" applyFill="1" applyBorder="1" applyAlignment="1">
      <alignment vertical="center" wrapText="1"/>
    </xf>
    <xf numFmtId="0" fontId="38" fillId="2" borderId="11" xfId="0" applyFont="1" applyFill="1" applyBorder="1" applyAlignment="1">
      <alignment vertical="center" wrapText="1"/>
    </xf>
    <xf numFmtId="0" fontId="38" fillId="4" borderId="12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5" fontId="8" fillId="2" borderId="4" xfId="0" applyNumberFormat="1" applyFont="1" applyFill="1" applyBorder="1" applyAlignment="1">
      <alignment horizontal="center"/>
    </xf>
    <xf numFmtId="0" fontId="25" fillId="2" borderId="10" xfId="0" applyFont="1" applyFill="1" applyBorder="1" applyAlignment="1">
      <alignment horizontal="center"/>
    </xf>
    <xf numFmtId="0" fontId="25" fillId="4" borderId="11" xfId="0" applyFont="1" applyFill="1" applyBorder="1" applyAlignment="1">
      <alignment horizontal="center"/>
    </xf>
    <xf numFmtId="0" fontId="25" fillId="2" borderId="12" xfId="0" applyFont="1" applyFill="1" applyBorder="1" applyAlignment="1">
      <alignment horizontal="center"/>
    </xf>
    <xf numFmtId="9" fontId="9" fillId="6" borderId="2" xfId="1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2" fontId="27" fillId="11" borderId="4" xfId="0" applyNumberFormat="1" applyFont="1" applyFill="1" applyBorder="1" applyAlignment="1">
      <alignment vertical="center"/>
    </xf>
    <xf numFmtId="0" fontId="26" fillId="10" borderId="4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/>
    </xf>
    <xf numFmtId="0" fontId="40" fillId="16" borderId="7" xfId="0" applyFont="1" applyFill="1" applyBorder="1" applyAlignment="1">
      <alignment horizontal="center" vertical="center"/>
    </xf>
    <xf numFmtId="0" fontId="40" fillId="15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40" fillId="15" borderId="1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2" fontId="27" fillId="9" borderId="13" xfId="0" applyNumberFormat="1" applyFont="1" applyFill="1" applyBorder="1" applyAlignment="1">
      <alignment vertical="center"/>
    </xf>
    <xf numFmtId="0" fontId="26" fillId="8" borderId="13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vertical="center"/>
    </xf>
    <xf numFmtId="2" fontId="27" fillId="11" borderId="22" xfId="0" applyNumberFormat="1" applyFont="1" applyFill="1" applyBorder="1" applyAlignment="1">
      <alignment vertical="center"/>
    </xf>
    <xf numFmtId="0" fontId="26" fillId="10" borderId="22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23" fillId="0" borderId="0" xfId="0" applyFont="1" applyAlignment="1">
      <alignment wrapText="1"/>
    </xf>
    <xf numFmtId="2" fontId="27" fillId="9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2" fontId="27" fillId="11" borderId="2" xfId="0" applyNumberFormat="1" applyFont="1" applyFill="1" applyBorder="1" applyAlignment="1">
      <alignment horizontal="center" vertical="center" wrapText="1"/>
    </xf>
    <xf numFmtId="2" fontId="27" fillId="9" borderId="2" xfId="0" applyNumberFormat="1" applyFont="1" applyFill="1" applyBorder="1" applyAlignment="1">
      <alignment horizontal="center" vertical="center" wrapText="1"/>
    </xf>
    <xf numFmtId="2" fontId="9" fillId="2" borderId="2" xfId="0" applyNumberFormat="1" applyFont="1" applyFill="1" applyBorder="1" applyAlignment="1">
      <alignment horizontal="center" vertical="center" wrapText="1"/>
    </xf>
    <xf numFmtId="1" fontId="27" fillId="9" borderId="2" xfId="0" applyNumberFormat="1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2" fontId="27" fillId="2" borderId="1" xfId="0" applyNumberFormat="1" applyFont="1" applyFill="1" applyBorder="1" applyAlignment="1">
      <alignment horizontal="center" vertical="center" wrapText="1"/>
    </xf>
    <xf numFmtId="2" fontId="27" fillId="4" borderId="2" xfId="0" applyNumberFormat="1" applyFont="1" applyFill="1" applyBorder="1" applyAlignment="1">
      <alignment horizontal="center" vertical="center" wrapText="1"/>
    </xf>
    <xf numFmtId="2" fontId="27" fillId="2" borderId="2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2" fontId="27" fillId="11" borderId="4" xfId="0" applyNumberFormat="1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0" fillId="0" borderId="16" xfId="0" applyBorder="1"/>
    <xf numFmtId="0" fontId="21" fillId="3" borderId="16" xfId="0" applyFont="1" applyFill="1" applyBorder="1" applyAlignment="1">
      <alignment horizontal="left" vertical="center"/>
    </xf>
    <xf numFmtId="0" fontId="0" fillId="0" borderId="18" xfId="0" applyBorder="1"/>
    <xf numFmtId="0" fontId="21" fillId="3" borderId="18" xfId="0" applyFont="1" applyFill="1" applyBorder="1" applyAlignment="1">
      <alignment horizontal="center" vertical="center"/>
    </xf>
    <xf numFmtId="0" fontId="43" fillId="0" borderId="14" xfId="0" applyFont="1" applyBorder="1"/>
    <xf numFmtId="0" fontId="28" fillId="12" borderId="17" xfId="0" applyFont="1" applyFill="1" applyBorder="1"/>
    <xf numFmtId="0" fontId="9" fillId="2" borderId="6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2" fontId="41" fillId="9" borderId="24" xfId="0" applyNumberFormat="1" applyFont="1" applyFill="1" applyBorder="1" applyAlignment="1">
      <alignment horizontal="center" vertical="center"/>
    </xf>
    <xf numFmtId="2" fontId="41" fillId="11" borderId="25" xfId="0" applyNumberFormat="1" applyFont="1" applyFill="1" applyBorder="1" applyAlignment="1">
      <alignment horizontal="center" vertical="center"/>
    </xf>
    <xf numFmtId="2" fontId="41" fillId="9" borderId="25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/>
    </xf>
    <xf numFmtId="165" fontId="44" fillId="17" borderId="1" xfId="0" applyNumberFormat="1" applyFont="1" applyFill="1" applyBorder="1" applyAlignment="1">
      <alignment horizontal="center"/>
    </xf>
    <xf numFmtId="165" fontId="44" fillId="17" borderId="2" xfId="0" applyNumberFormat="1" applyFont="1" applyFill="1" applyBorder="1" applyAlignment="1">
      <alignment horizontal="center"/>
    </xf>
    <xf numFmtId="0" fontId="36" fillId="3" borderId="0" xfId="0" applyFont="1" applyFill="1" applyAlignment="1">
      <alignment horizontal="center"/>
    </xf>
    <xf numFmtId="9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10" fontId="31" fillId="4" borderId="2" xfId="0" applyNumberFormat="1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10" fontId="31" fillId="2" borderId="2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6" fillId="3" borderId="16" xfId="0" applyFont="1" applyFill="1" applyBorder="1" applyAlignment="1">
      <alignment horizontal="left"/>
    </xf>
    <xf numFmtId="0" fontId="31" fillId="2" borderId="6" xfId="0" applyFont="1" applyFill="1" applyBorder="1" applyAlignment="1">
      <alignment vertical="center"/>
    </xf>
    <xf numFmtId="0" fontId="31" fillId="4" borderId="7" xfId="0" applyFont="1" applyFill="1" applyBorder="1" applyAlignment="1">
      <alignment vertical="center"/>
    </xf>
    <xf numFmtId="0" fontId="31" fillId="2" borderId="7" xfId="0" applyFont="1" applyFill="1" applyBorder="1" applyAlignment="1">
      <alignment vertical="center"/>
    </xf>
    <xf numFmtId="0" fontId="31" fillId="2" borderId="8" xfId="0" applyFont="1" applyFill="1" applyBorder="1" applyAlignment="1">
      <alignment vertical="center"/>
    </xf>
    <xf numFmtId="0" fontId="36" fillId="3" borderId="18" xfId="0" applyFont="1" applyFill="1" applyBorder="1" applyAlignment="1">
      <alignment horizontal="center"/>
    </xf>
    <xf numFmtId="0" fontId="30" fillId="2" borderId="10" xfId="0" applyFont="1" applyFill="1" applyBorder="1" applyAlignment="1">
      <alignment horizontal="center" vertical="center"/>
    </xf>
    <xf numFmtId="0" fontId="30" fillId="4" borderId="11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165" fontId="5" fillId="3" borderId="14" xfId="0" applyNumberFormat="1" applyFont="1" applyFill="1" applyBorder="1" applyAlignment="1">
      <alignment horizontal="center"/>
    </xf>
    <xf numFmtId="165" fontId="5" fillId="3" borderId="15" xfId="0" applyNumberFormat="1" applyFont="1" applyFill="1" applyBorder="1" applyAlignment="1">
      <alignment horizontal="center"/>
    </xf>
    <xf numFmtId="165" fontId="27" fillId="9" borderId="1" xfId="0" applyNumberFormat="1" applyFont="1" applyFill="1" applyBorder="1" applyAlignment="1">
      <alignment horizontal="right" vertical="center" wrapText="1"/>
    </xf>
    <xf numFmtId="165" fontId="27" fillId="11" borderId="2" xfId="0" applyNumberFormat="1" applyFont="1" applyFill="1" applyBorder="1" applyAlignment="1">
      <alignment horizontal="right" vertical="center" wrapText="1"/>
    </xf>
    <xf numFmtId="165" fontId="27" fillId="9" borderId="2" xfId="0" applyNumberFormat="1" applyFont="1" applyFill="1" applyBorder="1" applyAlignment="1">
      <alignment horizontal="right" vertical="center" wrapText="1"/>
    </xf>
    <xf numFmtId="165" fontId="45" fillId="3" borderId="14" xfId="0" applyNumberFormat="1" applyFont="1" applyFill="1" applyBorder="1" applyAlignment="1">
      <alignment horizontal="right"/>
    </xf>
    <xf numFmtId="0" fontId="20" fillId="0" borderId="0" xfId="0" applyFont="1" applyAlignment="1">
      <alignment wrapText="1"/>
    </xf>
    <xf numFmtId="0" fontId="0" fillId="0" borderId="0" xfId="0"/>
    <xf numFmtId="0" fontId="6" fillId="5" borderId="5" xfId="0" applyFont="1" applyFill="1" applyBorder="1" applyAlignment="1">
      <alignment vertical="center"/>
    </xf>
    <xf numFmtId="0" fontId="0" fillId="0" borderId="3" xfId="0" applyBorder="1"/>
    <xf numFmtId="0" fontId="0" fillId="0" borderId="9" xfId="0" applyBorder="1"/>
    <xf numFmtId="0" fontId="23" fillId="0" borderId="0" xfId="0" applyFont="1" applyAlignment="1">
      <alignment wrapText="1"/>
    </xf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5" fillId="3" borderId="8" xfId="0" applyFont="1" applyFill="1" applyBorder="1"/>
    <xf numFmtId="0" fontId="5" fillId="3" borderId="4" xfId="0" applyFont="1" applyFill="1" applyBorder="1"/>
    <xf numFmtId="0" fontId="29" fillId="5" borderId="5" xfId="0" applyFont="1" applyFill="1" applyBorder="1" applyAlignment="1">
      <alignment vertical="center"/>
    </xf>
    <xf numFmtId="0" fontId="29" fillId="5" borderId="0" xfId="0" applyFont="1" applyFill="1" applyAlignment="1">
      <alignment vertical="center"/>
    </xf>
    <xf numFmtId="0" fontId="14" fillId="2" borderId="0" xfId="0" applyFont="1" applyFill="1"/>
    <xf numFmtId="0" fontId="19" fillId="6" borderId="0" xfId="0" applyFont="1" applyFill="1"/>
    <xf numFmtId="0" fontId="20" fillId="0" borderId="0" xfId="0" applyFont="1"/>
    <xf numFmtId="0" fontId="21" fillId="5" borderId="0" xfId="0" applyFont="1" applyFill="1" applyAlignment="1">
      <alignment vertical="center"/>
    </xf>
    <xf numFmtId="0" fontId="23" fillId="0" borderId="0" xfId="0" applyFont="1"/>
    <xf numFmtId="0" fontId="23" fillId="7" borderId="0" xfId="0" applyFont="1" applyFill="1"/>
    <xf numFmtId="0" fontId="36" fillId="3" borderId="4" xfId="0" applyFont="1" applyFill="1" applyBorder="1"/>
    <xf numFmtId="0" fontId="15" fillId="3" borderId="12" xfId="0" applyFont="1" applyFill="1" applyBorder="1"/>
    <xf numFmtId="0" fontId="20" fillId="2" borderId="0" xfId="0" applyFont="1" applyFill="1"/>
    <xf numFmtId="0" fontId="18" fillId="2" borderId="0" xfId="0" applyFont="1" applyFill="1"/>
    <xf numFmtId="0" fontId="0" fillId="7" borderId="0" xfId="0" applyFill="1"/>
    <xf numFmtId="0" fontId="23" fillId="2" borderId="1" xfId="0" applyFont="1" applyFill="1" applyBorder="1"/>
    <xf numFmtId="0" fontId="35" fillId="2" borderId="10" xfId="0" applyFont="1" applyFill="1" applyBorder="1"/>
    <xf numFmtId="0" fontId="23" fillId="4" borderId="2" xfId="0" applyFont="1" applyFill="1" applyBorder="1"/>
    <xf numFmtId="0" fontId="35" fillId="4" borderId="11" xfId="0" applyFont="1" applyFill="1" applyBorder="1"/>
    <xf numFmtId="0" fontId="23" fillId="2" borderId="2" xfId="0" applyFont="1" applyFill="1" applyBorder="1"/>
    <xf numFmtId="0" fontId="35" fillId="2" borderId="11" xfId="0" applyFont="1" applyFill="1" applyBorder="1"/>
    <xf numFmtId="0" fontId="20" fillId="12" borderId="0" xfId="0" applyFont="1" applyFill="1"/>
    <xf numFmtId="0" fontId="18" fillId="12" borderId="0" xfId="0" applyFont="1" applyFill="1"/>
    <xf numFmtId="0" fontId="29" fillId="3" borderId="5" xfId="0" applyFont="1" applyFill="1" applyBorder="1" applyAlignment="1">
      <alignment vertical="center"/>
    </xf>
    <xf numFmtId="0" fontId="42" fillId="9" borderId="14" xfId="0" applyFont="1" applyFill="1" applyBorder="1" applyAlignment="1">
      <alignment horizontal="center"/>
    </xf>
    <xf numFmtId="0" fontId="0" fillId="0" borderId="14" xfId="0" applyBorder="1"/>
    <xf numFmtId="0" fontId="22" fillId="10" borderId="14" xfId="0" applyFont="1" applyFill="1" applyBorder="1" applyAlignment="1">
      <alignment horizontal="center"/>
    </xf>
    <xf numFmtId="0" fontId="0" fillId="0" borderId="15" xfId="0" applyBorder="1"/>
    <xf numFmtId="0" fontId="38" fillId="2" borderId="1" xfId="0" applyFont="1" applyFill="1" applyBorder="1" applyAlignment="1">
      <alignment vertical="center" wrapText="1"/>
    </xf>
    <xf numFmtId="0" fontId="39" fillId="2" borderId="10" xfId="0" applyFont="1" applyFill="1" applyBorder="1" applyAlignment="1">
      <alignment vertical="center" wrapText="1"/>
    </xf>
    <xf numFmtId="0" fontId="38" fillId="4" borderId="2" xfId="0" applyFont="1" applyFill="1" applyBorder="1" applyAlignment="1">
      <alignment vertical="center" wrapText="1"/>
    </xf>
    <xf numFmtId="0" fontId="39" fillId="4" borderId="11" xfId="0" applyFont="1" applyFill="1" applyBorder="1" applyAlignment="1">
      <alignment vertical="center" wrapText="1"/>
    </xf>
    <xf numFmtId="0" fontId="38" fillId="2" borderId="2" xfId="0" applyFont="1" applyFill="1" applyBorder="1" applyAlignment="1">
      <alignment vertical="center" wrapText="1"/>
    </xf>
    <xf numFmtId="0" fontId="39" fillId="2" borderId="11" xfId="0" applyFont="1" applyFill="1" applyBorder="1" applyAlignment="1">
      <alignment vertical="center" wrapText="1"/>
    </xf>
    <xf numFmtId="0" fontId="38" fillId="4" borderId="4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vertical="center" wrapText="1"/>
    </xf>
    <xf numFmtId="0" fontId="29" fillId="5" borderId="3" xfId="0" applyFont="1" applyFill="1" applyBorder="1" applyAlignment="1">
      <alignment vertical="center"/>
    </xf>
    <xf numFmtId="0" fontId="29" fillId="5" borderId="9" xfId="0" applyFont="1" applyFill="1" applyBorder="1" applyAlignment="1">
      <alignment vertical="center"/>
    </xf>
    <xf numFmtId="0" fontId="20" fillId="7" borderId="16" xfId="0" applyFont="1" applyFill="1" applyBorder="1" applyAlignment="1">
      <alignment wrapText="1"/>
    </xf>
    <xf numFmtId="0" fontId="20" fillId="7" borderId="0" xfId="0" applyFont="1" applyFill="1" applyAlignment="1">
      <alignment wrapText="1"/>
    </xf>
    <xf numFmtId="0" fontId="20" fillId="7" borderId="18" xfId="0" applyFont="1" applyFill="1" applyBorder="1" applyAlignment="1">
      <alignment wrapText="1"/>
    </xf>
    <xf numFmtId="0" fontId="24" fillId="18" borderId="3" xfId="0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center" wrapText="1"/>
    </xf>
    <xf numFmtId="2" fontId="17" fillId="10" borderId="0" xfId="0" applyNumberFormat="1" applyFont="1" applyFill="1"/>
    <xf numFmtId="0" fontId="46" fillId="0" borderId="0" xfId="0" applyFont="1"/>
    <xf numFmtId="17" fontId="46" fillId="0" borderId="0" xfId="0" applyNumberFormat="1" applyFont="1"/>
    <xf numFmtId="0" fontId="47" fillId="19" borderId="0" xfId="0" applyFont="1" applyFill="1" applyBorder="1" applyAlignment="1">
      <alignment horizontal="center" vertical="center" wrapText="1"/>
    </xf>
    <xf numFmtId="0" fontId="46" fillId="19" borderId="0" xfId="0" applyFont="1" applyFill="1" applyBorder="1"/>
    <xf numFmtId="0" fontId="48" fillId="0" borderId="0" xfId="0" applyFont="1"/>
    <xf numFmtId="0" fontId="21" fillId="3" borderId="3" xfId="0" applyFont="1" applyFill="1" applyBorder="1" applyAlignment="1">
      <alignment horizontal="center"/>
    </xf>
    <xf numFmtId="0" fontId="21" fillId="3" borderId="9" xfId="0" applyFont="1" applyFill="1" applyBorder="1" applyAlignment="1">
      <alignment horizontal="center"/>
    </xf>
    <xf numFmtId="0" fontId="21" fillId="3" borderId="17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0" fontId="5" fillId="3" borderId="14" xfId="0" applyNumberFormat="1" applyFont="1" applyFill="1" applyBorder="1" applyAlignment="1">
      <alignment horizontal="center" vertical="center"/>
    </xf>
    <xf numFmtId="10" fontId="49" fillId="3" borderId="14" xfId="0" applyNumberFormat="1" applyFont="1" applyFill="1" applyBorder="1" applyAlignment="1">
      <alignment horizontal="center" vertical="center"/>
    </xf>
    <xf numFmtId="10" fontId="49" fillId="3" borderId="15" xfId="0" applyNumberFormat="1" applyFont="1" applyFill="1" applyBorder="1" applyAlignment="1">
      <alignment horizontal="center" vertical="center"/>
    </xf>
    <xf numFmtId="10" fontId="20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vs MSCI World — Cumulative NAV (Base 100)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Backtest!$X$7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Backtest!$W$8:$W$67</c:f>
              <c:numCache>
                <c:formatCode>mmm\-yy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f>Backtest!$X$8:$X$67</c:f>
              <c:numCache>
                <c:formatCode>General</c:formatCode>
                <c:ptCount val="60"/>
                <c:pt idx="0">
                  <c:v>102.64020000000001</c:v>
                </c:pt>
                <c:pt idx="1">
                  <c:v>94.433602809000007</c:v>
                </c:pt>
                <c:pt idx="2">
                  <c:v>80.52211661119216</c:v>
                </c:pt>
                <c:pt idx="3">
                  <c:v>92.085092556559346</c:v>
                </c:pt>
                <c:pt idx="4">
                  <c:v>95.172705709980789</c:v>
                </c:pt>
                <c:pt idx="5">
                  <c:v>98.750247717618961</c:v>
                </c:pt>
                <c:pt idx="6">
                  <c:v>106.32537922003752</c:v>
                </c:pt>
                <c:pt idx="7">
                  <c:v>112.60176635539632</c:v>
                </c:pt>
                <c:pt idx="8">
                  <c:v>107.42264811187987</c:v>
                </c:pt>
                <c:pt idx="9">
                  <c:v>103.91261308482419</c:v>
                </c:pt>
                <c:pt idx="10">
                  <c:v>110.95944694117154</c:v>
                </c:pt>
                <c:pt idx="11">
                  <c:v>116.46636429286188</c:v>
                </c:pt>
                <c:pt idx="12">
                  <c:v>117.4726336803522</c:v>
                </c:pt>
                <c:pt idx="13">
                  <c:v>118.22974480442208</c:v>
                </c:pt>
                <c:pt idx="14">
                  <c:v>118.74167959942523</c:v>
                </c:pt>
                <c:pt idx="15">
                  <c:v>126.9686968704714</c:v>
                </c:pt>
                <c:pt idx="16">
                  <c:v>129.59948826962759</c:v>
                </c:pt>
                <c:pt idx="17">
                  <c:v>135.37897744901161</c:v>
                </c:pt>
                <c:pt idx="18">
                  <c:v>141.11769230307522</c:v>
                </c:pt>
                <c:pt idx="19">
                  <c:v>146.81390795288885</c:v>
                </c:pt>
                <c:pt idx="20">
                  <c:v>141.79580857905913</c:v>
                </c:pt>
                <c:pt idx="21">
                  <c:v>150.19437432119679</c:v>
                </c:pt>
                <c:pt idx="22">
                  <c:v>145.93486186544763</c:v>
                </c:pt>
                <c:pt idx="23">
                  <c:v>153.18636515154174</c:v>
                </c:pt>
                <c:pt idx="24">
                  <c:v>141.57330680940336</c:v>
                </c:pt>
                <c:pt idx="25">
                  <c:v>138.02547974075972</c:v>
                </c:pt>
                <c:pt idx="26">
                  <c:v>143.1620979693121</c:v>
                </c:pt>
                <c:pt idx="27">
                  <c:v>130.96611884330639</c:v>
                </c:pt>
                <c:pt idx="28">
                  <c:v>128.26559747275741</c:v>
                </c:pt>
                <c:pt idx="29">
                  <c:v>119.63717073076501</c:v>
                </c:pt>
                <c:pt idx="30">
                  <c:v>128.29411640484315</c:v>
                </c:pt>
                <c:pt idx="31">
                  <c:v>121.93585999581911</c:v>
                </c:pt>
                <c:pt idx="32">
                  <c:v>113.01381311992503</c:v>
                </c:pt>
                <c:pt idx="33">
                  <c:v>120.05909422982117</c:v>
                </c:pt>
                <c:pt idx="34">
                  <c:v>125.88676266373669</c:v>
                </c:pt>
                <c:pt idx="35">
                  <c:v>121.86216286137702</c:v>
                </c:pt>
                <c:pt idx="36">
                  <c:v>132.13026870407666</c:v>
                </c:pt>
                <c:pt idx="37">
                  <c:v>130.55263329574998</c:v>
                </c:pt>
                <c:pt idx="38">
                  <c:v>137.76044418000834</c:v>
                </c:pt>
                <c:pt idx="39">
                  <c:v>142.80109883255483</c:v>
                </c:pt>
                <c:pt idx="40">
                  <c:v>145.29726204014787</c:v>
                </c:pt>
                <c:pt idx="41">
                  <c:v>152.02597824522712</c:v>
                </c:pt>
                <c:pt idx="42">
                  <c:v>156.87560695124986</c:v>
                </c:pt>
                <c:pt idx="43">
                  <c:v>152.68859700172101</c:v>
                </c:pt>
                <c:pt idx="44">
                  <c:v>145.50612539876005</c:v>
                </c:pt>
                <c:pt idx="45">
                  <c:v>140.92413750995308</c:v>
                </c:pt>
                <c:pt idx="46">
                  <c:v>152.43200257901586</c:v>
                </c:pt>
                <c:pt idx="47">
                  <c:v>159.82190606404657</c:v>
                </c:pt>
                <c:pt idx="48">
                  <c:v>163.07588007151054</c:v>
                </c:pt>
                <c:pt idx="49">
                  <c:v>172.39566661759739</c:v>
                </c:pt>
                <c:pt idx="50">
                  <c:v>179.10358200568811</c:v>
                </c:pt>
                <c:pt idx="51">
                  <c:v>172.11675127164622</c:v>
                </c:pt>
                <c:pt idx="52">
                  <c:v>179.8293028961287</c:v>
                </c:pt>
                <c:pt idx="53">
                  <c:v>183.73699364806157</c:v>
                </c:pt>
                <c:pt idx="54">
                  <c:v>190.37724859850252</c:v>
                </c:pt>
                <c:pt idx="55">
                  <c:v>196.65017893982318</c:v>
                </c:pt>
                <c:pt idx="56">
                  <c:v>200.77000018861247</c:v>
                </c:pt>
                <c:pt idx="57">
                  <c:v>194.25501368249201</c:v>
                </c:pt>
                <c:pt idx="58">
                  <c:v>204.6088059117688</c:v>
                </c:pt>
                <c:pt idx="59">
                  <c:v>197.56003254810835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5-194F-A364-548EDF8D7DFB}"/>
            </c:ext>
          </c:extLst>
        </c:ser>
        <c:ser>
          <c:idx val="1"/>
          <c:order val="1"/>
          <c:tx>
            <c:strRef>
              <c:f>Backtest!$Y$7</c:f>
              <c:strCache>
                <c:ptCount val="1"/>
                <c:pt idx="0">
                  <c:v>MSCI World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Backtest!$W$8:$W$67</c:f>
              <c:numCache>
                <c:formatCode>mmm\-yy</c:formatCode>
                <c:ptCount val="60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</c:numCache>
            </c:numRef>
          </c:cat>
          <c:val>
            <c:numRef>
              <c:f>Backtest!$Y$8:$Y$67</c:f>
              <c:numCache>
                <c:formatCode>General</c:formatCode>
                <c:ptCount val="60"/>
                <c:pt idx="0">
                  <c:v>100.27</c:v>
                </c:pt>
                <c:pt idx="1">
                  <c:v>91.817238999999987</c:v>
                </c:pt>
                <c:pt idx="2">
                  <c:v>79.633091384699981</c:v>
                </c:pt>
                <c:pt idx="3">
                  <c:v>88.273281799939937</c:v>
                </c:pt>
                <c:pt idx="4">
                  <c:v>92.139651542777315</c:v>
                </c:pt>
                <c:pt idx="5">
                  <c:v>95.051264531529085</c:v>
                </c:pt>
                <c:pt idx="6">
                  <c:v>102.01852222169016</c:v>
                </c:pt>
                <c:pt idx="7">
                  <c:v>108.62932246165568</c:v>
                </c:pt>
                <c:pt idx="8">
                  <c:v>104.64262632731291</c:v>
                </c:pt>
                <c:pt idx="9">
                  <c:v>101.70216852751541</c:v>
                </c:pt>
                <c:pt idx="10">
                  <c:v>114.55732262939337</c:v>
                </c:pt>
                <c:pt idx="11">
                  <c:v>119.73531361224194</c:v>
                </c:pt>
                <c:pt idx="12">
                  <c:v>119.5197900477399</c:v>
                </c:pt>
                <c:pt idx="13">
                  <c:v>122.74682437902887</c:v>
                </c:pt>
                <c:pt idx="14">
                  <c:v>126.51515188746505</c:v>
                </c:pt>
                <c:pt idx="15">
                  <c:v>131.95530341862604</c:v>
                </c:pt>
                <c:pt idx="16">
                  <c:v>133.88185084853797</c:v>
                </c:pt>
                <c:pt idx="17">
                  <c:v>136.2247832383874</c:v>
                </c:pt>
                <c:pt idx="18">
                  <c:v>138.32264490025858</c:v>
                </c:pt>
                <c:pt idx="19">
                  <c:v>141.64238837786479</c:v>
                </c:pt>
                <c:pt idx="20">
                  <c:v>135.59425839412998</c:v>
                </c:pt>
                <c:pt idx="21">
                  <c:v>142.87567006989477</c:v>
                </c:pt>
                <c:pt idx="22">
                  <c:v>139.78955559638504</c:v>
                </c:pt>
                <c:pt idx="23">
                  <c:v>145.6187800647543</c:v>
                </c:pt>
                <c:pt idx="24">
                  <c:v>137.04183391894028</c:v>
                </c:pt>
                <c:pt idx="25">
                  <c:v>133.21836675260184</c:v>
                </c:pt>
                <c:pt idx="26">
                  <c:v>136.34899837128799</c:v>
                </c:pt>
                <c:pt idx="27">
                  <c:v>124.95022210744831</c:v>
                </c:pt>
                <c:pt idx="28">
                  <c:v>123.38834433110522</c:v>
                </c:pt>
                <c:pt idx="29">
                  <c:v>113.09775641389103</c:v>
                </c:pt>
                <c:pt idx="30">
                  <c:v>122.62058750394067</c:v>
                </c:pt>
                <c:pt idx="31">
                  <c:v>114.99358696119556</c:v>
                </c:pt>
                <c:pt idx="32">
                  <c:v>104.1956891455393</c:v>
                </c:pt>
                <c:pt idx="33">
                  <c:v>110.97882850891391</c:v>
                </c:pt>
                <c:pt idx="34">
                  <c:v>119.04698934151195</c:v>
                </c:pt>
                <c:pt idx="35">
                  <c:v>114.34463326252222</c:v>
                </c:pt>
                <c:pt idx="36">
                  <c:v>122.33732312757253</c:v>
                </c:pt>
                <c:pt idx="37">
                  <c:v>119.24218885244495</c:v>
                </c:pt>
                <c:pt idx="38">
                  <c:v>122.89099983132976</c:v>
                </c:pt>
                <c:pt idx="39">
                  <c:v>125.07845962832744</c:v>
                </c:pt>
                <c:pt idx="40">
                  <c:v>123.31485334756802</c:v>
                </c:pt>
                <c:pt idx="41">
                  <c:v>130.8000649457654</c:v>
                </c:pt>
                <c:pt idx="42">
                  <c:v>135.49578727731839</c:v>
                </c:pt>
                <c:pt idx="43">
                  <c:v>132.28453711884592</c:v>
                </c:pt>
                <c:pt idx="44">
                  <c:v>126.82118573583759</c:v>
                </c:pt>
                <c:pt idx="45">
                  <c:v>123.07996075663038</c:v>
                </c:pt>
                <c:pt idx="46">
                  <c:v>134.63716907167799</c:v>
                </c:pt>
                <c:pt idx="47">
                  <c:v>140.92472486732535</c:v>
                </c:pt>
                <c:pt idx="48">
                  <c:v>142.47489684086591</c:v>
                </c:pt>
                <c:pt idx="49">
                  <c:v>149.09997954396619</c:v>
                </c:pt>
                <c:pt idx="50">
                  <c:v>153.90099888528189</c:v>
                </c:pt>
                <c:pt idx="51">
                  <c:v>148.68375502307083</c:v>
                </c:pt>
                <c:pt idx="52">
                  <c:v>155.18123511757904</c:v>
                </c:pt>
                <c:pt idx="53">
                  <c:v>158.5486679196305</c:v>
                </c:pt>
                <c:pt idx="54">
                  <c:v>160.83176873767317</c:v>
                </c:pt>
                <c:pt idx="55">
                  <c:v>165.23855920108542</c:v>
                </c:pt>
                <c:pt idx="56">
                  <c:v>168.13023398710442</c:v>
                </c:pt>
                <c:pt idx="57">
                  <c:v>164.71719023716619</c:v>
                </c:pt>
                <c:pt idx="58">
                  <c:v>172.57420021147902</c:v>
                </c:pt>
                <c:pt idx="59">
                  <c:v>168.29436004623435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5-194F-A364-548EDF8D7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29824"/>
        <c:axId val="136025792"/>
      </c:lineChart>
      <c:dateAx>
        <c:axId val="136029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5792"/>
        <c:crosses val="autoZero"/>
        <c:auto val="1"/>
        <c:lblOffset val="100"/>
        <c:baseTimeUnit val="months"/>
      </c:dateAx>
      <c:valAx>
        <c:axId val="13602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NAV (Base = 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68</xdr:row>
      <xdr:rowOff>0</xdr:rowOff>
    </xdr:from>
    <xdr:to>
      <xdr:col>37</xdr:col>
      <xdr:colOff>0</xdr:colOff>
      <xdr:row>90</xdr:row>
      <xdr:rowOff>0</xdr:rowOff>
    </xdr:to>
    <xdr:graphicFrame macro="">
      <xdr:nvGraphicFramePr>
        <xdr:cNvPr id="2" name="NAV_Performance">
          <a:extLst>
            <a:ext uri="{FF2B5EF4-FFF2-40B4-BE49-F238E27FC236}">
              <a16:creationId xmlns:a16="http://schemas.microsoft.com/office/drawing/2014/main" id="{0D7C4561-CD88-D0F2-EF29-7D1F1179C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vij Budhiraja" id="{C5871569-49D9-1C42-9E66-23872CCA9370}" userId="ee992a1e4e82cdf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4" dT="2026-03-24T14:05:30.38" personId="{C5871569-49D9-1C42-9E66-23872CCA9370}" id="{FDAD4D76-846E-1248-9DE6-015DCF6EDA40}">
    <text>North America (US ~67.1% + Canada ~3.6% + other ~1.1%) — MSCI World approx end-2024</text>
  </threadedComment>
  <threadedComment ref="H25" dT="2026-03-24T14:05:30.40" personId="{C5871569-49D9-1C42-9E66-23872CCA9370}" id="{A4670CE1-D7FA-1F47-8FE7-D904B7F62DEB}">
    <text>Europe ex-UK (France, Germany, Switzerland, Netherlands, etc.) — MSCI World approx end-2024</text>
  </threadedComment>
  <threadedComment ref="H26" dT="2026-03-24T14:05:30.40" personId="{C5871569-49D9-1C42-9E66-23872CCA9370}" id="{DDBA8BC4-FFF5-2045-977A-C7B3955DF937}">
    <text>Asia Pacific (Japan ~5.5%, Australia, others) — MSCI World approx end-2024</text>
  </threadedComment>
  <threadedComment ref="H27" dT="2026-03-24T14:05:30.41" personId="{C5871569-49D9-1C42-9E66-23872CCA9370}" id="{C3B1B1F0-F31E-7944-BBDF-915F260670FD}">
    <text>United Kingdom — MSCI World approx end-2024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031C5AD-77DE-A34E-9AF4-9F2B91718AA9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4D17CC0-8A0E-CD4A-9E28-B732BC692003}">
  <we:reference id="wa200001456" version="3.1.1.0" store="en-US" storeType="OMEX"/>
  <we:alternateReferences>
    <we:reference id="wa200001456" version="3.1.1.0" store="en-US" storeType="OMEX"/>
  </we:alternateReferences>
  <we:properties>
    <we:property name="Office.DisableTrustUX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FDS</we:customFunctionIds>
        <we:customFunctionIds>FDSN</we:customFunctionIds>
        <we:customFunctionIds>FDSZ</we:customFunctionIds>
        <we:customFunctionIds>FDSB</we:customFunctionIds>
        <we:customFunctionIds>FDSC</we:customFunctionIds>
        <we:customFunctionIds>FDSR</we:customFunctionIds>
        <we:customFunctionIds>FDSRN</we:customFunctionIds>
        <we:customFunctionIds>FDSRZ</we:customFunctionIds>
        <we:customFunctionIds>FDSRB</we:customFunctionIds>
        <we:customFunctionIds>FDSRC</we:customFunctionIds>
        <we:customFunctionIds>FDSLIVE</we:customFunctionIds>
        <we:customFunctionIds>FactSetLive.RTDFunction.1.FDSLIVE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FBE7-C299-C94B-8A0B-F2C2FD73DD22}">
  <dimension ref="A1:E21"/>
  <sheetViews>
    <sheetView tabSelected="1" zoomScale="125" workbookViewId="0">
      <selection activeCell="C9" sqref="C9"/>
    </sheetView>
  </sheetViews>
  <sheetFormatPr baseColWidth="10" defaultRowHeight="16" x14ac:dyDescent="0.2"/>
  <cols>
    <col min="1" max="1" width="5.33203125" customWidth="1"/>
    <col min="2" max="2" width="25.83203125" customWidth="1"/>
    <col min="3" max="3" width="47.5" customWidth="1"/>
    <col min="4" max="4" width="46.6640625" customWidth="1"/>
    <col min="5" max="5" width="13.33203125" customWidth="1"/>
  </cols>
  <sheetData>
    <row r="1" spans="1:5" ht="36" customHeight="1" x14ac:dyDescent="0.2">
      <c r="A1" s="298" t="s">
        <v>312</v>
      </c>
      <c r="B1" s="293"/>
      <c r="C1" s="293"/>
      <c r="D1" s="293"/>
      <c r="E1" s="293"/>
    </row>
    <row r="2" spans="1:5" ht="20" customHeight="1" x14ac:dyDescent="0.2">
      <c r="A2" s="299" t="s">
        <v>307</v>
      </c>
      <c r="B2" s="293"/>
      <c r="C2" s="293"/>
      <c r="D2" s="293"/>
      <c r="E2" s="293"/>
    </row>
    <row r="3" spans="1:5" ht="8" customHeight="1" x14ac:dyDescent="0.2"/>
    <row r="4" spans="1:5" ht="28" customHeight="1" x14ac:dyDescent="0.2">
      <c r="A4" s="9" t="s">
        <v>0</v>
      </c>
      <c r="B4" s="7" t="s">
        <v>1</v>
      </c>
      <c r="C4" s="7" t="s">
        <v>2</v>
      </c>
      <c r="D4" s="7" t="s">
        <v>3</v>
      </c>
      <c r="E4" s="14" t="s">
        <v>4</v>
      </c>
    </row>
    <row r="5" spans="1:5" ht="46" customHeight="1" x14ac:dyDescent="0.2">
      <c r="A5" s="10">
        <v>1</v>
      </c>
      <c r="B5" s="1" t="s">
        <v>5</v>
      </c>
      <c r="C5" s="1" t="s">
        <v>6</v>
      </c>
      <c r="D5" s="1" t="s">
        <v>7</v>
      </c>
      <c r="E5" s="15" t="s">
        <v>8</v>
      </c>
    </row>
    <row r="6" spans="1:5" ht="46" customHeight="1" x14ac:dyDescent="0.2">
      <c r="A6" s="11">
        <v>2</v>
      </c>
      <c r="B6" s="3" t="s">
        <v>9</v>
      </c>
      <c r="C6" s="3" t="s">
        <v>10</v>
      </c>
      <c r="D6" s="3" t="s">
        <v>11</v>
      </c>
      <c r="E6" s="16" t="s">
        <v>12</v>
      </c>
    </row>
    <row r="7" spans="1:5" ht="46" customHeight="1" x14ac:dyDescent="0.2">
      <c r="A7" s="12">
        <v>3</v>
      </c>
      <c r="B7" s="4" t="s">
        <v>13</v>
      </c>
      <c r="C7" s="4" t="s">
        <v>14</v>
      </c>
      <c r="D7" s="4" t="s">
        <v>15</v>
      </c>
      <c r="E7" s="17" t="s">
        <v>12</v>
      </c>
    </row>
    <row r="8" spans="1:5" ht="46" customHeight="1" x14ac:dyDescent="0.2">
      <c r="A8" s="11">
        <v>4</v>
      </c>
      <c r="B8" s="3" t="s">
        <v>16</v>
      </c>
      <c r="C8" s="3" t="s">
        <v>17</v>
      </c>
      <c r="D8" s="3" t="s">
        <v>18</v>
      </c>
      <c r="E8" s="18" t="s">
        <v>19</v>
      </c>
    </row>
    <row r="9" spans="1:5" ht="46" customHeight="1" x14ac:dyDescent="0.2">
      <c r="A9" s="12">
        <v>5</v>
      </c>
      <c r="B9" s="4" t="s">
        <v>20</v>
      </c>
      <c r="C9" s="4" t="s">
        <v>21</v>
      </c>
      <c r="D9" s="4" t="s">
        <v>22</v>
      </c>
      <c r="E9" s="19" t="s">
        <v>19</v>
      </c>
    </row>
    <row r="10" spans="1:5" ht="46" customHeight="1" x14ac:dyDescent="0.2">
      <c r="A10" s="11">
        <v>6</v>
      </c>
      <c r="B10" s="3" t="s">
        <v>23</v>
      </c>
      <c r="C10" s="3" t="s">
        <v>24</v>
      </c>
      <c r="D10" s="3" t="s">
        <v>25</v>
      </c>
      <c r="E10" s="18" t="s">
        <v>19</v>
      </c>
    </row>
    <row r="11" spans="1:5" ht="46" customHeight="1" x14ac:dyDescent="0.2">
      <c r="A11" s="12">
        <v>7</v>
      </c>
      <c r="B11" s="4" t="s">
        <v>26</v>
      </c>
      <c r="C11" s="4" t="s">
        <v>27</v>
      </c>
      <c r="D11" s="4" t="s">
        <v>28</v>
      </c>
      <c r="E11" s="17" t="s">
        <v>29</v>
      </c>
    </row>
    <row r="12" spans="1:5" ht="46" customHeight="1" x14ac:dyDescent="0.2">
      <c r="A12" s="11">
        <v>8</v>
      </c>
      <c r="B12" s="3" t="s">
        <v>30</v>
      </c>
      <c r="C12" s="3" t="s">
        <v>31</v>
      </c>
      <c r="D12" s="3" t="s">
        <v>32</v>
      </c>
      <c r="E12" s="20" t="s">
        <v>33</v>
      </c>
    </row>
    <row r="13" spans="1:5" ht="46" customHeight="1" x14ac:dyDescent="0.2">
      <c r="A13" s="12">
        <v>9</v>
      </c>
      <c r="B13" s="4" t="s">
        <v>34</v>
      </c>
      <c r="C13" s="4" t="s">
        <v>305</v>
      </c>
      <c r="D13" s="4" t="s">
        <v>35</v>
      </c>
      <c r="E13" s="19" t="s">
        <v>19</v>
      </c>
    </row>
    <row r="14" spans="1:5" ht="46" customHeight="1" x14ac:dyDescent="0.2">
      <c r="A14" s="11">
        <v>10</v>
      </c>
      <c r="B14" s="3" t="s">
        <v>36</v>
      </c>
      <c r="C14" s="3" t="s">
        <v>37</v>
      </c>
      <c r="D14" s="3" t="s">
        <v>38</v>
      </c>
      <c r="E14" s="16" t="s">
        <v>39</v>
      </c>
    </row>
    <row r="15" spans="1:5" ht="46" customHeight="1" x14ac:dyDescent="0.2">
      <c r="A15" s="12">
        <v>11</v>
      </c>
      <c r="B15" s="4" t="s">
        <v>40</v>
      </c>
      <c r="C15" s="4" t="s">
        <v>41</v>
      </c>
      <c r="D15" s="4" t="s">
        <v>42</v>
      </c>
      <c r="E15" s="19" t="s">
        <v>43</v>
      </c>
    </row>
    <row r="16" spans="1:5" ht="46" customHeight="1" x14ac:dyDescent="0.2">
      <c r="A16" s="11">
        <v>12</v>
      </c>
      <c r="B16" s="3" t="s">
        <v>309</v>
      </c>
      <c r="C16" s="3" t="s">
        <v>44</v>
      </c>
      <c r="D16" s="3" t="s">
        <v>45</v>
      </c>
      <c r="E16" s="18" t="s">
        <v>46</v>
      </c>
    </row>
    <row r="17" spans="1:5" ht="46" customHeight="1" x14ac:dyDescent="0.2">
      <c r="A17" s="12">
        <v>13</v>
      </c>
      <c r="B17" s="4" t="s">
        <v>310</v>
      </c>
      <c r="C17" s="4" t="s">
        <v>47</v>
      </c>
      <c r="D17" s="4" t="s">
        <v>48</v>
      </c>
      <c r="E17" s="19" t="s">
        <v>46</v>
      </c>
    </row>
    <row r="18" spans="1:5" ht="46" customHeight="1" x14ac:dyDescent="0.2">
      <c r="A18" s="11">
        <v>14</v>
      </c>
      <c r="B18" s="3" t="s">
        <v>311</v>
      </c>
      <c r="C18" s="3" t="s">
        <v>49</v>
      </c>
      <c r="D18" s="3" t="s">
        <v>50</v>
      </c>
      <c r="E18" s="18" t="s">
        <v>46</v>
      </c>
    </row>
    <row r="19" spans="1:5" ht="46" customHeight="1" x14ac:dyDescent="0.2">
      <c r="A19" s="13">
        <v>15</v>
      </c>
      <c r="B19" s="8" t="s">
        <v>51</v>
      </c>
      <c r="C19" s="8" t="s">
        <v>306</v>
      </c>
      <c r="D19" s="8" t="s">
        <v>52</v>
      </c>
      <c r="E19" s="21" t="s">
        <v>53</v>
      </c>
    </row>
    <row r="21" spans="1:5" x14ac:dyDescent="0.2">
      <c r="A21" s="304" t="s">
        <v>308</v>
      </c>
      <c r="B21" s="293"/>
      <c r="C21" s="293"/>
      <c r="D21" s="293"/>
      <c r="E21" s="293"/>
    </row>
  </sheetData>
  <mergeCells count="3">
    <mergeCell ref="A1:E1"/>
    <mergeCell ref="A2:E2"/>
    <mergeCell ref="A21:E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F9E7-7B75-884F-BED4-C9ED0A5F2FBF}">
  <dimension ref="A1:K42"/>
  <sheetViews>
    <sheetView workbookViewId="0">
      <selection activeCell="N16" sqref="N16"/>
    </sheetView>
  </sheetViews>
  <sheetFormatPr baseColWidth="10" defaultRowHeight="16" x14ac:dyDescent="0.2"/>
  <cols>
    <col min="1" max="1" width="4.6640625" customWidth="1"/>
    <col min="2" max="2" width="33.33203125" customWidth="1"/>
    <col min="3" max="3" width="10" customWidth="1"/>
    <col min="4" max="4" width="19.1640625" customWidth="1"/>
    <col min="5" max="5" width="24.1640625" customWidth="1"/>
    <col min="6" max="6" width="12.5" customWidth="1"/>
    <col min="7" max="7" width="12" customWidth="1"/>
    <col min="8" max="9" width="13.33203125" customWidth="1"/>
    <col min="10" max="10" width="13.6640625" customWidth="1"/>
    <col min="11" max="11" width="13.33203125" customWidth="1"/>
  </cols>
  <sheetData>
    <row r="1" spans="1:11" ht="36" customHeight="1" x14ac:dyDescent="0.2">
      <c r="A1" s="298" t="s">
        <v>314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</row>
    <row r="2" spans="1:11" ht="20" customHeight="1" x14ac:dyDescent="0.2">
      <c r="A2" s="299" t="s">
        <v>313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</row>
    <row r="3" spans="1:11" ht="8" customHeight="1" x14ac:dyDescent="0.2"/>
    <row r="4" spans="1:11" ht="42" customHeight="1" x14ac:dyDescent="0.2">
      <c r="A4" s="46" t="s">
        <v>0</v>
      </c>
      <c r="B4" s="38" t="s">
        <v>54</v>
      </c>
      <c r="C4" s="38" t="s">
        <v>55</v>
      </c>
      <c r="D4" s="38" t="s">
        <v>56</v>
      </c>
      <c r="E4" s="38" t="s">
        <v>57</v>
      </c>
      <c r="F4" s="39" t="s">
        <v>315</v>
      </c>
      <c r="G4" s="40" t="s">
        <v>316</v>
      </c>
      <c r="H4" s="40" t="s">
        <v>317</v>
      </c>
      <c r="I4" s="40" t="s">
        <v>318</v>
      </c>
      <c r="J4" s="40" t="s">
        <v>319</v>
      </c>
      <c r="K4" s="40" t="s">
        <v>320</v>
      </c>
    </row>
    <row r="5" spans="1:11" ht="22" customHeight="1" x14ac:dyDescent="0.2">
      <c r="A5" s="47">
        <v>1</v>
      </c>
      <c r="B5" s="28" t="s">
        <v>58</v>
      </c>
      <c r="C5" s="23" t="s">
        <v>59</v>
      </c>
      <c r="D5" s="28" t="s">
        <v>60</v>
      </c>
      <c r="E5" s="28" t="s">
        <v>61</v>
      </c>
      <c r="F5" s="29">
        <v>2875.42</v>
      </c>
      <c r="G5" s="34">
        <v>0.25600000000000001</v>
      </c>
      <c r="H5" s="34">
        <v>0.68820000000000003</v>
      </c>
      <c r="I5" s="36">
        <f>-0.03</f>
        <v>-0.03</v>
      </c>
      <c r="J5" s="34">
        <v>0.4667</v>
      </c>
      <c r="K5" s="36">
        <v>29.46</v>
      </c>
    </row>
    <row r="6" spans="1:11" ht="22" customHeight="1" x14ac:dyDescent="0.2">
      <c r="A6" s="48">
        <v>2</v>
      </c>
      <c r="B6" s="30" t="s">
        <v>62</v>
      </c>
      <c r="C6" s="25" t="s">
        <v>63</v>
      </c>
      <c r="D6" s="30" t="s">
        <v>60</v>
      </c>
      <c r="E6" s="30" t="s">
        <v>61</v>
      </c>
      <c r="F6" s="31">
        <v>126.23</v>
      </c>
      <c r="G6" s="35">
        <v>0.221</v>
      </c>
      <c r="H6" s="35">
        <v>0.31900000000000001</v>
      </c>
      <c r="I6" s="37">
        <v>-0.51</v>
      </c>
      <c r="J6" s="35">
        <v>0.93479999999999996</v>
      </c>
      <c r="K6" s="37">
        <v>97.33</v>
      </c>
    </row>
    <row r="7" spans="1:11" ht="22" customHeight="1" x14ac:dyDescent="0.2">
      <c r="A7" s="49">
        <v>3</v>
      </c>
      <c r="B7" s="32" t="s">
        <v>64</v>
      </c>
      <c r="C7" s="27" t="s">
        <v>65</v>
      </c>
      <c r="D7" s="32" t="s">
        <v>60</v>
      </c>
      <c r="E7" s="32" t="s">
        <v>61</v>
      </c>
      <c r="F7" s="33">
        <v>84.89</v>
      </c>
      <c r="G7" s="35">
        <v>0.4446</v>
      </c>
      <c r="H7" s="35">
        <v>0.50370000000000004</v>
      </c>
      <c r="I7" s="37">
        <v>0.16</v>
      </c>
      <c r="J7" s="35">
        <v>0.58140000000000003</v>
      </c>
      <c r="K7" s="37">
        <v>42.89</v>
      </c>
    </row>
    <row r="8" spans="1:11" ht="22" customHeight="1" x14ac:dyDescent="0.2">
      <c r="A8" s="48">
        <v>4</v>
      </c>
      <c r="B8" s="30" t="s">
        <v>66</v>
      </c>
      <c r="C8" s="25" t="s">
        <v>67</v>
      </c>
      <c r="D8" s="30" t="s">
        <v>60</v>
      </c>
      <c r="E8" s="30" t="s">
        <v>61</v>
      </c>
      <c r="F8" s="31">
        <v>30.51</v>
      </c>
      <c r="G8" s="35">
        <v>0.13769999999999999</v>
      </c>
      <c r="H8" s="35">
        <v>0.752</v>
      </c>
      <c r="I8" s="37">
        <v>-6.58</v>
      </c>
      <c r="J8" s="35">
        <v>1.5249999999999999</v>
      </c>
      <c r="K8" s="37">
        <v>14.98</v>
      </c>
    </row>
    <row r="9" spans="1:11" ht="22" customHeight="1" x14ac:dyDescent="0.2">
      <c r="A9" s="49">
        <v>5</v>
      </c>
      <c r="B9" s="32" t="s">
        <v>68</v>
      </c>
      <c r="C9" s="27" t="s">
        <v>69</v>
      </c>
      <c r="D9" s="32" t="s">
        <v>70</v>
      </c>
      <c r="E9" s="32" t="s">
        <v>61</v>
      </c>
      <c r="F9" s="33">
        <v>38.5</v>
      </c>
      <c r="G9" s="35">
        <v>7.0699999999999999E-2</v>
      </c>
      <c r="H9" s="35">
        <v>0.39579999999999999</v>
      </c>
      <c r="I9" s="37">
        <v>0.79</v>
      </c>
      <c r="J9" s="35">
        <v>4.7640000000000002</v>
      </c>
      <c r="K9" s="37">
        <v>390</v>
      </c>
    </row>
    <row r="10" spans="1:11" ht="22" customHeight="1" x14ac:dyDescent="0.2">
      <c r="A10" s="48">
        <v>6</v>
      </c>
      <c r="B10" s="30" t="s">
        <v>71</v>
      </c>
      <c r="C10" s="25" t="s">
        <v>72</v>
      </c>
      <c r="D10" s="30" t="s">
        <v>73</v>
      </c>
      <c r="E10" s="30" t="s">
        <v>61</v>
      </c>
      <c r="F10" s="31">
        <v>16.739999999999998</v>
      </c>
      <c r="G10" s="35">
        <v>0.25650000000000001</v>
      </c>
      <c r="H10" s="35">
        <v>0.65910000000000002</v>
      </c>
      <c r="I10" s="37">
        <v>2.0099999999999998</v>
      </c>
      <c r="J10" s="35">
        <v>0.82869999999999999</v>
      </c>
      <c r="K10" s="37">
        <v>26.31</v>
      </c>
    </row>
    <row r="11" spans="1:11" ht="22" customHeight="1" x14ac:dyDescent="0.2">
      <c r="A11" s="49">
        <v>7</v>
      </c>
      <c r="B11" s="32" t="s">
        <v>74</v>
      </c>
      <c r="C11" s="27" t="s">
        <v>75</v>
      </c>
      <c r="D11" s="32" t="s">
        <v>76</v>
      </c>
      <c r="E11" s="32" t="s">
        <v>61</v>
      </c>
      <c r="F11" s="33">
        <v>4.3</v>
      </c>
      <c r="G11" s="35">
        <v>2.5470000000000002</v>
      </c>
      <c r="H11" s="35">
        <v>0.98399999999999999</v>
      </c>
      <c r="I11" s="37">
        <v>-0.12</v>
      </c>
      <c r="J11" s="35">
        <v>0.73370000000000002</v>
      </c>
      <c r="K11" s="37">
        <v>0.6</v>
      </c>
    </row>
    <row r="12" spans="1:11" ht="22" customHeight="1" x14ac:dyDescent="0.2">
      <c r="A12" s="48">
        <v>8</v>
      </c>
      <c r="B12" s="30" t="s">
        <v>77</v>
      </c>
      <c r="C12" s="25" t="s">
        <v>78</v>
      </c>
      <c r="D12" s="30" t="s">
        <v>60</v>
      </c>
      <c r="E12" s="30" t="s">
        <v>79</v>
      </c>
      <c r="F12" s="31">
        <v>586.79999999999995</v>
      </c>
      <c r="G12" s="35">
        <v>0.33389999999999997</v>
      </c>
      <c r="H12" s="35">
        <v>0.77310000000000001</v>
      </c>
      <c r="I12" s="37">
        <v>7.0000000000000007E-2</v>
      </c>
      <c r="J12" s="35">
        <v>0.85340000000000005</v>
      </c>
      <c r="K12" s="37">
        <v>15.69</v>
      </c>
    </row>
    <row r="13" spans="1:11" ht="22" customHeight="1" x14ac:dyDescent="0.2">
      <c r="A13" s="49">
        <v>9</v>
      </c>
      <c r="B13" s="32" t="s">
        <v>80</v>
      </c>
      <c r="C13" s="27" t="s">
        <v>81</v>
      </c>
      <c r="D13" s="32" t="s">
        <v>60</v>
      </c>
      <c r="E13" s="32" t="s">
        <v>79</v>
      </c>
      <c r="F13" s="33">
        <v>447.81</v>
      </c>
      <c r="G13" s="35">
        <v>0.58409999999999995</v>
      </c>
      <c r="H13" s="35">
        <v>0.96030000000000004</v>
      </c>
      <c r="I13" s="37">
        <v>0.36</v>
      </c>
      <c r="J13" s="35">
        <v>0.94579999999999997</v>
      </c>
      <c r="K13" s="37">
        <v>27.02</v>
      </c>
    </row>
    <row r="14" spans="1:11" ht="22" customHeight="1" x14ac:dyDescent="0.2">
      <c r="A14" s="48">
        <v>10</v>
      </c>
      <c r="B14" s="30" t="s">
        <v>82</v>
      </c>
      <c r="C14" s="25" t="s">
        <v>83</v>
      </c>
      <c r="D14" s="30" t="s">
        <v>60</v>
      </c>
      <c r="E14" s="30" t="s">
        <v>79</v>
      </c>
      <c r="F14" s="31">
        <v>128.57</v>
      </c>
      <c r="G14" s="35">
        <v>0.1004</v>
      </c>
      <c r="H14" s="35">
        <v>0.62560000000000004</v>
      </c>
      <c r="I14" s="37">
        <v>1.48</v>
      </c>
      <c r="J14" s="35">
        <v>0.95860000000000001</v>
      </c>
      <c r="K14" s="37">
        <v>40.89</v>
      </c>
    </row>
    <row r="15" spans="1:11" ht="22" customHeight="1" x14ac:dyDescent="0.2">
      <c r="A15" s="49">
        <v>11</v>
      </c>
      <c r="B15" s="32" t="s">
        <v>84</v>
      </c>
      <c r="C15" s="27" t="s">
        <v>85</v>
      </c>
      <c r="D15" s="32" t="s">
        <v>60</v>
      </c>
      <c r="E15" s="32" t="s">
        <v>79</v>
      </c>
      <c r="F15" s="33">
        <v>78.89</v>
      </c>
      <c r="G15" s="35">
        <v>0.22539999999999999</v>
      </c>
      <c r="H15" s="35">
        <v>0.68149999999999999</v>
      </c>
      <c r="I15" s="37">
        <v>1.1599999999999999</v>
      </c>
      <c r="J15" s="35">
        <v>0.7621</v>
      </c>
      <c r="K15" s="37">
        <v>35.31</v>
      </c>
    </row>
    <row r="16" spans="1:11" ht="22" customHeight="1" x14ac:dyDescent="0.2">
      <c r="A16" s="48">
        <v>12</v>
      </c>
      <c r="B16" s="30" t="s">
        <v>86</v>
      </c>
      <c r="C16" s="25" t="s">
        <v>87</v>
      </c>
      <c r="D16" s="30" t="s">
        <v>60</v>
      </c>
      <c r="E16" s="30" t="s">
        <v>79</v>
      </c>
      <c r="F16" s="31">
        <v>42</v>
      </c>
      <c r="G16" s="35">
        <v>0.32729999999999998</v>
      </c>
      <c r="H16" s="35">
        <v>0.76290000000000002</v>
      </c>
      <c r="I16" s="37">
        <v>2.94</v>
      </c>
      <c r="J16" s="35">
        <v>0.80889999999999995</v>
      </c>
      <c r="K16" s="37">
        <v>32.18</v>
      </c>
    </row>
    <row r="17" spans="1:11" ht="22" customHeight="1" x14ac:dyDescent="0.2">
      <c r="A17" s="49">
        <v>13</v>
      </c>
      <c r="B17" s="32" t="s">
        <v>88</v>
      </c>
      <c r="C17" s="27" t="s">
        <v>89</v>
      </c>
      <c r="D17" s="32" t="s">
        <v>60</v>
      </c>
      <c r="E17" s="32" t="s">
        <v>79</v>
      </c>
      <c r="F17" s="33">
        <v>89.93</v>
      </c>
      <c r="G17" s="35">
        <v>7.0900000000000005E-2</v>
      </c>
      <c r="H17" s="35">
        <v>0.68459999999999999</v>
      </c>
      <c r="I17" s="37">
        <v>2.64</v>
      </c>
      <c r="J17" s="35">
        <v>0.96050000000000002</v>
      </c>
      <c r="K17" s="37">
        <v>18.37</v>
      </c>
    </row>
    <row r="18" spans="1:11" ht="22" customHeight="1" x14ac:dyDescent="0.2">
      <c r="A18" s="48">
        <v>14</v>
      </c>
      <c r="B18" s="30" t="s">
        <v>90</v>
      </c>
      <c r="C18" s="25" t="s">
        <v>91</v>
      </c>
      <c r="D18" s="30" t="s">
        <v>76</v>
      </c>
      <c r="E18" s="30" t="s">
        <v>79</v>
      </c>
      <c r="F18" s="31">
        <v>56.75</v>
      </c>
      <c r="G18" s="35">
        <v>4.19E-2</v>
      </c>
      <c r="H18" s="35">
        <v>0.64259999999999995</v>
      </c>
      <c r="I18" s="37">
        <v>1.73</v>
      </c>
      <c r="J18" s="35">
        <v>2.226</v>
      </c>
      <c r="K18" s="37">
        <v>20.3</v>
      </c>
    </row>
    <row r="19" spans="1:11" ht="22" customHeight="1" x14ac:dyDescent="0.2">
      <c r="A19" s="49">
        <v>15</v>
      </c>
      <c r="B19" s="32" t="s">
        <v>92</v>
      </c>
      <c r="C19" s="27" t="s">
        <v>93</v>
      </c>
      <c r="D19" s="32" t="s">
        <v>94</v>
      </c>
      <c r="E19" s="32" t="s">
        <v>95</v>
      </c>
      <c r="F19" s="33">
        <v>162</v>
      </c>
      <c r="G19" s="35">
        <v>0.37509999999999999</v>
      </c>
      <c r="H19" s="35">
        <v>0.8034</v>
      </c>
      <c r="I19" s="37">
        <v>0.69</v>
      </c>
      <c r="J19" s="35">
        <v>7.0300000000000001E-2</v>
      </c>
      <c r="K19" s="37">
        <v>7.94</v>
      </c>
    </row>
    <row r="20" spans="1:11" ht="22" customHeight="1" x14ac:dyDescent="0.2">
      <c r="A20" s="48">
        <v>16</v>
      </c>
      <c r="B20" s="30" t="s">
        <v>96</v>
      </c>
      <c r="C20" s="25" t="s">
        <v>97</v>
      </c>
      <c r="D20" s="30" t="s">
        <v>60</v>
      </c>
      <c r="E20" s="30" t="s">
        <v>95</v>
      </c>
      <c r="F20" s="31">
        <f>46.44</f>
        <v>46.44</v>
      </c>
      <c r="G20" s="35">
        <v>0.50160000000000005</v>
      </c>
      <c r="H20" s="35">
        <v>0.61819999999999997</v>
      </c>
      <c r="I20" s="37">
        <v>0.44</v>
      </c>
      <c r="J20" s="35">
        <v>0.99429999999999996</v>
      </c>
      <c r="K20" s="37">
        <v>44.09</v>
      </c>
    </row>
    <row r="21" spans="1:11" ht="22" customHeight="1" x14ac:dyDescent="0.2">
      <c r="A21" s="49">
        <v>17</v>
      </c>
      <c r="B21" s="32" t="s">
        <v>98</v>
      </c>
      <c r="C21" s="27" t="s">
        <v>99</v>
      </c>
      <c r="D21" s="32" t="s">
        <v>60</v>
      </c>
      <c r="E21" s="32" t="s">
        <v>95</v>
      </c>
      <c r="F21" s="33">
        <f>135.82</f>
        <v>135.82</v>
      </c>
      <c r="G21" s="35">
        <v>5.2200000000000003E-2</v>
      </c>
      <c r="H21" s="35">
        <v>0.59230000000000005</v>
      </c>
      <c r="I21" s="37">
        <v>1.79</v>
      </c>
      <c r="J21" s="35">
        <v>1.2172000000000001</v>
      </c>
      <c r="K21" s="37">
        <v>36.299999999999997</v>
      </c>
    </row>
    <row r="22" spans="1:11" ht="22" customHeight="1" x14ac:dyDescent="0.2">
      <c r="A22" s="48">
        <v>18</v>
      </c>
      <c r="B22" s="30" t="s">
        <v>100</v>
      </c>
      <c r="C22" s="25" t="s">
        <v>101</v>
      </c>
      <c r="D22" s="30" t="s">
        <v>60</v>
      </c>
      <c r="E22" s="30" t="s">
        <v>95</v>
      </c>
      <c r="F22" s="31">
        <f>13.16</f>
        <v>13.16</v>
      </c>
      <c r="G22" s="206">
        <f>0.1017</f>
        <v>0.1017</v>
      </c>
      <c r="H22" s="35">
        <v>0.69799999999999995</v>
      </c>
      <c r="I22" s="37">
        <f>-1.29</f>
        <v>-1.29</v>
      </c>
      <c r="J22" s="35">
        <v>1.196</v>
      </c>
      <c r="K22" s="37">
        <v>51.32</v>
      </c>
    </row>
    <row r="23" spans="1:11" ht="22" customHeight="1" x14ac:dyDescent="0.2">
      <c r="A23" s="49">
        <v>19</v>
      </c>
      <c r="B23" s="32" t="s">
        <v>102</v>
      </c>
      <c r="C23" s="27" t="s">
        <v>103</v>
      </c>
      <c r="D23" s="32" t="s">
        <v>60</v>
      </c>
      <c r="E23" s="32" t="s">
        <v>95</v>
      </c>
      <c r="F23" s="33">
        <f>17.55</f>
        <v>17.55</v>
      </c>
      <c r="G23" s="35">
        <v>0.1532</v>
      </c>
      <c r="H23" s="35">
        <v>0.35920000000000002</v>
      </c>
      <c r="I23" s="37">
        <f>-0.72</f>
        <v>-0.72</v>
      </c>
      <c r="J23" s="35">
        <v>0.82579999999999998</v>
      </c>
      <c r="K23" s="37">
        <v>39.18</v>
      </c>
    </row>
    <row r="24" spans="1:11" ht="22" customHeight="1" x14ac:dyDescent="0.2">
      <c r="A24" s="48">
        <v>20</v>
      </c>
      <c r="B24" s="30" t="s">
        <v>104</v>
      </c>
      <c r="C24" s="25" t="s">
        <v>105</v>
      </c>
      <c r="D24" s="30" t="s">
        <v>106</v>
      </c>
      <c r="E24" s="30" t="s">
        <v>107</v>
      </c>
      <c r="F24" s="31">
        <f>269.17</f>
        <v>269.17</v>
      </c>
      <c r="G24" s="35">
        <v>0.1159</v>
      </c>
      <c r="H24" s="35">
        <v>0.66239999999999999</v>
      </c>
      <c r="I24" s="37">
        <v>0.94</v>
      </c>
      <c r="J24" s="35">
        <v>0.76619999999999999</v>
      </c>
      <c r="K24" s="37">
        <v>157.79</v>
      </c>
    </row>
    <row r="25" spans="1:11" ht="22" customHeight="1" x14ac:dyDescent="0.2">
      <c r="A25" s="49">
        <v>21</v>
      </c>
      <c r="B25" s="32" t="s">
        <v>108</v>
      </c>
      <c r="C25" s="27" t="s">
        <v>109</v>
      </c>
      <c r="D25" s="32" t="s">
        <v>106</v>
      </c>
      <c r="E25" s="32" t="s">
        <v>107</v>
      </c>
      <c r="F25" s="33">
        <f>200.53</f>
        <v>200.53</v>
      </c>
      <c r="G25" s="206">
        <f>0.226</f>
        <v>0.22600000000000001</v>
      </c>
      <c r="H25" s="35">
        <v>0.66549999999999998</v>
      </c>
      <c r="I25" s="37">
        <f>-1.32</f>
        <v>-1.32</v>
      </c>
      <c r="J25" s="35">
        <v>0.3674</v>
      </c>
      <c r="K25" s="37">
        <v>144.1</v>
      </c>
    </row>
    <row r="26" spans="1:11" ht="22" customHeight="1" x14ac:dyDescent="0.2">
      <c r="A26" s="48">
        <v>22</v>
      </c>
      <c r="B26" s="30" t="s">
        <v>110</v>
      </c>
      <c r="C26" s="25" t="s">
        <v>111</v>
      </c>
      <c r="D26" s="30" t="s">
        <v>106</v>
      </c>
      <c r="E26" s="30" t="s">
        <v>112</v>
      </c>
      <c r="F26" s="31">
        <f>213.78</f>
        <v>213.78</v>
      </c>
      <c r="G26" s="35">
        <v>0.14560000000000001</v>
      </c>
      <c r="H26" s="35">
        <v>0.74319999999999997</v>
      </c>
      <c r="I26" s="37">
        <v>0.19</v>
      </c>
      <c r="J26" s="35">
        <v>0.52949999999999997</v>
      </c>
      <c r="K26" s="37">
        <f>85.6</f>
        <v>85.6</v>
      </c>
    </row>
    <row r="27" spans="1:11" ht="22" customHeight="1" x14ac:dyDescent="0.2">
      <c r="A27" s="49">
        <v>23</v>
      </c>
      <c r="B27" s="32" t="s">
        <v>113</v>
      </c>
      <c r="C27" s="27" t="s">
        <v>114</v>
      </c>
      <c r="D27" s="32" t="s">
        <v>115</v>
      </c>
      <c r="E27" s="32" t="s">
        <v>107</v>
      </c>
      <c r="F27" s="33">
        <f>56.88</f>
        <v>56.88</v>
      </c>
      <c r="G27" s="35">
        <v>0.28060000000000002</v>
      </c>
      <c r="H27" s="35">
        <v>0.52459999999999996</v>
      </c>
      <c r="I27" s="37">
        <v>0.48</v>
      </c>
      <c r="J27" s="35">
        <v>0.83560000000000001</v>
      </c>
      <c r="K27" s="37">
        <v>37.78</v>
      </c>
    </row>
    <row r="28" spans="1:11" ht="22" customHeight="1" x14ac:dyDescent="0.2">
      <c r="A28" s="48">
        <v>24</v>
      </c>
      <c r="B28" s="30" t="s">
        <v>116</v>
      </c>
      <c r="C28" s="25" t="s">
        <v>117</v>
      </c>
      <c r="D28" s="30" t="s">
        <v>76</v>
      </c>
      <c r="E28" s="30" t="s">
        <v>112</v>
      </c>
      <c r="F28" s="31">
        <f>41.18</f>
        <v>41.18</v>
      </c>
      <c r="G28" s="35">
        <v>7.85E-2</v>
      </c>
      <c r="H28" s="35">
        <v>0.60489999999999999</v>
      </c>
      <c r="I28" s="37">
        <v>3.16</v>
      </c>
      <c r="J28" s="35">
        <v>0.16439999999999999</v>
      </c>
      <c r="K28" s="37">
        <v>9.07</v>
      </c>
    </row>
    <row r="29" spans="1:11" ht="22" customHeight="1" x14ac:dyDescent="0.2">
      <c r="A29" s="49">
        <v>25</v>
      </c>
      <c r="B29" s="32" t="s">
        <v>118</v>
      </c>
      <c r="C29" s="27" t="s">
        <v>119</v>
      </c>
      <c r="D29" s="32" t="s">
        <v>73</v>
      </c>
      <c r="E29" s="32" t="s">
        <v>61</v>
      </c>
      <c r="F29" s="33">
        <f>498.56</f>
        <v>498.56</v>
      </c>
      <c r="G29" s="35">
        <v>0.42799999999999999</v>
      </c>
      <c r="H29" s="35">
        <v>0.51559999999999995</v>
      </c>
      <c r="I29" s="37">
        <f>-0.72</f>
        <v>-0.72</v>
      </c>
      <c r="J29" s="35">
        <v>0.88819999999999999</v>
      </c>
      <c r="K29" s="37">
        <v>64.86</v>
      </c>
    </row>
    <row r="30" spans="1:11" ht="22" customHeight="1" x14ac:dyDescent="0.2">
      <c r="A30" s="48">
        <v>26</v>
      </c>
      <c r="B30" s="30" t="s">
        <v>120</v>
      </c>
      <c r="C30" s="25" t="s">
        <v>121</v>
      </c>
      <c r="D30" s="30" t="s">
        <v>60</v>
      </c>
      <c r="E30" s="30" t="s">
        <v>122</v>
      </c>
      <c r="F30" s="31">
        <f>51.19</f>
        <v>51.19</v>
      </c>
      <c r="G30" s="35">
        <v>0.30759999999999998</v>
      </c>
      <c r="H30" s="35">
        <v>0.42959999999999998</v>
      </c>
      <c r="I30" s="37">
        <f>-0.08</f>
        <v>-0.08</v>
      </c>
      <c r="J30" s="35">
        <v>3.6900000000000002E-2</v>
      </c>
      <c r="K30" s="37">
        <v>6.28</v>
      </c>
    </row>
    <row r="31" spans="1:11" ht="22" customHeight="1" x14ac:dyDescent="0.2">
      <c r="A31" s="49">
        <v>27</v>
      </c>
      <c r="B31" s="32" t="s">
        <v>123</v>
      </c>
      <c r="C31" s="27" t="s">
        <v>124</v>
      </c>
      <c r="D31" s="32" t="s">
        <v>60</v>
      </c>
      <c r="E31" s="32" t="s">
        <v>122</v>
      </c>
      <c r="F31" s="33">
        <f>32.4</f>
        <v>32.4</v>
      </c>
      <c r="G31" s="35">
        <v>0.18379999999999999</v>
      </c>
      <c r="H31" s="35">
        <v>0.44669999999999999</v>
      </c>
      <c r="I31" s="37">
        <v>-2.5</v>
      </c>
      <c r="J31" s="35">
        <v>0.79279999999999995</v>
      </c>
      <c r="K31" s="37">
        <v>3.91</v>
      </c>
    </row>
    <row r="32" spans="1:11" ht="22" customHeight="1" x14ac:dyDescent="0.2">
      <c r="A32" s="48">
        <v>28</v>
      </c>
      <c r="B32" s="30" t="s">
        <v>125</v>
      </c>
      <c r="C32" s="25" t="s">
        <v>126</v>
      </c>
      <c r="D32" s="30" t="s">
        <v>60</v>
      </c>
      <c r="E32" s="30" t="s">
        <v>122</v>
      </c>
      <c r="F32" s="31">
        <f>36.65</f>
        <v>36.65</v>
      </c>
      <c r="G32" s="35">
        <v>5.6599999999999998E-2</v>
      </c>
      <c r="H32" s="35">
        <v>0.69240000000000002</v>
      </c>
      <c r="I32" s="37">
        <v>2.87</v>
      </c>
      <c r="J32" s="35">
        <v>1.3915999999999999</v>
      </c>
      <c r="K32" s="37">
        <v>60.06</v>
      </c>
    </row>
    <row r="33" spans="1:11" ht="22" customHeight="1" x14ac:dyDescent="0.2">
      <c r="A33" s="49">
        <v>29</v>
      </c>
      <c r="B33" s="32" t="s">
        <v>127</v>
      </c>
      <c r="C33" s="27" t="s">
        <v>128</v>
      </c>
      <c r="D33" s="32" t="s">
        <v>129</v>
      </c>
      <c r="E33" s="32" t="s">
        <v>122</v>
      </c>
      <c r="F33" s="33">
        <f>8.13</f>
        <v>8.1300000000000008</v>
      </c>
      <c r="G33" s="35">
        <v>0.27660000000000001</v>
      </c>
      <c r="H33" s="35">
        <v>0.59019999999999995</v>
      </c>
      <c r="I33" s="37">
        <f>-1.39</f>
        <v>-1.39</v>
      </c>
      <c r="J33" s="35">
        <v>0.23480000000000001</v>
      </c>
      <c r="K33" s="37">
        <v>109.69</v>
      </c>
    </row>
    <row r="34" spans="1:11" ht="22" customHeight="1" x14ac:dyDescent="0.2">
      <c r="A34" s="48">
        <v>30</v>
      </c>
      <c r="B34" s="30" t="s">
        <v>130</v>
      </c>
      <c r="C34" s="25" t="s">
        <v>131</v>
      </c>
      <c r="D34" s="30" t="s">
        <v>60</v>
      </c>
      <c r="E34" s="30" t="s">
        <v>122</v>
      </c>
      <c r="F34" s="31">
        <f>27.69</f>
        <v>27.69</v>
      </c>
      <c r="G34" s="35">
        <v>0.28029999999999999</v>
      </c>
      <c r="H34" s="35">
        <v>0.59250000000000003</v>
      </c>
      <c r="I34" s="37">
        <v>1.5</v>
      </c>
      <c r="J34" s="35">
        <v>1.0358000000000001</v>
      </c>
      <c r="K34" s="37">
        <v>18.88</v>
      </c>
    </row>
    <row r="35" spans="1:11" ht="22" customHeight="1" x14ac:dyDescent="0.2">
      <c r="A35" s="49">
        <v>31</v>
      </c>
      <c r="B35" s="32" t="s">
        <v>132</v>
      </c>
      <c r="C35" s="27" t="s">
        <v>133</v>
      </c>
      <c r="D35" s="32" t="s">
        <v>60</v>
      </c>
      <c r="E35" s="32" t="s">
        <v>79</v>
      </c>
      <c r="F35" s="33">
        <v>14</v>
      </c>
      <c r="G35" s="35">
        <v>4.87E-2</v>
      </c>
      <c r="H35" s="35">
        <v>0.46529999999999999</v>
      </c>
      <c r="I35" s="37">
        <v>2.84</v>
      </c>
      <c r="J35" s="35">
        <v>1.2541</v>
      </c>
      <c r="K35" s="37">
        <v>19.78</v>
      </c>
    </row>
    <row r="36" spans="1:11" ht="22" customHeight="1" x14ac:dyDescent="0.2">
      <c r="A36" s="48">
        <v>32</v>
      </c>
      <c r="B36" s="30" t="s">
        <v>134</v>
      </c>
      <c r="C36" s="25" t="s">
        <v>321</v>
      </c>
      <c r="D36" s="30" t="s">
        <v>136</v>
      </c>
      <c r="E36" s="30" t="s">
        <v>61</v>
      </c>
      <c r="F36" s="31">
        <f>1490.22</f>
        <v>1490.22</v>
      </c>
      <c r="G36" s="35">
        <v>0.29559999999999997</v>
      </c>
      <c r="H36" s="35">
        <v>0.58720000000000006</v>
      </c>
      <c r="I36" s="37">
        <f>-0.76</f>
        <v>-0.76</v>
      </c>
      <c r="J36" s="35">
        <v>0.35570000000000002</v>
      </c>
      <c r="K36" s="37">
        <v>3.05</v>
      </c>
    </row>
    <row r="37" spans="1:11" ht="22" customHeight="1" x14ac:dyDescent="0.2">
      <c r="A37" s="49">
        <v>33</v>
      </c>
      <c r="B37" s="32" t="s">
        <v>137</v>
      </c>
      <c r="C37" s="27">
        <v>6861</v>
      </c>
      <c r="D37" s="32" t="s">
        <v>138</v>
      </c>
      <c r="E37" s="32" t="s">
        <v>61</v>
      </c>
      <c r="F37" s="33">
        <f>90.59</f>
        <v>90.59</v>
      </c>
      <c r="G37" s="35">
        <v>0.1348</v>
      </c>
      <c r="H37" s="35">
        <v>0.83809999999999996</v>
      </c>
      <c r="I37" s="37">
        <f>-2.16</f>
        <v>-2.16</v>
      </c>
      <c r="J37" s="35">
        <v>0.79359999999999997</v>
      </c>
      <c r="K37" s="37">
        <v>23.3</v>
      </c>
    </row>
    <row r="38" spans="1:11" ht="22" customHeight="1" x14ac:dyDescent="0.2">
      <c r="A38" s="48">
        <v>34</v>
      </c>
      <c r="B38" s="30" t="s">
        <v>139</v>
      </c>
      <c r="C38" s="25" t="s">
        <v>140</v>
      </c>
      <c r="D38" s="30" t="s">
        <v>106</v>
      </c>
      <c r="E38" s="30" t="s">
        <v>95</v>
      </c>
      <c r="F38" s="31">
        <f>104.6</f>
        <v>104.6</v>
      </c>
      <c r="G38" s="35">
        <v>4.7E-2</v>
      </c>
      <c r="H38" s="35">
        <v>0.60609999999999997</v>
      </c>
      <c r="I38" s="37">
        <f>1.68</f>
        <v>1.68</v>
      </c>
      <c r="J38" s="35">
        <v>1.5169999999999999</v>
      </c>
      <c r="K38" s="37">
        <v>63.68</v>
      </c>
    </row>
    <row r="39" spans="1:11" ht="22" customHeight="1" x14ac:dyDescent="0.2">
      <c r="A39" s="50">
        <v>35</v>
      </c>
      <c r="B39" s="42" t="s">
        <v>141</v>
      </c>
      <c r="C39" s="41" t="s">
        <v>142</v>
      </c>
      <c r="D39" s="42" t="s">
        <v>143</v>
      </c>
      <c r="E39" s="42" t="s">
        <v>95</v>
      </c>
      <c r="F39" s="43">
        <f>25.28</f>
        <v>25.28</v>
      </c>
      <c r="G39" s="44">
        <v>0.44180000000000003</v>
      </c>
      <c r="H39" s="44">
        <v>0.57520000000000004</v>
      </c>
      <c r="I39" s="45">
        <f>1.68</f>
        <v>1.68</v>
      </c>
      <c r="J39" s="44">
        <v>0.97640000000000005</v>
      </c>
      <c r="K39" s="45">
        <v>175.97</v>
      </c>
    </row>
    <row r="41" spans="1:11" x14ac:dyDescent="0.2">
      <c r="A41" s="52" t="s">
        <v>144</v>
      </c>
      <c r="B41" s="305" t="s">
        <v>145</v>
      </c>
      <c r="C41" s="305"/>
    </row>
    <row r="42" spans="1:11" x14ac:dyDescent="0.2">
      <c r="B42" s="306" t="s">
        <v>146</v>
      </c>
      <c r="C42" s="293"/>
      <c r="D42" s="293"/>
      <c r="E42" s="293"/>
      <c r="F42" s="293"/>
    </row>
  </sheetData>
  <mergeCells count="4">
    <mergeCell ref="A1:K1"/>
    <mergeCell ref="A2:K2"/>
    <mergeCell ref="B41:C41"/>
    <mergeCell ref="B42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F5F8-2218-EC43-A782-CA3EBC20FAE2}">
  <dimension ref="A1:Y45"/>
  <sheetViews>
    <sheetView workbookViewId="0">
      <selection activeCell="F22" sqref="F22"/>
    </sheetView>
  </sheetViews>
  <sheetFormatPr baseColWidth="10" defaultRowHeight="16" x14ac:dyDescent="0.2"/>
  <cols>
    <col min="1" max="1" width="4.6640625" customWidth="1"/>
    <col min="2" max="2" width="30.83203125" customWidth="1"/>
    <col min="3" max="3" width="9.6640625" customWidth="1"/>
    <col min="4" max="4" width="17.1640625" customWidth="1"/>
    <col min="5" max="5" width="13" customWidth="1"/>
    <col min="6" max="6" width="18.6640625" customWidth="1"/>
    <col min="7" max="7" width="8.6640625" customWidth="1"/>
    <col min="8" max="8" width="14.83203125" customWidth="1"/>
    <col min="9" max="9" width="8.6640625" customWidth="1"/>
    <col min="10" max="10" width="17.1640625" customWidth="1"/>
    <col min="11" max="11" width="10.6640625" customWidth="1"/>
    <col min="12" max="12" width="12" customWidth="1"/>
    <col min="13" max="13" width="8.6640625" customWidth="1"/>
    <col min="14" max="14" width="14.1640625" customWidth="1"/>
    <col min="15" max="15" width="3" customWidth="1"/>
    <col min="16" max="16" width="6.6640625" customWidth="1"/>
    <col min="17" max="17" width="29.1640625" customWidth="1"/>
    <col min="18" max="18" width="9.6640625" customWidth="1"/>
    <col min="20" max="24" width="8" customWidth="1"/>
    <col min="25" max="25" width="12.5" customWidth="1"/>
  </cols>
  <sheetData>
    <row r="1" spans="1:25" ht="36" customHeight="1" x14ac:dyDescent="0.2">
      <c r="A1" s="298" t="s">
        <v>147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</row>
    <row r="2" spans="1:25" ht="20" customHeight="1" x14ac:dyDescent="0.2">
      <c r="A2" s="299" t="s">
        <v>148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</row>
    <row r="3" spans="1:25" ht="8" customHeight="1" x14ac:dyDescent="0.2"/>
    <row r="4" spans="1:25" ht="24" customHeight="1" x14ac:dyDescent="0.2">
      <c r="A4" s="307" t="s">
        <v>149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P4" s="303" t="s">
        <v>323</v>
      </c>
      <c r="Q4" s="293"/>
      <c r="R4" s="293"/>
      <c r="S4" s="293"/>
      <c r="T4" s="293"/>
      <c r="U4" s="293"/>
      <c r="V4" s="293"/>
      <c r="W4" s="293"/>
      <c r="X4" s="293"/>
    </row>
    <row r="5" spans="1:25" ht="18" customHeight="1" x14ac:dyDescent="0.2">
      <c r="A5" s="54" t="s">
        <v>150</v>
      </c>
      <c r="B5" s="54" t="s">
        <v>151</v>
      </c>
      <c r="C5" s="55">
        <v>0.3</v>
      </c>
      <c r="D5" s="54" t="s">
        <v>152</v>
      </c>
      <c r="E5" s="55">
        <v>0.2</v>
      </c>
      <c r="F5" s="54" t="s">
        <v>153</v>
      </c>
      <c r="G5" s="55">
        <v>0.2</v>
      </c>
      <c r="H5" s="54" t="s">
        <v>154</v>
      </c>
      <c r="I5" s="55">
        <v>0.2</v>
      </c>
      <c r="J5" s="54" t="s">
        <v>155</v>
      </c>
      <c r="K5" s="55">
        <v>0.1</v>
      </c>
      <c r="L5" s="56"/>
      <c r="M5" s="54" t="s">
        <v>156</v>
      </c>
      <c r="N5" s="55">
        <f>C5+E5+G5+I5+K5</f>
        <v>0.99999999999999989</v>
      </c>
      <c r="P5" s="309" t="s">
        <v>324</v>
      </c>
      <c r="Q5" s="293"/>
      <c r="R5" s="293"/>
      <c r="S5" s="293"/>
      <c r="T5" s="293"/>
      <c r="U5" s="293"/>
      <c r="V5" s="293"/>
      <c r="W5" s="293"/>
      <c r="X5" s="293"/>
    </row>
    <row r="6" spans="1:25" ht="6" customHeight="1" x14ac:dyDescent="0.2"/>
    <row r="7" spans="1:25" ht="40" customHeight="1" x14ac:dyDescent="0.2">
      <c r="A7" s="52" t="s">
        <v>157</v>
      </c>
      <c r="B7" s="308" t="s">
        <v>158</v>
      </c>
      <c r="C7" s="29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P7" s="70" t="s">
        <v>325</v>
      </c>
      <c r="Q7" s="154" t="s">
        <v>54</v>
      </c>
      <c r="R7" s="66" t="s">
        <v>55</v>
      </c>
      <c r="S7" s="66" t="s">
        <v>168</v>
      </c>
      <c r="T7" s="66" t="s">
        <v>160</v>
      </c>
      <c r="U7" s="66" t="s">
        <v>162</v>
      </c>
      <c r="V7" s="66" t="s">
        <v>164</v>
      </c>
      <c r="W7" s="66" t="s">
        <v>166</v>
      </c>
      <c r="X7" s="66" t="s">
        <v>326</v>
      </c>
      <c r="Y7" s="216" t="s">
        <v>327</v>
      </c>
    </row>
    <row r="8" spans="1:25" ht="22" customHeight="1" x14ac:dyDescent="0.2">
      <c r="A8" s="70" t="s">
        <v>0</v>
      </c>
      <c r="B8" s="66" t="s">
        <v>54</v>
      </c>
      <c r="C8" s="154" t="s">
        <v>55</v>
      </c>
      <c r="D8" s="67" t="s">
        <v>159</v>
      </c>
      <c r="E8" s="66" t="s">
        <v>160</v>
      </c>
      <c r="F8" s="67" t="s">
        <v>161</v>
      </c>
      <c r="G8" s="66" t="s">
        <v>162</v>
      </c>
      <c r="H8" s="67" t="s">
        <v>163</v>
      </c>
      <c r="I8" s="66" t="s">
        <v>164</v>
      </c>
      <c r="J8" s="67" t="s">
        <v>165</v>
      </c>
      <c r="K8" s="66" t="s">
        <v>166</v>
      </c>
      <c r="L8" s="40" t="s">
        <v>320</v>
      </c>
      <c r="M8" s="66" t="s">
        <v>167</v>
      </c>
      <c r="N8" s="75" t="s">
        <v>168</v>
      </c>
      <c r="P8" s="210">
        <v>1</v>
      </c>
      <c r="Q8" s="22" t="str" cm="1">
        <f t="array" ref="Q8">IFERROR(INDEX($B$9:$B$43,MATCH(LARGE($N$9:$N$43+(ROW($N$9:$N$43)-ROW($N$9))/1000,1),$N$9:$N$43+(ROW($N$9:$N$43)-ROW($N$9))/1000,0)),"")</f>
        <v>Mastercard Incorporated</v>
      </c>
      <c r="R8" s="22" t="str" cm="1">
        <f t="array" ref="R8">IFERROR(INDEX($C$9:$C$43,MATCH(LARGE($N$9:$N$43+(ROW($N$9:$N$43)-ROW($N$9))/1000,1),$N$9:$N$43+(ROW($N$9:$N$43)-ROW($N$9))/1000,0)),"")</f>
        <v>MA</v>
      </c>
      <c r="S8" s="59" cm="1">
        <f t="array" ref="S8">IFERROR(INDEX($N$9:$N$43,MATCH(LARGE($N$9:$N$43+(ROW($N$9:$N$43)-ROW($N$9))/1000,1),$N$9:$N$43+(ROW($N$9:$N$43)-ROW($N$9))/1000,0)),"")</f>
        <v>4.2</v>
      </c>
      <c r="T8" s="57" cm="1">
        <f t="array" ref="T8">IFERROR(INDEX($E$9:$E$43,MATCH(LARGE($N$9:$N$43+(ROW($N$9:$N$43)-ROW($N$9))/1000,1),$N$9:$N$43+(ROW($N$9:$N$43)-ROW($N$9))/1000,0)),"")</f>
        <v>5</v>
      </c>
      <c r="U8" s="57" cm="1">
        <f t="array" ref="U8">IFERROR(INDEX($G$9:$G$43,MATCH(LARGE($N$9:$N$43+(ROW($N$9:$N$43)-ROW($N$9))/1000,1),$N$9:$N$43+(ROW($N$9:$N$43)-ROW($N$9))/1000,0)),"")</f>
        <v>5</v>
      </c>
      <c r="V8" s="57" cm="1">
        <f t="array" ref="V8">IFERROR(INDEX($I$9:$I$43,MATCH(LARGE($N$9:$N$43+(ROW($N$9:$N$43)-ROW($N$9))/1000,1),$N$9:$N$43+(ROW($N$9:$N$43)-ROW($N$9))/1000,0)),"")</f>
        <v>3</v>
      </c>
      <c r="W8" s="57" cm="1">
        <f t="array" ref="W8">IFERROR(INDEX($K$9:$K$43,MATCH(LARGE($N$9:$N$43+(ROW($N$9:$N$43)-ROW($N$9))/1000,1),$N$9:$N$43+(ROW($N$9:$N$43)-ROW($N$9))/1000,0)),"")</f>
        <v>4</v>
      </c>
      <c r="X8" s="57" cm="1">
        <f t="array" ref="X8">IFERROR(INDEX($M$9:$M$43,MATCH(LARGE($N$9:$N$43+(ROW($N$9:$N$43)-ROW($N$9))/1000,1),$N$9:$N$43+(ROW($N$9:$N$43)-ROW($N$9))/1000,0)),"")</f>
        <v>3</v>
      </c>
      <c r="Y8" s="217" t="str">
        <f>IF(R8="","",IF(COUNTIF(Portfolio!$C$5:$C$19,R8)&gt;0,"YES","-"))</f>
        <v>YES</v>
      </c>
    </row>
    <row r="9" spans="1:25" ht="22" customHeight="1" x14ac:dyDescent="0.2">
      <c r="A9" s="71">
        <v>1</v>
      </c>
      <c r="B9" s="22" t="s">
        <v>58</v>
      </c>
      <c r="C9" s="22" t="s">
        <v>59</v>
      </c>
      <c r="D9" s="34">
        <f>Universe!G5</f>
        <v>0.25600000000000001</v>
      </c>
      <c r="E9" s="58">
        <f t="shared" ref="E9:E43" si="0">IF(D9="","",MAX(1,MIN(5,1+INT(IFERROR(PERCENTRANK(D$9:D$43,D9),0.5)*5))))</f>
        <v>3</v>
      </c>
      <c r="F9" s="34">
        <f>Universe!H5</f>
        <v>0.68820000000000003</v>
      </c>
      <c r="G9" s="58">
        <f t="shared" ref="G9:G43" si="1">IF(F9="","",MAX(1,MIN(5,1+INT(IFERROR(PERCENTRANK(F$9:F$43,F9),0.5)*5))))</f>
        <v>4</v>
      </c>
      <c r="H9" s="36">
        <f>Universe!I5</f>
        <v>-0.03</v>
      </c>
      <c r="I9" s="58">
        <f t="shared" ref="I9:I43" si="2">IF(H9="","",MAX(1,MIN(5,5-INT(IFERROR(PERCENTRANK(H$9:H$43,H9),0.5)*5))))</f>
        <v>4</v>
      </c>
      <c r="J9" s="34">
        <f>Universe!J5</f>
        <v>0.4667</v>
      </c>
      <c r="K9" s="58">
        <f t="shared" ref="K9:K43" si="3">IF(J9="","",MAX(1,MIN(5,1+INT(IFERROR(PERCENTRANK(J$9:J$43,J9),0.5)*5))))</f>
        <v>1</v>
      </c>
      <c r="L9" s="36">
        <f>Universe!K5</f>
        <v>29.46</v>
      </c>
      <c r="M9" s="58">
        <f t="shared" ref="M9:M43" si="4">IF(L9="","",MAX(1,MIN(5,1+INT(IFERROR(PERCENTRANK(L$9:L$43,L9),0.5)*5))))</f>
        <v>3</v>
      </c>
      <c r="N9" s="76">
        <f>IF(COUNTA(D9,F9,H9,J9,L9)&lt;5,"",E9*C5+G9*E5+I9*G5+K9*I5+M9*K5)</f>
        <v>3</v>
      </c>
      <c r="P9" s="211">
        <v>2</v>
      </c>
      <c r="Q9" s="24" t="str" cm="1">
        <f t="array" ref="Q9">IFERROR(INDEX($B$9:$B$43,MATCH(LARGE($N$9:$N$43+(ROW($N$9:$N$43)-ROW($N$9))/1000,2),$N$9:$N$43+(ROW($N$9:$N$43)-ROW($N$9))/1000,0)),"")</f>
        <v>Idexx Laboratories</v>
      </c>
      <c r="R9" s="24" t="str" cm="1">
        <f t="array" ref="R9">IFERROR(INDEX($C$9:$C$43,MATCH(LARGE($N$9:$N$43+(ROW($N$9:$N$43)-ROW($N$9))/1000,2),$N$9:$N$43+(ROW($N$9:$N$43)-ROW($N$9))/1000,0)),"")</f>
        <v>IDXX</v>
      </c>
      <c r="S9" s="62" cm="1">
        <f t="array" ref="S9">IFERROR(INDEX($N$9:$N$43,MATCH(LARGE($N$9:$N$43+(ROW($N$9:$N$43)-ROW($N$9))/1000,2),$N$9:$N$43+(ROW($N$9:$N$43)-ROW($N$9))/1000,0)),"")</f>
        <v>3.9</v>
      </c>
      <c r="T9" s="60" cm="1">
        <f t="array" ref="T9">IFERROR(INDEX($E$9:$E$43,MATCH(LARGE($N$9:$N$43+(ROW($N$9:$N$43)-ROW($N$9))/1000,2),$N$9:$N$43+(ROW($N$9:$N$43)-ROW($N$9))/1000,0)),"")</f>
        <v>5</v>
      </c>
      <c r="U9" s="60" cm="1">
        <f t="array" ref="U9">IFERROR(INDEX($G$9:$G$43,MATCH(LARGE($N$9:$N$43+(ROW($N$9:$N$43)-ROW($N$9))/1000,2),$N$9:$N$43+(ROW($N$9:$N$43)-ROW($N$9))/1000,0)),"")</f>
        <v>3</v>
      </c>
      <c r="V9" s="60" cm="1">
        <f t="array" ref="V9">IFERROR(INDEX($I$9:$I$43,MATCH(LARGE($N$9:$N$43+(ROW($N$9:$N$43)-ROW($N$9))/1000,2),$N$9:$N$43+(ROW($N$9:$N$43)-ROW($N$9))/1000,0)),"")</f>
        <v>3</v>
      </c>
      <c r="W9" s="60" cm="1">
        <f t="array" ref="W9">IFERROR(INDEX($K$9:$K$43,MATCH(LARGE($N$9:$N$43+(ROW($N$9:$N$43)-ROW($N$9))/1000,2),$N$9:$N$43+(ROW($N$9:$N$43)-ROW($N$9))/1000,0)),"")</f>
        <v>4</v>
      </c>
      <c r="X9" s="60" cm="1">
        <f t="array" ref="X9">IFERROR(INDEX($M$9:$M$43,MATCH(LARGE($N$9:$N$43+(ROW($N$9:$N$43)-ROW($N$9))/1000,2),$N$9:$N$43+(ROW($N$9:$N$43)-ROW($N$9))/1000,0)),"")</f>
        <v>4</v>
      </c>
      <c r="Y9" s="218" t="str">
        <f>IF(R9="","",IF(COUNTIF(Portfolio!$C$5:$C$19,R9)&gt;0,"YES","-"))</f>
        <v>YES</v>
      </c>
    </row>
    <row r="10" spans="1:25" ht="22" customHeight="1" x14ac:dyDescent="0.2">
      <c r="A10" s="72">
        <v>2</v>
      </c>
      <c r="B10" s="24" t="s">
        <v>62</v>
      </c>
      <c r="C10" s="24" t="s">
        <v>63</v>
      </c>
      <c r="D10" s="34">
        <f>Universe!G6</f>
        <v>0.221</v>
      </c>
      <c r="E10" s="61">
        <f t="shared" si="0"/>
        <v>3</v>
      </c>
      <c r="F10" s="34">
        <f>Universe!H6</f>
        <v>0.31900000000000001</v>
      </c>
      <c r="G10" s="61">
        <f t="shared" si="1"/>
        <v>1</v>
      </c>
      <c r="H10" s="36">
        <f>Universe!I6</f>
        <v>-0.51</v>
      </c>
      <c r="I10" s="61">
        <f t="shared" si="2"/>
        <v>4</v>
      </c>
      <c r="J10" s="34">
        <f>Universe!J6</f>
        <v>0.93479999999999996</v>
      </c>
      <c r="K10" s="61">
        <f t="shared" si="3"/>
        <v>3</v>
      </c>
      <c r="L10" s="36">
        <f>Universe!K6</f>
        <v>97.33</v>
      </c>
      <c r="M10" s="61">
        <f t="shared" si="4"/>
        <v>5</v>
      </c>
      <c r="N10" s="77">
        <f>IF(COUNTA(D10,F10,H10,J10,L10)&lt;5,"",E10*C5+G10*E5+I10*G5+K10*I5+M10*K5)</f>
        <v>3</v>
      </c>
      <c r="P10" s="212">
        <v>3</v>
      </c>
      <c r="Q10" s="26" t="str" cm="1">
        <f t="array" ref="Q10">IFERROR(INDEX($B$9:$B$43,MATCH(LARGE($N$9:$N$43+(ROW($N$9:$N$43)-ROW($N$9))/1000,3),$N$9:$N$43+(ROW($N$9:$N$43)-ROW($N$9))/1000,0)),"")</f>
        <v>Visa Inc.</v>
      </c>
      <c r="R10" s="26" t="str" cm="1">
        <f t="array" ref="R10">IFERROR(INDEX($C$9:$C$43,MATCH(LARGE($N$9:$N$43+(ROW($N$9:$N$43)-ROW($N$9))/1000,3),$N$9:$N$43+(ROW($N$9:$N$43)-ROW($N$9))/1000,0)),"")</f>
        <v>V</v>
      </c>
      <c r="S10" s="65" cm="1">
        <f t="array" ref="S10">IFERROR(INDEX($N$9:$N$43,MATCH(LARGE($N$9:$N$43+(ROW($N$9:$N$43)-ROW($N$9))/1000,3),$N$9:$N$43+(ROW($N$9:$N$43)-ROW($N$9))/1000,0)),"")</f>
        <v>3.8000000000000003</v>
      </c>
      <c r="T10" s="63" cm="1">
        <f t="array" ref="T10">IFERROR(INDEX($E$9:$E$43,MATCH(LARGE($N$9:$N$43+(ROW($N$9:$N$43)-ROW($N$9))/1000,3),$N$9:$N$43+(ROW($N$9:$N$43)-ROW($N$9))/1000,0)),"")</f>
        <v>4</v>
      </c>
      <c r="U10" s="63" cm="1">
        <f t="array" ref="U10">IFERROR(INDEX($G$9:$G$43,MATCH(LARGE($N$9:$N$43+(ROW($N$9:$N$43)-ROW($N$9))/1000,3),$N$9:$N$43+(ROW($N$9:$N$43)-ROW($N$9))/1000,0)),"")</f>
        <v>5</v>
      </c>
      <c r="V10" s="63" cm="1">
        <f t="array" ref="V10">IFERROR(INDEX($I$9:$I$43,MATCH(LARGE($N$9:$N$43+(ROW($N$9:$N$43)-ROW($N$9))/1000,3),$N$9:$N$43+(ROW($N$9:$N$43)-ROW($N$9))/1000,0)),"")</f>
        <v>4</v>
      </c>
      <c r="W10" s="63" cm="1">
        <f t="array" ref="W10">IFERROR(INDEX($K$9:$K$43,MATCH(LARGE($N$9:$N$43+(ROW($N$9:$N$43)-ROW($N$9))/1000,3),$N$9:$N$43+(ROW($N$9:$N$43)-ROW($N$9))/1000,0)),"")</f>
        <v>3</v>
      </c>
      <c r="X10" s="63" cm="1">
        <f t="array" ref="X10">IFERROR(INDEX($M$9:$M$43,MATCH(LARGE($N$9:$N$43+(ROW($N$9:$N$43)-ROW($N$9))/1000,3),$N$9:$N$43+(ROW($N$9:$N$43)-ROW($N$9))/1000,0)),"")</f>
        <v>2</v>
      </c>
      <c r="Y10" s="219" t="str">
        <f>IF(R10="","",IF(COUNTIF(Portfolio!$C$5:$C$19,R10)&gt;0,"YES","-"))</f>
        <v>YES</v>
      </c>
    </row>
    <row r="11" spans="1:25" ht="22" customHeight="1" x14ac:dyDescent="0.2">
      <c r="A11" s="73">
        <v>3</v>
      </c>
      <c r="B11" s="26" t="s">
        <v>64</v>
      </c>
      <c r="C11" s="26" t="s">
        <v>65</v>
      </c>
      <c r="D11" s="34">
        <f>Universe!G7</f>
        <v>0.4446</v>
      </c>
      <c r="E11" s="64">
        <f t="shared" si="0"/>
        <v>5</v>
      </c>
      <c r="F11" s="34">
        <f>Universe!H7</f>
        <v>0.50370000000000004</v>
      </c>
      <c r="G11" s="64">
        <f t="shared" si="1"/>
        <v>1</v>
      </c>
      <c r="H11" s="36">
        <f>Universe!I7</f>
        <v>0.16</v>
      </c>
      <c r="I11" s="64">
        <f t="shared" si="2"/>
        <v>3</v>
      </c>
      <c r="J11" s="34">
        <f>Universe!J7</f>
        <v>0.58140000000000003</v>
      </c>
      <c r="K11" s="64">
        <f t="shared" si="3"/>
        <v>2</v>
      </c>
      <c r="L11" s="36">
        <f>Universe!K7</f>
        <v>42.89</v>
      </c>
      <c r="M11" s="64">
        <f t="shared" si="4"/>
        <v>4</v>
      </c>
      <c r="N11" s="78">
        <f>IF(COUNTA(D11,F11,H11,J11,L11)&lt;5,"",E11*C5+G11*E5+I11*G5+K11*I5+M11*K5)</f>
        <v>3.0999999999999996</v>
      </c>
      <c r="P11" s="211">
        <v>4</v>
      </c>
      <c r="Q11" s="24" t="str" cm="1">
        <f t="array" ref="Q11">IFERROR(INDEX($B$9:$B$43,MATCH(LARGE($N$9:$N$43+(ROW($N$9:$N$43)-ROW($N$9))/1000,4),$N$9:$N$43+(ROW($N$9:$N$43)-ROW($N$9))/1000,0)),"")</f>
        <v>Rightmove</v>
      </c>
      <c r="R11" s="24" t="str" cm="1">
        <f t="array" ref="R11">IFERROR(INDEX($C$9:$C$43,MATCH(LARGE($N$9:$N$43+(ROW($N$9:$N$43)-ROW($N$9))/1000,4),$N$9:$N$43+(ROW($N$9:$N$43)-ROW($N$9))/1000,0)),"")</f>
        <v>RMV</v>
      </c>
      <c r="S11" s="62" cm="1">
        <f t="array" ref="S11">IFERROR(INDEX($N$9:$N$43,MATCH(LARGE($N$9:$N$43+(ROW($N$9:$N$43)-ROW($N$9))/1000,4),$N$9:$N$43+(ROW($N$9:$N$43)-ROW($N$9))/1000,0)),"")</f>
        <v>3.8</v>
      </c>
      <c r="T11" s="60" cm="1">
        <f t="array" ref="T11">IFERROR(INDEX($E$9:$E$43,MATCH(LARGE($N$9:$N$43+(ROW($N$9:$N$43)-ROW($N$9))/1000,4),$N$9:$N$43+(ROW($N$9:$N$43)-ROW($N$9))/1000,0)),"")</f>
        <v>5</v>
      </c>
      <c r="U11" s="60" cm="1">
        <f t="array" ref="U11">IFERROR(INDEX($G$9:$G$43,MATCH(LARGE($N$9:$N$43+(ROW($N$9:$N$43)-ROW($N$9))/1000,4),$N$9:$N$43+(ROW($N$9:$N$43)-ROW($N$9))/1000,0)),"")</f>
        <v>5</v>
      </c>
      <c r="V11" s="60" cm="1">
        <f t="array" ref="V11">IFERROR(INDEX($I$9:$I$43,MATCH(LARGE($N$9:$N$43+(ROW($N$9:$N$43)-ROW($N$9))/1000,4),$N$9:$N$43+(ROW($N$9:$N$43)-ROW($N$9))/1000,0)),"")</f>
        <v>4</v>
      </c>
      <c r="W11" s="60" cm="1">
        <f t="array" ref="W11">IFERROR(INDEX($K$9:$K$43,MATCH(LARGE($N$9:$N$43+(ROW($N$9:$N$43)-ROW($N$9))/1000,4),$N$9:$N$43+(ROW($N$9:$N$43)-ROW($N$9))/1000,0)),"")</f>
        <v>2</v>
      </c>
      <c r="X11" s="60" cm="1">
        <f t="array" ref="X11">IFERROR(INDEX($M$9:$M$43,MATCH(LARGE($N$9:$N$43+(ROW($N$9:$N$43)-ROW($N$9))/1000,4),$N$9:$N$43+(ROW($N$9:$N$43)-ROW($N$9))/1000,0)),"")</f>
        <v>1</v>
      </c>
      <c r="Y11" s="218" t="str">
        <f>IF(R11="","",IF(COUNTIF(Portfolio!$C$5:$C$19,R11)&gt;0,"YES","-"))</f>
        <v>YES</v>
      </c>
    </row>
    <row r="12" spans="1:25" ht="22" customHeight="1" x14ac:dyDescent="0.2">
      <c r="A12" s="72">
        <v>4</v>
      </c>
      <c r="B12" s="24" t="s">
        <v>66</v>
      </c>
      <c r="C12" s="24" t="s">
        <v>67</v>
      </c>
      <c r="D12" s="34">
        <f>Universe!G8</f>
        <v>0.13769999999999999</v>
      </c>
      <c r="E12" s="61">
        <f t="shared" si="0"/>
        <v>2</v>
      </c>
      <c r="F12" s="34">
        <f>Universe!H8</f>
        <v>0.752</v>
      </c>
      <c r="G12" s="61">
        <f t="shared" si="1"/>
        <v>5</v>
      </c>
      <c r="H12" s="36">
        <f>Universe!I8</f>
        <v>-6.58</v>
      </c>
      <c r="I12" s="61">
        <f t="shared" si="2"/>
        <v>5</v>
      </c>
      <c r="J12" s="34">
        <f>Universe!J8</f>
        <v>1.5249999999999999</v>
      </c>
      <c r="K12" s="61">
        <f t="shared" si="3"/>
        <v>5</v>
      </c>
      <c r="L12" s="36">
        <f>Universe!K8</f>
        <v>14.98</v>
      </c>
      <c r="M12" s="61">
        <f t="shared" si="4"/>
        <v>1</v>
      </c>
      <c r="N12" s="77">
        <f>IF(COUNTA(D12,F12,H12,J12,L12)&lt;5,"",E12*C5+G12*E5+I12*G5+K12*I5+M12*K5)</f>
        <v>3.7</v>
      </c>
      <c r="P12" s="212">
        <v>5</v>
      </c>
      <c r="Q12" s="26" t="str" cm="1">
        <f t="array" ref="Q12">IFERROR(INDEX($B$9:$B$43,MATCH(LARGE($N$9:$N$43+(ROW($N$9:$N$43)-ROW($N$9))/1000,5),$N$9:$N$43+(ROW($N$9:$N$43)-ROW($N$9))/1000,0)),"")</f>
        <v>ASML Holding N.V.</v>
      </c>
      <c r="R12" s="26" t="str" cm="1">
        <f t="array" ref="R12">IFERROR(INDEX($C$9:$C$43,MATCH(LARGE($N$9:$N$43+(ROW($N$9:$N$43)-ROW($N$9))/1000,5),$N$9:$N$43+(ROW($N$9:$N$43)-ROW($N$9))/1000,0)),"")</f>
        <v>ASML</v>
      </c>
      <c r="S12" s="65" cm="1">
        <f t="array" ref="S12">IFERROR(INDEX($N$9:$N$43,MATCH(LARGE($N$9:$N$43+(ROW($N$9:$N$43)-ROW($N$9))/1000,5),$N$9:$N$43+(ROW($N$9:$N$43)-ROW($N$9))/1000,0)),"")</f>
        <v>3.7</v>
      </c>
      <c r="T12" s="63" cm="1">
        <f t="array" ref="T12">IFERROR(INDEX($E$9:$E$43,MATCH(LARGE($N$9:$N$43+(ROW($N$9:$N$43)-ROW($N$9))/1000,5),$N$9:$N$43+(ROW($N$9:$N$43)-ROW($N$9))/1000,0)),"")</f>
        <v>5</v>
      </c>
      <c r="U12" s="63" cm="1">
        <f t="array" ref="U12">IFERROR(INDEX($G$9:$G$43,MATCH(LARGE($N$9:$N$43+(ROW($N$9:$N$43)-ROW($N$9))/1000,5),$N$9:$N$43+(ROW($N$9:$N$43)-ROW($N$9))/1000,0)),"")</f>
        <v>2</v>
      </c>
      <c r="V12" s="63" cm="1">
        <f t="array" ref="V12">IFERROR(INDEX($I$9:$I$43,MATCH(LARGE($N$9:$N$43+(ROW($N$9:$N$43)-ROW($N$9))/1000,5),$N$9:$N$43+(ROW($N$9:$N$43)-ROW($N$9))/1000,0)),"")</f>
        <v>4</v>
      </c>
      <c r="W12" s="63" cm="1">
        <f t="array" ref="W12">IFERROR(INDEX($K$9:$K$43,MATCH(LARGE($N$9:$N$43+(ROW($N$9:$N$43)-ROW($N$9))/1000,5),$N$9:$N$43+(ROW($N$9:$N$43)-ROW($N$9))/1000,0)),"")</f>
        <v>3</v>
      </c>
      <c r="X12" s="63" cm="1">
        <f t="array" ref="X12">IFERROR(INDEX($M$9:$M$43,MATCH(LARGE($N$9:$N$43+(ROW($N$9:$N$43)-ROW($N$9))/1000,5),$N$9:$N$43+(ROW($N$9:$N$43)-ROW($N$9))/1000,0)),"")</f>
        <v>4</v>
      </c>
      <c r="Y12" s="219" t="str">
        <f>IF(R12="","",IF(COUNTIF(Portfolio!$C$5:$C$19,R12)&gt;0,"YES","-"))</f>
        <v>YES</v>
      </c>
    </row>
    <row r="13" spans="1:25" ht="22" customHeight="1" x14ac:dyDescent="0.2">
      <c r="A13" s="73">
        <v>5</v>
      </c>
      <c r="B13" s="26" t="s">
        <v>68</v>
      </c>
      <c r="C13" s="26" t="s">
        <v>69</v>
      </c>
      <c r="D13" s="34">
        <f>Universe!G9</f>
        <v>7.0699999999999999E-2</v>
      </c>
      <c r="E13" s="64">
        <f t="shared" si="0"/>
        <v>1</v>
      </c>
      <c r="F13" s="34">
        <f>Universe!H9</f>
        <v>0.39579999999999999</v>
      </c>
      <c r="G13" s="64">
        <f t="shared" si="1"/>
        <v>1</v>
      </c>
      <c r="H13" s="36">
        <f>Universe!I9</f>
        <v>0.79</v>
      </c>
      <c r="I13" s="64">
        <f t="shared" si="2"/>
        <v>3</v>
      </c>
      <c r="J13" s="34">
        <f>Universe!J9</f>
        <v>4.7640000000000002</v>
      </c>
      <c r="K13" s="64">
        <f t="shared" si="3"/>
        <v>5</v>
      </c>
      <c r="L13" s="36">
        <f>Universe!K9</f>
        <v>390</v>
      </c>
      <c r="M13" s="64">
        <f t="shared" si="4"/>
        <v>5</v>
      </c>
      <c r="N13" s="78">
        <f>IF(COUNTA(D13,F13,H13,J13,L13)&lt;5,"",E13*C5+G13*E5+I13*G5+K13*I5+M13*K5)</f>
        <v>2.6</v>
      </c>
      <c r="P13" s="211">
        <v>6</v>
      </c>
      <c r="Q13" s="24" t="str" cm="1">
        <f t="array" ref="Q13">IFERROR(INDEX($B$9:$B$43,MATCH(LARGE($N$9:$N$43+(ROW($N$9:$N$43)-ROW($N$9))/1000,6),$N$9:$N$43+(ROW($N$9:$N$43)-ROW($N$9))/1000,0)),"")</f>
        <v>Veeva Systems</v>
      </c>
      <c r="R13" s="24" t="str" cm="1">
        <f t="array" ref="R13">IFERROR(INDEX($C$9:$C$43,MATCH(LARGE($N$9:$N$43+(ROW($N$9:$N$43)-ROW($N$9))/1000,6),$N$9:$N$43+(ROW($N$9:$N$43)-ROW($N$9))/1000,0)),"")</f>
        <v>VEEV</v>
      </c>
      <c r="S13" s="62" cm="1">
        <f t="array" ref="S13">IFERROR(INDEX($N$9:$N$43,MATCH(LARGE($N$9:$N$43+(ROW($N$9:$N$43)-ROW($N$9))/1000,6),$N$9:$N$43+(ROW($N$9:$N$43)-ROW($N$9))/1000,0)),"")</f>
        <v>3.7</v>
      </c>
      <c r="T13" s="60" cm="1">
        <f t="array" ref="T13">IFERROR(INDEX($E$9:$E$43,MATCH(LARGE($N$9:$N$43+(ROW($N$9:$N$43)-ROW($N$9))/1000,6),$N$9:$N$43+(ROW($N$9:$N$43)-ROW($N$9))/1000,0)),"")</f>
        <v>2</v>
      </c>
      <c r="U13" s="60" cm="1">
        <f t="array" ref="U13">IFERROR(INDEX($G$9:$G$43,MATCH(LARGE($N$9:$N$43+(ROW($N$9:$N$43)-ROW($N$9))/1000,6),$N$9:$N$43+(ROW($N$9:$N$43)-ROW($N$9))/1000,0)),"")</f>
        <v>5</v>
      </c>
      <c r="V13" s="60" cm="1">
        <f t="array" ref="V13">IFERROR(INDEX($I$9:$I$43,MATCH(LARGE($N$9:$N$43+(ROW($N$9:$N$43)-ROW($N$9))/1000,6),$N$9:$N$43+(ROW($N$9:$N$43)-ROW($N$9))/1000,0)),"")</f>
        <v>5</v>
      </c>
      <c r="W13" s="60" cm="1">
        <f t="array" ref="W13">IFERROR(INDEX($K$9:$K$43,MATCH(LARGE($N$9:$N$43+(ROW($N$9:$N$43)-ROW($N$9))/1000,6),$N$9:$N$43+(ROW($N$9:$N$43)-ROW($N$9))/1000,0)),"")</f>
        <v>5</v>
      </c>
      <c r="X13" s="60" cm="1">
        <f t="array" ref="X13">IFERROR(INDEX($M$9:$M$43,MATCH(LARGE($N$9:$N$43+(ROW($N$9:$N$43)-ROW($N$9))/1000,6),$N$9:$N$43+(ROW($N$9:$N$43)-ROW($N$9))/1000,0)),"")</f>
        <v>1</v>
      </c>
      <c r="Y13" s="218" t="str">
        <f>IF(R13="","",IF(COUNTIF(Portfolio!$C$5:$C$19,R13)&gt;0,"YES","-"))</f>
        <v>YES</v>
      </c>
    </row>
    <row r="14" spans="1:25" ht="22" customHeight="1" x14ac:dyDescent="0.2">
      <c r="A14" s="72">
        <v>6</v>
      </c>
      <c r="B14" s="24" t="s">
        <v>71</v>
      </c>
      <c r="C14" s="24" t="s">
        <v>72</v>
      </c>
      <c r="D14" s="34">
        <f>Universe!G10</f>
        <v>0.25650000000000001</v>
      </c>
      <c r="E14" s="61">
        <f t="shared" si="0"/>
        <v>3</v>
      </c>
      <c r="F14" s="34">
        <f>Universe!H10</f>
        <v>0.65910000000000002</v>
      </c>
      <c r="G14" s="61">
        <f t="shared" si="1"/>
        <v>3</v>
      </c>
      <c r="H14" s="36">
        <f>Universe!I10</f>
        <v>2.0099999999999998</v>
      </c>
      <c r="I14" s="61">
        <f t="shared" si="2"/>
        <v>1</v>
      </c>
      <c r="J14" s="34">
        <f>Universe!J10</f>
        <v>0.82869999999999999</v>
      </c>
      <c r="K14" s="61">
        <f t="shared" si="3"/>
        <v>3</v>
      </c>
      <c r="L14" s="36">
        <f>Universe!K10</f>
        <v>26.31</v>
      </c>
      <c r="M14" s="61">
        <f t="shared" si="4"/>
        <v>2</v>
      </c>
      <c r="N14" s="77">
        <f>IF(COUNTA(D14,F14,H14,J14,L14)&lt;5,"",E14*C5+G14*E5+I14*G5+K14*I5+M14*K5)</f>
        <v>2.5</v>
      </c>
      <c r="P14" s="212">
        <v>7</v>
      </c>
      <c r="Q14" s="26" t="str" cm="1">
        <f t="array" ref="Q14">IFERROR(INDEX($B$9:$B$43,MATCH(LARGE($N$9:$N$43+(ROW($N$9:$N$43)-ROW($N$9))/1000,7),$N$9:$N$43+(ROW($N$9:$N$43)-ROW($N$9))/1000,0)),"")</f>
        <v>Mettler-Toledo International</v>
      </c>
      <c r="R14" s="26" t="str" cm="1">
        <f t="array" ref="R14">IFERROR(INDEX($C$9:$C$43,MATCH(LARGE($N$9:$N$43+(ROW($N$9:$N$43)-ROW($N$9))/1000,7),$N$9:$N$43+(ROW($N$9:$N$43)-ROW($N$9))/1000,0)),"")</f>
        <v>MTD</v>
      </c>
      <c r="S14" s="65" cm="1">
        <f t="array" ref="S14">IFERROR(INDEX($N$9:$N$43,MATCH(LARGE($N$9:$N$43+(ROW($N$9:$N$43)-ROW($N$9))/1000,7),$N$9:$N$43+(ROW($N$9:$N$43)-ROW($N$9))/1000,0)),"")</f>
        <v>3.5999999999999996</v>
      </c>
      <c r="T14" s="63" cm="1">
        <f t="array" ref="T14">IFERROR(INDEX($E$9:$E$43,MATCH(LARGE($N$9:$N$43+(ROW($N$9:$N$43)-ROW($N$9))/1000,7),$N$9:$N$43+(ROW($N$9:$N$43)-ROW($N$9))/1000,0)),"")</f>
        <v>5</v>
      </c>
      <c r="U14" s="63" cm="1">
        <f t="array" ref="U14">IFERROR(INDEX($G$9:$G$43,MATCH(LARGE($N$9:$N$43+(ROW($N$9:$N$43)-ROW($N$9))/1000,7),$N$9:$N$43+(ROW($N$9:$N$43)-ROW($N$9))/1000,0)),"")</f>
        <v>2</v>
      </c>
      <c r="V14" s="63" cm="1">
        <f t="array" ref="V14">IFERROR(INDEX($I$9:$I$43,MATCH(LARGE($N$9:$N$43+(ROW($N$9:$N$43)-ROW($N$9))/1000,7),$N$9:$N$43+(ROW($N$9:$N$43)-ROW($N$9))/1000,0)),"")</f>
        <v>2</v>
      </c>
      <c r="W14" s="63" cm="1">
        <f t="array" ref="W14">IFERROR(INDEX($K$9:$K$43,MATCH(LARGE($N$9:$N$43+(ROW($N$9:$N$43)-ROW($N$9))/1000,7),$N$9:$N$43+(ROW($N$9:$N$43)-ROW($N$9))/1000,0)),"")</f>
        <v>4</v>
      </c>
      <c r="X14" s="63" cm="1">
        <f t="array" ref="X14">IFERROR(INDEX($M$9:$M$43,MATCH(LARGE($N$9:$N$43+(ROW($N$9:$N$43)-ROW($N$9))/1000,7),$N$9:$N$43+(ROW($N$9:$N$43)-ROW($N$9))/1000,0)),"")</f>
        <v>5</v>
      </c>
      <c r="Y14" s="219" t="str">
        <f>IF(R14="","",IF(COUNTIF(Portfolio!$C$5:$C$19,R14)&gt;0,"YES","-"))</f>
        <v>YES</v>
      </c>
    </row>
    <row r="15" spans="1:25" ht="22" customHeight="1" x14ac:dyDescent="0.2">
      <c r="A15" s="73">
        <v>7</v>
      </c>
      <c r="B15" s="26" t="s">
        <v>74</v>
      </c>
      <c r="C15" s="26" t="s">
        <v>75</v>
      </c>
      <c r="D15" s="34">
        <f>Universe!G11</f>
        <v>2.5470000000000002</v>
      </c>
      <c r="E15" s="64">
        <f t="shared" si="0"/>
        <v>5</v>
      </c>
      <c r="F15" s="34">
        <f>Universe!H11</f>
        <v>0.98399999999999999</v>
      </c>
      <c r="G15" s="64">
        <f t="shared" si="1"/>
        <v>5</v>
      </c>
      <c r="H15" s="36">
        <f>Universe!I11</f>
        <v>-0.12</v>
      </c>
      <c r="I15" s="64">
        <f t="shared" si="2"/>
        <v>4</v>
      </c>
      <c r="J15" s="34">
        <f>Universe!J11</f>
        <v>0.73370000000000002</v>
      </c>
      <c r="K15" s="64">
        <f t="shared" si="3"/>
        <v>2</v>
      </c>
      <c r="L15" s="36">
        <f>Universe!K11</f>
        <v>0.6</v>
      </c>
      <c r="M15" s="64">
        <f t="shared" si="4"/>
        <v>1</v>
      </c>
      <c r="N15" s="78">
        <f>IF(COUNTA(D15,F15,H15,J15,L15)&lt;5,"",E15*C5+G15*E5+I15*G5+K15*I5+M15*K5)</f>
        <v>3.8</v>
      </c>
      <c r="P15" s="211">
        <v>8</v>
      </c>
      <c r="Q15" s="24" t="str" cm="1">
        <f t="array" ref="Q15">IFERROR(INDEX($B$9:$B$43,MATCH(LARGE($N$9:$N$43+(ROW($N$9:$N$43)-ROW($N$9))/1000,8),$N$9:$N$43+(ROW($N$9:$N$43)-ROW($N$9))/1000,0)),"")</f>
        <v>Align Technology</v>
      </c>
      <c r="R15" s="24" t="str" cm="1">
        <f t="array" ref="R15">IFERROR(INDEX($C$9:$C$43,MATCH(LARGE($N$9:$N$43+(ROW($N$9:$N$43)-ROW($N$9))/1000,8),$N$9:$N$43+(ROW($N$9:$N$43)-ROW($N$9))/1000,0)),"")</f>
        <v>ALGN</v>
      </c>
      <c r="S15" s="62" cm="1">
        <f t="array" ref="S15">IFERROR(INDEX($N$9:$N$43,MATCH(LARGE($N$9:$N$43+(ROW($N$9:$N$43)-ROW($N$9))/1000,8),$N$9:$N$43+(ROW($N$9:$N$43)-ROW($N$9))/1000,0)),"")</f>
        <v>3.6</v>
      </c>
      <c r="T15" s="60" cm="1">
        <f t="array" ref="T15">IFERROR(INDEX($E$9:$E$43,MATCH(LARGE($N$9:$N$43+(ROW($N$9:$N$43)-ROW($N$9))/1000,8),$N$9:$N$43+(ROW($N$9:$N$43)-ROW($N$9))/1000,0)),"")</f>
        <v>2</v>
      </c>
      <c r="U15" s="60" cm="1">
        <f t="array" ref="U15">IFERROR(INDEX($G$9:$G$43,MATCH(LARGE($N$9:$N$43+(ROW($N$9:$N$43)-ROW($N$9))/1000,8),$N$9:$N$43+(ROW($N$9:$N$43)-ROW($N$9))/1000,0)),"")</f>
        <v>4</v>
      </c>
      <c r="V15" s="60" cm="1">
        <f t="array" ref="V15">IFERROR(INDEX($I$9:$I$43,MATCH(LARGE($N$9:$N$43+(ROW($N$9:$N$43)-ROW($N$9))/1000,8),$N$9:$N$43+(ROW($N$9:$N$43)-ROW($N$9))/1000,0)),"")</f>
        <v>5</v>
      </c>
      <c r="W15" s="60" cm="1">
        <f t="array" ref="W15">IFERROR(INDEX($K$9:$K$43,MATCH(LARGE($N$9:$N$43+(ROW($N$9:$N$43)-ROW($N$9))/1000,8),$N$9:$N$43+(ROW($N$9:$N$43)-ROW($N$9))/1000,0)),"")</f>
        <v>4</v>
      </c>
      <c r="X15" s="60" cm="1">
        <f t="array" ref="X15">IFERROR(INDEX($M$9:$M$43,MATCH(LARGE($N$9:$N$43+(ROW($N$9:$N$43)-ROW($N$9))/1000,8),$N$9:$N$43+(ROW($N$9:$N$43)-ROW($N$9))/1000,0)),"")</f>
        <v>4</v>
      </c>
      <c r="Y15" s="218" t="str">
        <f>IF(R15="","",IF(COUNTIF(Portfolio!$C$5:$C$19,R15)&gt;0,"YES","-"))</f>
        <v>YES</v>
      </c>
    </row>
    <row r="16" spans="1:25" ht="22" customHeight="1" x14ac:dyDescent="0.2">
      <c r="A16" s="72">
        <v>8</v>
      </c>
      <c r="B16" s="24" t="s">
        <v>77</v>
      </c>
      <c r="C16" s="24" t="s">
        <v>78</v>
      </c>
      <c r="D16" s="34">
        <f>Universe!G12</f>
        <v>0.33389999999999997</v>
      </c>
      <c r="E16" s="61">
        <f t="shared" si="0"/>
        <v>4</v>
      </c>
      <c r="F16" s="34">
        <f>Universe!H12</f>
        <v>0.77310000000000001</v>
      </c>
      <c r="G16" s="61">
        <f t="shared" si="1"/>
        <v>5</v>
      </c>
      <c r="H16" s="36">
        <f>Universe!I12</f>
        <v>7.0000000000000007E-2</v>
      </c>
      <c r="I16" s="61">
        <f t="shared" si="2"/>
        <v>4</v>
      </c>
      <c r="J16" s="34">
        <f>Universe!J12</f>
        <v>0.85340000000000005</v>
      </c>
      <c r="K16" s="61">
        <f t="shared" si="3"/>
        <v>3</v>
      </c>
      <c r="L16" s="36">
        <f>Universe!K12</f>
        <v>15.69</v>
      </c>
      <c r="M16" s="61">
        <f t="shared" si="4"/>
        <v>2</v>
      </c>
      <c r="N16" s="77">
        <f>IF(COUNTA(D16,F16,H16,J16,L16)&lt;5,"",E16*C5+G16*E5+I16*G5+K16*I5+M16*K5)</f>
        <v>3.8000000000000003</v>
      </c>
      <c r="P16" s="212">
        <v>9</v>
      </c>
      <c r="Q16" s="26" t="str" cm="1">
        <f t="array" ref="Q16">IFERROR(INDEX($B$9:$B$43,MATCH(LARGE($N$9:$N$43+(ROW($N$9:$N$43)-ROW($N$9))/1000,9),$N$9:$N$43+(ROW($N$9:$N$43)-ROW($N$9))/1000,0)),"")</f>
        <v>Hermès International</v>
      </c>
      <c r="R16" s="26" t="str" cm="1">
        <f t="array" ref="R16">IFERROR(INDEX($C$9:$C$43,MATCH(LARGE($N$9:$N$43+(ROW($N$9:$N$43)-ROW($N$9))/1000,9),$N$9:$N$43+(ROW($N$9:$N$43)-ROW($N$9))/1000,0)),"")</f>
        <v>RMS</v>
      </c>
      <c r="S16" s="65" cm="1">
        <f t="array" ref="S16">IFERROR(INDEX($N$9:$N$43,MATCH(LARGE($N$9:$N$43+(ROW($N$9:$N$43)-ROW($N$9))/1000,9),$N$9:$N$43+(ROW($N$9:$N$43)-ROW($N$9))/1000,0)),"")</f>
        <v>3.4000000000000004</v>
      </c>
      <c r="T16" s="63" cm="1">
        <f t="array" ref="T16">IFERROR(INDEX($E$9:$E$43,MATCH(LARGE($N$9:$N$43+(ROW($N$9:$N$43)-ROW($N$9))/1000,9),$N$9:$N$43+(ROW($N$9:$N$43)-ROW($N$9))/1000,0)),"")</f>
        <v>3</v>
      </c>
      <c r="U16" s="63" cm="1">
        <f t="array" ref="U16">IFERROR(INDEX($G$9:$G$43,MATCH(LARGE($N$9:$N$43+(ROW($N$9:$N$43)-ROW($N$9))/1000,9),$N$9:$N$43+(ROW($N$9:$N$43)-ROW($N$9))/1000,0)),"")</f>
        <v>4</v>
      </c>
      <c r="V16" s="63" cm="1">
        <f t="array" ref="V16">IFERROR(INDEX($I$9:$I$43,MATCH(LARGE($N$9:$N$43+(ROW($N$9:$N$43)-ROW($N$9))/1000,9),$N$9:$N$43+(ROW($N$9:$N$43)-ROW($N$9))/1000,0)),"")</f>
        <v>5</v>
      </c>
      <c r="W16" s="63" cm="1">
        <f t="array" ref="W16">IFERROR(INDEX($K$9:$K$43,MATCH(LARGE($N$9:$N$43+(ROW($N$9:$N$43)-ROW($N$9))/1000,9),$N$9:$N$43+(ROW($N$9:$N$43)-ROW($N$9))/1000,0)),"")</f>
        <v>1</v>
      </c>
      <c r="X16" s="63" cm="1">
        <f t="array" ref="X16">IFERROR(INDEX($M$9:$M$43,MATCH(LARGE($N$9:$N$43+(ROW($N$9:$N$43)-ROW($N$9))/1000,9),$N$9:$N$43+(ROW($N$9:$N$43)-ROW($N$9))/1000,0)),"")</f>
        <v>5</v>
      </c>
      <c r="Y16" s="219" t="str">
        <f>IF(R16="","",IF(COUNTIF(Portfolio!$C$5:$C$19,R16)&gt;0,"YES","-"))</f>
        <v>YES</v>
      </c>
    </row>
    <row r="17" spans="1:25" ht="22" customHeight="1" x14ac:dyDescent="0.2">
      <c r="A17" s="73">
        <v>9</v>
      </c>
      <c r="B17" s="26" t="s">
        <v>80</v>
      </c>
      <c r="C17" s="26" t="s">
        <v>81</v>
      </c>
      <c r="D17" s="34">
        <f>Universe!G13</f>
        <v>0.58409999999999995</v>
      </c>
      <c r="E17" s="64">
        <f t="shared" si="0"/>
        <v>5</v>
      </c>
      <c r="F17" s="34">
        <f>Universe!H13</f>
        <v>0.96030000000000004</v>
      </c>
      <c r="G17" s="64">
        <f t="shared" si="1"/>
        <v>5</v>
      </c>
      <c r="H17" s="36">
        <f>Universe!I13</f>
        <v>0.36</v>
      </c>
      <c r="I17" s="64">
        <f t="shared" si="2"/>
        <v>3</v>
      </c>
      <c r="J17" s="34">
        <f>Universe!J13</f>
        <v>0.94579999999999997</v>
      </c>
      <c r="K17" s="64">
        <f t="shared" si="3"/>
        <v>4</v>
      </c>
      <c r="L17" s="36">
        <f>Universe!K13</f>
        <v>27.02</v>
      </c>
      <c r="M17" s="64">
        <f t="shared" si="4"/>
        <v>3</v>
      </c>
      <c r="N17" s="78">
        <f>IF(COUNTA(D17,F17,H17,J17,L17)&lt;5,"",E17*C5+G17*E5+I17*G5+K17*I5+M17*K5)</f>
        <v>4.2</v>
      </c>
      <c r="P17" s="211">
        <v>10</v>
      </c>
      <c r="Q17" s="24" t="str" cm="1">
        <f t="array" ref="Q17">IFERROR(INDEX($B$9:$B$43,MATCH(LARGE($N$9:$N$43+(ROW($N$9:$N$43)-ROW($N$9))/1000,10),$N$9:$N$43+(ROW($N$9:$N$43)-ROW($N$9))/1000,0)),"")</f>
        <v>Novo Nordisk A/S</v>
      </c>
      <c r="R17" s="24" t="str" cm="1">
        <f t="array" ref="R17">IFERROR(INDEX($C$9:$C$43,MATCH(LARGE($N$9:$N$43+(ROW($N$9:$N$43)-ROW($N$9))/1000,10),$N$9:$N$43+(ROW($N$9:$N$43)-ROW($N$9))/1000,0)),"")</f>
        <v>NOVO B</v>
      </c>
      <c r="S17" s="62" cm="1">
        <f t="array" ref="S17">IFERROR(INDEX($N$9:$N$43,MATCH(LARGE($N$9:$N$43+(ROW($N$9:$N$43)-ROW($N$9))/1000,10),$N$9:$N$43+(ROW($N$9:$N$43)-ROW($N$9))/1000,0)),"")</f>
        <v>3.4000000000000004</v>
      </c>
      <c r="T17" s="60" cm="1">
        <f t="array" ref="T17">IFERROR(INDEX($E$9:$E$43,MATCH(LARGE($N$9:$N$43+(ROW($N$9:$N$43)-ROW($N$9))/1000,10),$N$9:$N$43+(ROW($N$9:$N$43)-ROW($N$9))/1000,0)),"")</f>
        <v>5</v>
      </c>
      <c r="U17" s="60" cm="1">
        <f t="array" ref="U17">IFERROR(INDEX($G$9:$G$43,MATCH(LARGE($N$9:$N$43+(ROW($N$9:$N$43)-ROW($N$9))/1000,10),$N$9:$N$43+(ROW($N$9:$N$43)-ROW($N$9))/1000,0)),"")</f>
        <v>5</v>
      </c>
      <c r="V17" s="60" cm="1">
        <f t="array" ref="V17">IFERROR(INDEX($I$9:$I$43,MATCH(LARGE($N$9:$N$43+(ROW($N$9:$N$43)-ROW($N$9))/1000,10),$N$9:$N$43+(ROW($N$9:$N$43)-ROW($N$9))/1000,0)),"")</f>
        <v>3</v>
      </c>
      <c r="W17" s="60" cm="1">
        <f t="array" ref="W17">IFERROR(INDEX($K$9:$K$43,MATCH(LARGE($N$9:$N$43+(ROW($N$9:$N$43)-ROW($N$9))/1000,10),$N$9:$N$43+(ROW($N$9:$N$43)-ROW($N$9))/1000,0)),"")</f>
        <v>1</v>
      </c>
      <c r="X17" s="60" cm="1">
        <f t="array" ref="X17">IFERROR(INDEX($M$9:$M$43,MATCH(LARGE($N$9:$N$43+(ROW($N$9:$N$43)-ROW($N$9))/1000,10),$N$9:$N$43+(ROW($N$9:$N$43)-ROW($N$9))/1000,0)),"")</f>
        <v>1</v>
      </c>
      <c r="Y17" s="218" t="str">
        <f>IF(R17="","",IF(COUNTIF(Portfolio!$C$5:$C$19,R17)&gt;0,"YES","-"))</f>
        <v>YES</v>
      </c>
    </row>
    <row r="18" spans="1:25" ht="22" customHeight="1" x14ac:dyDescent="0.2">
      <c r="A18" s="72">
        <v>10</v>
      </c>
      <c r="B18" s="24" t="s">
        <v>82</v>
      </c>
      <c r="C18" s="24" t="s">
        <v>83</v>
      </c>
      <c r="D18" s="34">
        <f>Universe!G14</f>
        <v>0.1004</v>
      </c>
      <c r="E18" s="61">
        <f t="shared" si="0"/>
        <v>2</v>
      </c>
      <c r="F18" s="34">
        <f>Universe!H14</f>
        <v>0.62560000000000004</v>
      </c>
      <c r="G18" s="61">
        <f t="shared" si="1"/>
        <v>3</v>
      </c>
      <c r="H18" s="36">
        <f>Universe!I14</f>
        <v>1.48</v>
      </c>
      <c r="I18" s="61">
        <f t="shared" si="2"/>
        <v>2</v>
      </c>
      <c r="J18" s="34">
        <f>Universe!J14</f>
        <v>0.95860000000000001</v>
      </c>
      <c r="K18" s="61">
        <f t="shared" si="3"/>
        <v>4</v>
      </c>
      <c r="L18" s="36">
        <f>Universe!K14</f>
        <v>40.89</v>
      </c>
      <c r="M18" s="61">
        <f t="shared" si="4"/>
        <v>4</v>
      </c>
      <c r="N18" s="77">
        <f>IF(COUNTA(D18,F18,H18,J18,L18)&lt;5,"",E18*C5+G18*E5+I18*G5+K18*I5+M18*K5)</f>
        <v>2.8000000000000003</v>
      </c>
      <c r="P18" s="212">
        <v>11</v>
      </c>
      <c r="Q18" s="26" t="str" cm="1">
        <f t="array" ref="Q18">IFERROR(INDEX($B$9:$B$43,MATCH(LARGE($N$9:$N$43+(ROW($N$9:$N$43)-ROW($N$9))/1000,11),$N$9:$N$43+(ROW($N$9:$N$43)-ROW($N$9))/1000,0)),"")</f>
        <v>Rational AG</v>
      </c>
      <c r="R18" s="26" t="str" cm="1">
        <f t="array" ref="R18">IFERROR(INDEX($C$9:$C$43,MATCH(LARGE($N$9:$N$43+(ROW($N$9:$N$43)-ROW($N$9))/1000,11),$N$9:$N$43+(ROW($N$9:$N$43)-ROW($N$9))/1000,0)),"")</f>
        <v>RAA</v>
      </c>
      <c r="S18" s="65" cm="1">
        <f t="array" ref="S18">IFERROR(INDEX($N$9:$N$43,MATCH(LARGE($N$9:$N$43+(ROW($N$9:$N$43)-ROW($N$9))/1000,11),$N$9:$N$43+(ROW($N$9:$N$43)-ROW($N$9))/1000,0)),"")</f>
        <v>3.3000000000000003</v>
      </c>
      <c r="T18" s="63" cm="1">
        <f t="array" ref="T18">IFERROR(INDEX($E$9:$E$43,MATCH(LARGE($N$9:$N$43+(ROW($N$9:$N$43)-ROW($N$9))/1000,11),$N$9:$N$43+(ROW($N$9:$N$43)-ROW($N$9))/1000,0)),"")</f>
        <v>4</v>
      </c>
      <c r="U18" s="63" cm="1">
        <f t="array" ref="U18">IFERROR(INDEX($G$9:$G$43,MATCH(LARGE($N$9:$N$43+(ROW($N$9:$N$43)-ROW($N$9))/1000,11),$N$9:$N$43+(ROW($N$9:$N$43)-ROW($N$9))/1000,0)),"")</f>
        <v>2</v>
      </c>
      <c r="V18" s="63" cm="1">
        <f t="array" ref="V18">IFERROR(INDEX($I$9:$I$43,MATCH(LARGE($N$9:$N$43+(ROW($N$9:$N$43)-ROW($N$9))/1000,11),$N$9:$N$43+(ROW($N$9:$N$43)-ROW($N$9))/1000,0)),"")</f>
        <v>5</v>
      </c>
      <c r="W18" s="63" cm="1">
        <f t="array" ref="W18">IFERROR(INDEX($K$9:$K$43,MATCH(LARGE($N$9:$N$43+(ROW($N$9:$N$43)-ROW($N$9))/1000,11),$N$9:$N$43+(ROW($N$9:$N$43)-ROW($N$9))/1000,0)),"")</f>
        <v>1</v>
      </c>
      <c r="X18" s="63" cm="1">
        <f t="array" ref="X18">IFERROR(INDEX($M$9:$M$43,MATCH(LARGE($N$9:$N$43+(ROW($N$9:$N$43)-ROW($N$9))/1000,11),$N$9:$N$43+(ROW($N$9:$N$43)-ROW($N$9))/1000,0)),"")</f>
        <v>5</v>
      </c>
      <c r="Y18" s="219" t="str">
        <f>IF(R18="","",IF(COUNTIF(Portfolio!$C$5:$C$19,R18)&gt;0,"YES","-"))</f>
        <v>YES</v>
      </c>
    </row>
    <row r="19" spans="1:25" ht="22" customHeight="1" x14ac:dyDescent="0.2">
      <c r="A19" s="73">
        <v>11</v>
      </c>
      <c r="B19" s="26" t="s">
        <v>84</v>
      </c>
      <c r="C19" s="26" t="s">
        <v>85</v>
      </c>
      <c r="D19" s="34">
        <f>Universe!G15</f>
        <v>0.22539999999999999</v>
      </c>
      <c r="E19" s="64">
        <f t="shared" si="0"/>
        <v>3</v>
      </c>
      <c r="F19" s="34">
        <f>Universe!H15</f>
        <v>0.68149999999999999</v>
      </c>
      <c r="G19" s="64">
        <f t="shared" si="1"/>
        <v>4</v>
      </c>
      <c r="H19" s="36">
        <f>Universe!I15</f>
        <v>1.1599999999999999</v>
      </c>
      <c r="I19" s="64">
        <f t="shared" si="2"/>
        <v>2</v>
      </c>
      <c r="J19" s="34">
        <f>Universe!J15</f>
        <v>0.7621</v>
      </c>
      <c r="K19" s="64">
        <f t="shared" si="3"/>
        <v>2</v>
      </c>
      <c r="L19" s="36">
        <f>Universe!K15</f>
        <v>35.31</v>
      </c>
      <c r="M19" s="64">
        <f t="shared" si="4"/>
        <v>3</v>
      </c>
      <c r="N19" s="78">
        <f>IF(COUNTA(D19,F19,H19,J19,L19)&lt;5,"",E19*C5+G19*E5+I19*G5+K19*I5+M19*K5)</f>
        <v>2.8</v>
      </c>
      <c r="P19" s="211">
        <v>12</v>
      </c>
      <c r="Q19" s="24" t="str" cm="1">
        <f t="array" ref="Q19">IFERROR(INDEX($B$9:$B$43,MATCH(LARGE($N$9:$N$43+(ROW($N$9:$N$43)-ROW($N$9))/1000,12),$N$9:$N$43+(ROW($N$9:$N$43)-ROW($N$9))/1000,0)),"")</f>
        <v>MSCI Inc.</v>
      </c>
      <c r="R19" s="24" t="str" cm="1">
        <f t="array" ref="R19">IFERROR(INDEX($C$9:$C$43,MATCH(LARGE($N$9:$N$43+(ROW($N$9:$N$43)-ROW($N$9))/1000,12),$N$9:$N$43+(ROW($N$9:$N$43)-ROW($N$9))/1000,0)),"")</f>
        <v>MSCI</v>
      </c>
      <c r="S19" s="62" cm="1">
        <f t="array" ref="S19">IFERROR(INDEX($N$9:$N$43,MATCH(LARGE($N$9:$N$43+(ROW($N$9:$N$43)-ROW($N$9))/1000,12),$N$9:$N$43+(ROW($N$9:$N$43)-ROW($N$9))/1000,0)),"")</f>
        <v>3.3000000000000007</v>
      </c>
      <c r="T19" s="60" cm="1">
        <f t="array" ref="T19">IFERROR(INDEX($E$9:$E$43,MATCH(LARGE($N$9:$N$43+(ROW($N$9:$N$43)-ROW($N$9))/1000,12),$N$9:$N$43+(ROW($N$9:$N$43)-ROW($N$9))/1000,0)),"")</f>
        <v>4</v>
      </c>
      <c r="U19" s="60" cm="1">
        <f t="array" ref="U19">IFERROR(INDEX($G$9:$G$43,MATCH(LARGE($N$9:$N$43+(ROW($N$9:$N$43)-ROW($N$9))/1000,12),$N$9:$N$43+(ROW($N$9:$N$43)-ROW($N$9))/1000,0)),"")</f>
        <v>5</v>
      </c>
      <c r="V19" s="60" cm="1">
        <f t="array" ref="V19">IFERROR(INDEX($I$9:$I$43,MATCH(LARGE($N$9:$N$43+(ROW($N$9:$N$43)-ROW($N$9))/1000,12),$N$9:$N$43+(ROW($N$9:$N$43)-ROW($N$9))/1000,0)),"")</f>
        <v>1</v>
      </c>
      <c r="W19" s="60" cm="1">
        <f t="array" ref="W19">IFERROR(INDEX($K$9:$K$43,MATCH(LARGE($N$9:$N$43+(ROW($N$9:$N$43)-ROW($N$9))/1000,12),$N$9:$N$43+(ROW($N$9:$N$43)-ROW($N$9))/1000,0)),"")</f>
        <v>3</v>
      </c>
      <c r="X19" s="60" cm="1">
        <f t="array" ref="X19">IFERROR(INDEX($M$9:$M$43,MATCH(LARGE($N$9:$N$43+(ROW($N$9:$N$43)-ROW($N$9))/1000,12),$N$9:$N$43+(ROW($N$9:$N$43)-ROW($N$9))/1000,0)),"")</f>
        <v>3</v>
      </c>
      <c r="Y19" s="218" t="str">
        <f>IF(R19="","",IF(COUNTIF(Portfolio!$C$5:$C$19,R19)&gt;0,"YES","-"))</f>
        <v>YES</v>
      </c>
    </row>
    <row r="20" spans="1:25" ht="22" customHeight="1" x14ac:dyDescent="0.2">
      <c r="A20" s="72">
        <v>12</v>
      </c>
      <c r="B20" s="24" t="s">
        <v>86</v>
      </c>
      <c r="C20" s="24" t="s">
        <v>87</v>
      </c>
      <c r="D20" s="34">
        <f>Universe!G16</f>
        <v>0.32729999999999998</v>
      </c>
      <c r="E20" s="61">
        <f t="shared" si="0"/>
        <v>4</v>
      </c>
      <c r="F20" s="34">
        <f>Universe!H16</f>
        <v>0.76290000000000002</v>
      </c>
      <c r="G20" s="61">
        <f t="shared" si="1"/>
        <v>5</v>
      </c>
      <c r="H20" s="36">
        <f>Universe!I16</f>
        <v>2.94</v>
      </c>
      <c r="I20" s="61">
        <f t="shared" si="2"/>
        <v>1</v>
      </c>
      <c r="J20" s="34">
        <f>Universe!J16</f>
        <v>0.80889999999999995</v>
      </c>
      <c r="K20" s="61">
        <f t="shared" si="3"/>
        <v>3</v>
      </c>
      <c r="L20" s="36">
        <f>Universe!K16</f>
        <v>32.18</v>
      </c>
      <c r="M20" s="61">
        <f t="shared" si="4"/>
        <v>3</v>
      </c>
      <c r="N20" s="77">
        <f>IF(COUNTA(D20,F20,H20,J20,L20)&lt;5,"",E20*C5+G20*E5+I20*G5+K20*I5+M20*K5)</f>
        <v>3.3000000000000007</v>
      </c>
      <c r="P20" s="212">
        <v>13</v>
      </c>
      <c r="Q20" s="26" t="str" cm="1">
        <f t="array" ref="Q20">IFERROR(INDEX($B$9:$B$43,MATCH(LARGE($N$9:$N$43+(ROW($N$9:$N$43)-ROW($N$9))/1000,13),$N$9:$N$43+(ROW($N$9:$N$43)-ROW($N$9))/1000,0)),"")</f>
        <v>Keyence Corporation</v>
      </c>
      <c r="R20" s="32" cm="1">
        <f t="array" ref="R20">IFERROR(INDEX($C$9:$C$43,MATCH(LARGE($N$9:$N$43+(ROW($N$9:$N$43)-ROW($N$9))/1000,13),$N$9:$N$43+(ROW($N$9:$N$43)-ROW($N$9))/1000,0)),"")</f>
        <v>6861</v>
      </c>
      <c r="S20" s="65" cm="1">
        <f t="array" ref="S20">IFERROR(INDEX($N$9:$N$43,MATCH(LARGE($N$9:$N$43+(ROW($N$9:$N$43)-ROW($N$9))/1000,13),$N$9:$N$43+(ROW($N$9:$N$43)-ROW($N$9))/1000,0)),"")</f>
        <v>3.2</v>
      </c>
      <c r="T20" s="63" cm="1">
        <f t="array" ref="T20">IFERROR(INDEX($E$9:$E$43,MATCH(LARGE($N$9:$N$43+(ROW($N$9:$N$43)-ROW($N$9))/1000,13),$N$9:$N$43+(ROW($N$9:$N$43)-ROW($N$9))/1000,0)),"")</f>
        <v>2</v>
      </c>
      <c r="U20" s="63" cm="1">
        <f t="array" ref="U20">IFERROR(INDEX($G$9:$G$43,MATCH(LARGE($N$9:$N$43+(ROW($N$9:$N$43)-ROW($N$9))/1000,13),$N$9:$N$43+(ROW($N$9:$N$43)-ROW($N$9))/1000,0)),"")</f>
        <v>5</v>
      </c>
      <c r="V20" s="63" cm="1">
        <f t="array" ref="V20">IFERROR(INDEX($I$9:$I$43,MATCH(LARGE($N$9:$N$43+(ROW($N$9:$N$43)-ROW($N$9))/1000,13),$N$9:$N$43+(ROW($N$9:$N$43)-ROW($N$9))/1000,0)),"")</f>
        <v>5</v>
      </c>
      <c r="W20" s="63" cm="1">
        <f t="array" ref="W20">IFERROR(INDEX($K$9:$K$43,MATCH(LARGE($N$9:$N$43+(ROW($N$9:$N$43)-ROW($N$9))/1000,13),$N$9:$N$43+(ROW($N$9:$N$43)-ROW($N$9))/1000,0)),"")</f>
        <v>2</v>
      </c>
      <c r="X20" s="63" cm="1">
        <f t="array" ref="X20">IFERROR(INDEX($M$9:$M$43,MATCH(LARGE($N$9:$N$43+(ROW($N$9:$N$43)-ROW($N$9))/1000,13),$N$9:$N$43+(ROW($N$9:$N$43)-ROW($N$9))/1000,0)),"")</f>
        <v>2</v>
      </c>
      <c r="Y20" s="219" t="str">
        <f>IF(R20="","",IF(COUNTIF(Portfolio!$C$5:$C$19,R20)&gt;0,"YES","-"))</f>
        <v>YES</v>
      </c>
    </row>
    <row r="21" spans="1:25" ht="22" customHeight="1" x14ac:dyDescent="0.2">
      <c r="A21" s="73">
        <v>13</v>
      </c>
      <c r="B21" s="26" t="s">
        <v>88</v>
      </c>
      <c r="C21" s="26" t="s">
        <v>89</v>
      </c>
      <c r="D21" s="34">
        <f>Universe!G17</f>
        <v>7.0900000000000005E-2</v>
      </c>
      <c r="E21" s="64">
        <f t="shared" si="0"/>
        <v>1</v>
      </c>
      <c r="F21" s="34">
        <f>Universe!H17</f>
        <v>0.68459999999999999</v>
      </c>
      <c r="G21" s="64">
        <f t="shared" si="1"/>
        <v>4</v>
      </c>
      <c r="H21" s="36">
        <f>Universe!I17</f>
        <v>2.64</v>
      </c>
      <c r="I21" s="64">
        <f t="shared" si="2"/>
        <v>1</v>
      </c>
      <c r="J21" s="34">
        <f>Universe!J17</f>
        <v>0.96050000000000002</v>
      </c>
      <c r="K21" s="64">
        <f t="shared" si="3"/>
        <v>4</v>
      </c>
      <c r="L21" s="36">
        <f>Universe!K17</f>
        <v>18.37</v>
      </c>
      <c r="M21" s="64">
        <f t="shared" si="4"/>
        <v>2</v>
      </c>
      <c r="N21" s="78">
        <f>IF(COUNTA(D21,F21,H21,J21,L21)&lt;5,"",E21*C5+G21*E5+I21*G5+K21*I5+M21*K5)</f>
        <v>2.3000000000000003</v>
      </c>
      <c r="P21" s="211">
        <v>14</v>
      </c>
      <c r="Q21" s="24" t="str" cm="1">
        <f t="array" ref="Q21">IFERROR(INDEX($B$9:$B$43,MATCH(LARGE($N$9:$N$43+(ROW($N$9:$N$43)-ROW($N$9))/1000,14),$N$9:$N$43+(ROW($N$9:$N$43)-ROW($N$9))/1000,0)),"")</f>
        <v>Ferrari N.V.</v>
      </c>
      <c r="R21" s="24" t="str" cm="1">
        <f t="array" ref="R21">IFERROR(INDEX($C$9:$C$43,MATCH(LARGE($N$9:$N$43+(ROW($N$9:$N$43)-ROW($N$9))/1000,14),$N$9:$N$43+(ROW($N$9:$N$43)-ROW($N$9))/1000,0)),"")</f>
        <v>RACE</v>
      </c>
      <c r="S21" s="62" cm="1">
        <f t="array" ref="S21">IFERROR(INDEX($N$9:$N$43,MATCH(LARGE($N$9:$N$43+(ROW($N$9:$N$43)-ROW($N$9))/1000,14),$N$9:$N$43+(ROW($N$9:$N$43)-ROW($N$9))/1000,0)),"")</f>
        <v>3.1000000000000005</v>
      </c>
      <c r="T21" s="60" cm="1">
        <f t="array" ref="T21">IFERROR(INDEX($E$9:$E$43,MATCH(LARGE($N$9:$N$43+(ROW($N$9:$N$43)-ROW($N$9))/1000,14),$N$9:$N$43+(ROW($N$9:$N$43)-ROW($N$9))/1000,0)),"")</f>
        <v>4</v>
      </c>
      <c r="U21" s="60" cm="1">
        <f t="array" ref="U21">IFERROR(INDEX($G$9:$G$43,MATCH(LARGE($N$9:$N$43+(ROW($N$9:$N$43)-ROW($N$9))/1000,14),$N$9:$N$43+(ROW($N$9:$N$43)-ROW($N$9))/1000,0)),"")</f>
        <v>2</v>
      </c>
      <c r="V21" s="60" cm="1">
        <f t="array" ref="V21">IFERROR(INDEX($I$9:$I$43,MATCH(LARGE($N$9:$N$43+(ROW($N$9:$N$43)-ROW($N$9))/1000,14),$N$9:$N$43+(ROW($N$9:$N$43)-ROW($N$9))/1000,0)),"")</f>
        <v>3</v>
      </c>
      <c r="W21" s="60" cm="1">
        <f t="array" ref="W21">IFERROR(INDEX($K$9:$K$43,MATCH(LARGE($N$9:$N$43+(ROW($N$9:$N$43)-ROW($N$9))/1000,14),$N$9:$N$43+(ROW($N$9:$N$43)-ROW($N$9))/1000,0)),"")</f>
        <v>3</v>
      </c>
      <c r="X21" s="60" cm="1">
        <f t="array" ref="X21">IFERROR(INDEX($M$9:$M$43,MATCH(LARGE($N$9:$N$43+(ROW($N$9:$N$43)-ROW($N$9))/1000,14),$N$9:$N$43+(ROW($N$9:$N$43)-ROW($N$9))/1000,0)),"")</f>
        <v>3</v>
      </c>
      <c r="Y21" s="218" t="str">
        <f>IF(R21="","",IF(COUNTIF(Portfolio!$C$5:$C$19,R21)&gt;0,"YES","-"))</f>
        <v>YES</v>
      </c>
    </row>
    <row r="22" spans="1:25" ht="22" customHeight="1" x14ac:dyDescent="0.2">
      <c r="A22" s="72">
        <v>14</v>
      </c>
      <c r="B22" s="24" t="s">
        <v>90</v>
      </c>
      <c r="C22" s="24" t="s">
        <v>91</v>
      </c>
      <c r="D22" s="34">
        <f>Universe!G18</f>
        <v>4.19E-2</v>
      </c>
      <c r="E22" s="61">
        <f t="shared" si="0"/>
        <v>1</v>
      </c>
      <c r="F22" s="34">
        <f>Universe!H18</f>
        <v>0.64259999999999995</v>
      </c>
      <c r="G22" s="61">
        <f t="shared" si="1"/>
        <v>3</v>
      </c>
      <c r="H22" s="36">
        <f>Universe!I18</f>
        <v>1.73</v>
      </c>
      <c r="I22" s="61">
        <f t="shared" si="2"/>
        <v>2</v>
      </c>
      <c r="J22" s="34">
        <f>Universe!J18</f>
        <v>2.226</v>
      </c>
      <c r="K22" s="61">
        <f t="shared" si="3"/>
        <v>5</v>
      </c>
      <c r="L22" s="36">
        <f>Universe!K18</f>
        <v>20.3</v>
      </c>
      <c r="M22" s="61">
        <f t="shared" si="4"/>
        <v>2</v>
      </c>
      <c r="N22" s="77">
        <f>IF(COUNTA(D22,F22,H22,J22,L22)&lt;5,"",E22*C5+G22*E5+I22*G5+K22*I5+M22*K5)</f>
        <v>2.5000000000000004</v>
      </c>
      <c r="P22" s="221">
        <v>15</v>
      </c>
      <c r="Q22" s="222" t="str" cm="1">
        <f t="array" ref="Q22">IFERROR(INDEX($B$9:$B$43,MATCH(LARGE($N$9:$N$43+(ROW($N$9:$N$43)-ROW($N$9))/1000,15),$N$9:$N$43+(ROW($N$9:$N$43)-ROW($N$9))/1000,0)),"")</f>
        <v>Automatic Data Processing</v>
      </c>
      <c r="R22" s="222" t="str" cm="1">
        <f t="array" ref="R22">IFERROR(INDEX($C$9:$C$43,MATCH(LARGE($N$9:$N$43+(ROW($N$9:$N$43)-ROW($N$9))/1000,15),$N$9:$N$43+(ROW($N$9:$N$43)-ROW($N$9))/1000,0)),"")</f>
        <v>ADP</v>
      </c>
      <c r="S22" s="223" cm="1">
        <f t="array" ref="S22">IFERROR(INDEX($N$9:$N$43,MATCH(LARGE($N$9:$N$43+(ROW($N$9:$N$43)-ROW($N$9))/1000,15),$N$9:$N$43+(ROW($N$9:$N$43)-ROW($N$9))/1000,0)),"")</f>
        <v>3.0999999999999996</v>
      </c>
      <c r="T22" s="224" cm="1">
        <f t="array" ref="T22">IFERROR(INDEX($E$9:$E$43,MATCH(LARGE($N$9:$N$43+(ROW($N$9:$N$43)-ROW($N$9))/1000,15),$N$9:$N$43+(ROW($N$9:$N$43)-ROW($N$9))/1000,0)),"")</f>
        <v>5</v>
      </c>
      <c r="U22" s="224" cm="1">
        <f t="array" ref="U22">IFERROR(INDEX($G$9:$G$43,MATCH(LARGE($N$9:$N$43+(ROW($N$9:$N$43)-ROW($N$9))/1000,15),$N$9:$N$43+(ROW($N$9:$N$43)-ROW($N$9))/1000,0)),"")</f>
        <v>1</v>
      </c>
      <c r="V22" s="224" cm="1">
        <f t="array" ref="V22">IFERROR(INDEX($I$9:$I$43,MATCH(LARGE($N$9:$N$43+(ROW($N$9:$N$43)-ROW($N$9))/1000,15),$N$9:$N$43+(ROW($N$9:$N$43)-ROW($N$9))/1000,0)),"")</f>
        <v>3</v>
      </c>
      <c r="W22" s="224" cm="1">
        <f t="array" ref="W22">IFERROR(INDEX($K$9:$K$43,MATCH(LARGE($N$9:$N$43+(ROW($N$9:$N$43)-ROW($N$9))/1000,15),$N$9:$N$43+(ROW($N$9:$N$43)-ROW($N$9))/1000,0)),"")</f>
        <v>2</v>
      </c>
      <c r="X22" s="224" cm="1">
        <f t="array" ref="X22">IFERROR(INDEX($M$9:$M$43,MATCH(LARGE($N$9:$N$43+(ROW($N$9:$N$43)-ROW($N$9))/1000,15),$N$9:$N$43+(ROW($N$9:$N$43)-ROW($N$9))/1000,0)),"")</f>
        <v>4</v>
      </c>
      <c r="Y22" s="225" t="str">
        <f>IF(R22="","",IF(COUNTIF(Portfolio!$C$5:$C$19,R22)&gt;0,"YES","-"))</f>
        <v>YES</v>
      </c>
    </row>
    <row r="23" spans="1:25" ht="22" customHeight="1" x14ac:dyDescent="0.2">
      <c r="A23" s="73">
        <v>15</v>
      </c>
      <c r="B23" s="26" t="s">
        <v>92</v>
      </c>
      <c r="C23" s="26" t="s">
        <v>93</v>
      </c>
      <c r="D23" s="34">
        <f>Universe!G19</f>
        <v>0.37509999999999999</v>
      </c>
      <c r="E23" s="64">
        <f t="shared" si="0"/>
        <v>5</v>
      </c>
      <c r="F23" s="34">
        <f>Universe!H19</f>
        <v>0.8034</v>
      </c>
      <c r="G23" s="64">
        <f t="shared" si="1"/>
        <v>5</v>
      </c>
      <c r="H23" s="36">
        <f>Universe!I19</f>
        <v>0.69</v>
      </c>
      <c r="I23" s="64">
        <f t="shared" si="2"/>
        <v>3</v>
      </c>
      <c r="J23" s="34">
        <f>Universe!J19</f>
        <v>7.0300000000000001E-2</v>
      </c>
      <c r="K23" s="64">
        <f t="shared" si="3"/>
        <v>1</v>
      </c>
      <c r="L23" s="36">
        <f>Universe!K19</f>
        <v>7.94</v>
      </c>
      <c r="M23" s="64">
        <f t="shared" si="4"/>
        <v>1</v>
      </c>
      <c r="N23" s="78">
        <f>IF(COUNTA(D23,F23,H23,J23,L23)&lt;5,"",E23*C5+G23*E5+I23*G5+K23*I5+M23*K5)</f>
        <v>3.4000000000000004</v>
      </c>
      <c r="P23" s="227">
        <v>16</v>
      </c>
      <c r="Q23" s="228" t="str" cm="1">
        <f t="array" ref="Q23">IFERROR(INDEX($B$9:$B$43,MATCH(LARGE($N$9:$N$43+(ROW($N$9:$N$43)-ROW($N$9))/1000,16),$N$9:$N$43+(ROW($N$9:$N$43)-ROW($N$9))/1000,0)),"")</f>
        <v>Verisk Analytics</v>
      </c>
      <c r="R23" s="228" t="str" cm="1">
        <f t="array" ref="R23">IFERROR(INDEX($C$9:$C$43,MATCH(LARGE($N$9:$N$43+(ROW($N$9:$N$43)-ROW($N$9))/1000,16),$N$9:$N$43+(ROW($N$9:$N$43)-ROW($N$9))/1000,0)),"")</f>
        <v>VRSK</v>
      </c>
      <c r="S23" s="229" cm="1">
        <f t="array" ref="S23">IFERROR(INDEX($N$9:$N$43,MATCH(LARGE($N$9:$N$43+(ROW($N$9:$N$43)-ROW($N$9))/1000,16),$N$9:$N$43+(ROW($N$9:$N$43)-ROW($N$9))/1000,0)),"")</f>
        <v>3</v>
      </c>
      <c r="T23" s="230" cm="1">
        <f t="array" ref="T23">IFERROR(INDEX($E$9:$E$43,MATCH(LARGE($N$9:$N$43+(ROW($N$9:$N$43)-ROW($N$9))/1000,16),$N$9:$N$43+(ROW($N$9:$N$43)-ROW($N$9))/1000,0)),"")</f>
        <v>4</v>
      </c>
      <c r="U23" s="230" cm="1">
        <f t="array" ref="U23">IFERROR(INDEX($G$9:$G$43,MATCH(LARGE($N$9:$N$43+(ROW($N$9:$N$43)-ROW($N$9))/1000,16),$N$9:$N$43+(ROW($N$9:$N$43)-ROW($N$9))/1000,0)),"")</f>
        <v>2</v>
      </c>
      <c r="V23" s="230" cm="1">
        <f t="array" ref="V23">IFERROR(INDEX($I$9:$I$43,MATCH(LARGE($N$9:$N$43+(ROW($N$9:$N$43)-ROW($N$9))/1000,16),$N$9:$N$43+(ROW($N$9:$N$43)-ROW($N$9))/1000,0)),"")</f>
        <v>2</v>
      </c>
      <c r="W23" s="230" cm="1">
        <f t="array" ref="W23">IFERROR(INDEX($K$9:$K$43,MATCH(LARGE($N$9:$N$43+(ROW($N$9:$N$43)-ROW($N$9))/1000,16),$N$9:$N$43+(ROW($N$9:$N$43)-ROW($N$9))/1000,0)),"")</f>
        <v>4</v>
      </c>
      <c r="X23" s="230" cm="1">
        <f t="array" ref="X23">IFERROR(INDEX($M$9:$M$43,MATCH(LARGE($N$9:$N$43+(ROW($N$9:$N$43)-ROW($N$9))/1000,16),$N$9:$N$43+(ROW($N$9:$N$43)-ROW($N$9))/1000,0)),"")</f>
        <v>2</v>
      </c>
      <c r="Y23" s="231" t="str">
        <f>IF(R23="","",IF(COUNTIF(Portfolio!$C$5:$C$19,R23)&gt;0,"YES","-"))</f>
        <v>-</v>
      </c>
    </row>
    <row r="24" spans="1:25" ht="22" customHeight="1" x14ac:dyDescent="0.2">
      <c r="A24" s="72">
        <v>16</v>
      </c>
      <c r="B24" s="24" t="s">
        <v>96</v>
      </c>
      <c r="C24" s="24" t="s">
        <v>97</v>
      </c>
      <c r="D24" s="34">
        <f>Universe!G20</f>
        <v>0.50160000000000005</v>
      </c>
      <c r="E24" s="61">
        <f t="shared" si="0"/>
        <v>5</v>
      </c>
      <c r="F24" s="34">
        <f>Universe!H20</f>
        <v>0.61819999999999997</v>
      </c>
      <c r="G24" s="61">
        <f t="shared" si="1"/>
        <v>3</v>
      </c>
      <c r="H24" s="36">
        <f>Universe!I20</f>
        <v>0.44</v>
      </c>
      <c r="I24" s="61">
        <f t="shared" si="2"/>
        <v>3</v>
      </c>
      <c r="J24" s="34">
        <f>Universe!J20</f>
        <v>0.99429999999999996</v>
      </c>
      <c r="K24" s="61">
        <f t="shared" si="3"/>
        <v>4</v>
      </c>
      <c r="L24" s="36">
        <f>Universe!K20</f>
        <v>44.09</v>
      </c>
      <c r="M24" s="61">
        <f t="shared" si="4"/>
        <v>4</v>
      </c>
      <c r="N24" s="77">
        <f>IF(COUNTA(D24,F24,H24,J24,L24)&lt;5,"",E24*C5+G24*E5+I24*G5+K24*I5+M24*K5)</f>
        <v>3.9</v>
      </c>
      <c r="P24" s="226">
        <v>17</v>
      </c>
      <c r="Q24" s="22" t="str" cm="1">
        <f t="array" ref="Q24">IFERROR(INDEX($B$9:$B$43,MATCH(LARGE($N$9:$N$43+(ROW($N$9:$N$43)-ROW($N$9))/1000,17),$N$9:$N$43+(ROW($N$9:$N$43)-ROW($N$9))/1000,0)),"")</f>
        <v>Accenture plc</v>
      </c>
      <c r="R24" s="22" t="str" cm="1">
        <f t="array" ref="R24">IFERROR(INDEX($C$9:$C$43,MATCH(LARGE($N$9:$N$43+(ROW($N$9:$N$43)-ROW($N$9))/1000,17),$N$9:$N$43+(ROW($N$9:$N$43)-ROW($N$9))/1000,0)),"")</f>
        <v>ACN</v>
      </c>
      <c r="S24" s="59" cm="1">
        <f t="array" ref="S24">IFERROR(INDEX($N$9:$N$43,MATCH(LARGE($N$9:$N$43+(ROW($N$9:$N$43)-ROW($N$9))/1000,17),$N$9:$N$43+(ROW($N$9:$N$43)-ROW($N$9))/1000,0)),"")</f>
        <v>3</v>
      </c>
      <c r="T24" s="57" cm="1">
        <f t="array" ref="T24">IFERROR(INDEX($E$9:$E$43,MATCH(LARGE($N$9:$N$43+(ROW($N$9:$N$43)-ROW($N$9))/1000,17),$N$9:$N$43+(ROW($N$9:$N$43)-ROW($N$9))/1000,0)),"")</f>
        <v>3</v>
      </c>
      <c r="U24" s="57" cm="1">
        <f t="array" ref="U24">IFERROR(INDEX($G$9:$G$43,MATCH(LARGE($N$9:$N$43+(ROW($N$9:$N$43)-ROW($N$9))/1000,17),$N$9:$N$43+(ROW($N$9:$N$43)-ROW($N$9))/1000,0)),"")</f>
        <v>1</v>
      </c>
      <c r="V24" s="57" cm="1">
        <f t="array" ref="V24">IFERROR(INDEX($I$9:$I$43,MATCH(LARGE($N$9:$N$43+(ROW($N$9:$N$43)-ROW($N$9))/1000,17),$N$9:$N$43+(ROW($N$9:$N$43)-ROW($N$9))/1000,0)),"")</f>
        <v>4</v>
      </c>
      <c r="W24" s="57" cm="1">
        <f t="array" ref="W24">IFERROR(INDEX($K$9:$K$43,MATCH(LARGE($N$9:$N$43+(ROW($N$9:$N$43)-ROW($N$9))/1000,17),$N$9:$N$43+(ROW($N$9:$N$43)-ROW($N$9))/1000,0)),"")</f>
        <v>3</v>
      </c>
      <c r="X24" s="57" cm="1">
        <f t="array" ref="X24">IFERROR(INDEX($M$9:$M$43,MATCH(LARGE($N$9:$N$43+(ROW($N$9:$N$43)-ROW($N$9))/1000,17),$N$9:$N$43+(ROW($N$9:$N$43)-ROW($N$9))/1000,0)),"")</f>
        <v>5</v>
      </c>
      <c r="Y24" s="217" t="str">
        <f>IF(R24="","",IF(COUNTIF(Portfolio!$C$5:$C$19,R24)&gt;0,"YES","-"))</f>
        <v>-</v>
      </c>
    </row>
    <row r="25" spans="1:25" ht="22" customHeight="1" x14ac:dyDescent="0.2">
      <c r="A25" s="73">
        <v>17</v>
      </c>
      <c r="B25" s="26" t="s">
        <v>98</v>
      </c>
      <c r="C25" s="26" t="s">
        <v>99</v>
      </c>
      <c r="D25" s="34">
        <f>Universe!G21</f>
        <v>5.2200000000000003E-2</v>
      </c>
      <c r="E25" s="64">
        <f t="shared" si="0"/>
        <v>1</v>
      </c>
      <c r="F25" s="34">
        <f>Universe!H21</f>
        <v>0.59230000000000005</v>
      </c>
      <c r="G25" s="64">
        <f t="shared" si="1"/>
        <v>2</v>
      </c>
      <c r="H25" s="36">
        <f>Universe!I21</f>
        <v>1.79</v>
      </c>
      <c r="I25" s="64">
        <f t="shared" si="2"/>
        <v>1</v>
      </c>
      <c r="J25" s="34">
        <f>Universe!J21</f>
        <v>1.2172000000000001</v>
      </c>
      <c r="K25" s="64">
        <f t="shared" si="3"/>
        <v>5</v>
      </c>
      <c r="L25" s="36">
        <f>Universe!K21</f>
        <v>36.299999999999997</v>
      </c>
      <c r="M25" s="64">
        <f t="shared" si="4"/>
        <v>3</v>
      </c>
      <c r="N25" s="78">
        <f>IF(COUNTA(D25,F25,H25,J25,L25)&lt;5,"",E25*C5+G25*E5+I25*G5+K25*I5+M25*K5)</f>
        <v>2.2000000000000002</v>
      </c>
      <c r="P25" s="213">
        <v>18</v>
      </c>
      <c r="Q25" s="24" t="str" cm="1">
        <f t="array" ref="Q25">IFERROR(INDEX($B$9:$B$43,MATCH(LARGE($N$9:$N$43+(ROW($N$9:$N$43)-ROW($N$9))/1000,18),$N$9:$N$43+(ROW($N$9:$N$43)-ROW($N$9))/1000,0)),"")</f>
        <v>Microsoft Corporation</v>
      </c>
      <c r="R25" s="24" t="str" cm="1">
        <f t="array" ref="R25">IFERROR(INDEX($C$9:$C$43,MATCH(LARGE($N$9:$N$43+(ROW($N$9:$N$43)-ROW($N$9))/1000,18),$N$9:$N$43+(ROW($N$9:$N$43)-ROW($N$9))/1000,0)),"")</f>
        <v>MSFT</v>
      </c>
      <c r="S25" s="62" cm="1">
        <f t="array" ref="S25">IFERROR(INDEX($N$9:$N$43,MATCH(LARGE($N$9:$N$43+(ROW($N$9:$N$43)-ROW($N$9))/1000,18),$N$9:$N$43+(ROW($N$9:$N$43)-ROW($N$9))/1000,0)),"")</f>
        <v>3</v>
      </c>
      <c r="T25" s="60" cm="1">
        <f t="array" ref="T25">IFERROR(INDEX($E$9:$E$43,MATCH(LARGE($N$9:$N$43+(ROW($N$9:$N$43)-ROW($N$9))/1000,18),$N$9:$N$43+(ROW($N$9:$N$43)-ROW($N$9))/1000,0)),"")</f>
        <v>3</v>
      </c>
      <c r="U25" s="60" cm="1">
        <f t="array" ref="U25">IFERROR(INDEX($G$9:$G$43,MATCH(LARGE($N$9:$N$43+(ROW($N$9:$N$43)-ROW($N$9))/1000,18),$N$9:$N$43+(ROW($N$9:$N$43)-ROW($N$9))/1000,0)),"")</f>
        <v>4</v>
      </c>
      <c r="V25" s="60" cm="1">
        <f t="array" ref="V25">IFERROR(INDEX($I$9:$I$43,MATCH(LARGE($N$9:$N$43+(ROW($N$9:$N$43)-ROW($N$9))/1000,18),$N$9:$N$43+(ROW($N$9:$N$43)-ROW($N$9))/1000,0)),"")</f>
        <v>4</v>
      </c>
      <c r="W25" s="60" cm="1">
        <f t="array" ref="W25">IFERROR(INDEX($K$9:$K$43,MATCH(LARGE($N$9:$N$43+(ROW($N$9:$N$43)-ROW($N$9))/1000,18),$N$9:$N$43+(ROW($N$9:$N$43)-ROW($N$9))/1000,0)),"")</f>
        <v>1</v>
      </c>
      <c r="X25" s="60" cm="1">
        <f t="array" ref="X25">IFERROR(INDEX($M$9:$M$43,MATCH(LARGE($N$9:$N$43+(ROW($N$9:$N$43)-ROW($N$9))/1000,18),$N$9:$N$43+(ROW($N$9:$N$43)-ROW($N$9))/1000,0)),"")</f>
        <v>3</v>
      </c>
      <c r="Y25" s="218" t="str">
        <f>IF(R25="","",IF(COUNTIF(Portfolio!$C$5:$C$19,R25)&gt;0,"YES","-"))</f>
        <v>-</v>
      </c>
    </row>
    <row r="26" spans="1:25" ht="22" customHeight="1" x14ac:dyDescent="0.2">
      <c r="A26" s="72">
        <v>18</v>
      </c>
      <c r="B26" s="24" t="s">
        <v>100</v>
      </c>
      <c r="C26" s="24" t="s">
        <v>101</v>
      </c>
      <c r="D26" s="34">
        <f>Universe!G22</f>
        <v>0.1017</v>
      </c>
      <c r="E26" s="61">
        <f t="shared" si="0"/>
        <v>2</v>
      </c>
      <c r="F26" s="34">
        <f>Universe!H22</f>
        <v>0.69799999999999995</v>
      </c>
      <c r="G26" s="61">
        <f t="shared" si="1"/>
        <v>4</v>
      </c>
      <c r="H26" s="36">
        <f>Universe!I22</f>
        <v>-1.29</v>
      </c>
      <c r="I26" s="61">
        <f t="shared" si="2"/>
        <v>5</v>
      </c>
      <c r="J26" s="34">
        <f>Universe!J22</f>
        <v>1.196</v>
      </c>
      <c r="K26" s="61">
        <f t="shared" si="3"/>
        <v>4</v>
      </c>
      <c r="L26" s="36">
        <f>Universe!K22</f>
        <v>51.32</v>
      </c>
      <c r="M26" s="61">
        <f t="shared" si="4"/>
        <v>4</v>
      </c>
      <c r="N26" s="77">
        <f>IF(COUNTA(D26,F26,H26,J26,L26)&lt;5,"",E26*C5+G26*E5+I26*G5+K26*I5+M26*K5)</f>
        <v>3.6</v>
      </c>
      <c r="P26" s="214">
        <v>19</v>
      </c>
      <c r="Q26" s="26" t="str" cm="1">
        <f t="array" ref="Q26">IFERROR(INDEX($B$9:$B$43,MATCH(LARGE($N$9:$N$43+(ROW($N$9:$N$43)-ROW($N$9))/1000,19),$N$9:$N$43+(ROW($N$9:$N$43)-ROW($N$9))/1000,0)),"")</f>
        <v>Taiwan Semiconductor</v>
      </c>
      <c r="R26" s="26" t="str" cm="1">
        <f t="array" ref="R26">IFERROR(INDEX($C$9:$C$43,MATCH(LARGE($N$9:$N$43+(ROW($N$9:$N$43)-ROW($N$9))/1000,19),$N$9:$N$43+(ROW($N$9:$N$43)-ROW($N$9))/1000,0)),"")</f>
        <v>TSM</v>
      </c>
      <c r="S26" s="65" cm="1">
        <f t="array" ref="S26">IFERROR(INDEX($N$9:$N$43,MATCH(LARGE($N$9:$N$43+(ROW($N$9:$N$43)-ROW($N$9))/1000,19),$N$9:$N$43+(ROW($N$9:$N$43)-ROW($N$9))/1000,0)),"")</f>
        <v>2.9000000000000004</v>
      </c>
      <c r="T26" s="63" cm="1">
        <f t="array" ref="T26">IFERROR(INDEX($E$9:$E$43,MATCH(LARGE($N$9:$N$43+(ROW($N$9:$N$43)-ROW($N$9))/1000,19),$N$9:$N$43+(ROW($N$9:$N$43)-ROW($N$9))/1000,0)),"")</f>
        <v>4</v>
      </c>
      <c r="U26" s="63" cm="1">
        <f t="array" ref="U26">IFERROR(INDEX($G$9:$G$43,MATCH(LARGE($N$9:$N$43+(ROW($N$9:$N$43)-ROW($N$9))/1000,19),$N$9:$N$43+(ROW($N$9:$N$43)-ROW($N$9))/1000,0)),"")</f>
        <v>2</v>
      </c>
      <c r="V26" s="63" cm="1">
        <f t="array" ref="V26">IFERROR(INDEX($I$9:$I$43,MATCH(LARGE($N$9:$N$43+(ROW($N$9:$N$43)-ROW($N$9))/1000,19),$N$9:$N$43+(ROW($N$9:$N$43)-ROW($N$9))/1000,0)),"")</f>
        <v>5</v>
      </c>
      <c r="W26" s="63" cm="1">
        <f t="array" ref="W26">IFERROR(INDEX($K$9:$K$43,MATCH(LARGE($N$9:$N$43+(ROW($N$9:$N$43)-ROW($N$9))/1000,19),$N$9:$N$43+(ROW($N$9:$N$43)-ROW($N$9))/1000,0)),"")</f>
        <v>1</v>
      </c>
      <c r="X26" s="63" cm="1">
        <f t="array" ref="X26">IFERROR(INDEX($M$9:$M$43,MATCH(LARGE($N$9:$N$43+(ROW($N$9:$N$43)-ROW($N$9))/1000,19),$N$9:$N$43+(ROW($N$9:$N$43)-ROW($N$9))/1000,0)),"")</f>
        <v>1</v>
      </c>
      <c r="Y26" s="219" t="str">
        <f>IF(R26="","",IF(COUNTIF(Portfolio!$C$5:$C$19,R26)&gt;0,"YES","-"))</f>
        <v>-</v>
      </c>
    </row>
    <row r="27" spans="1:25" ht="22" customHeight="1" x14ac:dyDescent="0.2">
      <c r="A27" s="73">
        <v>19</v>
      </c>
      <c r="B27" s="26" t="s">
        <v>102</v>
      </c>
      <c r="C27" s="26" t="s">
        <v>103</v>
      </c>
      <c r="D27" s="34">
        <f>Universe!G23</f>
        <v>0.1532</v>
      </c>
      <c r="E27" s="64">
        <f t="shared" si="0"/>
        <v>3</v>
      </c>
      <c r="F27" s="34">
        <f>Universe!H23</f>
        <v>0.35920000000000002</v>
      </c>
      <c r="G27" s="64">
        <f t="shared" si="1"/>
        <v>1</v>
      </c>
      <c r="H27" s="36">
        <f>Universe!I23</f>
        <v>-0.72</v>
      </c>
      <c r="I27" s="64">
        <f t="shared" si="2"/>
        <v>4</v>
      </c>
      <c r="J27" s="34">
        <f>Universe!J23</f>
        <v>0.82579999999999998</v>
      </c>
      <c r="K27" s="64">
        <f t="shared" si="3"/>
        <v>3</v>
      </c>
      <c r="L27" s="36">
        <f>Universe!K23</f>
        <v>39.18</v>
      </c>
      <c r="M27" s="64">
        <f t="shared" si="4"/>
        <v>3</v>
      </c>
      <c r="N27" s="78">
        <f>IF(COUNTA(D27,F27,H27,J27,L27)&lt;5,"",E27*C5+G27*E5+I27*G5+K27*I5+M27*K5)</f>
        <v>2.8</v>
      </c>
      <c r="P27" s="215">
        <v>20</v>
      </c>
      <c r="Q27" s="207" t="str" cm="1">
        <f t="array" ref="Q27">IFERROR(INDEX($B$9:$B$43,MATCH(LARGE($N$9:$N$43+(ROW($N$9:$N$43)-ROW($N$9))/1000,20),$N$9:$N$43+(ROW($N$9:$N$43)-ROW($N$9))/1000,0)),"")</f>
        <v>L'Oréal S.A.</v>
      </c>
      <c r="R27" s="207" t="str" cm="1">
        <f t="array" ref="R27">IFERROR(INDEX($C$9:$C$43,MATCH(LARGE($N$9:$N$43+(ROW($N$9:$N$43)-ROW($N$9))/1000,20),$N$9:$N$43+(ROW($N$9:$N$43)-ROW($N$9))/1000,0)),"")</f>
        <v>OR</v>
      </c>
      <c r="S27" s="208" cm="1">
        <f t="array" ref="S27">IFERROR(INDEX($N$9:$N$43,MATCH(LARGE($N$9:$N$43+(ROW($N$9:$N$43)-ROW($N$9))/1000,20),$N$9:$N$43+(ROW($N$9:$N$43)-ROW($N$9))/1000,0)),"")</f>
        <v>2.9</v>
      </c>
      <c r="T27" s="209" cm="1">
        <f t="array" ref="T27">IFERROR(INDEX($E$9:$E$43,MATCH(LARGE($N$9:$N$43+(ROW($N$9:$N$43)-ROW($N$9))/1000,20),$N$9:$N$43+(ROW($N$9:$N$43)-ROW($N$9))/1000,0)),"")</f>
        <v>2</v>
      </c>
      <c r="U27" s="209" cm="1">
        <f t="array" ref="U27">IFERROR(INDEX($G$9:$G$43,MATCH(LARGE($N$9:$N$43+(ROW($N$9:$N$43)-ROW($N$9))/1000,20),$N$9:$N$43+(ROW($N$9:$N$43)-ROW($N$9))/1000,0)),"")</f>
        <v>4</v>
      </c>
      <c r="V27" s="209" cm="1">
        <f t="array" ref="V27">IFERROR(INDEX($I$9:$I$43,MATCH(LARGE($N$9:$N$43+(ROW($N$9:$N$43)-ROW($N$9))/1000,20),$N$9:$N$43+(ROW($N$9:$N$43)-ROW($N$9))/1000,0)),"")</f>
        <v>3</v>
      </c>
      <c r="W27" s="209" cm="1">
        <f t="array" ref="W27">IFERROR(INDEX($K$9:$K$43,MATCH(LARGE($N$9:$N$43+(ROW($N$9:$N$43)-ROW($N$9))/1000,20),$N$9:$N$43+(ROW($N$9:$N$43)-ROW($N$9))/1000,0)),"")</f>
        <v>2</v>
      </c>
      <c r="X27" s="209" cm="1">
        <f t="array" ref="X27">IFERROR(INDEX($M$9:$M$43,MATCH(LARGE($N$9:$N$43+(ROW($N$9:$N$43)-ROW($N$9))/1000,20),$N$9:$N$43+(ROW($N$9:$N$43)-ROW($N$9))/1000,0)),"")</f>
        <v>5</v>
      </c>
      <c r="Y27" s="220" t="str">
        <f>IF(R27="","",IF(COUNTIF(Portfolio!$C$5:$C$19,R27)&gt;0,"YES","-"))</f>
        <v>-</v>
      </c>
    </row>
    <row r="28" spans="1:25" ht="22" customHeight="1" x14ac:dyDescent="0.2">
      <c r="A28" s="72">
        <v>20</v>
      </c>
      <c r="B28" s="24" t="s">
        <v>104</v>
      </c>
      <c r="C28" s="24" t="s">
        <v>105</v>
      </c>
      <c r="D28" s="34">
        <f>Universe!G24</f>
        <v>0.1159</v>
      </c>
      <c r="E28" s="61">
        <f t="shared" si="0"/>
        <v>2</v>
      </c>
      <c r="F28" s="34">
        <f>Universe!H24</f>
        <v>0.66239999999999999</v>
      </c>
      <c r="G28" s="61">
        <f t="shared" si="1"/>
        <v>3</v>
      </c>
      <c r="H28" s="36">
        <f>Universe!I24</f>
        <v>0.94</v>
      </c>
      <c r="I28" s="61">
        <f t="shared" si="2"/>
        <v>2</v>
      </c>
      <c r="J28" s="34">
        <f>Universe!J24</f>
        <v>0.76619999999999999</v>
      </c>
      <c r="K28" s="61">
        <f t="shared" si="3"/>
        <v>2</v>
      </c>
      <c r="L28" s="36">
        <f>Universe!K24</f>
        <v>157.79</v>
      </c>
      <c r="M28" s="61">
        <f t="shared" si="4"/>
        <v>5</v>
      </c>
      <c r="N28" s="77">
        <f>IF(COUNTA(D28,F28,H28,J28,L28)&lt;5,"",E28*C5+G28*E5+I28*G5+K28*I5+M28*K5)</f>
        <v>2.5</v>
      </c>
    </row>
    <row r="29" spans="1:25" ht="28" customHeight="1" x14ac:dyDescent="0.2">
      <c r="A29" s="73">
        <v>21</v>
      </c>
      <c r="B29" s="26" t="s">
        <v>108</v>
      </c>
      <c r="C29" s="26" t="s">
        <v>109</v>
      </c>
      <c r="D29" s="34">
        <f>Universe!G25</f>
        <v>0.22600000000000001</v>
      </c>
      <c r="E29" s="64">
        <f t="shared" si="0"/>
        <v>3</v>
      </c>
      <c r="F29" s="34">
        <f>Universe!H25</f>
        <v>0.66549999999999998</v>
      </c>
      <c r="G29" s="64">
        <f t="shared" si="1"/>
        <v>4</v>
      </c>
      <c r="H29" s="36">
        <f>Universe!I25</f>
        <v>-1.32</v>
      </c>
      <c r="I29" s="64">
        <f t="shared" si="2"/>
        <v>5</v>
      </c>
      <c r="J29" s="34">
        <f>Universe!J25</f>
        <v>0.3674</v>
      </c>
      <c r="K29" s="64">
        <f t="shared" si="3"/>
        <v>1</v>
      </c>
      <c r="L29" s="36">
        <f>Universe!K25</f>
        <v>144.1</v>
      </c>
      <c r="M29" s="64">
        <f t="shared" si="4"/>
        <v>5</v>
      </c>
      <c r="N29" s="78">
        <f>IF(COUNTA(D29,F29,H29,J29,L29)&lt;5,"",E29*C5+G29*E5+I29*G5+K29*I5+M29*K5)</f>
        <v>3.4000000000000004</v>
      </c>
      <c r="P29" s="297" t="s">
        <v>328</v>
      </c>
      <c r="Q29" s="293"/>
      <c r="R29" s="293"/>
      <c r="S29" s="293"/>
      <c r="T29" s="293"/>
      <c r="U29" s="293"/>
      <c r="V29" s="293"/>
      <c r="W29" s="293"/>
      <c r="X29" s="293"/>
      <c r="Y29" s="293"/>
    </row>
    <row r="30" spans="1:25" ht="22" customHeight="1" x14ac:dyDescent="0.2">
      <c r="A30" s="72">
        <v>22</v>
      </c>
      <c r="B30" s="24" t="s">
        <v>110</v>
      </c>
      <c r="C30" s="24" t="s">
        <v>111</v>
      </c>
      <c r="D30" s="34">
        <f>Universe!G26</f>
        <v>0.14560000000000001</v>
      </c>
      <c r="E30" s="61">
        <f t="shared" si="0"/>
        <v>2</v>
      </c>
      <c r="F30" s="34">
        <f>Universe!H26</f>
        <v>0.74319999999999997</v>
      </c>
      <c r="G30" s="61">
        <f t="shared" si="1"/>
        <v>4</v>
      </c>
      <c r="H30" s="36">
        <f>Universe!I26</f>
        <v>0.19</v>
      </c>
      <c r="I30" s="61">
        <f t="shared" si="2"/>
        <v>3</v>
      </c>
      <c r="J30" s="34">
        <f>Universe!J26</f>
        <v>0.52949999999999997</v>
      </c>
      <c r="K30" s="61">
        <f t="shared" si="3"/>
        <v>2</v>
      </c>
      <c r="L30" s="36">
        <f>Universe!K26</f>
        <v>85.6</v>
      </c>
      <c r="M30" s="61">
        <f t="shared" si="4"/>
        <v>5</v>
      </c>
      <c r="N30" s="77">
        <f>IF(COUNTA(D30,F30,H30,J30,L30)&lt;5,"",E30*C5+G30*E5+I30*G5+K30*I5+M30*K5)</f>
        <v>2.9</v>
      </c>
    </row>
    <row r="31" spans="1:25" ht="22" customHeight="1" x14ac:dyDescent="0.2">
      <c r="A31" s="73">
        <v>23</v>
      </c>
      <c r="B31" s="26" t="s">
        <v>113</v>
      </c>
      <c r="C31" s="26" t="s">
        <v>114</v>
      </c>
      <c r="D31" s="34">
        <f>Universe!G27</f>
        <v>0.28060000000000002</v>
      </c>
      <c r="E31" s="64">
        <f t="shared" si="0"/>
        <v>4</v>
      </c>
      <c r="F31" s="34">
        <f>Universe!H27</f>
        <v>0.52459999999999996</v>
      </c>
      <c r="G31" s="64">
        <f t="shared" si="1"/>
        <v>2</v>
      </c>
      <c r="H31" s="36">
        <f>Universe!I27</f>
        <v>0.48</v>
      </c>
      <c r="I31" s="64">
        <f t="shared" si="2"/>
        <v>3</v>
      </c>
      <c r="J31" s="34">
        <f>Universe!J27</f>
        <v>0.83560000000000001</v>
      </c>
      <c r="K31" s="64">
        <f t="shared" si="3"/>
        <v>3</v>
      </c>
      <c r="L31" s="36">
        <f>Universe!K27</f>
        <v>37.78</v>
      </c>
      <c r="M31" s="64">
        <f t="shared" si="4"/>
        <v>3</v>
      </c>
      <c r="N31" s="78">
        <f>IF(COUNTA(D31,F31,H31,J31,L31)&lt;5,"",E31*C5+G31*E5+I31*G5+K31*I5+M31*K5)</f>
        <v>3.1000000000000005</v>
      </c>
    </row>
    <row r="32" spans="1:25" ht="22" customHeight="1" x14ac:dyDescent="0.2">
      <c r="A32" s="72">
        <v>24</v>
      </c>
      <c r="B32" s="24" t="s">
        <v>116</v>
      </c>
      <c r="C32" s="24" t="s">
        <v>117</v>
      </c>
      <c r="D32" s="34">
        <f>Universe!G28</f>
        <v>7.85E-2</v>
      </c>
      <c r="E32" s="61">
        <f t="shared" si="0"/>
        <v>2</v>
      </c>
      <c r="F32" s="34">
        <f>Universe!H28</f>
        <v>0.60489999999999999</v>
      </c>
      <c r="G32" s="61">
        <f t="shared" si="1"/>
        <v>3</v>
      </c>
      <c r="H32" s="36">
        <f>Universe!I28</f>
        <v>3.16</v>
      </c>
      <c r="I32" s="61">
        <f t="shared" si="2"/>
        <v>1</v>
      </c>
      <c r="J32" s="34">
        <f>Universe!J28</f>
        <v>0.16439999999999999</v>
      </c>
      <c r="K32" s="61">
        <f t="shared" si="3"/>
        <v>1</v>
      </c>
      <c r="L32" s="36">
        <f>Universe!K28</f>
        <v>9.07</v>
      </c>
      <c r="M32" s="61">
        <f t="shared" si="4"/>
        <v>1</v>
      </c>
      <c r="N32" s="77">
        <f>IF(COUNTA(D32,F32,H32,J32,L32)&lt;5,"",E32*C5+G32*E5+I32*G5+K32*I5+M32*K5)</f>
        <v>1.7000000000000002</v>
      </c>
    </row>
    <row r="33" spans="1:14" ht="22" customHeight="1" x14ac:dyDescent="0.2">
      <c r="A33" s="73">
        <v>25</v>
      </c>
      <c r="B33" s="26" t="s">
        <v>118</v>
      </c>
      <c r="C33" s="26" t="s">
        <v>119</v>
      </c>
      <c r="D33" s="34">
        <f>Universe!G29</f>
        <v>0.42799999999999999</v>
      </c>
      <c r="E33" s="64">
        <f t="shared" si="0"/>
        <v>5</v>
      </c>
      <c r="F33" s="34">
        <f>Universe!H29</f>
        <v>0.51559999999999995</v>
      </c>
      <c r="G33" s="64">
        <f t="shared" si="1"/>
        <v>2</v>
      </c>
      <c r="H33" s="36">
        <f>Universe!I29</f>
        <v>-0.72</v>
      </c>
      <c r="I33" s="64">
        <f t="shared" si="2"/>
        <v>4</v>
      </c>
      <c r="J33" s="34">
        <f>Universe!J29</f>
        <v>0.88819999999999999</v>
      </c>
      <c r="K33" s="64">
        <f t="shared" si="3"/>
        <v>3</v>
      </c>
      <c r="L33" s="36">
        <f>Universe!K29</f>
        <v>64.86</v>
      </c>
      <c r="M33" s="64">
        <f t="shared" si="4"/>
        <v>4</v>
      </c>
      <c r="N33" s="78">
        <f>IF(COUNTA(D33,F33,H33,J33,L33)&lt;5,"",E33*C5+G33*E5+I33*G5+K33*I5+M33*K5)</f>
        <v>3.7</v>
      </c>
    </row>
    <row r="34" spans="1:14" ht="22" customHeight="1" x14ac:dyDescent="0.2">
      <c r="A34" s="72">
        <v>26</v>
      </c>
      <c r="B34" s="24" t="s">
        <v>120</v>
      </c>
      <c r="C34" s="24" t="s">
        <v>121</v>
      </c>
      <c r="D34" s="34">
        <f>Universe!G30</f>
        <v>0.30759999999999998</v>
      </c>
      <c r="E34" s="61">
        <f t="shared" si="0"/>
        <v>4</v>
      </c>
      <c r="F34" s="34">
        <f>Universe!H30</f>
        <v>0.42959999999999998</v>
      </c>
      <c r="G34" s="61">
        <f t="shared" si="1"/>
        <v>1</v>
      </c>
      <c r="H34" s="36">
        <f>Universe!I30</f>
        <v>-0.08</v>
      </c>
      <c r="I34" s="61">
        <f t="shared" si="2"/>
        <v>4</v>
      </c>
      <c r="J34" s="34">
        <f>Universe!J30</f>
        <v>3.6900000000000002E-2</v>
      </c>
      <c r="K34" s="61">
        <f t="shared" si="3"/>
        <v>1</v>
      </c>
      <c r="L34" s="36">
        <f>Universe!K30</f>
        <v>6.28</v>
      </c>
      <c r="M34" s="61">
        <f t="shared" si="4"/>
        <v>1</v>
      </c>
      <c r="N34" s="77">
        <f>IF(COUNTA(D34,F34,H34,J34,L34)&lt;5,"",E34*C5+G34*E5+I34*G5+K34*I5+M34*K5)</f>
        <v>2.5000000000000004</v>
      </c>
    </row>
    <row r="35" spans="1:14" ht="22" customHeight="1" x14ac:dyDescent="0.2">
      <c r="A35" s="73">
        <v>27</v>
      </c>
      <c r="B35" s="26" t="s">
        <v>123</v>
      </c>
      <c r="C35" s="26" t="s">
        <v>124</v>
      </c>
      <c r="D35" s="34">
        <f>Universe!G31</f>
        <v>0.18379999999999999</v>
      </c>
      <c r="E35" s="64">
        <f t="shared" si="0"/>
        <v>3</v>
      </c>
      <c r="F35" s="34">
        <f>Universe!H31</f>
        <v>0.44669999999999999</v>
      </c>
      <c r="G35" s="64">
        <f t="shared" si="1"/>
        <v>1</v>
      </c>
      <c r="H35" s="36">
        <f>Universe!I31</f>
        <v>-2.5</v>
      </c>
      <c r="I35" s="64">
        <f t="shared" si="2"/>
        <v>5</v>
      </c>
      <c r="J35" s="34">
        <f>Universe!J31</f>
        <v>0.79279999999999995</v>
      </c>
      <c r="K35" s="64">
        <f t="shared" si="3"/>
        <v>2</v>
      </c>
      <c r="L35" s="36">
        <f>Universe!K31</f>
        <v>3.91</v>
      </c>
      <c r="M35" s="64">
        <f t="shared" si="4"/>
        <v>1</v>
      </c>
      <c r="N35" s="78">
        <f>IF(COUNTA(D35,F35,H35,J35,L35)&lt;5,"",E35*C5+G35*E5+I35*G5+K35*I5+M35*K5)</f>
        <v>2.5999999999999996</v>
      </c>
    </row>
    <row r="36" spans="1:14" ht="22" customHeight="1" x14ac:dyDescent="0.2">
      <c r="A36" s="72">
        <v>28</v>
      </c>
      <c r="B36" s="24" t="s">
        <v>125</v>
      </c>
      <c r="C36" s="24" t="s">
        <v>126</v>
      </c>
      <c r="D36" s="34">
        <f>Universe!G32</f>
        <v>5.6599999999999998E-2</v>
      </c>
      <c r="E36" s="61">
        <f t="shared" si="0"/>
        <v>1</v>
      </c>
      <c r="F36" s="34">
        <f>Universe!H32</f>
        <v>0.69240000000000002</v>
      </c>
      <c r="G36" s="61">
        <f t="shared" si="1"/>
        <v>4</v>
      </c>
      <c r="H36" s="36">
        <f>Universe!I32</f>
        <v>2.87</v>
      </c>
      <c r="I36" s="61">
        <f t="shared" si="2"/>
        <v>1</v>
      </c>
      <c r="J36" s="34">
        <f>Universe!J32</f>
        <v>1.3915999999999999</v>
      </c>
      <c r="K36" s="61">
        <f t="shared" si="3"/>
        <v>5</v>
      </c>
      <c r="L36" s="36">
        <f>Universe!K32</f>
        <v>60.06</v>
      </c>
      <c r="M36" s="61">
        <f t="shared" si="4"/>
        <v>4</v>
      </c>
      <c r="N36" s="77">
        <f>IF(COUNTA(D36,F36,H36,J36,L36)&lt;5,"",E36*C5+G36*E5+I36*G5+K36*I5+M36*K5)</f>
        <v>2.6999999999999997</v>
      </c>
    </row>
    <row r="37" spans="1:14" ht="22" customHeight="1" x14ac:dyDescent="0.2">
      <c r="A37" s="73">
        <v>29</v>
      </c>
      <c r="B37" s="26" t="s">
        <v>127</v>
      </c>
      <c r="C37" s="26" t="s">
        <v>128</v>
      </c>
      <c r="D37" s="34">
        <f>Universe!G33</f>
        <v>0.27660000000000001</v>
      </c>
      <c r="E37" s="64">
        <f t="shared" si="0"/>
        <v>4</v>
      </c>
      <c r="F37" s="34">
        <f>Universe!H33</f>
        <v>0.59019999999999995</v>
      </c>
      <c r="G37" s="64">
        <f t="shared" si="1"/>
        <v>2</v>
      </c>
      <c r="H37" s="36">
        <f>Universe!I33</f>
        <v>-1.39</v>
      </c>
      <c r="I37" s="64">
        <f t="shared" si="2"/>
        <v>5</v>
      </c>
      <c r="J37" s="34">
        <f>Universe!J33</f>
        <v>0.23480000000000001</v>
      </c>
      <c r="K37" s="64">
        <f t="shared" si="3"/>
        <v>1</v>
      </c>
      <c r="L37" s="36">
        <f>Universe!K33</f>
        <v>109.69</v>
      </c>
      <c r="M37" s="64">
        <f t="shared" si="4"/>
        <v>5</v>
      </c>
      <c r="N37" s="78">
        <f>IF(COUNTA(D37,F37,H37,J37,L37)&lt;5,"",E37*C5+G37*E5+I37*G5+K37*I5+M37*K5)</f>
        <v>3.3000000000000003</v>
      </c>
    </row>
    <row r="38" spans="1:14" ht="22" customHeight="1" x14ac:dyDescent="0.2">
      <c r="A38" s="72">
        <v>30</v>
      </c>
      <c r="B38" s="24" t="s">
        <v>130</v>
      </c>
      <c r="C38" s="24" t="s">
        <v>131</v>
      </c>
      <c r="D38" s="34">
        <f>Universe!G34</f>
        <v>0.28029999999999999</v>
      </c>
      <c r="E38" s="61">
        <f t="shared" si="0"/>
        <v>4</v>
      </c>
      <c r="F38" s="34">
        <f>Universe!H34</f>
        <v>0.59250000000000003</v>
      </c>
      <c r="G38" s="61">
        <f t="shared" si="1"/>
        <v>2</v>
      </c>
      <c r="H38" s="36">
        <f>Universe!I34</f>
        <v>1.5</v>
      </c>
      <c r="I38" s="61">
        <f t="shared" si="2"/>
        <v>2</v>
      </c>
      <c r="J38" s="34">
        <f>Universe!J34</f>
        <v>1.0358000000000001</v>
      </c>
      <c r="K38" s="61">
        <f t="shared" si="3"/>
        <v>4</v>
      </c>
      <c r="L38" s="36">
        <f>Universe!K34</f>
        <v>18.88</v>
      </c>
      <c r="M38" s="61">
        <f t="shared" si="4"/>
        <v>2</v>
      </c>
      <c r="N38" s="77">
        <f>IF(COUNTA(D38,F38,H38,J38,L38)&lt;5,"",E38*C5+G38*E5+I38*G5+K38*I5+M38*K5)</f>
        <v>3</v>
      </c>
    </row>
    <row r="39" spans="1:14" ht="22" customHeight="1" x14ac:dyDescent="0.2">
      <c r="A39" s="73">
        <v>31</v>
      </c>
      <c r="B39" s="26" t="s">
        <v>132</v>
      </c>
      <c r="C39" s="26" t="s">
        <v>133</v>
      </c>
      <c r="D39" s="34">
        <f>Universe!G35</f>
        <v>4.87E-2</v>
      </c>
      <c r="E39" s="64">
        <f t="shared" si="0"/>
        <v>1</v>
      </c>
      <c r="F39" s="34">
        <f>Universe!H35</f>
        <v>0.46529999999999999</v>
      </c>
      <c r="G39" s="64">
        <f t="shared" si="1"/>
        <v>1</v>
      </c>
      <c r="H39" s="36">
        <f>Universe!I35</f>
        <v>2.84</v>
      </c>
      <c r="I39" s="64">
        <f t="shared" si="2"/>
        <v>1</v>
      </c>
      <c r="J39" s="34">
        <f>Universe!J35</f>
        <v>1.2541</v>
      </c>
      <c r="K39" s="64">
        <f t="shared" si="3"/>
        <v>5</v>
      </c>
      <c r="L39" s="36">
        <f>Universe!K35</f>
        <v>19.78</v>
      </c>
      <c r="M39" s="64">
        <f t="shared" si="4"/>
        <v>2</v>
      </c>
      <c r="N39" s="78">
        <f>IF(COUNTA(D39,F39,H39,J39,L39)&lt;5,"",E39*C5+G39*E5+I39*G5+K39*I5+M39*K5)</f>
        <v>1.9</v>
      </c>
    </row>
    <row r="40" spans="1:14" ht="22" customHeight="1" x14ac:dyDescent="0.2">
      <c r="A40" s="72">
        <v>32</v>
      </c>
      <c r="B40" s="24" t="s">
        <v>134</v>
      </c>
      <c r="C40" s="24" t="s">
        <v>135</v>
      </c>
      <c r="D40" s="34">
        <f>Universe!G36</f>
        <v>0.29559999999999997</v>
      </c>
      <c r="E40" s="61">
        <f t="shared" si="0"/>
        <v>4</v>
      </c>
      <c r="F40" s="34">
        <f>Universe!H36</f>
        <v>0.58720000000000006</v>
      </c>
      <c r="G40" s="61">
        <f t="shared" si="1"/>
        <v>2</v>
      </c>
      <c r="H40" s="36">
        <f>Universe!I36</f>
        <v>-0.76</v>
      </c>
      <c r="I40" s="61">
        <f t="shared" si="2"/>
        <v>5</v>
      </c>
      <c r="J40" s="34">
        <f>Universe!J36</f>
        <v>0.35570000000000002</v>
      </c>
      <c r="K40" s="61">
        <f t="shared" si="3"/>
        <v>1</v>
      </c>
      <c r="L40" s="36">
        <f>Universe!K36</f>
        <v>3.05</v>
      </c>
      <c r="M40" s="61">
        <f t="shared" si="4"/>
        <v>1</v>
      </c>
      <c r="N40" s="77">
        <f>IF(COUNTA(D40,F40,H40,J40,L40)&lt;5,"",E40*C5+G40*E5+I40*G5+K40*I5+M40*K5)</f>
        <v>2.9000000000000004</v>
      </c>
    </row>
    <row r="41" spans="1:14" ht="22" customHeight="1" x14ac:dyDescent="0.2">
      <c r="A41" s="73">
        <v>33</v>
      </c>
      <c r="B41" s="26" t="s">
        <v>137</v>
      </c>
      <c r="C41" s="32">
        <v>6861</v>
      </c>
      <c r="D41" s="34">
        <f>Universe!G37</f>
        <v>0.1348</v>
      </c>
      <c r="E41" s="64">
        <f t="shared" si="0"/>
        <v>2</v>
      </c>
      <c r="F41" s="34">
        <f>Universe!H37</f>
        <v>0.83809999999999996</v>
      </c>
      <c r="G41" s="64">
        <f t="shared" si="1"/>
        <v>5</v>
      </c>
      <c r="H41" s="36">
        <f>Universe!I37</f>
        <v>-2.16</v>
      </c>
      <c r="I41" s="64">
        <f t="shared" si="2"/>
        <v>5</v>
      </c>
      <c r="J41" s="34">
        <f>Universe!J37</f>
        <v>0.79359999999999997</v>
      </c>
      <c r="K41" s="64">
        <f t="shared" si="3"/>
        <v>2</v>
      </c>
      <c r="L41" s="36">
        <f>Universe!K37</f>
        <v>23.3</v>
      </c>
      <c r="M41" s="64">
        <f t="shared" si="4"/>
        <v>2</v>
      </c>
      <c r="N41" s="78">
        <f>IF(COUNTA(D41,F41,H41,J41,L41)&lt;5,"",E41*C5+G41*E5+I41*G5+K41*I5+M41*K5)</f>
        <v>3.2</v>
      </c>
    </row>
    <row r="42" spans="1:14" ht="22" customHeight="1" x14ac:dyDescent="0.2">
      <c r="A42" s="72">
        <v>34</v>
      </c>
      <c r="B42" s="24" t="s">
        <v>139</v>
      </c>
      <c r="C42" s="24" t="s">
        <v>140</v>
      </c>
      <c r="D42" s="34">
        <f>Universe!G38</f>
        <v>4.7E-2</v>
      </c>
      <c r="E42" s="61">
        <f t="shared" si="0"/>
        <v>1</v>
      </c>
      <c r="F42" s="34">
        <f>Universe!H38</f>
        <v>0.60609999999999997</v>
      </c>
      <c r="G42" s="61">
        <f t="shared" si="1"/>
        <v>3</v>
      </c>
      <c r="H42" s="36">
        <f>Universe!I38</f>
        <v>1.68</v>
      </c>
      <c r="I42" s="61">
        <f t="shared" si="2"/>
        <v>2</v>
      </c>
      <c r="J42" s="34">
        <f>Universe!J38</f>
        <v>1.5169999999999999</v>
      </c>
      <c r="K42" s="61">
        <f t="shared" si="3"/>
        <v>5</v>
      </c>
      <c r="L42" s="36">
        <f>Universe!K38</f>
        <v>63.68</v>
      </c>
      <c r="M42" s="61">
        <f t="shared" si="4"/>
        <v>4</v>
      </c>
      <c r="N42" s="77">
        <f>IF(COUNTA(D42,F42,H42,J42,L42)&lt;5,"",E42*C5+G42*E5+I42*G5+K42*I5+M42*K5)</f>
        <v>2.7</v>
      </c>
    </row>
    <row r="43" spans="1:14" ht="22" customHeight="1" x14ac:dyDescent="0.2">
      <c r="A43" s="74">
        <v>35</v>
      </c>
      <c r="B43" s="68" t="s">
        <v>141</v>
      </c>
      <c r="C43" s="68" t="s">
        <v>142</v>
      </c>
      <c r="D43" s="34">
        <f>Universe!G39</f>
        <v>0.44180000000000003</v>
      </c>
      <c r="E43" s="69">
        <f t="shared" si="0"/>
        <v>5</v>
      </c>
      <c r="F43" s="34">
        <f>Universe!H39</f>
        <v>0.57520000000000004</v>
      </c>
      <c r="G43" s="69">
        <f t="shared" si="1"/>
        <v>2</v>
      </c>
      <c r="H43" s="36">
        <f>Universe!I39</f>
        <v>1.68</v>
      </c>
      <c r="I43" s="69">
        <f t="shared" si="2"/>
        <v>2</v>
      </c>
      <c r="J43" s="34">
        <f>Universe!J39</f>
        <v>0.97640000000000005</v>
      </c>
      <c r="K43" s="69">
        <f t="shared" si="3"/>
        <v>4</v>
      </c>
      <c r="L43" s="36">
        <f>Universe!K39</f>
        <v>175.97</v>
      </c>
      <c r="M43" s="69">
        <f t="shared" si="4"/>
        <v>5</v>
      </c>
      <c r="N43" s="79">
        <f>IF(COUNTA(D43,F43,H43,J43,L43)&lt;5,"",E43*C5+G43*E5+I43*G5+K43*I5+M43*K5)</f>
        <v>3.5999999999999996</v>
      </c>
    </row>
    <row r="45" spans="1:14" x14ac:dyDescent="0.2">
      <c r="A45" s="52" t="s">
        <v>169</v>
      </c>
      <c r="B45" s="308" cm="1">
        <f t="array" ref="B45">IFERROR(IF(COUNTA(Portfolio!$C$5:$C$19)=0,"",MIN(IFERROR(VLOOKUP(Portfolio!$C$5:$C$19,'Factor Screen'!$C$9:$N$43,12,0),999))),"")</f>
        <v>3.0999999999999996</v>
      </c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</row>
  </sheetData>
  <mergeCells count="8">
    <mergeCell ref="P4:X4"/>
    <mergeCell ref="P5:X5"/>
    <mergeCell ref="P29:Y29"/>
    <mergeCell ref="A1:N1"/>
    <mergeCell ref="A2:N2"/>
    <mergeCell ref="A4:N4"/>
    <mergeCell ref="B7:N7"/>
    <mergeCell ref="B45:N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AC21-0FFC-4E4C-9820-376BC19C8181}">
  <dimension ref="A1:P51"/>
  <sheetViews>
    <sheetView topLeftCell="I29" workbookViewId="0">
      <selection activeCell="E57" sqref="E57"/>
    </sheetView>
  </sheetViews>
  <sheetFormatPr baseColWidth="10" defaultRowHeight="16" x14ac:dyDescent="0.2"/>
  <cols>
    <col min="1" max="1" width="9.33203125" customWidth="1"/>
    <col min="2" max="2" width="29.1640625" customWidth="1"/>
    <col min="3" max="3" width="10" customWidth="1"/>
    <col min="4" max="4" width="19.1640625" customWidth="1"/>
    <col min="5" max="5" width="24.1640625" customWidth="1"/>
    <col min="6" max="8" width="13.33203125" customWidth="1"/>
    <col min="9" max="9" width="12.5" customWidth="1"/>
    <col min="10" max="10" width="55" customWidth="1"/>
    <col min="11" max="12" width="13.33203125" customWidth="1"/>
    <col min="13" max="13" width="10" customWidth="1"/>
  </cols>
  <sheetData>
    <row r="1" spans="1:14" ht="36" customHeight="1" x14ac:dyDescent="0.2">
      <c r="A1" s="298" t="s">
        <v>322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</row>
    <row r="2" spans="1:14" ht="20" customHeight="1" x14ac:dyDescent="0.2">
      <c r="A2" s="299" t="s">
        <v>170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</row>
    <row r="3" spans="1:14" ht="8" customHeight="1" x14ac:dyDescent="0.2"/>
    <row r="4" spans="1:14" ht="40" customHeight="1" x14ac:dyDescent="0.2">
      <c r="A4" s="46" t="s">
        <v>0</v>
      </c>
      <c r="B4" s="38" t="s">
        <v>171</v>
      </c>
      <c r="C4" s="39" t="s">
        <v>55</v>
      </c>
      <c r="D4" s="38" t="s">
        <v>172</v>
      </c>
      <c r="E4" s="38" t="s">
        <v>57</v>
      </c>
      <c r="F4" s="39" t="s">
        <v>173</v>
      </c>
      <c r="G4" s="39" t="s">
        <v>174</v>
      </c>
      <c r="H4" s="39" t="s">
        <v>175</v>
      </c>
      <c r="I4" s="39" t="s">
        <v>176</v>
      </c>
      <c r="J4" s="38" t="s">
        <v>177</v>
      </c>
      <c r="K4" s="39" t="s">
        <v>178</v>
      </c>
      <c r="L4" s="39" t="s">
        <v>179</v>
      </c>
      <c r="M4" s="51" t="s">
        <v>4</v>
      </c>
      <c r="N4" s="259" t="s">
        <v>367</v>
      </c>
    </row>
    <row r="5" spans="1:14" ht="46" customHeight="1" x14ac:dyDescent="0.2">
      <c r="A5" s="254">
        <v>1</v>
      </c>
      <c r="B5" s="1" t="s">
        <v>80</v>
      </c>
      <c r="C5" s="1" t="s">
        <v>81</v>
      </c>
      <c r="D5" s="1" t="s">
        <v>187</v>
      </c>
      <c r="E5" s="1" t="s">
        <v>79</v>
      </c>
      <c r="F5" s="172">
        <v>7.0000000000000007E-2</v>
      </c>
      <c r="G5" s="172">
        <v>6.0000000000000001E-3</v>
      </c>
      <c r="H5" s="288">
        <f t="shared" ref="H5:H19" si="0">IF(OR(F5="",G5=""),"",F5-G5)</f>
        <v>6.4000000000000001E-2</v>
      </c>
      <c r="I5" s="2" t="s">
        <v>350</v>
      </c>
      <c r="J5" s="1" t="s">
        <v>351</v>
      </c>
      <c r="K5" s="255"/>
      <c r="L5" s="172">
        <v>7.0000000000000007E-2</v>
      </c>
      <c r="M5" s="15" t="s">
        <v>8</v>
      </c>
      <c r="N5" s="260">
        <f>IFERROR(VLOOKUP(C5,'Factor Screen'!$C$9:$N$43,12,0),"")</f>
        <v>4.2</v>
      </c>
    </row>
    <row r="6" spans="1:14" ht="46" customHeight="1" x14ac:dyDescent="0.2">
      <c r="A6" s="256">
        <v>2</v>
      </c>
      <c r="B6" s="3" t="s">
        <v>96</v>
      </c>
      <c r="C6" s="3" t="s">
        <v>97</v>
      </c>
      <c r="D6" s="3" t="s">
        <v>187</v>
      </c>
      <c r="E6" s="3" t="s">
        <v>95</v>
      </c>
      <c r="F6" s="187">
        <v>0.06</v>
      </c>
      <c r="G6" s="187">
        <v>1E-3</v>
      </c>
      <c r="H6" s="289">
        <f t="shared" si="0"/>
        <v>5.8999999999999997E-2</v>
      </c>
      <c r="I6" s="5" t="s">
        <v>350</v>
      </c>
      <c r="J6" s="3" t="s">
        <v>352</v>
      </c>
      <c r="K6" s="257"/>
      <c r="L6" s="187">
        <v>0.06</v>
      </c>
      <c r="M6" s="18" t="s">
        <v>8</v>
      </c>
      <c r="N6" s="261">
        <f>IFERROR(VLOOKUP(C6,'Factor Screen'!$C$9:$N$43,12,0),"")</f>
        <v>3.9</v>
      </c>
    </row>
    <row r="7" spans="1:14" ht="46" customHeight="1" x14ac:dyDescent="0.2">
      <c r="A7" s="258">
        <v>3</v>
      </c>
      <c r="B7" s="4" t="s">
        <v>77</v>
      </c>
      <c r="C7" s="4" t="s">
        <v>78</v>
      </c>
      <c r="D7" s="4" t="s">
        <v>187</v>
      </c>
      <c r="E7" s="4" t="s">
        <v>79</v>
      </c>
      <c r="F7" s="180">
        <v>6.5000000000000002E-2</v>
      </c>
      <c r="G7" s="180">
        <v>8.9999999999999993E-3</v>
      </c>
      <c r="H7" s="290">
        <f t="shared" si="0"/>
        <v>5.6000000000000001E-2</v>
      </c>
      <c r="I7" s="6" t="s">
        <v>350</v>
      </c>
      <c r="J7" s="4" t="s">
        <v>353</v>
      </c>
      <c r="K7" s="257"/>
      <c r="L7" s="180">
        <v>6.5000000000000002E-2</v>
      </c>
      <c r="M7" s="19" t="s">
        <v>8</v>
      </c>
      <c r="N7" s="262">
        <f>IFERROR(VLOOKUP(C7,'Factor Screen'!$C$9:$N$43,12,0),"")</f>
        <v>3.8000000000000003</v>
      </c>
    </row>
    <row r="8" spans="1:14" ht="46" customHeight="1" x14ac:dyDescent="0.2">
      <c r="A8" s="256">
        <v>4</v>
      </c>
      <c r="B8" s="3" t="s">
        <v>118</v>
      </c>
      <c r="C8" s="3" t="s">
        <v>119</v>
      </c>
      <c r="D8" s="3" t="s">
        <v>188</v>
      </c>
      <c r="E8" s="3" t="s">
        <v>61</v>
      </c>
      <c r="F8" s="187">
        <v>8.5000000000000006E-2</v>
      </c>
      <c r="G8" s="187">
        <v>5.0000000000000001E-3</v>
      </c>
      <c r="H8" s="289">
        <f t="shared" si="0"/>
        <v>0.08</v>
      </c>
      <c r="I8" s="5" t="s">
        <v>350</v>
      </c>
      <c r="J8" s="3" t="s">
        <v>354</v>
      </c>
      <c r="K8" s="257"/>
      <c r="L8" s="187">
        <v>8.5000000000000006E-2</v>
      </c>
      <c r="M8" s="18" t="s">
        <v>8</v>
      </c>
      <c r="N8" s="261">
        <f>IFERROR(VLOOKUP(C8,'Factor Screen'!$C$9:$N$43,12,0),"")</f>
        <v>3.7</v>
      </c>
    </row>
    <row r="9" spans="1:14" ht="46" customHeight="1" x14ac:dyDescent="0.2">
      <c r="A9" s="258">
        <v>5</v>
      </c>
      <c r="B9" s="4" t="s">
        <v>108</v>
      </c>
      <c r="C9" s="4" t="s">
        <v>109</v>
      </c>
      <c r="D9" s="4" t="s">
        <v>188</v>
      </c>
      <c r="E9" s="4" t="s">
        <v>107</v>
      </c>
      <c r="F9" s="180">
        <v>8.5000000000000006E-2</v>
      </c>
      <c r="G9" s="180">
        <v>2E-3</v>
      </c>
      <c r="H9" s="290">
        <f t="shared" si="0"/>
        <v>8.3000000000000004E-2</v>
      </c>
      <c r="I9" s="6" t="s">
        <v>350</v>
      </c>
      <c r="J9" s="4" t="s">
        <v>355</v>
      </c>
      <c r="K9" s="257"/>
      <c r="L9" s="180">
        <v>8.5000000000000006E-2</v>
      </c>
      <c r="M9" s="19" t="s">
        <v>8</v>
      </c>
      <c r="N9" s="262">
        <f>IFERROR(VLOOKUP(C9,'Factor Screen'!$C$9:$N$43,12,0),"")</f>
        <v>3.4000000000000004</v>
      </c>
    </row>
    <row r="10" spans="1:14" ht="46" customHeight="1" x14ac:dyDescent="0.2">
      <c r="A10" s="256">
        <v>6</v>
      </c>
      <c r="B10" s="3" t="s">
        <v>92</v>
      </c>
      <c r="C10" s="3" t="s">
        <v>93</v>
      </c>
      <c r="D10" s="3" t="s">
        <v>188</v>
      </c>
      <c r="E10" s="3" t="s">
        <v>95</v>
      </c>
      <c r="F10" s="187">
        <v>0.08</v>
      </c>
      <c r="G10" s="187">
        <v>6.0000000000000001E-3</v>
      </c>
      <c r="H10" s="289">
        <f t="shared" si="0"/>
        <v>7.3999999999999996E-2</v>
      </c>
      <c r="I10" s="5" t="s">
        <v>350</v>
      </c>
      <c r="J10" s="3" t="s">
        <v>356</v>
      </c>
      <c r="K10" s="257"/>
      <c r="L10" s="187">
        <v>0.08</v>
      </c>
      <c r="M10" s="18" t="s">
        <v>8</v>
      </c>
      <c r="N10" s="261">
        <f>IFERROR(VLOOKUP(C10,'Factor Screen'!$C$9:$N$43,12,0),"")</f>
        <v>3.4000000000000004</v>
      </c>
    </row>
    <row r="11" spans="1:14" ht="46" customHeight="1" x14ac:dyDescent="0.2">
      <c r="A11" s="258">
        <v>7</v>
      </c>
      <c r="B11" s="4" t="s">
        <v>66</v>
      </c>
      <c r="C11" s="4" t="s">
        <v>67</v>
      </c>
      <c r="D11" s="4" t="s">
        <v>187</v>
      </c>
      <c r="E11" s="4" t="s">
        <v>61</v>
      </c>
      <c r="F11" s="180">
        <v>5.5E-2</v>
      </c>
      <c r="G11" s="180">
        <v>1E-3</v>
      </c>
      <c r="H11" s="290">
        <f t="shared" si="0"/>
        <v>5.3999999999999999E-2</v>
      </c>
      <c r="I11" s="6" t="s">
        <v>350</v>
      </c>
      <c r="J11" s="4" t="s">
        <v>357</v>
      </c>
      <c r="K11" s="257"/>
      <c r="L11" s="180">
        <v>5.5E-2</v>
      </c>
      <c r="M11" s="19" t="s">
        <v>8</v>
      </c>
      <c r="N11" s="262">
        <f>IFERROR(VLOOKUP(C11,'Factor Screen'!$C$9:$N$43,12,0),"")</f>
        <v>3.7</v>
      </c>
    </row>
    <row r="12" spans="1:14" ht="46" customHeight="1" x14ac:dyDescent="0.2">
      <c r="A12" s="256">
        <v>8</v>
      </c>
      <c r="B12" s="3" t="s">
        <v>141</v>
      </c>
      <c r="C12" s="3" t="s">
        <v>142</v>
      </c>
      <c r="D12" s="3" t="s">
        <v>188</v>
      </c>
      <c r="E12" s="3" t="s">
        <v>95</v>
      </c>
      <c r="F12" s="187">
        <v>0.08</v>
      </c>
      <c r="G12" s="187">
        <v>1E-3</v>
      </c>
      <c r="H12" s="289">
        <f t="shared" si="0"/>
        <v>7.9000000000000001E-2</v>
      </c>
      <c r="I12" s="5" t="s">
        <v>350</v>
      </c>
      <c r="J12" s="3" t="s">
        <v>358</v>
      </c>
      <c r="K12" s="257"/>
      <c r="L12" s="187">
        <v>0.08</v>
      </c>
      <c r="M12" s="18" t="s">
        <v>8</v>
      </c>
      <c r="N12" s="261">
        <f>IFERROR(VLOOKUP(C12,'Factor Screen'!$C$9:$N$43,12,0),"")</f>
        <v>3.5999999999999996</v>
      </c>
    </row>
    <row r="13" spans="1:14" ht="46" customHeight="1" x14ac:dyDescent="0.2">
      <c r="A13" s="258">
        <v>9</v>
      </c>
      <c r="B13" s="4" t="s">
        <v>100</v>
      </c>
      <c r="C13" s="4" t="s">
        <v>101</v>
      </c>
      <c r="D13" s="4" t="s">
        <v>187</v>
      </c>
      <c r="E13" s="4" t="s">
        <v>95</v>
      </c>
      <c r="F13" s="180">
        <v>0.05</v>
      </c>
      <c r="G13" s="180">
        <v>1E-3</v>
      </c>
      <c r="H13" s="290">
        <f t="shared" si="0"/>
        <v>4.9000000000000002E-2</v>
      </c>
      <c r="I13" s="284" t="s">
        <v>359</v>
      </c>
      <c r="J13" s="4" t="s">
        <v>360</v>
      </c>
      <c r="K13" s="257"/>
      <c r="L13" s="180">
        <v>0.05</v>
      </c>
      <c r="M13" s="19" t="s">
        <v>8</v>
      </c>
      <c r="N13" s="262">
        <f>IFERROR(VLOOKUP(C13,'Factor Screen'!$C$9:$N$43,12,0),"")</f>
        <v>3.6</v>
      </c>
    </row>
    <row r="14" spans="1:14" ht="46" customHeight="1" x14ac:dyDescent="0.2">
      <c r="A14" s="256">
        <v>10</v>
      </c>
      <c r="B14" s="3" t="s">
        <v>86</v>
      </c>
      <c r="C14" s="3" t="s">
        <v>87</v>
      </c>
      <c r="D14" s="3" t="s">
        <v>187</v>
      </c>
      <c r="E14" s="3" t="s">
        <v>79</v>
      </c>
      <c r="F14" s="187">
        <v>0.05</v>
      </c>
      <c r="G14" s="187">
        <v>2E-3</v>
      </c>
      <c r="H14" s="289">
        <f t="shared" si="0"/>
        <v>4.8000000000000001E-2</v>
      </c>
      <c r="I14" s="285" t="s">
        <v>359</v>
      </c>
      <c r="J14" s="3" t="s">
        <v>361</v>
      </c>
      <c r="K14" s="257"/>
      <c r="L14" s="187">
        <v>0.05</v>
      </c>
      <c r="M14" s="18" t="s">
        <v>8</v>
      </c>
      <c r="N14" s="261">
        <f>IFERROR(VLOOKUP(C14,'Factor Screen'!$C$9:$N$43,12,0),"")</f>
        <v>3.3000000000000007</v>
      </c>
    </row>
    <row r="15" spans="1:14" ht="46" customHeight="1" x14ac:dyDescent="0.2">
      <c r="A15" s="258">
        <v>11</v>
      </c>
      <c r="B15" s="4" t="s">
        <v>127</v>
      </c>
      <c r="C15" s="4" t="s">
        <v>128</v>
      </c>
      <c r="D15" s="4" t="s">
        <v>188</v>
      </c>
      <c r="E15" s="4" t="s">
        <v>122</v>
      </c>
      <c r="F15" s="180">
        <v>7.0000000000000007E-2</v>
      </c>
      <c r="G15" s="180">
        <v>0</v>
      </c>
      <c r="H15" s="290">
        <f t="shared" si="0"/>
        <v>7.0000000000000007E-2</v>
      </c>
      <c r="I15" s="284" t="s">
        <v>359</v>
      </c>
      <c r="J15" s="4" t="s">
        <v>362</v>
      </c>
      <c r="K15" s="257"/>
      <c r="L15" s="180">
        <v>7.0000000000000007E-2</v>
      </c>
      <c r="M15" s="19" t="s">
        <v>8</v>
      </c>
      <c r="N15" s="262">
        <f>IFERROR(VLOOKUP(C15,'Factor Screen'!$C$9:$N$43,12,0),"")</f>
        <v>3.3000000000000003</v>
      </c>
    </row>
    <row r="16" spans="1:14" ht="46" customHeight="1" x14ac:dyDescent="0.2">
      <c r="A16" s="256">
        <v>12</v>
      </c>
      <c r="B16" s="3" t="s">
        <v>137</v>
      </c>
      <c r="C16" s="3">
        <v>6861</v>
      </c>
      <c r="D16" s="3" t="s">
        <v>189</v>
      </c>
      <c r="E16" s="3" t="s">
        <v>61</v>
      </c>
      <c r="F16" s="187">
        <v>6.5000000000000002E-2</v>
      </c>
      <c r="G16" s="187">
        <v>2E-3</v>
      </c>
      <c r="H16" s="289">
        <f t="shared" si="0"/>
        <v>6.3E-2</v>
      </c>
      <c r="I16" s="285" t="s">
        <v>359</v>
      </c>
      <c r="J16" s="3" t="s">
        <v>363</v>
      </c>
      <c r="K16" s="257"/>
      <c r="L16" s="187">
        <v>6.5000000000000002E-2</v>
      </c>
      <c r="M16" s="18" t="s">
        <v>8</v>
      </c>
      <c r="N16" s="261">
        <f>IFERROR(VLOOKUP(C16,'Factor Screen'!$C$9:$N$43,12,0),"")</f>
        <v>3.2</v>
      </c>
    </row>
    <row r="17" spans="1:14" ht="46" customHeight="1" x14ac:dyDescent="0.2">
      <c r="A17" s="258">
        <v>13</v>
      </c>
      <c r="B17" s="4" t="s">
        <v>113</v>
      </c>
      <c r="C17" s="4" t="s">
        <v>114</v>
      </c>
      <c r="D17" s="4" t="s">
        <v>188</v>
      </c>
      <c r="E17" s="4" t="s">
        <v>107</v>
      </c>
      <c r="F17" s="180">
        <v>7.0000000000000007E-2</v>
      </c>
      <c r="G17" s="180">
        <v>1E-3</v>
      </c>
      <c r="H17" s="290">
        <f t="shared" si="0"/>
        <v>6.9000000000000006E-2</v>
      </c>
      <c r="I17" s="284" t="s">
        <v>359</v>
      </c>
      <c r="J17" s="4" t="s">
        <v>364</v>
      </c>
      <c r="K17" s="257"/>
      <c r="L17" s="180">
        <v>7.0000000000000007E-2</v>
      </c>
      <c r="M17" s="19" t="s">
        <v>8</v>
      </c>
      <c r="N17" s="262">
        <f>IFERROR(VLOOKUP(C17,'Factor Screen'!$C$9:$N$43,12,0),"")</f>
        <v>3.1000000000000005</v>
      </c>
    </row>
    <row r="18" spans="1:14" ht="46" customHeight="1" x14ac:dyDescent="0.2">
      <c r="A18" s="256">
        <v>14</v>
      </c>
      <c r="B18" s="3" t="s">
        <v>64</v>
      </c>
      <c r="C18" s="3" t="s">
        <v>65</v>
      </c>
      <c r="D18" s="3" t="s">
        <v>187</v>
      </c>
      <c r="E18" s="3" t="s">
        <v>61</v>
      </c>
      <c r="F18" s="187">
        <v>0.05</v>
      </c>
      <c r="G18" s="187">
        <v>3.0000000000000001E-3</v>
      </c>
      <c r="H18" s="289">
        <f t="shared" si="0"/>
        <v>4.7E-2</v>
      </c>
      <c r="I18" s="285" t="s">
        <v>359</v>
      </c>
      <c r="J18" s="3" t="s">
        <v>365</v>
      </c>
      <c r="K18" s="257"/>
      <c r="L18" s="187">
        <v>0.05</v>
      </c>
      <c r="M18" s="18" t="s">
        <v>8</v>
      </c>
      <c r="N18" s="261">
        <f>IFERROR(VLOOKUP(C18,'Factor Screen'!$C$9:$N$43,12,0),"")</f>
        <v>3.0999999999999996</v>
      </c>
    </row>
    <row r="19" spans="1:14" ht="46" customHeight="1" x14ac:dyDescent="0.2">
      <c r="A19" s="258">
        <v>15</v>
      </c>
      <c r="B19" s="4" t="s">
        <v>74</v>
      </c>
      <c r="C19" s="4" t="s">
        <v>75</v>
      </c>
      <c r="D19" s="4" t="s">
        <v>76</v>
      </c>
      <c r="E19" s="4" t="s">
        <v>61</v>
      </c>
      <c r="F19" s="180">
        <v>6.5000000000000002E-2</v>
      </c>
      <c r="G19" s="180">
        <v>0</v>
      </c>
      <c r="H19" s="290">
        <f t="shared" si="0"/>
        <v>6.5000000000000002E-2</v>
      </c>
      <c r="I19" s="284" t="s">
        <v>359</v>
      </c>
      <c r="J19" s="4" t="s">
        <v>366</v>
      </c>
      <c r="K19" s="257"/>
      <c r="L19" s="180">
        <v>6.5000000000000002E-2</v>
      </c>
      <c r="M19" s="19" t="s">
        <v>8</v>
      </c>
      <c r="N19" s="262">
        <f>IFERROR(VLOOKUP(C19,'Factor Screen'!$C$9:$N$43,12,0),"")</f>
        <v>3.8</v>
      </c>
    </row>
    <row r="20" spans="1:14" ht="24" customHeight="1" x14ac:dyDescent="0.2">
      <c r="A20" s="300" t="s">
        <v>180</v>
      </c>
      <c r="B20" s="301"/>
      <c r="C20" s="301"/>
      <c r="D20" s="301"/>
      <c r="E20" s="301"/>
      <c r="F20" s="80">
        <f>SUM(F5:F19)</f>
        <v>1.0000000000000002</v>
      </c>
      <c r="G20" s="80">
        <f>SUM(G5:G19)</f>
        <v>4.0000000000000008E-2</v>
      </c>
      <c r="H20" s="291">
        <f>SUM(H5:H19)</f>
        <v>0.96000000000000019</v>
      </c>
      <c r="I20" s="81"/>
      <c r="J20" s="81"/>
      <c r="K20" s="81"/>
      <c r="L20" s="81"/>
      <c r="M20" s="82"/>
      <c r="N20" s="263">
        <f>IFERROR(SUMPRODUCT(F5:F19,N5:N19)/SUM(F5:F19),"")</f>
        <v>3.5449999999999995</v>
      </c>
    </row>
    <row r="22" spans="1:14" ht="24" customHeight="1" x14ac:dyDescent="0.2">
      <c r="A22" s="302" t="s">
        <v>181</v>
      </c>
      <c r="B22" s="295"/>
      <c r="C22" s="295"/>
      <c r="D22" s="296"/>
      <c r="F22" s="302" t="s">
        <v>186</v>
      </c>
      <c r="G22" s="295"/>
      <c r="H22" s="295"/>
      <c r="I22" s="296"/>
      <c r="K22" s="294" t="s">
        <v>368</v>
      </c>
      <c r="L22" s="295"/>
      <c r="M22" s="295"/>
      <c r="N22" s="296"/>
    </row>
    <row r="23" spans="1:14" ht="22" customHeight="1" x14ac:dyDescent="0.2">
      <c r="A23" s="87" t="s">
        <v>57</v>
      </c>
      <c r="B23" s="86" t="s">
        <v>182</v>
      </c>
      <c r="C23" s="86" t="s">
        <v>183</v>
      </c>
      <c r="D23" s="92" t="s">
        <v>184</v>
      </c>
      <c r="F23" s="87" t="s">
        <v>172</v>
      </c>
      <c r="G23" s="86" t="s">
        <v>182</v>
      </c>
      <c r="H23" s="86" t="s">
        <v>183</v>
      </c>
      <c r="I23" s="92" t="s">
        <v>184</v>
      </c>
      <c r="K23" s="274" t="s">
        <v>297</v>
      </c>
      <c r="L23" s="266" t="s">
        <v>298</v>
      </c>
      <c r="M23" s="266" t="s">
        <v>369</v>
      </c>
      <c r="N23" s="279" t="s">
        <v>4</v>
      </c>
    </row>
    <row r="24" spans="1:14" ht="22" customHeight="1" x14ac:dyDescent="0.2">
      <c r="A24" s="88" t="s">
        <v>61</v>
      </c>
      <c r="B24" s="83">
        <f t="shared" ref="B24:B30" si="1">SUMIF($E$5:$E$19,A24,$F$5:$F$19)</f>
        <v>0.32</v>
      </c>
      <c r="C24" s="264">
        <v>0.245</v>
      </c>
      <c r="D24" s="93">
        <f t="shared" ref="D24:D30" si="2">IF(C24="","",B24-C24)</f>
        <v>7.5000000000000011E-2</v>
      </c>
      <c r="F24" s="88" t="s">
        <v>187</v>
      </c>
      <c r="G24" s="83">
        <f>SUMIF($D$5:$D$19,F24,$F$5:$F$19)</f>
        <v>0.39999999999999997</v>
      </c>
      <c r="H24" s="264">
        <v>0.71799999999999997</v>
      </c>
      <c r="I24" s="93">
        <f>IF(H24="","",G24-H24)</f>
        <v>-0.318</v>
      </c>
      <c r="K24" s="275" t="s">
        <v>370</v>
      </c>
      <c r="L24" s="267">
        <v>1</v>
      </c>
      <c r="M24" s="268" t="str">
        <f>TEXT(SUM(F5:F19),"0.0%")</f>
        <v>100.0%</v>
      </c>
      <c r="N24" s="280" t="str">
        <f>IF(ABS(SUM(F5:F19)-1)&lt;0.001,"OK","CHECK")</f>
        <v>OK</v>
      </c>
    </row>
    <row r="25" spans="1:14" ht="22" customHeight="1" x14ac:dyDescent="0.2">
      <c r="A25" s="89" t="s">
        <v>79</v>
      </c>
      <c r="B25" s="84">
        <f t="shared" si="1"/>
        <v>0.185</v>
      </c>
      <c r="C25" s="265">
        <v>0.17499999999999999</v>
      </c>
      <c r="D25" s="94">
        <f t="shared" si="2"/>
        <v>1.0000000000000009E-2</v>
      </c>
      <c r="F25" s="89" t="s">
        <v>188</v>
      </c>
      <c r="G25" s="84">
        <f>SUMIF($D$5:$D$19,F25,$F$5:$F$19)</f>
        <v>0.47000000000000003</v>
      </c>
      <c r="H25" s="265">
        <v>0.156</v>
      </c>
      <c r="I25" s="94">
        <f>IF(H25="","",G25-H25)</f>
        <v>0.31400000000000006</v>
      </c>
      <c r="K25" s="276" t="s">
        <v>371</v>
      </c>
      <c r="L25" s="269">
        <v>0.08</v>
      </c>
      <c r="M25" s="270" t="str">
        <f>TEXT(MAX(F5:F19),"0.0%")</f>
        <v>8.5%</v>
      </c>
      <c r="N25" s="281" t="str">
        <f>IF(MAX(F5:F19)&lt;=0.08,"OK","BREACH")</f>
        <v>BREACH</v>
      </c>
    </row>
    <row r="26" spans="1:14" ht="22" customHeight="1" x14ac:dyDescent="0.2">
      <c r="A26" s="90" t="s">
        <v>95</v>
      </c>
      <c r="B26" s="85">
        <f t="shared" si="1"/>
        <v>0.27</v>
      </c>
      <c r="C26" s="265">
        <v>0.115</v>
      </c>
      <c r="D26" s="95">
        <f t="shared" si="2"/>
        <v>0.15500000000000003</v>
      </c>
      <c r="F26" s="90" t="s">
        <v>189</v>
      </c>
      <c r="G26" s="85">
        <f>SUMIF($D$5:$D$19,F26,$F$5:$F$19)</f>
        <v>6.5000000000000002E-2</v>
      </c>
      <c r="H26" s="265">
        <v>8.5999999999999993E-2</v>
      </c>
      <c r="I26" s="95">
        <f>IF(H26="","",G26-H26)</f>
        <v>-2.0999999999999991E-2</v>
      </c>
      <c r="K26" s="277" t="s">
        <v>372</v>
      </c>
      <c r="L26" s="271">
        <v>0.02</v>
      </c>
      <c r="M26" s="272" t="str" cm="1">
        <f t="array" ref="M26">TEXT(MIN(IF(F5:F19&gt;0,F5:F19)),"0.0%")</f>
        <v>5.0%</v>
      </c>
      <c r="N26" s="282" t="str" cm="1">
        <f t="array" ref="N26">IF(MIN(IF(F5:F19&gt;0,F5:F19))&gt;=0.02,"OK","BREACH")</f>
        <v>OK</v>
      </c>
    </row>
    <row r="27" spans="1:14" ht="22" customHeight="1" x14ac:dyDescent="0.2">
      <c r="A27" s="89" t="s">
        <v>107</v>
      </c>
      <c r="B27" s="84">
        <f t="shared" si="1"/>
        <v>0.15500000000000003</v>
      </c>
      <c r="C27" s="265">
        <v>0.105</v>
      </c>
      <c r="D27" s="94">
        <f t="shared" si="2"/>
        <v>5.0000000000000031E-2</v>
      </c>
      <c r="F27" s="89" t="s">
        <v>190</v>
      </c>
      <c r="G27" s="84">
        <f>SUMIF($D$5:$D$19,F27,$F$5:$F$19)</f>
        <v>0</v>
      </c>
      <c r="H27" s="265">
        <v>0.04</v>
      </c>
      <c r="I27" s="94">
        <f>IF(H27="","",G27-H27)</f>
        <v>-0.04</v>
      </c>
      <c r="K27" s="276" t="s">
        <v>373</v>
      </c>
      <c r="L27" s="270" t="s">
        <v>374</v>
      </c>
      <c r="M27" s="270" t="str">
        <f>TEXT(COUNTA(C5:C19),"0")&amp;" stocks"</f>
        <v>15 stocks</v>
      </c>
      <c r="N27" s="281" t="str">
        <f>IF(AND(COUNTA(C5:C19)&gt;=12,COUNTA(C5:C19)&lt;=15),"OK","CHECK")</f>
        <v>OK</v>
      </c>
    </row>
    <row r="28" spans="1:14" ht="22" customHeight="1" x14ac:dyDescent="0.2">
      <c r="A28" s="90" t="s">
        <v>112</v>
      </c>
      <c r="B28" s="85">
        <f t="shared" si="1"/>
        <v>0</v>
      </c>
      <c r="C28" s="265">
        <v>7.4999999999999997E-2</v>
      </c>
      <c r="D28" s="95">
        <f t="shared" si="2"/>
        <v>-7.4999999999999997E-2</v>
      </c>
      <c r="F28" s="97" t="s">
        <v>180</v>
      </c>
      <c r="G28" s="286">
        <f>SUM(G24:G27)</f>
        <v>0.93500000000000005</v>
      </c>
      <c r="H28" s="286">
        <f>SUM(H24:H27)</f>
        <v>1</v>
      </c>
      <c r="I28" s="287">
        <f>SUM(I24:I27)</f>
        <v>-6.4999999999999947E-2</v>
      </c>
      <c r="K28" s="277" t="s">
        <v>375</v>
      </c>
      <c r="L28" s="272" t="s">
        <v>376</v>
      </c>
      <c r="M28" s="272" t="str">
        <f>TEXT(SUMIF(D5:D19,"North America",F5:F19),"0.0%")</f>
        <v>40.0%</v>
      </c>
      <c r="N28" s="282" t="str">
        <f>IF(SUMIF(D5:D19,"North America",F5:F19)&lt;=0.4,"OK","BREACH")</f>
        <v>OK</v>
      </c>
    </row>
    <row r="29" spans="1:14" ht="22" customHeight="1" x14ac:dyDescent="0.2">
      <c r="A29" s="89" t="s">
        <v>122</v>
      </c>
      <c r="B29" s="84">
        <f t="shared" si="1"/>
        <v>7.0000000000000007E-2</v>
      </c>
      <c r="C29" s="265">
        <v>0.105</v>
      </c>
      <c r="D29" s="94">
        <f t="shared" si="2"/>
        <v>-3.4999999999999989E-2</v>
      </c>
      <c r="K29" s="276" t="s">
        <v>377</v>
      </c>
      <c r="L29" s="270" t="s">
        <v>376</v>
      </c>
      <c r="M29" s="270" t="str">
        <f>TEXT(SUMIF(D5:D19,"Europe",F5:F19),"0.0%")</f>
        <v>47.0%</v>
      </c>
      <c r="N29" s="281" t="str">
        <f>IF(SUMIF(D5:D19,"Europe",F5:F19)&lt;=0.4,"OK","OK")</f>
        <v>OK</v>
      </c>
    </row>
    <row r="30" spans="1:14" ht="22" customHeight="1" x14ac:dyDescent="0.2">
      <c r="A30" s="90" t="s">
        <v>185</v>
      </c>
      <c r="B30" s="85">
        <f t="shared" si="1"/>
        <v>0</v>
      </c>
      <c r="C30" s="265">
        <v>0.18</v>
      </c>
      <c r="D30" s="95">
        <f t="shared" si="2"/>
        <v>-0.18</v>
      </c>
      <c r="K30" s="278" t="s">
        <v>378</v>
      </c>
      <c r="L30" s="273" t="s">
        <v>379</v>
      </c>
      <c r="M30" s="273" t="str">
        <f>TEXT(SUMPRODUCT(F5:F19,N5:N19)/SUM(F5:F19),"0.00")</f>
        <v>3.55</v>
      </c>
      <c r="N30" s="283" t="str">
        <f>IF(SUMPRODUCT(F5:F19,N5:N19)/SUM(F5:F19)&gt;=3.5,"OK","CHECK")</f>
        <v>OK</v>
      </c>
    </row>
    <row r="31" spans="1:14" ht="22" customHeight="1" x14ac:dyDescent="0.2">
      <c r="A31" s="91" t="s">
        <v>180</v>
      </c>
      <c r="B31" s="286">
        <f>SUM(B24:B30)</f>
        <v>1</v>
      </c>
      <c r="C31" s="286">
        <f>SUM(C24:C30)</f>
        <v>1</v>
      </c>
      <c r="D31" s="96">
        <f>SUM(D24:D30)</f>
        <v>0</v>
      </c>
    </row>
    <row r="32" spans="1:14" ht="36" customHeight="1" x14ac:dyDescent="0.2">
      <c r="A32" s="297" t="s">
        <v>380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</row>
    <row r="34" spans="1:16" ht="24" customHeight="1" x14ac:dyDescent="0.2">
      <c r="A34" s="303" t="s">
        <v>191</v>
      </c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3"/>
      <c r="P34" s="293"/>
    </row>
    <row r="35" spans="1:16" ht="32" customHeight="1" x14ac:dyDescent="0.2">
      <c r="A35" s="292" t="s">
        <v>192</v>
      </c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3"/>
      <c r="P35" s="293"/>
    </row>
    <row r="36" spans="1:16" ht="28" customHeight="1" x14ac:dyDescent="0.2">
      <c r="A36" s="103" t="s">
        <v>193</v>
      </c>
      <c r="B36" s="349" t="s">
        <v>81</v>
      </c>
      <c r="C36" s="349" t="s">
        <v>97</v>
      </c>
      <c r="D36" s="349" t="s">
        <v>78</v>
      </c>
      <c r="E36" s="349" t="s">
        <v>119</v>
      </c>
      <c r="F36" s="349" t="s">
        <v>109</v>
      </c>
      <c r="G36" s="349" t="s">
        <v>93</v>
      </c>
      <c r="H36" s="349" t="s">
        <v>67</v>
      </c>
      <c r="I36" s="349" t="s">
        <v>142</v>
      </c>
      <c r="J36" s="349" t="s">
        <v>101</v>
      </c>
      <c r="K36" s="349" t="s">
        <v>87</v>
      </c>
      <c r="L36" s="349" t="s">
        <v>128</v>
      </c>
      <c r="M36" s="349">
        <v>6861</v>
      </c>
      <c r="N36" s="349" t="s">
        <v>114</v>
      </c>
      <c r="O36" s="349" t="s">
        <v>65</v>
      </c>
      <c r="P36" s="350" t="s">
        <v>75</v>
      </c>
    </row>
    <row r="37" spans="1:16" ht="20" customHeight="1" x14ac:dyDescent="0.2">
      <c r="A37" s="87" t="s">
        <v>81</v>
      </c>
      <c r="B37" s="99">
        <f>1</f>
        <v>1</v>
      </c>
      <c r="C37" s="100">
        <f>IFERROR(CORREL(Backtest!B8:B67,Backtest!C8:C67),"")</f>
        <v>0.78073261689723528</v>
      </c>
      <c r="D37" s="100">
        <f>IFERROR(CORREL(Backtest!B8:B67,Backtest!D8:D67),"")</f>
        <v>0.98566605078252811</v>
      </c>
      <c r="E37" s="100">
        <f>IFERROR(CORREL(Backtest!B8:B67,Backtest!E8:E67),"")</f>
        <v>0.90402097170649187</v>
      </c>
      <c r="F37" s="100">
        <f>IFERROR(CORREL(Backtest!B8:B67,Backtest!F8:F67),"")</f>
        <v>0.91469179473330209</v>
      </c>
      <c r="G37" s="100">
        <f>IFERROR(CORREL(Backtest!B8:B67,Backtest!G8:G67),"")</f>
        <v>0.67382426367335602</v>
      </c>
      <c r="H37" s="100">
        <f>IFERROR(CORREL(Backtest!B8:B67,Backtest!H8:H67),"")</f>
        <v>0.91730438201762177</v>
      </c>
      <c r="I37" s="100">
        <f>IFERROR(CORREL(Backtest!B8:B67,Backtest!I8:I67),"")</f>
        <v>0.93757011167242266</v>
      </c>
      <c r="J37" s="100">
        <f>IFERROR(CORREL(Backtest!B8:B67,Backtest!J8:J67),"")</f>
        <v>0.90447080378724498</v>
      </c>
      <c r="K37" s="100">
        <f>IFERROR(CORREL(Backtest!B8:B67,Backtest!K8:K67),"")</f>
        <v>0.97462644484818972</v>
      </c>
      <c r="L37" s="100">
        <f>IFERROR(CORREL(Backtest!B8:B67,Backtest!L8:L67),"")</f>
        <v>0.97085768721593335</v>
      </c>
      <c r="M37" s="100">
        <f>IFERROR(CORREL(Backtest!B8:B67,Backtest!M8:M67),"")</f>
        <v>0.95182574255088159</v>
      </c>
      <c r="N37" s="100">
        <f>IFERROR(CORREL(Backtest!B8:B67,Backtest!N8:N67),"")</f>
        <v>0.90382422505193649</v>
      </c>
      <c r="O37" s="100">
        <f>IFERROR(CORREL(Backtest!B8:B67,Backtest!O8:O67),"")</f>
        <v>0.96421109797710525</v>
      </c>
      <c r="P37" s="104">
        <f>IFERROR(CORREL(Backtest!B8:B67,Backtest!P8:P67),"")</f>
        <v>0.95016523093246974</v>
      </c>
    </row>
    <row r="38" spans="1:16" ht="20" customHeight="1" x14ac:dyDescent="0.2">
      <c r="A38" s="87" t="s">
        <v>97</v>
      </c>
      <c r="B38" s="101">
        <f>C37</f>
        <v>0.78073261689723528</v>
      </c>
      <c r="C38" s="99">
        <f>1</f>
        <v>1</v>
      </c>
      <c r="D38" s="101">
        <f>IFERROR(CORREL(Backtest!C8:C67,Backtest!D8:D67),"")</f>
        <v>0.73871109178170313</v>
      </c>
      <c r="E38" s="101">
        <f>IFERROR(CORREL(Backtest!C8:C67,Backtest!E8:E67),"")</f>
        <v>0.83765578618355196</v>
      </c>
      <c r="F38" s="101">
        <f>IFERROR(CORREL(Backtest!C8:C67,Backtest!F8:F67),"")</f>
        <v>0.72726372605504774</v>
      </c>
      <c r="G38" s="101">
        <f>IFERROR(CORREL(Backtest!C8:C67,Backtest!G8:G67),"")</f>
        <v>0.74562005114731056</v>
      </c>
      <c r="H38" s="101">
        <f>IFERROR(CORREL(Backtest!C8:C67,Backtest!H8:H67),"")</f>
        <v>0.84829331502945382</v>
      </c>
      <c r="I38" s="101">
        <f>IFERROR(CORREL(Backtest!C8:C67,Backtest!I8:I67),"")</f>
        <v>0.8595080440469024</v>
      </c>
      <c r="J38" s="101">
        <f>IFERROR(CORREL(Backtest!C8:C67,Backtest!J8:J67),"")</f>
        <v>0.84049227993708486</v>
      </c>
      <c r="K38" s="101">
        <f>IFERROR(CORREL(Backtest!C8:C67,Backtest!K8:K67),"")</f>
        <v>0.82985095269086873</v>
      </c>
      <c r="L38" s="101">
        <f>IFERROR(CORREL(Backtest!C8:C67,Backtest!L8:L67),"")</f>
        <v>0.73453075420641412</v>
      </c>
      <c r="M38" s="101">
        <f>IFERROR(CORREL(Backtest!C8:C67,Backtest!M8:M67),"")</f>
        <v>0.81823576222933425</v>
      </c>
      <c r="N38" s="101">
        <f>IFERROR(CORREL(Backtest!C8:C67,Backtest!N8:N67),"")</f>
        <v>0.68893672478773682</v>
      </c>
      <c r="O38" s="101">
        <f>IFERROR(CORREL(Backtest!C8:C67,Backtest!O8:O67),"")</f>
        <v>0.72027886154109455</v>
      </c>
      <c r="P38" s="105">
        <f>IFERROR(CORREL(Backtest!C8:C67,Backtest!P8:P67),"")</f>
        <v>0.8608568457927076</v>
      </c>
    </row>
    <row r="39" spans="1:16" ht="20" customHeight="1" x14ac:dyDescent="0.2">
      <c r="A39" s="87" t="s">
        <v>78</v>
      </c>
      <c r="B39" s="100">
        <f>D37</f>
        <v>0.98566605078252811</v>
      </c>
      <c r="C39" s="100">
        <f>D38</f>
        <v>0.73871109178170313</v>
      </c>
      <c r="D39" s="99">
        <f>1</f>
        <v>1</v>
      </c>
      <c r="E39" s="100">
        <f>IFERROR(CORREL(Backtest!D8:D67,Backtest!E8:E67),"")</f>
        <v>0.85886624354536734</v>
      </c>
      <c r="F39" s="100">
        <f>IFERROR(CORREL(Backtest!D8:D67,Backtest!F8:F67),"")</f>
        <v>0.9144400580631844</v>
      </c>
      <c r="G39" s="100">
        <f>IFERROR(CORREL(Backtest!D8:D67,Backtest!G8:G67),"")</f>
        <v>0.61499679237704352</v>
      </c>
      <c r="H39" s="100">
        <f>IFERROR(CORREL(Backtest!D8:D67,Backtest!H8:H67),"")</f>
        <v>0.89017603746500251</v>
      </c>
      <c r="I39" s="100">
        <f>IFERROR(CORREL(Backtest!D8:D67,Backtest!I8:I67),"")</f>
        <v>0.91596495283650448</v>
      </c>
      <c r="J39" s="100">
        <f>IFERROR(CORREL(Backtest!D8:D67,Backtest!J8:J67),"")</f>
        <v>0.88209849407391894</v>
      </c>
      <c r="K39" s="100">
        <f>IFERROR(CORREL(Backtest!D8:D67,Backtest!K8:K67),"")</f>
        <v>0.95480342562529552</v>
      </c>
      <c r="L39" s="100">
        <f>IFERROR(CORREL(Backtest!D8:D67,Backtest!L8:L67),"")</f>
        <v>0.97301669406961155</v>
      </c>
      <c r="M39" s="100">
        <f>IFERROR(CORREL(Backtest!D8:D67,Backtest!M8:M67),"")</f>
        <v>0.92863340461486954</v>
      </c>
      <c r="N39" s="100">
        <f>IFERROR(CORREL(Backtest!D8:D67,Backtest!N8:N67),"")</f>
        <v>0.91837686614144765</v>
      </c>
      <c r="O39" s="100">
        <f>IFERROR(CORREL(Backtest!D8:D67,Backtest!O8:O67),"")</f>
        <v>0.96460944873440979</v>
      </c>
      <c r="P39" s="104">
        <f>IFERROR(CORREL(Backtest!D8:D67,Backtest!P8:P67),"")</f>
        <v>0.93381152731628214</v>
      </c>
    </row>
    <row r="40" spans="1:16" ht="20" customHeight="1" x14ac:dyDescent="0.2">
      <c r="A40" s="87" t="s">
        <v>119</v>
      </c>
      <c r="B40" s="101">
        <f>E37</f>
        <v>0.90402097170649187</v>
      </c>
      <c r="C40" s="101">
        <f>E38</f>
        <v>0.83765578618355196</v>
      </c>
      <c r="D40" s="101">
        <f>E39</f>
        <v>0.85886624354536734</v>
      </c>
      <c r="E40" s="99">
        <f>1</f>
        <v>1</v>
      </c>
      <c r="F40" s="101">
        <f>IFERROR(CORREL(Backtest!E8:E67,Backtest!F8:F67),"")</f>
        <v>0.88333929999391259</v>
      </c>
      <c r="G40" s="101">
        <f>IFERROR(CORREL(Backtest!E8:E67,Backtest!G8:G67),"")</f>
        <v>0.80716192211506499</v>
      </c>
      <c r="H40" s="101">
        <f>IFERROR(CORREL(Backtest!E8:E67,Backtest!H8:H67),"")</f>
        <v>0.92286651461328706</v>
      </c>
      <c r="I40" s="101">
        <f>IFERROR(CORREL(Backtest!E8:E67,Backtest!I8:I67),"")</f>
        <v>0.94122610546112384</v>
      </c>
      <c r="J40" s="101">
        <f>IFERROR(CORREL(Backtest!E8:E67,Backtest!J8:J67),"")</f>
        <v>0.89749163421078859</v>
      </c>
      <c r="K40" s="101">
        <f>IFERROR(CORREL(Backtest!E8:E67,Backtest!K8:K67),"")</f>
        <v>0.94455815945663446</v>
      </c>
      <c r="L40" s="101">
        <f>IFERROR(CORREL(Backtest!E8:E67,Backtest!L8:L67),"")</f>
        <v>0.86839553233669209</v>
      </c>
      <c r="M40" s="101">
        <f>IFERROR(CORREL(Backtest!E8:E67,Backtest!M8:M67),"")</f>
        <v>0.95164805316686918</v>
      </c>
      <c r="N40" s="101">
        <f>IFERROR(CORREL(Backtest!E8:E67,Backtest!N8:N67),"")</f>
        <v>0.82956114547326443</v>
      </c>
      <c r="O40" s="101">
        <f>IFERROR(CORREL(Backtest!E8:E67,Backtest!O8:O67),"")</f>
        <v>0.83010367097697235</v>
      </c>
      <c r="P40" s="105">
        <f>IFERROR(CORREL(Backtest!E8:E67,Backtest!P8:P67),"")</f>
        <v>0.91857091966738225</v>
      </c>
    </row>
    <row r="41" spans="1:16" ht="20" customHeight="1" x14ac:dyDescent="0.2">
      <c r="A41" s="87" t="s">
        <v>109</v>
      </c>
      <c r="B41" s="100">
        <f>F37</f>
        <v>0.91469179473330209</v>
      </c>
      <c r="C41" s="100">
        <f>F38</f>
        <v>0.72726372605504774</v>
      </c>
      <c r="D41" s="100">
        <f>F39</f>
        <v>0.9144400580631844</v>
      </c>
      <c r="E41" s="100">
        <f>F40</f>
        <v>0.88333929999391259</v>
      </c>
      <c r="F41" s="99">
        <f>1</f>
        <v>1</v>
      </c>
      <c r="G41" s="100">
        <f>IFERROR(CORREL(Backtest!F8:F67,Backtest!G8:G67),"")</f>
        <v>0.68324998923154079</v>
      </c>
      <c r="H41" s="100">
        <f>IFERROR(CORREL(Backtest!F8:F67,Backtest!H8:H67),"")</f>
        <v>0.8566937910364314</v>
      </c>
      <c r="I41" s="100">
        <f>IFERROR(CORREL(Backtest!F8:F67,Backtest!I8:I67),"")</f>
        <v>0.89826246412619726</v>
      </c>
      <c r="J41" s="100">
        <f>IFERROR(CORREL(Backtest!F8:F67,Backtest!J8:J67),"")</f>
        <v>0.85675743637766688</v>
      </c>
      <c r="K41" s="100">
        <f>IFERROR(CORREL(Backtest!F8:F67,Backtest!K8:K67),"")</f>
        <v>0.90764539091699181</v>
      </c>
      <c r="L41" s="100">
        <f>IFERROR(CORREL(Backtest!F8:F67,Backtest!L8:L67),"")</f>
        <v>0.94190558550617265</v>
      </c>
      <c r="M41" s="100">
        <f>IFERROR(CORREL(Backtest!F8:F67,Backtest!M8:M67),"")</f>
        <v>0.90179230539889765</v>
      </c>
      <c r="N41" s="100">
        <f>IFERROR(CORREL(Backtest!F8:F67,Backtest!N8:N67),"")</f>
        <v>0.93787045620052645</v>
      </c>
      <c r="O41" s="100">
        <f>IFERROR(CORREL(Backtest!F8:F67,Backtest!O8:O67),"")</f>
        <v>0.85471415666136974</v>
      </c>
      <c r="P41" s="104">
        <f>IFERROR(CORREL(Backtest!F8:F67,Backtest!P8:P67),"")</f>
        <v>0.92309413281427011</v>
      </c>
    </row>
    <row r="42" spans="1:16" ht="20" customHeight="1" x14ac:dyDescent="0.2">
      <c r="A42" s="87" t="s">
        <v>93</v>
      </c>
      <c r="B42" s="101">
        <f>G37</f>
        <v>0.67382426367335602</v>
      </c>
      <c r="C42" s="101">
        <f>G38</f>
        <v>0.74562005114731056</v>
      </c>
      <c r="D42" s="101">
        <f>G39</f>
        <v>0.61499679237704352</v>
      </c>
      <c r="E42" s="101">
        <f>G40</f>
        <v>0.80716192211506499</v>
      </c>
      <c r="F42" s="101">
        <f>G41</f>
        <v>0.68324998923154079</v>
      </c>
      <c r="G42" s="99">
        <f>1</f>
        <v>1</v>
      </c>
      <c r="H42" s="101">
        <f>IFERROR(CORREL(Backtest!G8:G67,Backtest!H8:H67),"")</f>
        <v>0.72395542212609099</v>
      </c>
      <c r="I42" s="101">
        <f>IFERROR(CORREL(Backtest!G8:G67,Backtest!I8:I67),"")</f>
        <v>0.7611699750098625</v>
      </c>
      <c r="J42" s="101">
        <f>IFERROR(CORREL(Backtest!G8:G67,Backtest!J8:J67),"")</f>
        <v>0.70266560410550882</v>
      </c>
      <c r="K42" s="101">
        <f>IFERROR(CORREL(Backtest!G8:G67,Backtest!K8:K67),"")</f>
        <v>0.72612248029225512</v>
      </c>
      <c r="L42" s="101">
        <f>IFERROR(CORREL(Backtest!G8:G67,Backtest!L8:L67),"")</f>
        <v>0.62855181518915326</v>
      </c>
      <c r="M42" s="101">
        <f>IFERROR(CORREL(Backtest!G8:G67,Backtest!M8:M67),"")</f>
        <v>0.72776058708166813</v>
      </c>
      <c r="N42" s="101">
        <f>IFERROR(CORREL(Backtest!G8:G67,Backtest!N8:N67),"")</f>
        <v>0.59849038136349975</v>
      </c>
      <c r="O42" s="101">
        <f>IFERROR(CORREL(Backtest!G8:G67,Backtest!O8:O67),"")</f>
        <v>0.60899275700190569</v>
      </c>
      <c r="P42" s="105">
        <f>IFERROR(CORREL(Backtest!G8:G67,Backtest!P8:P67),"")</f>
        <v>0.72463834222758461</v>
      </c>
    </row>
    <row r="43" spans="1:16" ht="20" customHeight="1" x14ac:dyDescent="0.2">
      <c r="A43" s="87" t="s">
        <v>67</v>
      </c>
      <c r="B43" s="100">
        <f>H37</f>
        <v>0.91730438201762177</v>
      </c>
      <c r="C43" s="100">
        <f>H38</f>
        <v>0.84829331502945382</v>
      </c>
      <c r="D43" s="100">
        <f>H39</f>
        <v>0.89017603746500251</v>
      </c>
      <c r="E43" s="100">
        <f>H40</f>
        <v>0.92286651461328706</v>
      </c>
      <c r="F43" s="100">
        <f>H41</f>
        <v>0.8566937910364314</v>
      </c>
      <c r="G43" s="100">
        <f>H42</f>
        <v>0.72395542212609099</v>
      </c>
      <c r="H43" s="99">
        <f>1</f>
        <v>1</v>
      </c>
      <c r="I43" s="100">
        <f>IFERROR(CORREL(Backtest!H8:H67,Backtest!I8:I67),"")</f>
        <v>0.91846363816854126</v>
      </c>
      <c r="J43" s="100">
        <f>IFERROR(CORREL(Backtest!H8:H67,Backtest!J8:J67),"")</f>
        <v>0.96444007221184647</v>
      </c>
      <c r="K43" s="100">
        <f>IFERROR(CORREL(Backtest!H8:H67,Backtest!K8:K67),"")</f>
        <v>0.94220430727323157</v>
      </c>
      <c r="L43" s="100">
        <f>IFERROR(CORREL(Backtest!H8:H67,Backtest!L8:L67),"")</f>
        <v>0.86413253428639258</v>
      </c>
      <c r="M43" s="100">
        <f>IFERROR(CORREL(Backtest!H8:H67,Backtest!M8:M67),"")</f>
        <v>0.92451837640440415</v>
      </c>
      <c r="N43" s="100">
        <f>IFERROR(CORREL(Backtest!H8:H67,Backtest!N8:N67),"")</f>
        <v>0.78234676784079615</v>
      </c>
      <c r="O43" s="100">
        <f>IFERROR(CORREL(Backtest!H8:H67,Backtest!O8:O67),"")</f>
        <v>0.84908178871811868</v>
      </c>
      <c r="P43" s="104">
        <f>IFERROR(CORREL(Backtest!H8:H67,Backtest!P8:P67),"")</f>
        <v>0.92538174989961197</v>
      </c>
    </row>
    <row r="44" spans="1:16" ht="20" customHeight="1" x14ac:dyDescent="0.2">
      <c r="A44" s="87" t="s">
        <v>142</v>
      </c>
      <c r="B44" s="101">
        <f>I37</f>
        <v>0.93757011167242266</v>
      </c>
      <c r="C44" s="101">
        <f>I38</f>
        <v>0.8595080440469024</v>
      </c>
      <c r="D44" s="101">
        <f>I39</f>
        <v>0.91596495283650448</v>
      </c>
      <c r="E44" s="101">
        <f>I40</f>
        <v>0.94122610546112384</v>
      </c>
      <c r="F44" s="101">
        <f>I41</f>
        <v>0.89826246412619726</v>
      </c>
      <c r="G44" s="101">
        <f>I42</f>
        <v>0.7611699750098625</v>
      </c>
      <c r="H44" s="101">
        <f>I43</f>
        <v>0.91846363816854126</v>
      </c>
      <c r="I44" s="99">
        <f>1</f>
        <v>1</v>
      </c>
      <c r="J44" s="101">
        <f>IFERROR(CORREL(Backtest!I8:I67,Backtest!J8:J67),"")</f>
        <v>0.90596894445277909</v>
      </c>
      <c r="K44" s="101">
        <f>IFERROR(CORREL(Backtest!I8:I67,Backtest!K8:K67),"")</f>
        <v>0.9679139696783764</v>
      </c>
      <c r="L44" s="101">
        <f>IFERROR(CORREL(Backtest!I8:I67,Backtest!L8:L67),"")</f>
        <v>0.92338734781715526</v>
      </c>
      <c r="M44" s="101">
        <f>IFERROR(CORREL(Backtest!I8:I67,Backtest!M8:M67),"")</f>
        <v>0.95974259067165035</v>
      </c>
      <c r="N44" s="101">
        <f>IFERROR(CORREL(Backtest!I8:I67,Backtest!N8:N67),"")</f>
        <v>0.8867129222148169</v>
      </c>
      <c r="O44" s="101">
        <f>IFERROR(CORREL(Backtest!I8:I67,Backtest!O8:O67),"")</f>
        <v>0.89778709402832479</v>
      </c>
      <c r="P44" s="105">
        <f>IFERROR(CORREL(Backtest!I8:I67,Backtest!P8:P67),"")</f>
        <v>0.96238654460076811</v>
      </c>
    </row>
    <row r="45" spans="1:16" ht="20" customHeight="1" x14ac:dyDescent="0.2">
      <c r="A45" s="87" t="s">
        <v>101</v>
      </c>
      <c r="B45" s="100">
        <f>J37</f>
        <v>0.90447080378724498</v>
      </c>
      <c r="C45" s="100">
        <f>J38</f>
        <v>0.84049227993708486</v>
      </c>
      <c r="D45" s="100">
        <f>J39</f>
        <v>0.88209849407391894</v>
      </c>
      <c r="E45" s="100">
        <f>J40</f>
        <v>0.89749163421078859</v>
      </c>
      <c r="F45" s="100">
        <f>J41</f>
        <v>0.85675743637766688</v>
      </c>
      <c r="G45" s="100">
        <f>J42</f>
        <v>0.70266560410550882</v>
      </c>
      <c r="H45" s="100">
        <f>J43</f>
        <v>0.96444007221184647</v>
      </c>
      <c r="I45" s="100">
        <f>J44</f>
        <v>0.90596894445277909</v>
      </c>
      <c r="J45" s="99">
        <f>1</f>
        <v>1</v>
      </c>
      <c r="K45" s="100">
        <f>IFERROR(CORREL(Backtest!J8:J67,Backtest!K8:K67),"")</f>
        <v>0.9247856304481662</v>
      </c>
      <c r="L45" s="100">
        <f>IFERROR(CORREL(Backtest!J8:J67,Backtest!L8:L67),"")</f>
        <v>0.86876166824971013</v>
      </c>
      <c r="M45" s="100">
        <f>IFERROR(CORREL(Backtest!J8:J67,Backtest!M8:M67),"")</f>
        <v>0.91398790236102279</v>
      </c>
      <c r="N45" s="100">
        <f>IFERROR(CORREL(Backtest!J8:J67,Backtest!N8:N67),"")</f>
        <v>0.80242945470351423</v>
      </c>
      <c r="O45" s="100">
        <f>IFERROR(CORREL(Backtest!J8:J67,Backtest!O8:O67),"")</f>
        <v>0.82426669467482139</v>
      </c>
      <c r="P45" s="104">
        <f>IFERROR(CORREL(Backtest!J8:J67,Backtest!P8:P67),"")</f>
        <v>0.92960944381099642</v>
      </c>
    </row>
    <row r="46" spans="1:16" ht="20" customHeight="1" x14ac:dyDescent="0.2">
      <c r="A46" s="87" t="s">
        <v>87</v>
      </c>
      <c r="B46" s="101">
        <f>K37</f>
        <v>0.97462644484818972</v>
      </c>
      <c r="C46" s="101">
        <f>K38</f>
        <v>0.82985095269086873</v>
      </c>
      <c r="D46" s="101">
        <f>K39</f>
        <v>0.95480342562529552</v>
      </c>
      <c r="E46" s="101">
        <f>K40</f>
        <v>0.94455815945663446</v>
      </c>
      <c r="F46" s="101">
        <f>K41</f>
        <v>0.90764539091699181</v>
      </c>
      <c r="G46" s="101">
        <f>K42</f>
        <v>0.72612248029225512</v>
      </c>
      <c r="H46" s="101">
        <f>K43</f>
        <v>0.94220430727323157</v>
      </c>
      <c r="I46" s="101">
        <f>K44</f>
        <v>0.9679139696783764</v>
      </c>
      <c r="J46" s="101">
        <f>K45</f>
        <v>0.9247856304481662</v>
      </c>
      <c r="K46" s="99">
        <f>1</f>
        <v>1</v>
      </c>
      <c r="L46" s="101">
        <f>IFERROR(CORREL(Backtest!K8:K67,Backtest!L8:L67),"")</f>
        <v>0.95381317706542168</v>
      </c>
      <c r="M46" s="101">
        <f>IFERROR(CORREL(Backtest!K8:K67,Backtest!M8:M67),"")</f>
        <v>0.96449267491863488</v>
      </c>
      <c r="N46" s="101">
        <f>IFERROR(CORREL(Backtest!K8:K67,Backtest!N8:N67),"")</f>
        <v>0.89044840560593197</v>
      </c>
      <c r="O46" s="101">
        <f>IFERROR(CORREL(Backtest!K8:K67,Backtest!O8:O67),"")</f>
        <v>0.94374276149323477</v>
      </c>
      <c r="P46" s="105">
        <f>IFERROR(CORREL(Backtest!K8:K67,Backtest!P8:P67),"")</f>
        <v>0.95699639181207907</v>
      </c>
    </row>
    <row r="47" spans="1:16" ht="20" customHeight="1" x14ac:dyDescent="0.2">
      <c r="A47" s="87" t="s">
        <v>128</v>
      </c>
      <c r="B47" s="100">
        <f>L37</f>
        <v>0.97085768721593335</v>
      </c>
      <c r="C47" s="100">
        <f>L38</f>
        <v>0.73453075420641412</v>
      </c>
      <c r="D47" s="100">
        <f>L39</f>
        <v>0.97301669406961155</v>
      </c>
      <c r="E47" s="100">
        <f>L40</f>
        <v>0.86839553233669209</v>
      </c>
      <c r="F47" s="100">
        <f>L41</f>
        <v>0.94190558550617265</v>
      </c>
      <c r="G47" s="100">
        <f>L42</f>
        <v>0.62855181518915326</v>
      </c>
      <c r="H47" s="100">
        <f>L43</f>
        <v>0.86413253428639258</v>
      </c>
      <c r="I47" s="100">
        <f>L44</f>
        <v>0.92338734781715526</v>
      </c>
      <c r="J47" s="100">
        <f>L45</f>
        <v>0.86876166824971013</v>
      </c>
      <c r="K47" s="100">
        <f>L46</f>
        <v>0.95381317706542168</v>
      </c>
      <c r="L47" s="99">
        <f>1</f>
        <v>1</v>
      </c>
      <c r="M47" s="100">
        <f>IFERROR(CORREL(Backtest!L8:L67,Backtest!M8:M67),"")</f>
        <v>0.92773634757938539</v>
      </c>
      <c r="N47" s="100">
        <f>IFERROR(CORREL(Backtest!L8:L67,Backtest!N8:N67),"")</f>
        <v>0.95863899625671511</v>
      </c>
      <c r="O47" s="100">
        <f>IFERROR(CORREL(Backtest!L8:L67,Backtest!O8:O67),"")</f>
        <v>0.95692309394318953</v>
      </c>
      <c r="P47" s="104">
        <f>IFERROR(CORREL(Backtest!L8:L67,Backtest!P8:P67),"")</f>
        <v>0.93694085282352368</v>
      </c>
    </row>
    <row r="48" spans="1:16" ht="20" customHeight="1" x14ac:dyDescent="0.2">
      <c r="A48" s="87">
        <v>6861</v>
      </c>
      <c r="B48" s="101">
        <f>M37</f>
        <v>0.95182574255088159</v>
      </c>
      <c r="C48" s="101">
        <f>M38</f>
        <v>0.81823576222933425</v>
      </c>
      <c r="D48" s="101">
        <f>M39</f>
        <v>0.92863340461486954</v>
      </c>
      <c r="E48" s="101">
        <f>M40</f>
        <v>0.95164805316686918</v>
      </c>
      <c r="F48" s="101">
        <f>M41</f>
        <v>0.90179230539889765</v>
      </c>
      <c r="G48" s="101">
        <f>M42</f>
        <v>0.72776058708166813</v>
      </c>
      <c r="H48" s="101">
        <f>M43</f>
        <v>0.92451837640440415</v>
      </c>
      <c r="I48" s="101">
        <f>M44</f>
        <v>0.95974259067165035</v>
      </c>
      <c r="J48" s="101">
        <f>M45</f>
        <v>0.91398790236102279</v>
      </c>
      <c r="K48" s="101">
        <f>M46</f>
        <v>0.96449267491863488</v>
      </c>
      <c r="L48" s="101">
        <f>M47</f>
        <v>0.92773634757938539</v>
      </c>
      <c r="M48" s="99">
        <f>1</f>
        <v>1</v>
      </c>
      <c r="N48" s="101">
        <f>IFERROR(CORREL(Backtest!M8:M67,Backtest!N8:N67),"")</f>
        <v>0.89652617836574811</v>
      </c>
      <c r="O48" s="101">
        <f>IFERROR(CORREL(Backtest!M8:M67,Backtest!O8:O67),"")</f>
        <v>0.89383490056628012</v>
      </c>
      <c r="P48" s="105">
        <f>IFERROR(CORREL(Backtest!M8:M67,Backtest!P8:P67),"")</f>
        <v>0.94799367666647427</v>
      </c>
    </row>
    <row r="49" spans="1:16" ht="20" customHeight="1" x14ac:dyDescent="0.2">
      <c r="A49" s="87" t="s">
        <v>114</v>
      </c>
      <c r="B49" s="100">
        <f>N37</f>
        <v>0.90382422505193649</v>
      </c>
      <c r="C49" s="100">
        <f>N38</f>
        <v>0.68893672478773682</v>
      </c>
      <c r="D49" s="100">
        <f>N39</f>
        <v>0.91837686614144765</v>
      </c>
      <c r="E49" s="100">
        <f>N40</f>
        <v>0.82956114547326443</v>
      </c>
      <c r="F49" s="100">
        <f>N41</f>
        <v>0.93787045620052645</v>
      </c>
      <c r="G49" s="100">
        <f>N42</f>
        <v>0.59849038136349975</v>
      </c>
      <c r="H49" s="100">
        <f>N43</f>
        <v>0.78234676784079615</v>
      </c>
      <c r="I49" s="100">
        <f>N44</f>
        <v>0.8867129222148169</v>
      </c>
      <c r="J49" s="100">
        <f>N45</f>
        <v>0.80242945470351423</v>
      </c>
      <c r="K49" s="100">
        <f>N46</f>
        <v>0.89044840560593197</v>
      </c>
      <c r="L49" s="100">
        <f>N47</f>
        <v>0.95863899625671511</v>
      </c>
      <c r="M49" s="100">
        <f>N48</f>
        <v>0.89652617836574811</v>
      </c>
      <c r="N49" s="99">
        <f>1</f>
        <v>1</v>
      </c>
      <c r="O49" s="100">
        <f>IFERROR(CORREL(Backtest!N8:N67,Backtest!O8:O67),"")</f>
        <v>0.88177176102353272</v>
      </c>
      <c r="P49" s="104">
        <f>IFERROR(CORREL(Backtest!N8:N67,Backtest!P8:P67),"")</f>
        <v>0.88905170472068751</v>
      </c>
    </row>
    <row r="50" spans="1:16" ht="20" customHeight="1" x14ac:dyDescent="0.2">
      <c r="A50" s="87" t="s">
        <v>65</v>
      </c>
      <c r="B50" s="101">
        <f>O37</f>
        <v>0.96421109797710525</v>
      </c>
      <c r="C50" s="101">
        <f>O38</f>
        <v>0.72027886154109455</v>
      </c>
      <c r="D50" s="101">
        <f>O39</f>
        <v>0.96460944873440979</v>
      </c>
      <c r="E50" s="101">
        <f>O40</f>
        <v>0.83010367097697235</v>
      </c>
      <c r="F50" s="101">
        <f>O41</f>
        <v>0.85471415666136974</v>
      </c>
      <c r="G50" s="101">
        <f>O42</f>
        <v>0.60899275700190569</v>
      </c>
      <c r="H50" s="101">
        <f>O43</f>
        <v>0.84908178871811868</v>
      </c>
      <c r="I50" s="101">
        <f>O44</f>
        <v>0.89778709402832479</v>
      </c>
      <c r="J50" s="101">
        <f>O45</f>
        <v>0.82426669467482139</v>
      </c>
      <c r="K50" s="101">
        <f>O46</f>
        <v>0.94374276149323477</v>
      </c>
      <c r="L50" s="101">
        <f>O47</f>
        <v>0.95692309394318953</v>
      </c>
      <c r="M50" s="101">
        <f>O48</f>
        <v>0.89383490056628012</v>
      </c>
      <c r="N50" s="101">
        <f>O49</f>
        <v>0.88177176102353272</v>
      </c>
      <c r="O50" s="99">
        <f>1</f>
        <v>1</v>
      </c>
      <c r="P50" s="105">
        <f>IFERROR(CORREL(Backtest!O8:O67,Backtest!P8:P67),"")</f>
        <v>0.8950138419042617</v>
      </c>
    </row>
    <row r="51" spans="1:16" ht="20" customHeight="1" x14ac:dyDescent="0.2">
      <c r="A51" s="351" t="s">
        <v>75</v>
      </c>
      <c r="B51" s="102">
        <f>P37</f>
        <v>0.95016523093246974</v>
      </c>
      <c r="C51" s="102">
        <f>P38</f>
        <v>0.8608568457927076</v>
      </c>
      <c r="D51" s="102">
        <f>P39</f>
        <v>0.93381152731628214</v>
      </c>
      <c r="E51" s="102">
        <f>P40</f>
        <v>0.91857091966738225</v>
      </c>
      <c r="F51" s="102">
        <f>P41</f>
        <v>0.92309413281427011</v>
      </c>
      <c r="G51" s="102">
        <f>P42</f>
        <v>0.72463834222758461</v>
      </c>
      <c r="H51" s="102">
        <f>P43</f>
        <v>0.92538174989961197</v>
      </c>
      <c r="I51" s="102">
        <f>P44</f>
        <v>0.96238654460076811</v>
      </c>
      <c r="J51" s="102">
        <f>P45</f>
        <v>0.92960944381099642</v>
      </c>
      <c r="K51" s="102">
        <f>P46</f>
        <v>0.95699639181207907</v>
      </c>
      <c r="L51" s="102">
        <f>P47</f>
        <v>0.93694085282352368</v>
      </c>
      <c r="M51" s="102">
        <f>P48</f>
        <v>0.94799367666647427</v>
      </c>
      <c r="N51" s="102">
        <f>P49</f>
        <v>0.88905170472068751</v>
      </c>
      <c r="O51" s="102">
        <f>P50</f>
        <v>0.8950138419042617</v>
      </c>
      <c r="P51" s="106">
        <f>1</f>
        <v>1</v>
      </c>
    </row>
  </sheetData>
  <mergeCells count="9">
    <mergeCell ref="A35:P35"/>
    <mergeCell ref="K22:N22"/>
    <mergeCell ref="A32:N32"/>
    <mergeCell ref="A1:M1"/>
    <mergeCell ref="A2:M2"/>
    <mergeCell ref="A20:E20"/>
    <mergeCell ref="A22:D22"/>
    <mergeCell ref="F22:I22"/>
    <mergeCell ref="A34:P34"/>
  </mergeCells>
  <conditionalFormatting sqref="B37:P51">
    <cfRule type="colorScale" priority="1">
      <colorScale>
        <cfvo type="min"/>
        <cfvo type="percentile" val="50"/>
        <cfvo type="max"/>
        <color rgb="FF2E7D32"/>
        <color rgb="FFFFFFFF"/>
        <color rgb="FFB71C1C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5823E-B9A4-174B-9BFB-6C70B1443EA5}">
  <dimension ref="A1:Y76"/>
  <sheetViews>
    <sheetView zoomScale="125" workbookViewId="0">
      <selection activeCell="X11" sqref="X11"/>
    </sheetView>
  </sheetViews>
  <sheetFormatPr baseColWidth="10" defaultRowHeight="16" x14ac:dyDescent="0.2"/>
  <cols>
    <col min="1" max="1" width="22.6640625" customWidth="1"/>
    <col min="2" max="16" width="9.6640625" customWidth="1"/>
    <col min="17" max="19" width="12" customWidth="1"/>
    <col min="23" max="25" width="10.83203125" style="344"/>
  </cols>
  <sheetData>
    <row r="1" spans="1:25" ht="36" customHeight="1" x14ac:dyDescent="0.2">
      <c r="A1" s="298" t="s">
        <v>381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</row>
    <row r="2" spans="1:25" ht="20" customHeight="1" x14ac:dyDescent="0.2">
      <c r="A2" s="299" t="s">
        <v>194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3"/>
    </row>
    <row r="3" spans="1:25" ht="8" customHeight="1" x14ac:dyDescent="0.2"/>
    <row r="4" spans="1:25" ht="20" customHeight="1" x14ac:dyDescent="0.2">
      <c r="A4" s="307" t="s">
        <v>195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</row>
    <row r="5" spans="1:25" ht="22" customHeight="1" x14ac:dyDescent="0.2">
      <c r="A5" s="54" t="s">
        <v>196</v>
      </c>
      <c r="B5" s="107">
        <f>Portfolio!F5</f>
        <v>7.0000000000000007E-2</v>
      </c>
      <c r="C5" s="107">
        <f>Portfolio!F6</f>
        <v>0.06</v>
      </c>
      <c r="D5" s="107">
        <f>Portfolio!F7</f>
        <v>6.5000000000000002E-2</v>
      </c>
      <c r="E5" s="107">
        <f>Portfolio!F8</f>
        <v>8.5000000000000006E-2</v>
      </c>
      <c r="F5" s="107">
        <f>Portfolio!F9</f>
        <v>8.5000000000000006E-2</v>
      </c>
      <c r="G5" s="107">
        <f>Portfolio!F10</f>
        <v>0.08</v>
      </c>
      <c r="H5" s="107">
        <f>Portfolio!F11</f>
        <v>5.5E-2</v>
      </c>
      <c r="I5" s="107">
        <f>Portfolio!F12</f>
        <v>0.08</v>
      </c>
      <c r="J5" s="107">
        <f>Portfolio!F13</f>
        <v>0.05</v>
      </c>
      <c r="K5" s="107">
        <f>Portfolio!F14</f>
        <v>0.05</v>
      </c>
      <c r="L5" s="107">
        <f>Portfolio!F15</f>
        <v>7.0000000000000007E-2</v>
      </c>
      <c r="M5" s="107">
        <f>Portfolio!F16</f>
        <v>6.5000000000000002E-2</v>
      </c>
      <c r="N5" s="107">
        <f>Portfolio!F17</f>
        <v>7.0000000000000007E-2</v>
      </c>
      <c r="O5" s="107">
        <f>Portfolio!F18</f>
        <v>0.05</v>
      </c>
      <c r="P5" s="107">
        <f>Portfolio!F19</f>
        <v>6.5000000000000002E-2</v>
      </c>
      <c r="Q5" s="54" t="s">
        <v>156</v>
      </c>
      <c r="R5" s="108">
        <f>SUM(B5:P5)</f>
        <v>1.0000000000000002</v>
      </c>
      <c r="S5" s="56"/>
      <c r="T5" s="56"/>
    </row>
    <row r="6" spans="1:25" ht="6" customHeight="1" x14ac:dyDescent="0.2">
      <c r="W6" s="347"/>
      <c r="X6" s="347"/>
      <c r="Y6" s="347"/>
    </row>
    <row r="7" spans="1:25" ht="40" customHeight="1" x14ac:dyDescent="0.2">
      <c r="A7" s="70" t="s">
        <v>197</v>
      </c>
      <c r="B7" s="341" t="s">
        <v>81</v>
      </c>
      <c r="C7" s="341" t="s">
        <v>97</v>
      </c>
      <c r="D7" s="341" t="s">
        <v>78</v>
      </c>
      <c r="E7" s="341" t="s">
        <v>119</v>
      </c>
      <c r="F7" s="341" t="s">
        <v>109</v>
      </c>
      <c r="G7" s="341" t="s">
        <v>93</v>
      </c>
      <c r="H7" s="341" t="s">
        <v>67</v>
      </c>
      <c r="I7" s="341" t="s">
        <v>142</v>
      </c>
      <c r="J7" s="341" t="s">
        <v>101</v>
      </c>
      <c r="K7" s="341" t="s">
        <v>87</v>
      </c>
      <c r="L7" s="341" t="s">
        <v>128</v>
      </c>
      <c r="M7" s="341">
        <v>6861</v>
      </c>
      <c r="N7" s="341" t="s">
        <v>114</v>
      </c>
      <c r="O7" s="341" t="s">
        <v>65</v>
      </c>
      <c r="P7" s="341" t="s">
        <v>75</v>
      </c>
      <c r="Q7" s="66" t="s">
        <v>198</v>
      </c>
      <c r="R7" s="66" t="s">
        <v>199</v>
      </c>
      <c r="S7" s="66" t="s">
        <v>200</v>
      </c>
      <c r="T7" s="75" t="s">
        <v>201</v>
      </c>
      <c r="U7" s="342" t="s">
        <v>382</v>
      </c>
      <c r="W7" s="346" t="s">
        <v>383</v>
      </c>
      <c r="X7" s="346" t="s">
        <v>384</v>
      </c>
      <c r="Y7" s="346" t="s">
        <v>385</v>
      </c>
    </row>
    <row r="8" spans="1:25" ht="18" customHeight="1" x14ac:dyDescent="0.2">
      <c r="A8" s="120">
        <v>43831</v>
      </c>
      <c r="B8" s="110">
        <v>1.8800000000000001E-2</v>
      </c>
      <c r="C8" s="110">
        <v>3.9E-2</v>
      </c>
      <c r="D8" s="110">
        <v>1.04E-2</v>
      </c>
      <c r="E8" s="110">
        <v>4.3999999999999997E-2</v>
      </c>
      <c r="F8" s="110">
        <v>3.5000000000000003E-2</v>
      </c>
      <c r="G8" s="110">
        <v>2.1000000000000001E-2</v>
      </c>
      <c r="H8" s="110">
        <v>2.8000000000000001E-2</v>
      </c>
      <c r="I8" s="110">
        <v>2.7E-2</v>
      </c>
      <c r="J8" s="110">
        <v>1.2E-2</v>
      </c>
      <c r="K8" s="110">
        <v>3.1E-2</v>
      </c>
      <c r="L8" s="110">
        <v>1.7999999999999999E-2</v>
      </c>
      <c r="M8" s="110">
        <v>1.4999999999999999E-2</v>
      </c>
      <c r="N8" s="110">
        <v>4.8000000000000001E-2</v>
      </c>
      <c r="O8" s="110">
        <v>1.6E-2</v>
      </c>
      <c r="P8" s="110">
        <v>2.1999999999999999E-2</v>
      </c>
      <c r="Q8" s="111" cm="1">
        <f t="array" ref="Q8">IF(COUNTA(B5:P5)=0,"",SUMPRODUCT(B5:P5,IFERROR(B8:P8,0)))</f>
        <v>2.6402000000000002E-2</v>
      </c>
      <c r="R8" s="110">
        <v>2.7000000000000001E-3</v>
      </c>
      <c r="S8" s="109">
        <f t="shared" ref="S8:S39" si="0">IF(OR(Q8="",R8=""),"",Q8-R8)</f>
        <v>2.3702000000000001E-2</v>
      </c>
      <c r="T8" s="124">
        <f>100*(1+IF(Q8="",0,Q8))</f>
        <v>102.64020000000001</v>
      </c>
      <c r="U8" s="343">
        <f>100*(1+IF(R8="",0,R8))</f>
        <v>100.27</v>
      </c>
      <c r="W8" s="345">
        <f>A8</f>
        <v>43831</v>
      </c>
      <c r="X8" s="344">
        <f>T8</f>
        <v>102.64020000000001</v>
      </c>
      <c r="Y8" s="344">
        <f>U8</f>
        <v>100.27</v>
      </c>
    </row>
    <row r="9" spans="1:25" ht="18" customHeight="1" x14ac:dyDescent="0.2">
      <c r="A9" s="121">
        <v>43862</v>
      </c>
      <c r="B9" s="113">
        <v>-8.4000000000000005E-2</v>
      </c>
      <c r="C9" s="113">
        <v>-0.112</v>
      </c>
      <c r="D9" s="113">
        <v>-9.0999999999999998E-2</v>
      </c>
      <c r="E9" s="113">
        <v>-6.8000000000000005E-2</v>
      </c>
      <c r="F9" s="113">
        <v>-7.3999999999999996E-2</v>
      </c>
      <c r="G9" s="113">
        <v>-2.1000000000000001E-2</v>
      </c>
      <c r="H9" s="113">
        <v>-0.108</v>
      </c>
      <c r="I9" s="113">
        <v>-8.6999999999999994E-2</v>
      </c>
      <c r="J9" s="113">
        <v>-0.13400000000000001</v>
      </c>
      <c r="K9" s="113">
        <v>-7.4999999999999997E-2</v>
      </c>
      <c r="L9" s="113">
        <v>-5.8999999999999997E-2</v>
      </c>
      <c r="M9" s="113">
        <v>-9.4E-2</v>
      </c>
      <c r="N9" s="113">
        <v>-9.0999999999999998E-2</v>
      </c>
      <c r="O9" s="113">
        <v>-6.0999999999999999E-2</v>
      </c>
      <c r="P9" s="113">
        <v>-7.1999999999999995E-2</v>
      </c>
      <c r="Q9" s="114" cm="1">
        <f t="array" ref="Q9">IF(COUNTA(B5:P5)=0,"",SUMPRODUCT(B5:P5,IFERROR(B9:P9,0)))</f>
        <v>-7.9955000000000012E-2</v>
      </c>
      <c r="R9" s="113">
        <v>-8.43E-2</v>
      </c>
      <c r="S9" s="112">
        <f t="shared" si="0"/>
        <v>4.3449999999999878E-3</v>
      </c>
      <c r="T9" s="125">
        <f t="shared" ref="T9:T40" si="1">IF(Q9="","",T8*(1+Q9))</f>
        <v>94.433602809000007</v>
      </c>
      <c r="U9" s="343">
        <f>IF(R9="","",U8*(1+R9))</f>
        <v>91.817238999999987</v>
      </c>
      <c r="W9" s="345">
        <f t="shared" ref="W9:W67" si="2">A9</f>
        <v>43862</v>
      </c>
      <c r="X9" s="344">
        <f t="shared" ref="X9:X67" si="3">T9</f>
        <v>94.433602809000007</v>
      </c>
      <c r="Y9" s="344">
        <f t="shared" ref="Y9:Y67" si="4">U9</f>
        <v>91.817238999999987</v>
      </c>
    </row>
    <row r="10" spans="1:25" ht="18" customHeight="1" x14ac:dyDescent="0.2">
      <c r="A10" s="122">
        <v>43891</v>
      </c>
      <c r="B10" s="113">
        <v>-0.13800000000000001</v>
      </c>
      <c r="C10" s="113">
        <v>-9.9000000000000005E-2</v>
      </c>
      <c r="D10" s="113">
        <v>-0.14599999999999999</v>
      </c>
      <c r="E10" s="113">
        <v>-0.13100000000000001</v>
      </c>
      <c r="F10" s="113">
        <v>-0.20399999999999999</v>
      </c>
      <c r="G10" s="113">
        <v>-7.2999999999999995E-2</v>
      </c>
      <c r="H10" s="113">
        <v>-0.129</v>
      </c>
      <c r="I10" s="113">
        <v>-0.156</v>
      </c>
      <c r="J10" s="113">
        <v>-0.224</v>
      </c>
      <c r="K10" s="113">
        <v>-0.11899999999999999</v>
      </c>
      <c r="L10" s="113">
        <v>-0.14399999999999999</v>
      </c>
      <c r="M10" s="113">
        <v>-0.16800000000000001</v>
      </c>
      <c r="N10" s="113">
        <v>-0.23100000000000001</v>
      </c>
      <c r="O10" s="113">
        <v>-8.4000000000000005E-2</v>
      </c>
      <c r="P10" s="113">
        <v>-0.151</v>
      </c>
      <c r="Q10" s="116" cm="1">
        <f t="array" ref="Q10">IF(COUNTA(B5:P5)=0,"",SUMPRODUCT(B5:P5,IFERROR(B10:P10,0)))</f>
        <v>-0.14731500000000003</v>
      </c>
      <c r="R10" s="113">
        <v>-0.13270000000000001</v>
      </c>
      <c r="S10" s="115">
        <f t="shared" si="0"/>
        <v>-1.4615000000000017E-2</v>
      </c>
      <c r="T10" s="126">
        <f t="shared" si="1"/>
        <v>80.52211661119216</v>
      </c>
      <c r="U10" s="343">
        <f t="shared" ref="U10:U67" si="5">IF(R10="","",U9*(1+R10))</f>
        <v>79.633091384699981</v>
      </c>
      <c r="W10" s="345">
        <f t="shared" si="2"/>
        <v>43891</v>
      </c>
      <c r="X10" s="344">
        <f t="shared" si="3"/>
        <v>80.52211661119216</v>
      </c>
      <c r="Y10" s="344">
        <f t="shared" si="4"/>
        <v>79.633091384699981</v>
      </c>
    </row>
    <row r="11" spans="1:25" ht="18" customHeight="1" x14ac:dyDescent="0.2">
      <c r="A11" s="121">
        <v>43922</v>
      </c>
      <c r="B11" s="113">
        <v>0.14599999999999999</v>
      </c>
      <c r="C11" s="113">
        <v>0.11799999999999999</v>
      </c>
      <c r="D11" s="113">
        <v>0.151</v>
      </c>
      <c r="E11" s="113">
        <v>0.152</v>
      </c>
      <c r="F11" s="113">
        <v>0.25800000000000001</v>
      </c>
      <c r="G11" s="113">
        <v>9.8000000000000004E-2</v>
      </c>
      <c r="H11" s="113">
        <v>0.17599999999999999</v>
      </c>
      <c r="I11" s="113">
        <v>0.114</v>
      </c>
      <c r="J11" s="113">
        <v>0.192</v>
      </c>
      <c r="K11" s="113">
        <v>0.14199999999999999</v>
      </c>
      <c r="L11" s="113">
        <v>0.128</v>
      </c>
      <c r="M11" s="113">
        <v>9.4E-2</v>
      </c>
      <c r="N11" s="113">
        <v>0.154</v>
      </c>
      <c r="O11" s="113">
        <v>0.10199999999999999</v>
      </c>
      <c r="P11" s="113">
        <v>0.113</v>
      </c>
      <c r="Q11" s="114" cm="1">
        <f t="array" ref="Q11">IF(COUNTA(B5:P5)=0,"",SUMPRODUCT(B5:P5,IFERROR(B11:P11,0)))</f>
        <v>0.14359999999999998</v>
      </c>
      <c r="R11" s="113">
        <v>0.1085</v>
      </c>
      <c r="S11" s="112">
        <f t="shared" si="0"/>
        <v>3.5099999999999978E-2</v>
      </c>
      <c r="T11" s="125">
        <f t="shared" si="1"/>
        <v>92.085092556559346</v>
      </c>
      <c r="U11" s="343">
        <f t="shared" si="5"/>
        <v>88.273281799939937</v>
      </c>
      <c r="W11" s="345">
        <f t="shared" si="2"/>
        <v>43922</v>
      </c>
      <c r="X11" s="344">
        <f t="shared" si="3"/>
        <v>92.085092556559346</v>
      </c>
      <c r="Y11" s="344">
        <f t="shared" si="4"/>
        <v>88.273281799939937</v>
      </c>
    </row>
    <row r="12" spans="1:25" ht="18" customHeight="1" x14ac:dyDescent="0.2">
      <c r="A12" s="122">
        <v>43952</v>
      </c>
      <c r="B12" s="113">
        <v>3.7999999999999999E-2</v>
      </c>
      <c r="C12" s="113">
        <v>6.4000000000000001E-2</v>
      </c>
      <c r="D12" s="113">
        <v>1.2E-2</v>
      </c>
      <c r="E12" s="113">
        <v>8.4000000000000005E-2</v>
      </c>
      <c r="F12" s="113">
        <v>1.2E-2</v>
      </c>
      <c r="G12" s="113">
        <v>0.114</v>
      </c>
      <c r="H12" s="113">
        <v>4.2999999999999997E-2</v>
      </c>
      <c r="I12" s="113">
        <v>5.1999999999999998E-2</v>
      </c>
      <c r="J12" s="113">
        <v>-1.2E-2</v>
      </c>
      <c r="K12" s="113">
        <v>2.1000000000000001E-2</v>
      </c>
      <c r="L12" s="113">
        <v>-8.0000000000000002E-3</v>
      </c>
      <c r="M12" s="113">
        <v>3.4000000000000002E-2</v>
      </c>
      <c r="N12" s="113">
        <v>-2.4E-2</v>
      </c>
      <c r="O12" s="113">
        <v>2.1000000000000001E-2</v>
      </c>
      <c r="P12" s="113">
        <v>1.4999999999999999E-2</v>
      </c>
      <c r="Q12" s="116" cm="1">
        <f t="array" ref="Q12">IF(COUNTA(B5:P5)=0,"",SUMPRODUCT(B5:P5,IFERROR(B12:P12,0)))</f>
        <v>3.3530000000000004E-2</v>
      </c>
      <c r="R12" s="113">
        <v>4.3799999999999999E-2</v>
      </c>
      <c r="S12" s="115">
        <f t="shared" si="0"/>
        <v>-1.0269999999999994E-2</v>
      </c>
      <c r="T12" s="126">
        <f t="shared" si="1"/>
        <v>95.172705709980789</v>
      </c>
      <c r="U12" s="343">
        <f t="shared" si="5"/>
        <v>92.139651542777315</v>
      </c>
      <c r="W12" s="345">
        <f t="shared" si="2"/>
        <v>43952</v>
      </c>
      <c r="X12" s="344">
        <f t="shared" si="3"/>
        <v>95.172705709980789</v>
      </c>
      <c r="Y12" s="344">
        <f t="shared" si="4"/>
        <v>92.139651542777315</v>
      </c>
    </row>
    <row r="13" spans="1:25" ht="18" customHeight="1" x14ac:dyDescent="0.2">
      <c r="A13" s="121">
        <v>43983</v>
      </c>
      <c r="B13" s="113">
        <v>4.2000000000000003E-2</v>
      </c>
      <c r="C13" s="113">
        <v>1.7999999999999999E-2</v>
      </c>
      <c r="D13" s="113">
        <v>3.1E-2</v>
      </c>
      <c r="E13" s="113">
        <v>5.3999999999999999E-2</v>
      </c>
      <c r="F13" s="113">
        <v>3.2000000000000001E-2</v>
      </c>
      <c r="G13" s="113">
        <v>4.8000000000000001E-2</v>
      </c>
      <c r="H13" s="113">
        <v>6.0999999999999999E-2</v>
      </c>
      <c r="I13" s="113">
        <v>2.4E-2</v>
      </c>
      <c r="J13" s="113">
        <v>7.4999999999999997E-2</v>
      </c>
      <c r="K13" s="113">
        <v>5.8000000000000003E-2</v>
      </c>
      <c r="L13" s="113">
        <v>2.9000000000000001E-2</v>
      </c>
      <c r="M13" s="113">
        <v>3.7999999999999999E-2</v>
      </c>
      <c r="N13" s="113">
        <v>2.1000000000000001E-2</v>
      </c>
      <c r="O13" s="113">
        <v>3.2000000000000001E-2</v>
      </c>
      <c r="P13" s="113">
        <v>1.4E-2</v>
      </c>
      <c r="Q13" s="114" cm="1">
        <f t="array" ref="Q13">IF(COUNTA(B5:P5)=0,"",SUMPRODUCT(B5:P5,IFERROR(B13:P13,0)))</f>
        <v>3.7589999999999998E-2</v>
      </c>
      <c r="R13" s="113">
        <v>3.1600000000000003E-2</v>
      </c>
      <c r="S13" s="112">
        <f t="shared" si="0"/>
        <v>5.9899999999999953E-3</v>
      </c>
      <c r="T13" s="125">
        <f t="shared" si="1"/>
        <v>98.750247717618961</v>
      </c>
      <c r="U13" s="343">
        <f t="shared" si="5"/>
        <v>95.051264531529085</v>
      </c>
      <c r="W13" s="345">
        <f t="shared" si="2"/>
        <v>43983</v>
      </c>
      <c r="X13" s="344">
        <f t="shared" si="3"/>
        <v>98.750247717618961</v>
      </c>
      <c r="Y13" s="344">
        <f t="shared" si="4"/>
        <v>95.051264531529085</v>
      </c>
    </row>
    <row r="14" spans="1:25" ht="18" customHeight="1" x14ac:dyDescent="0.2">
      <c r="A14" s="122">
        <v>44013</v>
      </c>
      <c r="B14" s="113">
        <v>6.4000000000000001E-2</v>
      </c>
      <c r="C14" s="113">
        <v>0.10199999999999999</v>
      </c>
      <c r="D14" s="113">
        <v>4.8000000000000001E-2</v>
      </c>
      <c r="E14" s="113">
        <v>0.11799999999999999</v>
      </c>
      <c r="F14" s="113">
        <v>6.4000000000000001E-2</v>
      </c>
      <c r="G14" s="113">
        <v>7.8E-2</v>
      </c>
      <c r="H14" s="113">
        <v>9.1999999999999998E-2</v>
      </c>
      <c r="I14" s="113">
        <v>8.8999999999999996E-2</v>
      </c>
      <c r="J14" s="113">
        <v>0.13400000000000001</v>
      </c>
      <c r="K14" s="113">
        <v>8.1000000000000003E-2</v>
      </c>
      <c r="L14" s="113">
        <v>5.3999999999999999E-2</v>
      </c>
      <c r="M14" s="113">
        <v>4.2000000000000003E-2</v>
      </c>
      <c r="N14" s="113">
        <v>8.1000000000000003E-2</v>
      </c>
      <c r="O14" s="113">
        <v>4.8000000000000001E-2</v>
      </c>
      <c r="P14" s="113">
        <v>5.8000000000000003E-2</v>
      </c>
      <c r="Q14" s="116" cm="1">
        <f t="array" ref="Q14">IF(COUNTA(B5:P5)=0,"",SUMPRODUCT(B5:P5,IFERROR(B14:P14,0)))</f>
        <v>7.671E-2</v>
      </c>
      <c r="R14" s="113">
        <v>7.3300000000000004E-2</v>
      </c>
      <c r="S14" s="115">
        <f t="shared" si="0"/>
        <v>3.4099999999999964E-3</v>
      </c>
      <c r="T14" s="126">
        <f t="shared" si="1"/>
        <v>106.32537922003752</v>
      </c>
      <c r="U14" s="343">
        <f t="shared" si="5"/>
        <v>102.01852222169016</v>
      </c>
      <c r="W14" s="345">
        <f t="shared" si="2"/>
        <v>44013</v>
      </c>
      <c r="X14" s="344">
        <f t="shared" si="3"/>
        <v>106.32537922003752</v>
      </c>
      <c r="Y14" s="344">
        <f t="shared" si="4"/>
        <v>102.01852222169016</v>
      </c>
    </row>
    <row r="15" spans="1:25" ht="18" customHeight="1" x14ac:dyDescent="0.2">
      <c r="A15" s="121">
        <v>44044</v>
      </c>
      <c r="B15" s="113">
        <v>5.1999999999999998E-2</v>
      </c>
      <c r="C15" s="113">
        <v>3.1E-2</v>
      </c>
      <c r="D15" s="113">
        <v>6.8000000000000005E-2</v>
      </c>
      <c r="E15" s="113">
        <v>7.4999999999999997E-2</v>
      </c>
      <c r="F15" s="113">
        <v>5.8000000000000003E-2</v>
      </c>
      <c r="G15" s="113">
        <v>4.2000000000000003E-2</v>
      </c>
      <c r="H15" s="113">
        <v>8.4000000000000005E-2</v>
      </c>
      <c r="I15" s="113">
        <v>6.2E-2</v>
      </c>
      <c r="J15" s="113">
        <v>9.8000000000000004E-2</v>
      </c>
      <c r="K15" s="113">
        <v>7.1999999999999995E-2</v>
      </c>
      <c r="L15" s="113">
        <v>4.8000000000000001E-2</v>
      </c>
      <c r="M15" s="113">
        <v>6.4000000000000001E-2</v>
      </c>
      <c r="N15" s="113">
        <v>5.8999999999999997E-2</v>
      </c>
      <c r="O15" s="113">
        <v>5.3999999999999999E-2</v>
      </c>
      <c r="P15" s="113">
        <v>3.1E-2</v>
      </c>
      <c r="Q15" s="114" cm="1">
        <f t="array" ref="Q15">IF(COUNTA(B5:P5)=0,"",SUMPRODUCT(B5:P5,IFERROR(B15:P15,0)))</f>
        <v>5.9030000000000013E-2</v>
      </c>
      <c r="R15" s="113">
        <v>6.4799999999999996E-2</v>
      </c>
      <c r="S15" s="112">
        <f t="shared" si="0"/>
        <v>-5.7699999999999835E-3</v>
      </c>
      <c r="T15" s="125">
        <f t="shared" si="1"/>
        <v>112.60176635539632</v>
      </c>
      <c r="U15" s="343">
        <f t="shared" si="5"/>
        <v>108.62932246165568</v>
      </c>
      <c r="W15" s="345">
        <f t="shared" si="2"/>
        <v>44044</v>
      </c>
      <c r="X15" s="344">
        <f t="shared" si="3"/>
        <v>112.60176635539632</v>
      </c>
      <c r="Y15" s="344">
        <f t="shared" si="4"/>
        <v>108.62932246165568</v>
      </c>
    </row>
    <row r="16" spans="1:25" ht="18" customHeight="1" x14ac:dyDescent="0.2">
      <c r="A16" s="122">
        <v>44075</v>
      </c>
      <c r="B16" s="113">
        <v>-4.2000000000000003E-2</v>
      </c>
      <c r="C16" s="113">
        <v>-1.7999999999999999E-2</v>
      </c>
      <c r="D16" s="113">
        <v>-3.1E-2</v>
      </c>
      <c r="E16" s="113">
        <v>-6.8000000000000005E-2</v>
      </c>
      <c r="F16" s="113">
        <v>-5.3999999999999999E-2</v>
      </c>
      <c r="G16" s="113">
        <v>-2.8000000000000001E-2</v>
      </c>
      <c r="H16" s="113">
        <v>-7.3999999999999996E-2</v>
      </c>
      <c r="I16" s="113">
        <v>-3.9E-2</v>
      </c>
      <c r="J16" s="113">
        <v>-0.11799999999999999</v>
      </c>
      <c r="K16" s="113">
        <v>-4.8000000000000001E-2</v>
      </c>
      <c r="L16" s="113">
        <v>-2.7E-2</v>
      </c>
      <c r="M16" s="113">
        <v>-5.3999999999999999E-2</v>
      </c>
      <c r="N16" s="113">
        <v>-4.2000000000000003E-2</v>
      </c>
      <c r="O16" s="113">
        <v>-2.1000000000000001E-2</v>
      </c>
      <c r="P16" s="113">
        <v>-3.7999999999999999E-2</v>
      </c>
      <c r="Q16" s="116" cm="1">
        <f t="array" ref="Q16">IF(COUNTA(B5:P5)=0,"",SUMPRODUCT(B5:P5,IFERROR(B16:P16,0)))</f>
        <v>-4.5995000000000008E-2</v>
      </c>
      <c r="R16" s="113">
        <v>-3.6700000000000003E-2</v>
      </c>
      <c r="S16" s="115">
        <f t="shared" si="0"/>
        <v>-9.2950000000000046E-3</v>
      </c>
      <c r="T16" s="126">
        <f t="shared" si="1"/>
        <v>107.42264811187987</v>
      </c>
      <c r="U16" s="343">
        <f t="shared" si="5"/>
        <v>104.64262632731291</v>
      </c>
      <c r="W16" s="345">
        <f t="shared" si="2"/>
        <v>44075</v>
      </c>
      <c r="X16" s="344">
        <f t="shared" si="3"/>
        <v>107.42264811187987</v>
      </c>
      <c r="Y16" s="344">
        <f t="shared" si="4"/>
        <v>104.64262632731291</v>
      </c>
    </row>
    <row r="17" spans="1:25" ht="18" customHeight="1" x14ac:dyDescent="0.2">
      <c r="A17" s="121">
        <v>44105</v>
      </c>
      <c r="B17" s="113">
        <v>-1.7999999999999999E-2</v>
      </c>
      <c r="C17" s="113">
        <v>-5.3999999999999999E-2</v>
      </c>
      <c r="D17" s="113">
        <v>-2.1999999999999999E-2</v>
      </c>
      <c r="E17" s="113">
        <v>-4.8000000000000001E-2</v>
      </c>
      <c r="F17" s="113">
        <v>-3.7999999999999999E-2</v>
      </c>
      <c r="G17" s="113">
        <v>-1.4E-2</v>
      </c>
      <c r="H17" s="113">
        <v>-3.1E-2</v>
      </c>
      <c r="I17" s="113">
        <v>-4.2000000000000003E-2</v>
      </c>
      <c r="J17" s="113">
        <v>-5.3999999999999999E-2</v>
      </c>
      <c r="K17" s="113">
        <v>-2.8000000000000001E-2</v>
      </c>
      <c r="L17" s="113">
        <v>-1.9E-2</v>
      </c>
      <c r="M17" s="113">
        <v>-3.4000000000000002E-2</v>
      </c>
      <c r="N17" s="113">
        <v>-2.7E-2</v>
      </c>
      <c r="O17" s="113">
        <v>-1.2E-2</v>
      </c>
      <c r="P17" s="113">
        <v>-4.8000000000000001E-2</v>
      </c>
      <c r="Q17" s="114" cm="1">
        <f t="array" ref="Q17">IF(COUNTA(B5:P5)=0,"",SUMPRODUCT(B5:P5,IFERROR(B17:P17,0)))</f>
        <v>-3.2674999999999996E-2</v>
      </c>
      <c r="R17" s="113">
        <v>-2.81E-2</v>
      </c>
      <c r="S17" s="112">
        <f t="shared" si="0"/>
        <v>-4.5749999999999957E-3</v>
      </c>
      <c r="T17" s="125">
        <f t="shared" si="1"/>
        <v>103.91261308482419</v>
      </c>
      <c r="U17" s="343">
        <f t="shared" si="5"/>
        <v>101.70216852751541</v>
      </c>
      <c r="W17" s="345">
        <f t="shared" si="2"/>
        <v>44105</v>
      </c>
      <c r="X17" s="344">
        <f t="shared" si="3"/>
        <v>103.91261308482419</v>
      </c>
      <c r="Y17" s="344">
        <f t="shared" si="4"/>
        <v>101.70216852751541</v>
      </c>
    </row>
    <row r="18" spans="1:25" ht="18" customHeight="1" x14ac:dyDescent="0.2">
      <c r="A18" s="122">
        <v>44136</v>
      </c>
      <c r="B18" s="113">
        <v>8.4000000000000005E-2</v>
      </c>
      <c r="C18" s="113">
        <v>2.8000000000000001E-2</v>
      </c>
      <c r="D18" s="113">
        <v>0.10199999999999999</v>
      </c>
      <c r="E18" s="113">
        <v>8.1000000000000003E-2</v>
      </c>
      <c r="F18" s="113">
        <v>9.1999999999999998E-2</v>
      </c>
      <c r="G18" s="113">
        <v>1.7999999999999999E-2</v>
      </c>
      <c r="H18" s="113">
        <v>6.4000000000000001E-2</v>
      </c>
      <c r="I18" s="113">
        <v>5.1999999999999998E-2</v>
      </c>
      <c r="J18" s="113">
        <v>0.108</v>
      </c>
      <c r="K18" s="113">
        <v>6.4000000000000001E-2</v>
      </c>
      <c r="L18" s="113">
        <v>4.8000000000000001E-2</v>
      </c>
      <c r="M18" s="113">
        <v>7.0999999999999994E-2</v>
      </c>
      <c r="N18" s="113">
        <v>9.2999999999999999E-2</v>
      </c>
      <c r="O18" s="113">
        <v>4.2000000000000003E-2</v>
      </c>
      <c r="P18" s="113">
        <v>7.0999999999999994E-2</v>
      </c>
      <c r="Q18" s="116" cm="1">
        <f t="array" ref="Q18">IF(COUNTA(B5:P5)=0,"",SUMPRODUCT(B5:P5,IFERROR(B18:P18,0)))</f>
        <v>6.7815E-2</v>
      </c>
      <c r="R18" s="113">
        <v>0.12640000000000001</v>
      </c>
      <c r="S18" s="115">
        <f t="shared" si="0"/>
        <v>-5.8585000000000012E-2</v>
      </c>
      <c r="T18" s="126">
        <f t="shared" si="1"/>
        <v>110.95944694117154</v>
      </c>
      <c r="U18" s="343">
        <f t="shared" si="5"/>
        <v>114.55732262939337</v>
      </c>
      <c r="W18" s="345">
        <f t="shared" si="2"/>
        <v>44136</v>
      </c>
      <c r="X18" s="344">
        <f t="shared" si="3"/>
        <v>110.95944694117154</v>
      </c>
      <c r="Y18" s="344">
        <f t="shared" si="4"/>
        <v>114.55732262939337</v>
      </c>
    </row>
    <row r="19" spans="1:25" ht="18" customHeight="1" x14ac:dyDescent="0.2">
      <c r="A19" s="121">
        <v>44166</v>
      </c>
      <c r="B19" s="113">
        <v>3.7999999999999999E-2</v>
      </c>
      <c r="C19" s="113">
        <v>4.2000000000000003E-2</v>
      </c>
      <c r="D19" s="113">
        <v>2.8000000000000001E-2</v>
      </c>
      <c r="E19" s="113">
        <v>6.4000000000000001E-2</v>
      </c>
      <c r="F19" s="113">
        <v>7.8E-2</v>
      </c>
      <c r="G19" s="113">
        <v>3.1E-2</v>
      </c>
      <c r="H19" s="113">
        <v>4.8000000000000001E-2</v>
      </c>
      <c r="I19" s="113">
        <v>5.1999999999999998E-2</v>
      </c>
      <c r="J19" s="113">
        <v>7.0999999999999994E-2</v>
      </c>
      <c r="K19" s="113">
        <v>5.3999999999999999E-2</v>
      </c>
      <c r="L19" s="113">
        <v>3.7999999999999999E-2</v>
      </c>
      <c r="M19" s="113">
        <v>5.3999999999999999E-2</v>
      </c>
      <c r="N19" s="113">
        <v>6.2E-2</v>
      </c>
      <c r="O19" s="113">
        <v>2.8000000000000001E-2</v>
      </c>
      <c r="P19" s="113">
        <v>4.8000000000000001E-2</v>
      </c>
      <c r="Q19" s="114" cm="1">
        <f t="array" ref="Q19">IF(COUNTA(B5:P5)=0,"",SUMPRODUCT(B5:P5,IFERROR(B19:P19,0)))</f>
        <v>4.9630000000000007E-2</v>
      </c>
      <c r="R19" s="113">
        <v>4.5199999999999997E-2</v>
      </c>
      <c r="S19" s="112">
        <f t="shared" si="0"/>
        <v>4.4300000000000103E-3</v>
      </c>
      <c r="T19" s="125">
        <f t="shared" si="1"/>
        <v>116.46636429286188</v>
      </c>
      <c r="U19" s="343">
        <f t="shared" si="5"/>
        <v>119.73531361224194</v>
      </c>
      <c r="W19" s="345">
        <f t="shared" si="2"/>
        <v>44166</v>
      </c>
      <c r="X19" s="344">
        <f t="shared" si="3"/>
        <v>116.46636429286188</v>
      </c>
      <c r="Y19" s="344">
        <f t="shared" si="4"/>
        <v>119.73531361224194</v>
      </c>
    </row>
    <row r="20" spans="1:25" ht="18" customHeight="1" x14ac:dyDescent="0.2">
      <c r="A20" s="122">
        <v>44197</v>
      </c>
      <c r="B20" s="113">
        <v>-2.8000000000000001E-2</v>
      </c>
      <c r="C20" s="113">
        <v>5.0999999999999997E-2</v>
      </c>
      <c r="D20" s="113">
        <v>-3.4000000000000002E-2</v>
      </c>
      <c r="E20" s="113">
        <v>6.2E-2</v>
      </c>
      <c r="F20" s="113">
        <v>-1.7999999999999999E-2</v>
      </c>
      <c r="G20" s="113">
        <v>6.4000000000000001E-2</v>
      </c>
      <c r="H20" s="113">
        <v>-1.2E-2</v>
      </c>
      <c r="I20" s="113">
        <v>3.7999999999999999E-2</v>
      </c>
      <c r="J20" s="113">
        <v>-4.2000000000000003E-2</v>
      </c>
      <c r="K20" s="113">
        <v>1.7999999999999999E-2</v>
      </c>
      <c r="L20" s="113">
        <v>-8.9999999999999993E-3</v>
      </c>
      <c r="M20" s="113">
        <v>2.8000000000000001E-2</v>
      </c>
      <c r="N20" s="113">
        <v>1.4E-2</v>
      </c>
      <c r="O20" s="113">
        <v>-1.7999999999999999E-2</v>
      </c>
      <c r="P20" s="113">
        <v>-2.4E-2</v>
      </c>
      <c r="Q20" s="116" cm="1">
        <f t="array" ref="Q20">IF(COUNTA(B5:P5)=0,"",SUMPRODUCT(B5:P5,IFERROR(B20:P20,0)))</f>
        <v>8.6399999999999984E-3</v>
      </c>
      <c r="R20" s="113">
        <v>-1.8E-3</v>
      </c>
      <c r="S20" s="115">
        <f t="shared" si="0"/>
        <v>1.0439999999999998E-2</v>
      </c>
      <c r="T20" s="126">
        <f t="shared" si="1"/>
        <v>117.4726336803522</v>
      </c>
      <c r="U20" s="343">
        <f t="shared" si="5"/>
        <v>119.5197900477399</v>
      </c>
      <c r="W20" s="345">
        <f t="shared" si="2"/>
        <v>44197</v>
      </c>
      <c r="X20" s="344">
        <f t="shared" si="3"/>
        <v>117.4726336803522</v>
      </c>
      <c r="Y20" s="344">
        <f t="shared" si="4"/>
        <v>119.5197900477399</v>
      </c>
    </row>
    <row r="21" spans="1:25" ht="18" customHeight="1" x14ac:dyDescent="0.2">
      <c r="A21" s="121">
        <v>44228</v>
      </c>
      <c r="B21" s="113">
        <v>4.2000000000000003E-2</v>
      </c>
      <c r="C21" s="113">
        <v>-2.8000000000000001E-2</v>
      </c>
      <c r="D21" s="113">
        <v>3.1E-2</v>
      </c>
      <c r="E21" s="113">
        <v>1.7999999999999999E-2</v>
      </c>
      <c r="F21" s="113">
        <v>2.4E-2</v>
      </c>
      <c r="G21" s="113">
        <v>-3.7999999999999999E-2</v>
      </c>
      <c r="H21" s="113">
        <v>-4.2000000000000003E-2</v>
      </c>
      <c r="I21" s="113">
        <v>-3.1E-2</v>
      </c>
      <c r="J21" s="113">
        <v>-6.8000000000000005E-2</v>
      </c>
      <c r="K21" s="113">
        <v>2.4E-2</v>
      </c>
      <c r="L21" s="113">
        <v>4.8000000000000001E-2</v>
      </c>
      <c r="M21" s="113">
        <v>1.2E-2</v>
      </c>
      <c r="N21" s="113">
        <v>5.8000000000000003E-2</v>
      </c>
      <c r="O21" s="113">
        <v>5.1999999999999998E-2</v>
      </c>
      <c r="P21" s="113">
        <v>-1.7999999999999999E-2</v>
      </c>
      <c r="Q21" s="114" cm="1">
        <f t="array" ref="Q21">IF(COUNTA(B5:P5)=0,"",SUMPRODUCT(B5:P5,IFERROR(B21:P21,0)))</f>
        <v>6.4450000000000011E-3</v>
      </c>
      <c r="R21" s="113">
        <v>2.7E-2</v>
      </c>
      <c r="S21" s="112">
        <f t="shared" si="0"/>
        <v>-2.0554999999999997E-2</v>
      </c>
      <c r="T21" s="125">
        <f t="shared" si="1"/>
        <v>118.22974480442208</v>
      </c>
      <c r="U21" s="343">
        <f t="shared" si="5"/>
        <v>122.74682437902887</v>
      </c>
      <c r="W21" s="345">
        <f t="shared" si="2"/>
        <v>44228</v>
      </c>
      <c r="X21" s="344">
        <f t="shared" si="3"/>
        <v>118.22974480442208</v>
      </c>
      <c r="Y21" s="344">
        <f t="shared" si="4"/>
        <v>122.74682437902887</v>
      </c>
    </row>
    <row r="22" spans="1:25" ht="18" customHeight="1" x14ac:dyDescent="0.2">
      <c r="A22" s="122">
        <v>44256</v>
      </c>
      <c r="B22" s="113">
        <v>5.0999999999999997E-2</v>
      </c>
      <c r="C22" s="113">
        <v>-8.4000000000000005E-2</v>
      </c>
      <c r="D22" s="113">
        <v>6.8000000000000005E-2</v>
      </c>
      <c r="E22" s="113">
        <v>-2.4E-2</v>
      </c>
      <c r="F22" s="113">
        <v>1.7999999999999999E-2</v>
      </c>
      <c r="G22" s="113">
        <v>-6.2E-2</v>
      </c>
      <c r="H22" s="113">
        <v>-5.8000000000000003E-2</v>
      </c>
      <c r="I22" s="113">
        <v>1.4E-2</v>
      </c>
      <c r="J22" s="113">
        <v>-9.1999999999999998E-2</v>
      </c>
      <c r="K22" s="113">
        <v>3.4000000000000002E-2</v>
      </c>
      <c r="L22" s="113">
        <v>6.2E-2</v>
      </c>
      <c r="M22" s="113">
        <v>-1.4E-2</v>
      </c>
      <c r="N22" s="113">
        <v>7.0999999999999994E-2</v>
      </c>
      <c r="O22" s="113">
        <v>8.4000000000000005E-2</v>
      </c>
      <c r="P22" s="113">
        <v>-1.2E-2</v>
      </c>
      <c r="Q22" s="116" cm="1">
        <f t="array" ref="Q22">IF(COUNTA(B5:P5)=0,"",SUMPRODUCT(B5:P5,IFERROR(B22:P22,0)))</f>
        <v>4.3300000000000005E-3</v>
      </c>
      <c r="R22" s="113">
        <v>3.0700000000000002E-2</v>
      </c>
      <c r="S22" s="115">
        <f t="shared" si="0"/>
        <v>-2.6370000000000001E-2</v>
      </c>
      <c r="T22" s="126">
        <f t="shared" si="1"/>
        <v>118.74167959942523</v>
      </c>
      <c r="U22" s="343">
        <f t="shared" si="5"/>
        <v>126.51515188746505</v>
      </c>
      <c r="W22" s="345">
        <f t="shared" si="2"/>
        <v>44256</v>
      </c>
      <c r="X22" s="344">
        <f t="shared" si="3"/>
        <v>118.74167959942523</v>
      </c>
      <c r="Y22" s="344">
        <f t="shared" si="4"/>
        <v>126.51515188746505</v>
      </c>
    </row>
    <row r="23" spans="1:25" ht="18" customHeight="1" x14ac:dyDescent="0.2">
      <c r="A23" s="121">
        <v>44287</v>
      </c>
      <c r="B23" s="113">
        <v>7.1999999999999995E-2</v>
      </c>
      <c r="C23" s="113">
        <v>8.4000000000000005E-2</v>
      </c>
      <c r="D23" s="113">
        <v>5.3999999999999999E-2</v>
      </c>
      <c r="E23" s="113">
        <v>8.2000000000000003E-2</v>
      </c>
      <c r="F23" s="113">
        <v>7.1999999999999995E-2</v>
      </c>
      <c r="G23" s="113">
        <v>4.8000000000000001E-2</v>
      </c>
      <c r="H23" s="113">
        <v>6.2E-2</v>
      </c>
      <c r="I23" s="113">
        <v>7.8E-2</v>
      </c>
      <c r="J23" s="113">
        <v>9.4E-2</v>
      </c>
      <c r="K23" s="113">
        <v>6.8000000000000005E-2</v>
      </c>
      <c r="L23" s="113">
        <v>5.3999999999999999E-2</v>
      </c>
      <c r="M23" s="113">
        <v>7.0999999999999994E-2</v>
      </c>
      <c r="N23" s="113">
        <v>6.8000000000000005E-2</v>
      </c>
      <c r="O23" s="113">
        <v>4.8000000000000001E-2</v>
      </c>
      <c r="P23" s="113">
        <v>8.4000000000000005E-2</v>
      </c>
      <c r="Q23" s="114" cm="1">
        <f t="array" ref="Q23">IF(COUNTA(B5:P5)=0,"",SUMPRODUCT(B5:P5,IFERROR(B23:P23,0)))</f>
        <v>6.9285000000000013E-2</v>
      </c>
      <c r="R23" s="113">
        <v>4.2999999999999997E-2</v>
      </c>
      <c r="S23" s="112">
        <f t="shared" si="0"/>
        <v>2.6285000000000017E-2</v>
      </c>
      <c r="T23" s="125">
        <f t="shared" si="1"/>
        <v>126.9686968704714</v>
      </c>
      <c r="U23" s="343">
        <f t="shared" si="5"/>
        <v>131.95530341862604</v>
      </c>
      <c r="W23" s="345">
        <f t="shared" si="2"/>
        <v>44287</v>
      </c>
      <c r="X23" s="344">
        <f t="shared" si="3"/>
        <v>126.9686968704714</v>
      </c>
      <c r="Y23" s="344">
        <f t="shared" si="4"/>
        <v>131.95530341862604</v>
      </c>
    </row>
    <row r="24" spans="1:25" ht="18" customHeight="1" x14ac:dyDescent="0.2">
      <c r="A24" s="122">
        <v>44317</v>
      </c>
      <c r="B24" s="113">
        <v>1.4E-2</v>
      </c>
      <c r="C24" s="113">
        <v>-4.8000000000000001E-2</v>
      </c>
      <c r="D24" s="113">
        <v>8.0000000000000002E-3</v>
      </c>
      <c r="E24" s="113">
        <v>4.2000000000000003E-2</v>
      </c>
      <c r="F24" s="113">
        <v>6.8000000000000005E-2</v>
      </c>
      <c r="G24" s="113">
        <v>3.4000000000000002E-2</v>
      </c>
      <c r="H24" s="113">
        <v>-1.7999999999999999E-2</v>
      </c>
      <c r="I24" s="113">
        <v>3.2000000000000001E-2</v>
      </c>
      <c r="J24" s="113">
        <v>-2.4E-2</v>
      </c>
      <c r="K24" s="113">
        <v>1.7999999999999999E-2</v>
      </c>
      <c r="L24" s="113">
        <v>2.8000000000000001E-2</v>
      </c>
      <c r="M24" s="113">
        <v>1.4E-2</v>
      </c>
      <c r="N24" s="113">
        <v>5.8000000000000003E-2</v>
      </c>
      <c r="O24" s="113">
        <v>2.1000000000000001E-2</v>
      </c>
      <c r="P24" s="113">
        <v>1.2E-2</v>
      </c>
      <c r="Q24" s="116" cm="1">
        <f t="array" ref="Q24">IF(COUNTA(B5:P5)=0,"",SUMPRODUCT(B5:P5,IFERROR(B24:P24,0)))</f>
        <v>2.0719999999999999E-2</v>
      </c>
      <c r="R24" s="113">
        <v>1.46E-2</v>
      </c>
      <c r="S24" s="115">
        <f t="shared" si="0"/>
        <v>6.1199999999999987E-3</v>
      </c>
      <c r="T24" s="126">
        <f t="shared" si="1"/>
        <v>129.59948826962759</v>
      </c>
      <c r="U24" s="343">
        <f t="shared" si="5"/>
        <v>133.88185084853797</v>
      </c>
      <c r="W24" s="345">
        <f t="shared" si="2"/>
        <v>44317</v>
      </c>
      <c r="X24" s="344">
        <f t="shared" si="3"/>
        <v>129.59948826962759</v>
      </c>
      <c r="Y24" s="344">
        <f t="shared" si="4"/>
        <v>133.88185084853797</v>
      </c>
    </row>
    <row r="25" spans="1:25" ht="18" customHeight="1" x14ac:dyDescent="0.2">
      <c r="A25" s="121">
        <v>44348</v>
      </c>
      <c r="B25" s="113">
        <v>4.8000000000000001E-2</v>
      </c>
      <c r="C25" s="113">
        <v>6.2E-2</v>
      </c>
      <c r="D25" s="113">
        <v>3.1E-2</v>
      </c>
      <c r="E25" s="113">
        <v>5.3999999999999999E-2</v>
      </c>
      <c r="F25" s="113">
        <v>3.2000000000000001E-2</v>
      </c>
      <c r="G25" s="113">
        <v>6.8000000000000005E-2</v>
      </c>
      <c r="H25" s="113">
        <v>4.2000000000000003E-2</v>
      </c>
      <c r="I25" s="113">
        <v>3.7999999999999999E-2</v>
      </c>
      <c r="J25" s="113">
        <v>8.4000000000000005E-2</v>
      </c>
      <c r="K25" s="113">
        <v>5.8000000000000003E-2</v>
      </c>
      <c r="L25" s="113">
        <v>3.1E-2</v>
      </c>
      <c r="M25" s="113">
        <v>4.2000000000000003E-2</v>
      </c>
      <c r="N25" s="113">
        <v>2.4E-2</v>
      </c>
      <c r="O25" s="113">
        <v>3.7999999999999999E-2</v>
      </c>
      <c r="P25" s="113">
        <v>2.8000000000000001E-2</v>
      </c>
      <c r="Q25" s="114" cm="1">
        <f t="array" ref="Q25">IF(COUNTA(B5:P5)=0,"",SUMPRODUCT(B5:P5,IFERROR(B25:P25,0)))</f>
        <v>4.459500000000001E-2</v>
      </c>
      <c r="R25" s="113">
        <v>1.7500000000000002E-2</v>
      </c>
      <c r="S25" s="112">
        <f t="shared" si="0"/>
        <v>2.7095000000000008E-2</v>
      </c>
      <c r="T25" s="125">
        <f t="shared" si="1"/>
        <v>135.37897744901161</v>
      </c>
      <c r="U25" s="343">
        <f t="shared" si="5"/>
        <v>136.2247832383874</v>
      </c>
      <c r="W25" s="345">
        <f t="shared" si="2"/>
        <v>44348</v>
      </c>
      <c r="X25" s="344">
        <f t="shared" si="3"/>
        <v>135.37897744901161</v>
      </c>
      <c r="Y25" s="344">
        <f t="shared" si="4"/>
        <v>136.2247832383874</v>
      </c>
    </row>
    <row r="26" spans="1:25" ht="18" customHeight="1" x14ac:dyDescent="0.2">
      <c r="A26" s="122">
        <v>44378</v>
      </c>
      <c r="B26" s="113">
        <v>2.8000000000000001E-2</v>
      </c>
      <c r="C26" s="113">
        <v>5.8000000000000003E-2</v>
      </c>
      <c r="D26" s="113">
        <v>1.4E-2</v>
      </c>
      <c r="E26" s="113">
        <v>6.4000000000000001E-2</v>
      </c>
      <c r="F26" s="113">
        <v>4.2000000000000003E-2</v>
      </c>
      <c r="G26" s="113">
        <v>5.1999999999999998E-2</v>
      </c>
      <c r="H26" s="113">
        <v>4.8000000000000001E-2</v>
      </c>
      <c r="I26" s="113">
        <v>6.4000000000000001E-2</v>
      </c>
      <c r="J26" s="113">
        <v>3.7999999999999999E-2</v>
      </c>
      <c r="K26" s="113">
        <v>6.4000000000000001E-2</v>
      </c>
      <c r="L26" s="113">
        <v>2.8000000000000001E-2</v>
      </c>
      <c r="M26" s="113">
        <v>3.4000000000000002E-2</v>
      </c>
      <c r="N26" s="113">
        <v>3.1E-2</v>
      </c>
      <c r="O26" s="113">
        <v>2.4E-2</v>
      </c>
      <c r="P26" s="113">
        <v>3.7999999999999999E-2</v>
      </c>
      <c r="Q26" s="116" cm="1">
        <f t="array" ref="Q26">IF(COUNTA(B5:P5)=0,"",SUMPRODUCT(B5:P5,IFERROR(B26:P26,0)))</f>
        <v>4.2389999999999997E-2</v>
      </c>
      <c r="R26" s="113">
        <v>1.54E-2</v>
      </c>
      <c r="S26" s="115">
        <f t="shared" si="0"/>
        <v>2.6989999999999997E-2</v>
      </c>
      <c r="T26" s="126">
        <f t="shared" si="1"/>
        <v>141.11769230307522</v>
      </c>
      <c r="U26" s="343">
        <f t="shared" si="5"/>
        <v>138.32264490025858</v>
      </c>
      <c r="W26" s="345">
        <f t="shared" si="2"/>
        <v>44378</v>
      </c>
      <c r="X26" s="344">
        <f t="shared" si="3"/>
        <v>141.11769230307522</v>
      </c>
      <c r="Y26" s="344">
        <f t="shared" si="4"/>
        <v>138.32264490025858</v>
      </c>
    </row>
    <row r="27" spans="1:25" ht="18" customHeight="1" x14ac:dyDescent="0.2">
      <c r="A27" s="121">
        <v>44409</v>
      </c>
      <c r="B27" s="113">
        <v>4.2000000000000003E-2</v>
      </c>
      <c r="C27" s="113">
        <v>1.7999999999999999E-2</v>
      </c>
      <c r="D27" s="113">
        <v>3.7999999999999999E-2</v>
      </c>
      <c r="E27" s="113">
        <v>4.8000000000000001E-2</v>
      </c>
      <c r="F27" s="113">
        <v>6.4000000000000001E-2</v>
      </c>
      <c r="G27" s="113">
        <v>3.7999999999999999E-2</v>
      </c>
      <c r="H27" s="113">
        <v>5.3999999999999999E-2</v>
      </c>
      <c r="I27" s="113">
        <v>2.8000000000000001E-2</v>
      </c>
      <c r="J27" s="113">
        <v>6.2E-2</v>
      </c>
      <c r="K27" s="113">
        <v>4.8000000000000001E-2</v>
      </c>
      <c r="L27" s="113">
        <v>3.2000000000000001E-2</v>
      </c>
      <c r="M27" s="113">
        <v>2.8000000000000001E-2</v>
      </c>
      <c r="N27" s="113">
        <v>5.3999999999999999E-2</v>
      </c>
      <c r="O27" s="113">
        <v>2.8000000000000001E-2</v>
      </c>
      <c r="P27" s="113">
        <v>2.1000000000000001E-2</v>
      </c>
      <c r="Q27" s="114" cm="1">
        <f t="array" ref="Q27">IF(COUNTA(B5:P5)=0,"",SUMPRODUCT(B5:P5,IFERROR(B27:P27,0)))</f>
        <v>4.0364999999999998E-2</v>
      </c>
      <c r="R27" s="113">
        <v>2.4E-2</v>
      </c>
      <c r="S27" s="112">
        <f t="shared" si="0"/>
        <v>1.6364999999999998E-2</v>
      </c>
      <c r="T27" s="125">
        <f t="shared" si="1"/>
        <v>146.81390795288885</v>
      </c>
      <c r="U27" s="343">
        <f t="shared" si="5"/>
        <v>141.64238837786479</v>
      </c>
      <c r="W27" s="345">
        <f t="shared" si="2"/>
        <v>44409</v>
      </c>
      <c r="X27" s="344">
        <f t="shared" si="3"/>
        <v>146.81390795288885</v>
      </c>
      <c r="Y27" s="344">
        <f t="shared" si="4"/>
        <v>141.64238837786479</v>
      </c>
    </row>
    <row r="28" spans="1:25" ht="18" customHeight="1" x14ac:dyDescent="0.2">
      <c r="A28" s="122">
        <v>44440</v>
      </c>
      <c r="B28" s="113">
        <v>-1.7999999999999999E-2</v>
      </c>
      <c r="C28" s="113">
        <v>-4.2000000000000003E-2</v>
      </c>
      <c r="D28" s="113">
        <v>-2.4E-2</v>
      </c>
      <c r="E28" s="113">
        <v>-6.4000000000000001E-2</v>
      </c>
      <c r="F28" s="113">
        <v>-2.8000000000000001E-2</v>
      </c>
      <c r="G28" s="113">
        <v>-3.7999999999999999E-2</v>
      </c>
      <c r="H28" s="113">
        <v>-6.2E-2</v>
      </c>
      <c r="I28" s="113">
        <v>-1.7999999999999999E-2</v>
      </c>
      <c r="J28" s="113">
        <v>-6.8000000000000005E-2</v>
      </c>
      <c r="K28" s="113">
        <v>-3.7999999999999999E-2</v>
      </c>
      <c r="L28" s="113">
        <v>-1.2E-2</v>
      </c>
      <c r="M28" s="113">
        <v>-4.3999999999999997E-2</v>
      </c>
      <c r="N28" s="113">
        <v>-1.7999999999999999E-2</v>
      </c>
      <c r="O28" s="113">
        <v>-2.1000000000000001E-2</v>
      </c>
      <c r="P28" s="113">
        <v>-2.8000000000000001E-2</v>
      </c>
      <c r="Q28" s="116" cm="1">
        <f t="array" ref="Q28">IF(COUNTA(B5:P5)=0,"",SUMPRODUCT(B5:P5,IFERROR(B28:P28,0)))</f>
        <v>-3.4180000000000009E-2</v>
      </c>
      <c r="R28" s="113">
        <v>-4.2700000000000002E-2</v>
      </c>
      <c r="S28" s="115">
        <f t="shared" si="0"/>
        <v>8.5199999999999929E-3</v>
      </c>
      <c r="T28" s="126">
        <f t="shared" si="1"/>
        <v>141.79580857905913</v>
      </c>
      <c r="U28" s="343">
        <f t="shared" si="5"/>
        <v>135.59425839412998</v>
      </c>
      <c r="W28" s="345">
        <f t="shared" si="2"/>
        <v>44440</v>
      </c>
      <c r="X28" s="344">
        <f t="shared" si="3"/>
        <v>141.79580857905913</v>
      </c>
      <c r="Y28" s="344">
        <f t="shared" si="4"/>
        <v>135.59425839412998</v>
      </c>
    </row>
    <row r="29" spans="1:25" ht="18" customHeight="1" x14ac:dyDescent="0.2">
      <c r="A29" s="121">
        <v>44470</v>
      </c>
      <c r="B29" s="113">
        <v>6.8000000000000005E-2</v>
      </c>
      <c r="C29" s="113">
        <v>3.7999999999999999E-2</v>
      </c>
      <c r="D29" s="113">
        <v>7.1999999999999995E-2</v>
      </c>
      <c r="E29" s="113">
        <v>5.3999999999999999E-2</v>
      </c>
      <c r="F29" s="113">
        <v>7.8E-2</v>
      </c>
      <c r="G29" s="113">
        <v>4.3999999999999997E-2</v>
      </c>
      <c r="H29" s="113">
        <v>1.7999999999999999E-2</v>
      </c>
      <c r="I29" s="113">
        <v>8.2000000000000003E-2</v>
      </c>
      <c r="J29" s="113">
        <v>2.8000000000000001E-2</v>
      </c>
      <c r="K29" s="113">
        <v>8.4000000000000005E-2</v>
      </c>
      <c r="L29" s="113">
        <v>5.1999999999999998E-2</v>
      </c>
      <c r="M29" s="113">
        <v>6.8000000000000005E-2</v>
      </c>
      <c r="N29" s="113">
        <v>8.2000000000000003E-2</v>
      </c>
      <c r="O29" s="113">
        <v>5.3999999999999999E-2</v>
      </c>
      <c r="P29" s="113">
        <v>4.8000000000000001E-2</v>
      </c>
      <c r="Q29" s="114" cm="1">
        <f t="array" ref="Q29">IF(COUNTA(B5:P5)=0,"",SUMPRODUCT(B5:P5,IFERROR(B29:P29,0)))</f>
        <v>5.9230000000000005E-2</v>
      </c>
      <c r="R29" s="113">
        <v>5.3699999999999998E-2</v>
      </c>
      <c r="S29" s="112">
        <f t="shared" si="0"/>
        <v>5.5300000000000071E-3</v>
      </c>
      <c r="T29" s="125">
        <f t="shared" si="1"/>
        <v>150.19437432119679</v>
      </c>
      <c r="U29" s="343">
        <f t="shared" si="5"/>
        <v>142.87567006989477</v>
      </c>
      <c r="W29" s="345">
        <f t="shared" si="2"/>
        <v>44470</v>
      </c>
      <c r="X29" s="344">
        <f t="shared" si="3"/>
        <v>150.19437432119679</v>
      </c>
      <c r="Y29" s="344">
        <f t="shared" si="4"/>
        <v>142.87567006989477</v>
      </c>
    </row>
    <row r="30" spans="1:25" ht="18" customHeight="1" x14ac:dyDescent="0.2">
      <c r="A30" s="122">
        <v>44501</v>
      </c>
      <c r="B30" s="113">
        <v>-2.8000000000000001E-2</v>
      </c>
      <c r="C30" s="113">
        <v>4.2000000000000003E-2</v>
      </c>
      <c r="D30" s="113">
        <v>-3.7999999999999999E-2</v>
      </c>
      <c r="E30" s="113">
        <v>-1.4E-2</v>
      </c>
      <c r="F30" s="113">
        <v>-4.2000000000000003E-2</v>
      </c>
      <c r="G30" s="113">
        <v>1.7999999999999999E-2</v>
      </c>
      <c r="H30" s="113">
        <v>-9.4E-2</v>
      </c>
      <c r="I30" s="113">
        <v>-2.8000000000000001E-2</v>
      </c>
      <c r="J30" s="113">
        <v>-0.124</v>
      </c>
      <c r="K30" s="113">
        <v>-1.7999999999999999E-2</v>
      </c>
      <c r="L30" s="113">
        <v>-2.4E-2</v>
      </c>
      <c r="M30" s="113">
        <v>-4.8000000000000001E-2</v>
      </c>
      <c r="N30" s="113">
        <v>-1.2E-2</v>
      </c>
      <c r="O30" s="113">
        <v>-1.7999999999999999E-2</v>
      </c>
      <c r="P30" s="113">
        <v>-3.2000000000000001E-2</v>
      </c>
      <c r="Q30" s="116" cm="1">
        <f t="array" ref="Q30">IF(COUNTA(B5:P5)=0,"",SUMPRODUCT(B5:P5,IFERROR(B30:P30,0)))</f>
        <v>-2.836000000000001E-2</v>
      </c>
      <c r="R30" s="113">
        <v>-2.1600000000000001E-2</v>
      </c>
      <c r="S30" s="115">
        <f t="shared" si="0"/>
        <v>-6.7600000000000091E-3</v>
      </c>
      <c r="T30" s="126">
        <f t="shared" si="1"/>
        <v>145.93486186544763</v>
      </c>
      <c r="U30" s="343">
        <f t="shared" si="5"/>
        <v>139.78955559638504</v>
      </c>
      <c r="W30" s="345">
        <f t="shared" si="2"/>
        <v>44501</v>
      </c>
      <c r="X30" s="344">
        <f t="shared" si="3"/>
        <v>145.93486186544763</v>
      </c>
      <c r="Y30" s="344">
        <f t="shared" si="4"/>
        <v>139.78955559638504</v>
      </c>
    </row>
    <row r="31" spans="1:25" ht="18" customHeight="1" x14ac:dyDescent="0.2">
      <c r="A31" s="121">
        <v>44531</v>
      </c>
      <c r="B31" s="113">
        <v>6.4000000000000001E-2</v>
      </c>
      <c r="C31" s="113">
        <v>1.7999999999999999E-2</v>
      </c>
      <c r="D31" s="113">
        <v>5.3999999999999999E-2</v>
      </c>
      <c r="E31" s="113">
        <v>4.8000000000000001E-2</v>
      </c>
      <c r="F31" s="113">
        <v>8.2000000000000003E-2</v>
      </c>
      <c r="G31" s="113">
        <v>3.7999999999999999E-2</v>
      </c>
      <c r="H31" s="113">
        <v>2.8000000000000001E-2</v>
      </c>
      <c r="I31" s="113">
        <v>6.2E-2</v>
      </c>
      <c r="J31" s="113">
        <v>1.4E-2</v>
      </c>
      <c r="K31" s="113">
        <v>6.8000000000000005E-2</v>
      </c>
      <c r="L31" s="113">
        <v>5.3999999999999999E-2</v>
      </c>
      <c r="M31" s="113">
        <v>3.7999999999999999E-2</v>
      </c>
      <c r="N31" s="113">
        <v>7.8E-2</v>
      </c>
      <c r="O31" s="113">
        <v>4.8000000000000001E-2</v>
      </c>
      <c r="P31" s="113">
        <v>2.8000000000000001E-2</v>
      </c>
      <c r="Q31" s="114" cm="1">
        <f t="array" ref="Q31">IF(COUNTA(B5:P5)=0,"",SUMPRODUCT(B5:P5,IFERROR(B31:P31,0)))</f>
        <v>4.9689999999999998E-2</v>
      </c>
      <c r="R31" s="113">
        <v>4.1700000000000001E-2</v>
      </c>
      <c r="S31" s="112">
        <f t="shared" si="0"/>
        <v>7.9899999999999971E-3</v>
      </c>
      <c r="T31" s="125">
        <f t="shared" si="1"/>
        <v>153.18636515154174</v>
      </c>
      <c r="U31" s="343">
        <f t="shared" si="5"/>
        <v>145.6187800647543</v>
      </c>
      <c r="W31" s="345">
        <f t="shared" si="2"/>
        <v>44531</v>
      </c>
      <c r="X31" s="344">
        <f t="shared" si="3"/>
        <v>153.18636515154174</v>
      </c>
      <c r="Y31" s="344">
        <f t="shared" si="4"/>
        <v>145.6187800647543</v>
      </c>
    </row>
    <row r="32" spans="1:25" ht="18" customHeight="1" x14ac:dyDescent="0.2">
      <c r="A32" s="122">
        <v>44562</v>
      </c>
      <c r="B32" s="113">
        <v>-8.7999999999999995E-2</v>
      </c>
      <c r="C32" s="113">
        <v>-5.3999999999999999E-2</v>
      </c>
      <c r="D32" s="113">
        <v>-7.1999999999999995E-2</v>
      </c>
      <c r="E32" s="113">
        <v>-0.124</v>
      </c>
      <c r="F32" s="113">
        <v>-4.8000000000000001E-2</v>
      </c>
      <c r="G32" s="113">
        <v>-3.4000000000000002E-2</v>
      </c>
      <c r="H32" s="113">
        <v>-0.14799999999999999</v>
      </c>
      <c r="I32" s="113">
        <v>-6.4000000000000001E-2</v>
      </c>
      <c r="J32" s="113">
        <v>-0.182</v>
      </c>
      <c r="K32" s="113">
        <v>-8.2000000000000003E-2</v>
      </c>
      <c r="L32" s="113">
        <v>-4.8000000000000001E-2</v>
      </c>
      <c r="M32" s="113">
        <v>-0.10199999999999999</v>
      </c>
      <c r="N32" s="113">
        <v>-3.4000000000000002E-2</v>
      </c>
      <c r="O32" s="113">
        <v>-2.8000000000000001E-2</v>
      </c>
      <c r="P32" s="113">
        <v>-6.4000000000000001E-2</v>
      </c>
      <c r="Q32" s="116" cm="1">
        <f t="array" ref="Q32">IF(COUNTA(B5:P5)=0,"",SUMPRODUCT(B5:P5,IFERROR(B32:P32,0)))</f>
        <v>-7.5810000000000016E-2</v>
      </c>
      <c r="R32" s="113">
        <v>-5.8900000000000001E-2</v>
      </c>
      <c r="S32" s="115">
        <f t="shared" si="0"/>
        <v>-1.6910000000000015E-2</v>
      </c>
      <c r="T32" s="126">
        <f t="shared" si="1"/>
        <v>141.57330680940336</v>
      </c>
      <c r="U32" s="343">
        <f t="shared" si="5"/>
        <v>137.04183391894028</v>
      </c>
      <c r="W32" s="345">
        <f t="shared" si="2"/>
        <v>44562</v>
      </c>
      <c r="X32" s="344">
        <f t="shared" si="3"/>
        <v>141.57330680940336</v>
      </c>
      <c r="Y32" s="344">
        <f t="shared" si="4"/>
        <v>137.04183391894028</v>
      </c>
    </row>
    <row r="33" spans="1:25" ht="18" customHeight="1" x14ac:dyDescent="0.2">
      <c r="A33" s="121">
        <v>44593</v>
      </c>
      <c r="B33" s="113">
        <v>-3.7999999999999999E-2</v>
      </c>
      <c r="C33" s="113">
        <v>-1.2E-2</v>
      </c>
      <c r="D33" s="113">
        <v>-2.4E-2</v>
      </c>
      <c r="E33" s="113">
        <v>-2.8000000000000001E-2</v>
      </c>
      <c r="F33" s="113">
        <v>-1.7999999999999999E-2</v>
      </c>
      <c r="G33" s="113">
        <v>-4.2000000000000003E-2</v>
      </c>
      <c r="H33" s="113">
        <v>-4.8000000000000001E-2</v>
      </c>
      <c r="I33" s="113">
        <v>-1.7999999999999999E-2</v>
      </c>
      <c r="J33" s="113">
        <v>-5.3999999999999999E-2</v>
      </c>
      <c r="K33" s="113">
        <v>-2.4E-2</v>
      </c>
      <c r="L33" s="113">
        <v>-1.4E-2</v>
      </c>
      <c r="M33" s="113">
        <v>-3.7999999999999999E-2</v>
      </c>
      <c r="N33" s="113">
        <v>1.2E-2</v>
      </c>
      <c r="O33" s="113">
        <v>-1.4E-2</v>
      </c>
      <c r="P33" s="113">
        <v>-2.4E-2</v>
      </c>
      <c r="Q33" s="114" cm="1">
        <f t="array" ref="Q33">IF(COUNTA(B5:P5)=0,"",SUMPRODUCT(B5:P5,IFERROR(B33:P33,0)))</f>
        <v>-2.5059999999999999E-2</v>
      </c>
      <c r="R33" s="113">
        <v>-2.7900000000000001E-2</v>
      </c>
      <c r="S33" s="112">
        <f t="shared" si="0"/>
        <v>2.8400000000000022E-3</v>
      </c>
      <c r="T33" s="125">
        <f t="shared" si="1"/>
        <v>138.02547974075972</v>
      </c>
      <c r="U33" s="343">
        <f t="shared" si="5"/>
        <v>133.21836675260184</v>
      </c>
      <c r="W33" s="345">
        <f t="shared" si="2"/>
        <v>44593</v>
      </c>
      <c r="X33" s="344">
        <f t="shared" si="3"/>
        <v>138.02547974075972</v>
      </c>
      <c r="Y33" s="344">
        <f t="shared" si="4"/>
        <v>133.21836675260184</v>
      </c>
    </row>
    <row r="34" spans="1:25" ht="18" customHeight="1" x14ac:dyDescent="0.2">
      <c r="A34" s="122">
        <v>44621</v>
      </c>
      <c r="B34" s="113">
        <v>5.3999999999999999E-2</v>
      </c>
      <c r="C34" s="113">
        <v>2.8000000000000001E-2</v>
      </c>
      <c r="D34" s="113">
        <v>4.8000000000000001E-2</v>
      </c>
      <c r="E34" s="113">
        <v>3.7999999999999999E-2</v>
      </c>
      <c r="F34" s="113">
        <v>2.4E-2</v>
      </c>
      <c r="G34" s="113">
        <v>-2.8000000000000001E-2</v>
      </c>
      <c r="H34" s="113">
        <v>6.2E-2</v>
      </c>
      <c r="I34" s="113">
        <v>4.8000000000000001E-2</v>
      </c>
      <c r="J34" s="113">
        <v>3.7999999999999999E-2</v>
      </c>
      <c r="K34" s="113">
        <v>5.3999999999999999E-2</v>
      </c>
      <c r="L34" s="113">
        <v>3.7999999999999999E-2</v>
      </c>
      <c r="M34" s="113">
        <v>4.8000000000000001E-2</v>
      </c>
      <c r="N34" s="113">
        <v>4.8000000000000001E-2</v>
      </c>
      <c r="O34" s="113">
        <v>5.1999999999999998E-2</v>
      </c>
      <c r="P34" s="113">
        <v>3.1E-2</v>
      </c>
      <c r="Q34" s="116" cm="1">
        <f t="array" ref="Q34">IF(COUNTA(B5:P5)=0,"",SUMPRODUCT(B5:P5,IFERROR(B34:P34,0)))</f>
        <v>3.7215000000000005E-2</v>
      </c>
      <c r="R34" s="113">
        <v>2.35E-2</v>
      </c>
      <c r="S34" s="115">
        <f t="shared" si="0"/>
        <v>1.3715000000000005E-2</v>
      </c>
      <c r="T34" s="126">
        <f t="shared" si="1"/>
        <v>143.1620979693121</v>
      </c>
      <c r="U34" s="343">
        <f t="shared" si="5"/>
        <v>136.34899837128799</v>
      </c>
      <c r="W34" s="345">
        <f t="shared" si="2"/>
        <v>44621</v>
      </c>
      <c r="X34" s="344">
        <f t="shared" si="3"/>
        <v>143.1620979693121</v>
      </c>
      <c r="Y34" s="344">
        <f t="shared" si="4"/>
        <v>136.34899837128799</v>
      </c>
    </row>
    <row r="35" spans="1:25" ht="18" customHeight="1" x14ac:dyDescent="0.2">
      <c r="A35" s="121">
        <v>44652</v>
      </c>
      <c r="B35" s="113">
        <v>-7.1999999999999995E-2</v>
      </c>
      <c r="C35" s="113">
        <v>-0.104</v>
      </c>
      <c r="D35" s="113">
        <v>-6.8000000000000005E-2</v>
      </c>
      <c r="E35" s="113">
        <v>-9.8000000000000004E-2</v>
      </c>
      <c r="F35" s="113">
        <v>-5.3999999999999999E-2</v>
      </c>
      <c r="G35" s="113">
        <v>-6.2E-2</v>
      </c>
      <c r="H35" s="113">
        <v>-0.14799999999999999</v>
      </c>
      <c r="I35" s="113">
        <v>-0.10199999999999999</v>
      </c>
      <c r="J35" s="113">
        <v>-0.214</v>
      </c>
      <c r="K35" s="113">
        <v>-9.4E-2</v>
      </c>
      <c r="L35" s="113">
        <v>-4.8000000000000001E-2</v>
      </c>
      <c r="M35" s="113">
        <v>-8.2000000000000003E-2</v>
      </c>
      <c r="N35" s="113">
        <v>-3.7999999999999999E-2</v>
      </c>
      <c r="O35" s="113">
        <v>-6.2E-2</v>
      </c>
      <c r="P35" s="113">
        <v>-8.4000000000000005E-2</v>
      </c>
      <c r="Q35" s="114" cm="1">
        <f t="array" ref="Q35">IF(COUNTA(B5:P5)=0,"",SUMPRODUCT(B5:P5,IFERROR(B35:P35,0)))</f>
        <v>-8.5190000000000016E-2</v>
      </c>
      <c r="R35" s="113">
        <v>-8.3599999999999994E-2</v>
      </c>
      <c r="S35" s="112">
        <f t="shared" si="0"/>
        <v>-1.590000000000022E-3</v>
      </c>
      <c r="T35" s="125">
        <f t="shared" si="1"/>
        <v>130.96611884330639</v>
      </c>
      <c r="U35" s="343">
        <f t="shared" si="5"/>
        <v>124.95022210744831</v>
      </c>
      <c r="W35" s="345">
        <f t="shared" si="2"/>
        <v>44652</v>
      </c>
      <c r="X35" s="344">
        <f t="shared" si="3"/>
        <v>130.96611884330639</v>
      </c>
      <c r="Y35" s="344">
        <f t="shared" si="4"/>
        <v>124.95022210744831</v>
      </c>
    </row>
    <row r="36" spans="1:25" ht="18" customHeight="1" x14ac:dyDescent="0.2">
      <c r="A36" s="122">
        <v>44682</v>
      </c>
      <c r="B36" s="113">
        <v>-1.4E-2</v>
      </c>
      <c r="C36" s="113">
        <v>-4.8000000000000001E-2</v>
      </c>
      <c r="D36" s="113">
        <v>-8.0000000000000002E-3</v>
      </c>
      <c r="E36" s="113">
        <v>-6.2E-2</v>
      </c>
      <c r="F36" s="113">
        <v>-2.8000000000000001E-2</v>
      </c>
      <c r="G36" s="113">
        <v>4.2000000000000003E-2</v>
      </c>
      <c r="H36" s="113">
        <v>-3.7999999999999999E-2</v>
      </c>
      <c r="I36" s="113">
        <v>-2.8000000000000001E-2</v>
      </c>
      <c r="J36" s="113">
        <v>-4.8000000000000001E-2</v>
      </c>
      <c r="K36" s="113">
        <v>-1.4E-2</v>
      </c>
      <c r="L36" s="113">
        <v>-8.0000000000000002E-3</v>
      </c>
      <c r="M36" s="113">
        <v>-4.2000000000000003E-2</v>
      </c>
      <c r="N36" s="113">
        <v>1.2E-2</v>
      </c>
      <c r="O36" s="113">
        <v>8.0000000000000002E-3</v>
      </c>
      <c r="P36" s="113">
        <v>-3.7999999999999999E-2</v>
      </c>
      <c r="Q36" s="116" cm="1">
        <f t="array" ref="Q36">IF(COUNTA(B5:P5)=0,"",SUMPRODUCT(B5:P5,IFERROR(B36:P36,0)))</f>
        <v>-2.0619999999999999E-2</v>
      </c>
      <c r="R36" s="113">
        <v>-1.2500000000000001E-2</v>
      </c>
      <c r="S36" s="115">
        <f t="shared" si="0"/>
        <v>-8.1199999999999987E-3</v>
      </c>
      <c r="T36" s="126">
        <f t="shared" si="1"/>
        <v>128.26559747275741</v>
      </c>
      <c r="U36" s="343">
        <f t="shared" si="5"/>
        <v>123.38834433110522</v>
      </c>
      <c r="W36" s="345">
        <f t="shared" si="2"/>
        <v>44682</v>
      </c>
      <c r="X36" s="344">
        <f t="shared" si="3"/>
        <v>128.26559747275741</v>
      </c>
      <c r="Y36" s="344">
        <f t="shared" si="4"/>
        <v>123.38834433110522</v>
      </c>
    </row>
    <row r="37" spans="1:25" ht="18" customHeight="1" x14ac:dyDescent="0.2">
      <c r="A37" s="121">
        <v>44713</v>
      </c>
      <c r="B37" s="113">
        <v>-5.3999999999999999E-2</v>
      </c>
      <c r="C37" s="113">
        <v>-6.2E-2</v>
      </c>
      <c r="D37" s="113">
        <v>-4.8000000000000001E-2</v>
      </c>
      <c r="E37" s="113">
        <v>-8.2000000000000003E-2</v>
      </c>
      <c r="F37" s="113">
        <v>-6.8000000000000005E-2</v>
      </c>
      <c r="G37" s="113">
        <v>-9.4E-2</v>
      </c>
      <c r="H37" s="113">
        <v>-6.2E-2</v>
      </c>
      <c r="I37" s="113">
        <v>-7.8E-2</v>
      </c>
      <c r="J37" s="113">
        <v>-9.8000000000000004E-2</v>
      </c>
      <c r="K37" s="113">
        <v>-6.4000000000000001E-2</v>
      </c>
      <c r="L37" s="113">
        <v>-5.1999999999999998E-2</v>
      </c>
      <c r="M37" s="113">
        <v>-6.4000000000000001E-2</v>
      </c>
      <c r="N37" s="113">
        <v>-4.8000000000000001E-2</v>
      </c>
      <c r="O37" s="113">
        <v>-4.8000000000000001E-2</v>
      </c>
      <c r="P37" s="113">
        <v>-7.8E-2</v>
      </c>
      <c r="Q37" s="114" cm="1">
        <f t="array" ref="Q37">IF(COUNTA(B5:P5)=0,"",SUMPRODUCT(B5:P5,IFERROR(B37:P37,0)))</f>
        <v>-6.727000000000001E-2</v>
      </c>
      <c r="R37" s="113">
        <v>-8.3400000000000002E-2</v>
      </c>
      <c r="S37" s="112">
        <f t="shared" si="0"/>
        <v>1.6129999999999992E-2</v>
      </c>
      <c r="T37" s="125">
        <f t="shared" si="1"/>
        <v>119.63717073076501</v>
      </c>
      <c r="U37" s="343">
        <f t="shared" si="5"/>
        <v>113.09775641389103</v>
      </c>
      <c r="W37" s="345">
        <f t="shared" si="2"/>
        <v>44713</v>
      </c>
      <c r="X37" s="344">
        <f t="shared" si="3"/>
        <v>119.63717073076501</v>
      </c>
      <c r="Y37" s="344">
        <f t="shared" si="4"/>
        <v>113.09775641389103</v>
      </c>
    </row>
    <row r="38" spans="1:25" ht="18" customHeight="1" x14ac:dyDescent="0.2">
      <c r="A38" s="122">
        <v>44743</v>
      </c>
      <c r="B38" s="113">
        <v>9.1999999999999998E-2</v>
      </c>
      <c r="C38" s="113">
        <v>6.2E-2</v>
      </c>
      <c r="D38" s="113">
        <v>8.4000000000000005E-2</v>
      </c>
      <c r="E38" s="113">
        <v>7.8E-2</v>
      </c>
      <c r="F38" s="113">
        <v>4.8000000000000001E-2</v>
      </c>
      <c r="G38" s="113">
        <v>0.104</v>
      </c>
      <c r="H38" s="113">
        <v>4.8000000000000001E-2</v>
      </c>
      <c r="I38" s="113">
        <v>7.1999999999999995E-2</v>
      </c>
      <c r="J38" s="113">
        <v>0.124</v>
      </c>
      <c r="K38" s="113">
        <v>8.4000000000000005E-2</v>
      </c>
      <c r="L38" s="113">
        <v>6.2E-2</v>
      </c>
      <c r="M38" s="113">
        <v>5.3999999999999999E-2</v>
      </c>
      <c r="N38" s="113">
        <v>6.2E-2</v>
      </c>
      <c r="O38" s="113">
        <v>7.1999999999999995E-2</v>
      </c>
      <c r="P38" s="113">
        <v>4.8000000000000001E-2</v>
      </c>
      <c r="Q38" s="116" cm="1">
        <f t="array" ref="Q38">IF(COUNTA(B5:P5)=0,"",SUMPRODUCT(B5:P5,IFERROR(B38:P38,0)))</f>
        <v>7.2360000000000008E-2</v>
      </c>
      <c r="R38" s="113">
        <v>8.4199999999999997E-2</v>
      </c>
      <c r="S38" s="115">
        <f t="shared" si="0"/>
        <v>-1.1839999999999989E-2</v>
      </c>
      <c r="T38" s="126">
        <f t="shared" si="1"/>
        <v>128.29411640484315</v>
      </c>
      <c r="U38" s="343">
        <f t="shared" si="5"/>
        <v>122.62058750394067</v>
      </c>
      <c r="W38" s="345">
        <f t="shared" si="2"/>
        <v>44743</v>
      </c>
      <c r="X38" s="344">
        <f t="shared" si="3"/>
        <v>128.29411640484315</v>
      </c>
      <c r="Y38" s="344">
        <f t="shared" si="4"/>
        <v>122.62058750394067</v>
      </c>
    </row>
    <row r="39" spans="1:25" ht="18" customHeight="1" x14ac:dyDescent="0.2">
      <c r="A39" s="121">
        <v>44774</v>
      </c>
      <c r="B39" s="113">
        <v>-4.8000000000000001E-2</v>
      </c>
      <c r="C39" s="113">
        <v>-2.8000000000000001E-2</v>
      </c>
      <c r="D39" s="113">
        <v>-3.7999999999999999E-2</v>
      </c>
      <c r="E39" s="113">
        <v>-6.8000000000000005E-2</v>
      </c>
      <c r="F39" s="113">
        <v>-4.8000000000000001E-2</v>
      </c>
      <c r="G39" s="113">
        <v>-3.7999999999999999E-2</v>
      </c>
      <c r="H39" s="113">
        <v>-7.8E-2</v>
      </c>
      <c r="I39" s="113">
        <v>-4.8000000000000001E-2</v>
      </c>
      <c r="J39" s="113">
        <v>-0.124</v>
      </c>
      <c r="K39" s="113">
        <v>-5.8000000000000003E-2</v>
      </c>
      <c r="L39" s="113">
        <v>-3.2000000000000001E-2</v>
      </c>
      <c r="M39" s="113">
        <v>-4.3999999999999997E-2</v>
      </c>
      <c r="N39" s="113">
        <v>-1.7999999999999999E-2</v>
      </c>
      <c r="O39" s="113">
        <v>-2.8000000000000001E-2</v>
      </c>
      <c r="P39" s="113">
        <v>-6.4000000000000001E-2</v>
      </c>
      <c r="Q39" s="114" cm="1">
        <f t="array" ref="Q39">IF(COUNTA(B5:P5)=0,"",SUMPRODUCT(B5:P5,IFERROR(B39:P39,0)))</f>
        <v>-4.9560000000000007E-2</v>
      </c>
      <c r="R39" s="113">
        <v>-6.2199999999999998E-2</v>
      </c>
      <c r="S39" s="112">
        <f t="shared" si="0"/>
        <v>1.2639999999999992E-2</v>
      </c>
      <c r="T39" s="125">
        <f t="shared" si="1"/>
        <v>121.93585999581911</v>
      </c>
      <c r="U39" s="343">
        <f t="shared" si="5"/>
        <v>114.99358696119556</v>
      </c>
      <c r="W39" s="345">
        <f t="shared" si="2"/>
        <v>44774</v>
      </c>
      <c r="X39" s="344">
        <f t="shared" si="3"/>
        <v>121.93585999581911</v>
      </c>
      <c r="Y39" s="344">
        <f t="shared" si="4"/>
        <v>114.99358696119556</v>
      </c>
    </row>
    <row r="40" spans="1:25" ht="18" customHeight="1" x14ac:dyDescent="0.2">
      <c r="A40" s="122">
        <v>44805</v>
      </c>
      <c r="B40" s="113">
        <v>-8.2000000000000003E-2</v>
      </c>
      <c r="C40" s="113">
        <v>-6.8000000000000005E-2</v>
      </c>
      <c r="D40" s="113">
        <v>-7.3999999999999996E-2</v>
      </c>
      <c r="E40" s="113">
        <v>-8.2000000000000003E-2</v>
      </c>
      <c r="F40" s="113">
        <v>-6.4000000000000001E-2</v>
      </c>
      <c r="G40" s="113">
        <v>-4.2000000000000003E-2</v>
      </c>
      <c r="H40" s="113">
        <v>-9.8000000000000004E-2</v>
      </c>
      <c r="I40" s="113">
        <v>-7.8E-2</v>
      </c>
      <c r="J40" s="113">
        <v>-0.104</v>
      </c>
      <c r="K40" s="113">
        <v>-8.2000000000000003E-2</v>
      </c>
      <c r="L40" s="113">
        <v>-5.3999999999999999E-2</v>
      </c>
      <c r="M40" s="113">
        <v>-7.8E-2</v>
      </c>
      <c r="N40" s="113">
        <v>-6.8000000000000005E-2</v>
      </c>
      <c r="O40" s="113">
        <v>-5.8000000000000003E-2</v>
      </c>
      <c r="P40" s="113">
        <v>-8.2000000000000003E-2</v>
      </c>
      <c r="Q40" s="116" cm="1">
        <f t="array" ref="Q40">IF(COUNTA(B5:P5)=0,"",SUMPRODUCT(B5:P5,IFERROR(B40:P40,0)))</f>
        <v>-7.3170000000000013E-2</v>
      </c>
      <c r="R40" s="113">
        <v>-9.3899999999999997E-2</v>
      </c>
      <c r="S40" s="115">
        <f t="shared" ref="S40:S71" si="6">IF(OR(Q40="",R40=""),"",Q40-R40)</f>
        <v>2.0729999999999985E-2</v>
      </c>
      <c r="T40" s="126">
        <f t="shared" si="1"/>
        <v>113.01381311992503</v>
      </c>
      <c r="U40" s="343">
        <f t="shared" si="5"/>
        <v>104.1956891455393</v>
      </c>
      <c r="W40" s="345">
        <f t="shared" si="2"/>
        <v>44805</v>
      </c>
      <c r="X40" s="344">
        <f t="shared" si="3"/>
        <v>113.01381311992503</v>
      </c>
      <c r="Y40" s="344">
        <f t="shared" si="4"/>
        <v>104.1956891455393</v>
      </c>
    </row>
    <row r="41" spans="1:25" ht="18" customHeight="1" x14ac:dyDescent="0.2">
      <c r="A41" s="121">
        <v>44835</v>
      </c>
      <c r="B41" s="113">
        <v>7.8E-2</v>
      </c>
      <c r="C41" s="113">
        <v>5.3999999999999999E-2</v>
      </c>
      <c r="D41" s="113">
        <v>8.5999999999999993E-2</v>
      </c>
      <c r="E41" s="113">
        <v>5.8000000000000003E-2</v>
      </c>
      <c r="F41" s="113">
        <v>6.2E-2</v>
      </c>
      <c r="G41" s="113">
        <v>2.4E-2</v>
      </c>
      <c r="H41" s="113">
        <v>4.8000000000000001E-2</v>
      </c>
      <c r="I41" s="113">
        <v>7.8E-2</v>
      </c>
      <c r="J41" s="113">
        <v>2.8000000000000001E-2</v>
      </c>
      <c r="K41" s="113">
        <v>8.4000000000000005E-2</v>
      </c>
      <c r="L41" s="113">
        <v>6.2E-2</v>
      </c>
      <c r="M41" s="113">
        <v>6.4000000000000001E-2</v>
      </c>
      <c r="N41" s="113">
        <v>7.1999999999999995E-2</v>
      </c>
      <c r="O41" s="113">
        <v>8.7999999999999995E-2</v>
      </c>
      <c r="P41" s="113">
        <v>5.3999999999999999E-2</v>
      </c>
      <c r="Q41" s="114" cm="1">
        <f t="array" ref="Q41">IF(COUNTA(B5:P5)=0,"",SUMPRODUCT(B5:P5,IFERROR(B41:P41,0)))</f>
        <v>6.2340000000000007E-2</v>
      </c>
      <c r="R41" s="113">
        <v>6.5100000000000005E-2</v>
      </c>
      <c r="S41" s="112">
        <f t="shared" si="6"/>
        <v>-2.7599999999999986E-3</v>
      </c>
      <c r="T41" s="125">
        <f t="shared" ref="T41:T67" si="7">IF(Q41="","",T40*(1+Q41))</f>
        <v>120.05909422982117</v>
      </c>
      <c r="U41" s="343">
        <f t="shared" si="5"/>
        <v>110.97882850891391</v>
      </c>
      <c r="W41" s="345">
        <f t="shared" si="2"/>
        <v>44835</v>
      </c>
      <c r="X41" s="344">
        <f t="shared" si="3"/>
        <v>120.05909422982117</v>
      </c>
      <c r="Y41" s="344">
        <f t="shared" si="4"/>
        <v>110.97882850891391</v>
      </c>
    </row>
    <row r="42" spans="1:25" ht="18" customHeight="1" x14ac:dyDescent="0.2">
      <c r="A42" s="122">
        <v>44866</v>
      </c>
      <c r="B42" s="113">
        <v>5.3999999999999999E-2</v>
      </c>
      <c r="C42" s="113">
        <v>2.8000000000000001E-2</v>
      </c>
      <c r="D42" s="113">
        <v>4.8000000000000001E-2</v>
      </c>
      <c r="E42" s="113">
        <v>6.2E-2</v>
      </c>
      <c r="F42" s="113">
        <v>6.8000000000000005E-2</v>
      </c>
      <c r="G42" s="113">
        <v>4.2000000000000003E-2</v>
      </c>
      <c r="H42" s="113">
        <v>2.4E-2</v>
      </c>
      <c r="I42" s="113">
        <v>4.2000000000000003E-2</v>
      </c>
      <c r="J42" s="113">
        <v>2.8000000000000001E-2</v>
      </c>
      <c r="K42" s="113">
        <v>5.8000000000000003E-2</v>
      </c>
      <c r="L42" s="113">
        <v>4.8000000000000001E-2</v>
      </c>
      <c r="M42" s="113">
        <v>5.3999999999999999E-2</v>
      </c>
      <c r="N42" s="113">
        <v>6.4000000000000001E-2</v>
      </c>
      <c r="O42" s="113">
        <v>4.2000000000000003E-2</v>
      </c>
      <c r="P42" s="113">
        <v>4.8000000000000001E-2</v>
      </c>
      <c r="Q42" s="116" cm="1">
        <f t="array" ref="Q42">IF(COUNTA(B5:P5)=0,"",SUMPRODUCT(B5:P5,IFERROR(B42:P42,0)))</f>
        <v>4.854E-2</v>
      </c>
      <c r="R42" s="113">
        <v>7.2700000000000001E-2</v>
      </c>
      <c r="S42" s="115">
        <f t="shared" si="6"/>
        <v>-2.4160000000000001E-2</v>
      </c>
      <c r="T42" s="126">
        <f t="shared" si="7"/>
        <v>125.88676266373669</v>
      </c>
      <c r="U42" s="343">
        <f t="shared" si="5"/>
        <v>119.04698934151195</v>
      </c>
      <c r="W42" s="345">
        <f t="shared" si="2"/>
        <v>44866</v>
      </c>
      <c r="X42" s="344">
        <f t="shared" si="3"/>
        <v>125.88676266373669</v>
      </c>
      <c r="Y42" s="344">
        <f t="shared" si="4"/>
        <v>119.04698934151195</v>
      </c>
    </row>
    <row r="43" spans="1:25" ht="18" customHeight="1" x14ac:dyDescent="0.2">
      <c r="A43" s="121">
        <v>44896</v>
      </c>
      <c r="B43" s="113">
        <v>-3.7999999999999999E-2</v>
      </c>
      <c r="C43" s="113">
        <v>-1.4E-2</v>
      </c>
      <c r="D43" s="113">
        <v>-3.2000000000000001E-2</v>
      </c>
      <c r="E43" s="113">
        <v>-4.8000000000000001E-2</v>
      </c>
      <c r="F43" s="113">
        <v>-2.4E-2</v>
      </c>
      <c r="G43" s="113">
        <v>-1.7999999999999999E-2</v>
      </c>
      <c r="H43" s="113">
        <v>-6.2E-2</v>
      </c>
      <c r="I43" s="113">
        <v>-3.7999999999999999E-2</v>
      </c>
      <c r="J43" s="113">
        <v>-5.3999999999999999E-2</v>
      </c>
      <c r="K43" s="113">
        <v>-3.2000000000000001E-2</v>
      </c>
      <c r="L43" s="113">
        <v>-1.7999999999999999E-2</v>
      </c>
      <c r="M43" s="113">
        <v>-3.4000000000000002E-2</v>
      </c>
      <c r="N43" s="113">
        <v>-1.4E-2</v>
      </c>
      <c r="O43" s="113">
        <v>-1.7999999999999999E-2</v>
      </c>
      <c r="P43" s="113">
        <v>-4.2000000000000003E-2</v>
      </c>
      <c r="Q43" s="114" cm="1">
        <f t="array" ref="Q43">IF(COUNTA(B5:P5)=0,"",SUMPRODUCT(B5:P5,IFERROR(B43:P43,0)))</f>
        <v>-3.1970000000000012E-2</v>
      </c>
      <c r="R43" s="113">
        <v>-3.95E-2</v>
      </c>
      <c r="S43" s="112">
        <f t="shared" si="6"/>
        <v>7.5299999999999881E-3</v>
      </c>
      <c r="T43" s="125">
        <f t="shared" si="7"/>
        <v>121.86216286137702</v>
      </c>
      <c r="U43" s="343">
        <f t="shared" si="5"/>
        <v>114.34463326252222</v>
      </c>
      <c r="W43" s="345">
        <f t="shared" si="2"/>
        <v>44896</v>
      </c>
      <c r="X43" s="344">
        <f t="shared" si="3"/>
        <v>121.86216286137702</v>
      </c>
      <c r="Y43" s="344">
        <f t="shared" si="4"/>
        <v>114.34463326252222</v>
      </c>
    </row>
    <row r="44" spans="1:25" ht="18" customHeight="1" x14ac:dyDescent="0.2">
      <c r="A44" s="122">
        <v>44927</v>
      </c>
      <c r="B44" s="113">
        <v>8.7999999999999995E-2</v>
      </c>
      <c r="C44" s="113">
        <v>6.4000000000000001E-2</v>
      </c>
      <c r="D44" s="113">
        <v>7.8E-2</v>
      </c>
      <c r="E44" s="113">
        <v>0.112</v>
      </c>
      <c r="F44" s="113">
        <v>8.2000000000000003E-2</v>
      </c>
      <c r="G44" s="113">
        <v>5.3999999999999999E-2</v>
      </c>
      <c r="H44" s="113">
        <v>9.8000000000000004E-2</v>
      </c>
      <c r="I44" s="113">
        <v>7.8E-2</v>
      </c>
      <c r="J44" s="113">
        <v>0.14799999999999999</v>
      </c>
      <c r="K44" s="113">
        <v>9.4E-2</v>
      </c>
      <c r="L44" s="113">
        <v>7.1999999999999995E-2</v>
      </c>
      <c r="M44" s="113">
        <v>9.4E-2</v>
      </c>
      <c r="N44" s="113">
        <v>8.4000000000000005E-2</v>
      </c>
      <c r="O44" s="113">
        <v>6.4000000000000001E-2</v>
      </c>
      <c r="P44" s="113">
        <v>6.8000000000000005E-2</v>
      </c>
      <c r="Q44" s="116" cm="1">
        <f t="array" ref="Q44">IF(COUNTA(B5:P5)=0,"",SUMPRODUCT(B5:P5,IFERROR(B44:P44,0)))</f>
        <v>8.4260000000000002E-2</v>
      </c>
      <c r="R44" s="113">
        <v>6.9900000000000004E-2</v>
      </c>
      <c r="S44" s="115">
        <f t="shared" si="6"/>
        <v>1.4359999999999998E-2</v>
      </c>
      <c r="T44" s="126">
        <f t="shared" si="7"/>
        <v>132.13026870407666</v>
      </c>
      <c r="U44" s="343">
        <f t="shared" si="5"/>
        <v>122.33732312757253</v>
      </c>
      <c r="W44" s="345">
        <f t="shared" si="2"/>
        <v>44927</v>
      </c>
      <c r="X44" s="344">
        <f t="shared" si="3"/>
        <v>132.13026870407666</v>
      </c>
      <c r="Y44" s="344">
        <f t="shared" si="4"/>
        <v>122.33732312757253</v>
      </c>
    </row>
    <row r="45" spans="1:25" ht="18" customHeight="1" x14ac:dyDescent="0.2">
      <c r="A45" s="121">
        <v>44958</v>
      </c>
      <c r="B45" s="113">
        <v>-1.2E-2</v>
      </c>
      <c r="C45" s="113">
        <v>1.7999999999999999E-2</v>
      </c>
      <c r="D45" s="113">
        <v>-8.0000000000000002E-3</v>
      </c>
      <c r="E45" s="113">
        <v>-3.4000000000000002E-2</v>
      </c>
      <c r="F45" s="113">
        <v>-1.7999999999999999E-2</v>
      </c>
      <c r="G45" s="113">
        <v>1.2E-2</v>
      </c>
      <c r="H45" s="113">
        <v>-3.7999999999999999E-2</v>
      </c>
      <c r="I45" s="113">
        <v>-2.4E-2</v>
      </c>
      <c r="J45" s="113">
        <v>-4.8000000000000001E-2</v>
      </c>
      <c r="K45" s="113">
        <v>-1.2E-2</v>
      </c>
      <c r="L45" s="113">
        <v>-8.0000000000000002E-3</v>
      </c>
      <c r="M45" s="113">
        <v>-1.7999999999999999E-2</v>
      </c>
      <c r="N45" s="113">
        <v>2.8000000000000001E-2</v>
      </c>
      <c r="O45" s="113">
        <v>8.0000000000000002E-3</v>
      </c>
      <c r="P45" s="113">
        <v>-2.8000000000000001E-2</v>
      </c>
      <c r="Q45" s="114" cm="1">
        <f t="array" ref="Q45">IF(COUNTA(B5:P5)=0,"",SUMPRODUCT(B5:P5,IFERROR(B45:P45,0)))</f>
        <v>-1.1939999999999999E-2</v>
      </c>
      <c r="R45" s="113">
        <v>-2.53E-2</v>
      </c>
      <c r="S45" s="112">
        <f t="shared" si="6"/>
        <v>1.336E-2</v>
      </c>
      <c r="T45" s="125">
        <f t="shared" si="7"/>
        <v>130.55263329574998</v>
      </c>
      <c r="U45" s="343">
        <f t="shared" si="5"/>
        <v>119.24218885244495</v>
      </c>
      <c r="W45" s="345">
        <f t="shared" si="2"/>
        <v>44958</v>
      </c>
      <c r="X45" s="344">
        <f t="shared" si="3"/>
        <v>130.55263329574998</v>
      </c>
      <c r="Y45" s="344">
        <f t="shared" si="4"/>
        <v>119.24218885244495</v>
      </c>
    </row>
    <row r="46" spans="1:25" ht="18" customHeight="1" x14ac:dyDescent="0.2">
      <c r="A46" s="122">
        <v>44986</v>
      </c>
      <c r="B46" s="113">
        <v>4.8000000000000001E-2</v>
      </c>
      <c r="C46" s="113">
        <v>6.2E-2</v>
      </c>
      <c r="D46" s="113">
        <v>5.3999999999999999E-2</v>
      </c>
      <c r="E46" s="113">
        <v>6.8000000000000005E-2</v>
      </c>
      <c r="F46" s="113">
        <v>5.3999999999999999E-2</v>
      </c>
      <c r="G46" s="113">
        <v>8.4000000000000005E-2</v>
      </c>
      <c r="H46" s="113">
        <v>6.2E-2</v>
      </c>
      <c r="I46" s="113">
        <v>4.8000000000000001E-2</v>
      </c>
      <c r="J46" s="113">
        <v>5.3999999999999999E-2</v>
      </c>
      <c r="K46" s="113">
        <v>6.8000000000000005E-2</v>
      </c>
      <c r="L46" s="113">
        <v>4.2000000000000003E-2</v>
      </c>
      <c r="M46" s="113">
        <v>3.7999999999999999E-2</v>
      </c>
      <c r="N46" s="113">
        <v>4.8000000000000001E-2</v>
      </c>
      <c r="O46" s="113">
        <v>3.7999999999999999E-2</v>
      </c>
      <c r="P46" s="113">
        <v>5.3999999999999999E-2</v>
      </c>
      <c r="Q46" s="116" cm="1">
        <f t="array" ref="Q46">IF(COUNTA(B5:P5)=0,"",SUMPRODUCT(B5:P5,IFERROR(B46:P46,0)))</f>
        <v>5.5210000000000002E-2</v>
      </c>
      <c r="R46" s="113">
        <v>3.0599999999999999E-2</v>
      </c>
      <c r="S46" s="115">
        <f t="shared" si="6"/>
        <v>2.4610000000000003E-2</v>
      </c>
      <c r="T46" s="126">
        <f t="shared" si="7"/>
        <v>137.76044418000834</v>
      </c>
      <c r="U46" s="343">
        <f t="shared" si="5"/>
        <v>122.89099983132976</v>
      </c>
      <c r="W46" s="345">
        <f t="shared" si="2"/>
        <v>44986</v>
      </c>
      <c r="X46" s="344">
        <f t="shared" si="3"/>
        <v>137.76044418000834</v>
      </c>
      <c r="Y46" s="344">
        <f t="shared" si="4"/>
        <v>122.89099983132976</v>
      </c>
    </row>
    <row r="47" spans="1:25" ht="18" customHeight="1" x14ac:dyDescent="0.2">
      <c r="A47" s="121">
        <v>45017</v>
      </c>
      <c r="B47" s="113">
        <v>2.8000000000000001E-2</v>
      </c>
      <c r="C47" s="113">
        <v>5.3999999999999999E-2</v>
      </c>
      <c r="D47" s="113">
        <v>2.4E-2</v>
      </c>
      <c r="E47" s="113">
        <v>4.8000000000000001E-2</v>
      </c>
      <c r="F47" s="113">
        <v>6.2E-2</v>
      </c>
      <c r="G47" s="113">
        <v>3.7999999999999999E-2</v>
      </c>
      <c r="H47" s="113">
        <v>1.2E-2</v>
      </c>
      <c r="I47" s="113">
        <v>3.4000000000000002E-2</v>
      </c>
      <c r="J47" s="113">
        <v>3.7999999999999999E-2</v>
      </c>
      <c r="K47" s="113">
        <v>3.2000000000000001E-2</v>
      </c>
      <c r="L47" s="113">
        <v>2.4E-2</v>
      </c>
      <c r="M47" s="113">
        <v>2.8000000000000001E-2</v>
      </c>
      <c r="N47" s="113">
        <v>5.3999999999999999E-2</v>
      </c>
      <c r="O47" s="113">
        <v>2.4E-2</v>
      </c>
      <c r="P47" s="113">
        <v>3.2000000000000001E-2</v>
      </c>
      <c r="Q47" s="114" cm="1">
        <f t="array" ref="Q47">IF(COUNTA(B5:P5)=0,"",SUMPRODUCT(B5:P5,IFERROR(B47:P47,0)))</f>
        <v>3.6589999999999998E-2</v>
      </c>
      <c r="R47" s="113">
        <v>1.78E-2</v>
      </c>
      <c r="S47" s="112">
        <f t="shared" si="6"/>
        <v>1.8789999999999998E-2</v>
      </c>
      <c r="T47" s="125">
        <f t="shared" si="7"/>
        <v>142.80109883255483</v>
      </c>
      <c r="U47" s="343">
        <f t="shared" si="5"/>
        <v>125.07845962832744</v>
      </c>
      <c r="W47" s="345">
        <f t="shared" si="2"/>
        <v>45017</v>
      </c>
      <c r="X47" s="344">
        <f t="shared" si="3"/>
        <v>142.80109883255483</v>
      </c>
      <c r="Y47" s="344">
        <f t="shared" si="4"/>
        <v>125.07845962832744</v>
      </c>
    </row>
    <row r="48" spans="1:25" ht="18" customHeight="1" x14ac:dyDescent="0.2">
      <c r="A48" s="122">
        <v>45047</v>
      </c>
      <c r="B48" s="113">
        <v>1.7999999999999999E-2</v>
      </c>
      <c r="C48" s="113">
        <v>-3.4000000000000002E-2</v>
      </c>
      <c r="D48" s="113">
        <v>1.4E-2</v>
      </c>
      <c r="E48" s="113">
        <v>4.2000000000000003E-2</v>
      </c>
      <c r="F48" s="113">
        <v>3.7999999999999999E-2</v>
      </c>
      <c r="G48" s="113">
        <v>6.8000000000000005E-2</v>
      </c>
      <c r="H48" s="113">
        <v>8.0000000000000002E-3</v>
      </c>
      <c r="I48" s="113">
        <v>1.2E-2</v>
      </c>
      <c r="J48" s="113">
        <v>-2.4E-2</v>
      </c>
      <c r="K48" s="113">
        <v>2.1999999999999999E-2</v>
      </c>
      <c r="L48" s="113">
        <v>1.2E-2</v>
      </c>
      <c r="M48" s="113">
        <v>1.4E-2</v>
      </c>
      <c r="N48" s="113">
        <v>3.2000000000000001E-2</v>
      </c>
      <c r="O48" s="113">
        <v>1.2E-2</v>
      </c>
      <c r="P48" s="113">
        <v>-1.2E-2</v>
      </c>
      <c r="Q48" s="116" cm="1">
        <f t="array" ref="Q48">IF(COUNTA(B5:P5)=0,"",SUMPRODUCT(B5:P5,IFERROR(B48:P48,0)))</f>
        <v>1.7480000000000002E-2</v>
      </c>
      <c r="R48" s="113">
        <v>-1.41E-2</v>
      </c>
      <c r="S48" s="115">
        <f t="shared" si="6"/>
        <v>3.1580000000000004E-2</v>
      </c>
      <c r="T48" s="126">
        <f t="shared" si="7"/>
        <v>145.29726204014787</v>
      </c>
      <c r="U48" s="343">
        <f t="shared" si="5"/>
        <v>123.31485334756802</v>
      </c>
      <c r="W48" s="345">
        <f t="shared" si="2"/>
        <v>45047</v>
      </c>
      <c r="X48" s="344">
        <f t="shared" si="3"/>
        <v>145.29726204014787</v>
      </c>
      <c r="Y48" s="344">
        <f t="shared" si="4"/>
        <v>123.31485334756802</v>
      </c>
    </row>
    <row r="49" spans="1:25" ht="18" customHeight="1" x14ac:dyDescent="0.2">
      <c r="A49" s="121">
        <v>45078</v>
      </c>
      <c r="B49" s="113">
        <v>6.4000000000000001E-2</v>
      </c>
      <c r="C49" s="113">
        <v>2.8000000000000001E-2</v>
      </c>
      <c r="D49" s="113">
        <v>5.8000000000000003E-2</v>
      </c>
      <c r="E49" s="113">
        <v>4.2000000000000003E-2</v>
      </c>
      <c r="F49" s="113">
        <v>5.3999999999999999E-2</v>
      </c>
      <c r="G49" s="113">
        <v>3.7999999999999999E-2</v>
      </c>
      <c r="H49" s="113">
        <v>4.8000000000000001E-2</v>
      </c>
      <c r="I49" s="113">
        <v>3.7999999999999999E-2</v>
      </c>
      <c r="J49" s="113">
        <v>6.2E-2</v>
      </c>
      <c r="K49" s="113">
        <v>5.3999999999999999E-2</v>
      </c>
      <c r="L49" s="113">
        <v>3.7999999999999999E-2</v>
      </c>
      <c r="M49" s="113">
        <v>5.8000000000000003E-2</v>
      </c>
      <c r="N49" s="113">
        <v>3.7999999999999999E-2</v>
      </c>
      <c r="O49" s="113">
        <v>4.8000000000000001E-2</v>
      </c>
      <c r="P49" s="113">
        <v>3.4000000000000002E-2</v>
      </c>
      <c r="Q49" s="114" cm="1">
        <f t="array" ref="Q49">IF(COUNTA(B5:P5)=0,"",SUMPRODUCT(B5:P5,IFERROR(B49:P49,0)))</f>
        <v>4.6310000000000018E-2</v>
      </c>
      <c r="R49" s="113">
        <v>6.0699999999999997E-2</v>
      </c>
      <c r="S49" s="112">
        <f t="shared" si="6"/>
        <v>-1.4389999999999979E-2</v>
      </c>
      <c r="T49" s="125">
        <f t="shared" si="7"/>
        <v>152.02597824522712</v>
      </c>
      <c r="U49" s="343">
        <f t="shared" si="5"/>
        <v>130.8000649457654</v>
      </c>
      <c r="W49" s="345">
        <f t="shared" si="2"/>
        <v>45078</v>
      </c>
      <c r="X49" s="344">
        <f t="shared" si="3"/>
        <v>152.02597824522712</v>
      </c>
      <c r="Y49" s="344">
        <f t="shared" si="4"/>
        <v>130.8000649457654</v>
      </c>
    </row>
    <row r="50" spans="1:25" ht="18" customHeight="1" x14ac:dyDescent="0.2">
      <c r="A50" s="122">
        <v>45108</v>
      </c>
      <c r="B50" s="113">
        <v>3.7999999999999999E-2</v>
      </c>
      <c r="C50" s="113">
        <v>2.4E-2</v>
      </c>
      <c r="D50" s="113">
        <v>4.2000000000000003E-2</v>
      </c>
      <c r="E50" s="113">
        <v>3.7999999999999999E-2</v>
      </c>
      <c r="F50" s="113">
        <v>2.8000000000000001E-2</v>
      </c>
      <c r="G50" s="113">
        <v>1.4E-2</v>
      </c>
      <c r="H50" s="113">
        <v>3.2000000000000001E-2</v>
      </c>
      <c r="I50" s="113">
        <v>4.2000000000000003E-2</v>
      </c>
      <c r="J50" s="113">
        <v>2.4E-2</v>
      </c>
      <c r="K50" s="113">
        <v>4.8000000000000001E-2</v>
      </c>
      <c r="L50" s="113">
        <v>2.8000000000000001E-2</v>
      </c>
      <c r="M50" s="113">
        <v>3.4000000000000002E-2</v>
      </c>
      <c r="N50" s="113">
        <v>4.2000000000000003E-2</v>
      </c>
      <c r="O50" s="113">
        <v>3.2000000000000001E-2</v>
      </c>
      <c r="P50" s="113">
        <v>1.4E-2</v>
      </c>
      <c r="Q50" s="116" cm="1">
        <f t="array" ref="Q50">IF(COUNTA(B5:P5)=0,"",SUMPRODUCT(B5:P5,IFERROR(B50:P50,0)))</f>
        <v>3.1899999999999998E-2</v>
      </c>
      <c r="R50" s="113">
        <v>3.5900000000000001E-2</v>
      </c>
      <c r="S50" s="115">
        <f t="shared" si="6"/>
        <v>-4.0000000000000036E-3</v>
      </c>
      <c r="T50" s="126">
        <f t="shared" si="7"/>
        <v>156.87560695124986</v>
      </c>
      <c r="U50" s="343">
        <f t="shared" si="5"/>
        <v>135.49578727731839</v>
      </c>
      <c r="W50" s="345">
        <f t="shared" si="2"/>
        <v>45108</v>
      </c>
      <c r="X50" s="344">
        <f t="shared" si="3"/>
        <v>156.87560695124986</v>
      </c>
      <c r="Y50" s="344">
        <f t="shared" si="4"/>
        <v>135.49578727731839</v>
      </c>
    </row>
    <row r="51" spans="1:25" ht="18" customHeight="1" x14ac:dyDescent="0.2">
      <c r="A51" s="121">
        <v>45139</v>
      </c>
      <c r="B51" s="113">
        <v>-1.7999999999999999E-2</v>
      </c>
      <c r="C51" s="113">
        <v>-2.4E-2</v>
      </c>
      <c r="D51" s="113">
        <v>-1.4E-2</v>
      </c>
      <c r="E51" s="113">
        <v>-3.7999999999999999E-2</v>
      </c>
      <c r="F51" s="113">
        <v>-2.8000000000000001E-2</v>
      </c>
      <c r="G51" s="113">
        <v>-4.3999999999999997E-2</v>
      </c>
      <c r="H51" s="113">
        <v>-3.7999999999999999E-2</v>
      </c>
      <c r="I51" s="113">
        <v>-2.4E-2</v>
      </c>
      <c r="J51" s="113">
        <v>-5.3999999999999999E-2</v>
      </c>
      <c r="K51" s="113">
        <v>-1.7999999999999999E-2</v>
      </c>
      <c r="L51" s="113">
        <v>-1.2E-2</v>
      </c>
      <c r="M51" s="113">
        <v>-3.2000000000000001E-2</v>
      </c>
      <c r="N51" s="113">
        <v>-1.7999999999999999E-2</v>
      </c>
      <c r="O51" s="113">
        <v>-1.2E-2</v>
      </c>
      <c r="P51" s="113">
        <v>-2.4E-2</v>
      </c>
      <c r="Q51" s="114" cm="1">
        <f t="array" ref="Q51">IF(COUNTA(B5:P5)=0,"",SUMPRODUCT(B5:P5,IFERROR(B51:P51,0)))</f>
        <v>-2.6690000000000005E-2</v>
      </c>
      <c r="R51" s="113">
        <v>-2.3699999999999999E-2</v>
      </c>
      <c r="S51" s="112">
        <f t="shared" si="6"/>
        <v>-2.9900000000000065E-3</v>
      </c>
      <c r="T51" s="125">
        <f t="shared" si="7"/>
        <v>152.68859700172101</v>
      </c>
      <c r="U51" s="343">
        <f t="shared" si="5"/>
        <v>132.28453711884592</v>
      </c>
      <c r="W51" s="345">
        <f t="shared" si="2"/>
        <v>45139</v>
      </c>
      <c r="X51" s="344">
        <f t="shared" si="3"/>
        <v>152.68859700172101</v>
      </c>
      <c r="Y51" s="344">
        <f t="shared" si="4"/>
        <v>132.28453711884592</v>
      </c>
    </row>
    <row r="52" spans="1:25" ht="18" customHeight="1" x14ac:dyDescent="0.2">
      <c r="A52" s="122">
        <v>45170</v>
      </c>
      <c r="B52" s="113">
        <v>-4.8000000000000001E-2</v>
      </c>
      <c r="C52" s="113">
        <v>-3.2000000000000001E-2</v>
      </c>
      <c r="D52" s="113">
        <v>-4.3999999999999997E-2</v>
      </c>
      <c r="E52" s="113">
        <v>-5.8000000000000003E-2</v>
      </c>
      <c r="F52" s="113">
        <v>-4.8000000000000001E-2</v>
      </c>
      <c r="G52" s="113">
        <v>-5.8000000000000003E-2</v>
      </c>
      <c r="H52" s="113">
        <v>-6.2E-2</v>
      </c>
      <c r="I52" s="113">
        <v>-4.8000000000000001E-2</v>
      </c>
      <c r="J52" s="113">
        <v>-6.8000000000000005E-2</v>
      </c>
      <c r="K52" s="113">
        <v>-4.3999999999999997E-2</v>
      </c>
      <c r="L52" s="113">
        <v>-3.2000000000000001E-2</v>
      </c>
      <c r="M52" s="113">
        <v>-5.1999999999999998E-2</v>
      </c>
      <c r="N52" s="113">
        <v>-2.8000000000000001E-2</v>
      </c>
      <c r="O52" s="113">
        <v>-3.4000000000000002E-2</v>
      </c>
      <c r="P52" s="113">
        <v>-4.8000000000000001E-2</v>
      </c>
      <c r="Q52" s="116" cm="1">
        <f t="array" ref="Q52">IF(COUNTA(B5:P5)=0,"",SUMPRODUCT(B5:P5,IFERROR(B52:P52,0)))</f>
        <v>-4.7040000000000005E-2</v>
      </c>
      <c r="R52" s="113">
        <v>-4.1300000000000003E-2</v>
      </c>
      <c r="S52" s="115">
        <f t="shared" si="6"/>
        <v>-5.740000000000002E-3</v>
      </c>
      <c r="T52" s="126">
        <f t="shared" si="7"/>
        <v>145.50612539876005</v>
      </c>
      <c r="U52" s="343">
        <f t="shared" si="5"/>
        <v>126.82118573583759</v>
      </c>
      <c r="W52" s="345">
        <f t="shared" si="2"/>
        <v>45170</v>
      </c>
      <c r="X52" s="344">
        <f t="shared" si="3"/>
        <v>145.50612539876005</v>
      </c>
      <c r="Y52" s="344">
        <f t="shared" si="4"/>
        <v>126.82118573583759</v>
      </c>
    </row>
    <row r="53" spans="1:25" ht="18" customHeight="1" x14ac:dyDescent="0.2">
      <c r="A53" s="121">
        <v>45200</v>
      </c>
      <c r="B53" s="113">
        <v>-2.8000000000000001E-2</v>
      </c>
      <c r="C53" s="113">
        <v>-1.4E-2</v>
      </c>
      <c r="D53" s="113">
        <v>-3.2000000000000001E-2</v>
      </c>
      <c r="E53" s="113">
        <v>-3.7999999999999999E-2</v>
      </c>
      <c r="F53" s="113">
        <v>-3.2000000000000001E-2</v>
      </c>
      <c r="G53" s="113">
        <v>-4.2000000000000003E-2</v>
      </c>
      <c r="H53" s="113">
        <v>-4.8000000000000001E-2</v>
      </c>
      <c r="I53" s="113">
        <v>-3.2000000000000001E-2</v>
      </c>
      <c r="J53" s="113">
        <v>-4.2000000000000003E-2</v>
      </c>
      <c r="K53" s="113">
        <v>-3.2000000000000001E-2</v>
      </c>
      <c r="L53" s="113">
        <v>-1.7999999999999999E-2</v>
      </c>
      <c r="M53" s="113">
        <v>-3.4000000000000002E-2</v>
      </c>
      <c r="N53" s="113">
        <v>-1.7999999999999999E-2</v>
      </c>
      <c r="O53" s="113">
        <v>-2.4E-2</v>
      </c>
      <c r="P53" s="113">
        <v>-3.7999999999999999E-2</v>
      </c>
      <c r="Q53" s="114" cm="1">
        <f t="array" ref="Q53">IF(COUNTA(B5:P5)=0,"",SUMPRODUCT(B5:P5,IFERROR(B53:P53,0)))</f>
        <v>-3.1490000000000004E-2</v>
      </c>
      <c r="R53" s="113">
        <v>-2.9499999999999998E-2</v>
      </c>
      <c r="S53" s="112">
        <f t="shared" si="6"/>
        <v>-1.9900000000000057E-3</v>
      </c>
      <c r="T53" s="125">
        <f t="shared" si="7"/>
        <v>140.92413750995308</v>
      </c>
      <c r="U53" s="343">
        <f t="shared" si="5"/>
        <v>123.07996075663038</v>
      </c>
      <c r="W53" s="345">
        <f t="shared" si="2"/>
        <v>45200</v>
      </c>
      <c r="X53" s="344">
        <f t="shared" si="3"/>
        <v>140.92413750995308</v>
      </c>
      <c r="Y53" s="344">
        <f t="shared" si="4"/>
        <v>123.07996075663038</v>
      </c>
    </row>
    <row r="54" spans="1:25" ht="18" customHeight="1" x14ac:dyDescent="0.2">
      <c r="A54" s="122">
        <v>45231</v>
      </c>
      <c r="B54" s="113">
        <v>9.4E-2</v>
      </c>
      <c r="C54" s="113">
        <v>6.2E-2</v>
      </c>
      <c r="D54" s="113">
        <v>8.7999999999999995E-2</v>
      </c>
      <c r="E54" s="113">
        <v>7.8E-2</v>
      </c>
      <c r="F54" s="113">
        <v>7.1999999999999995E-2</v>
      </c>
      <c r="G54" s="113">
        <v>8.2000000000000003E-2</v>
      </c>
      <c r="H54" s="113">
        <v>0.108</v>
      </c>
      <c r="I54" s="113">
        <v>8.4000000000000005E-2</v>
      </c>
      <c r="J54" s="113">
        <v>9.8000000000000004E-2</v>
      </c>
      <c r="K54" s="113">
        <v>9.4E-2</v>
      </c>
      <c r="L54" s="113">
        <v>6.8000000000000005E-2</v>
      </c>
      <c r="M54" s="113">
        <v>8.2000000000000003E-2</v>
      </c>
      <c r="N54" s="113">
        <v>7.8E-2</v>
      </c>
      <c r="O54" s="113">
        <v>8.2000000000000003E-2</v>
      </c>
      <c r="P54" s="113">
        <v>6.8000000000000005E-2</v>
      </c>
      <c r="Q54" s="116" cm="1">
        <f t="array" ref="Q54">IF(COUNTA(B5:P5)=0,"",SUMPRODUCT(B5:P5,IFERROR(B54:P54,0)))</f>
        <v>8.166000000000001E-2</v>
      </c>
      <c r="R54" s="113">
        <v>9.3899999999999997E-2</v>
      </c>
      <c r="S54" s="115">
        <f t="shared" si="6"/>
        <v>-1.2239999999999987E-2</v>
      </c>
      <c r="T54" s="126">
        <f t="shared" si="7"/>
        <v>152.43200257901586</v>
      </c>
      <c r="U54" s="343">
        <f t="shared" si="5"/>
        <v>134.63716907167799</v>
      </c>
      <c r="W54" s="345">
        <f t="shared" si="2"/>
        <v>45231</v>
      </c>
      <c r="X54" s="344">
        <f t="shared" si="3"/>
        <v>152.43200257901586</v>
      </c>
      <c r="Y54" s="344">
        <f t="shared" si="4"/>
        <v>134.63716907167799</v>
      </c>
    </row>
    <row r="55" spans="1:25" ht="18" customHeight="1" x14ac:dyDescent="0.2">
      <c r="A55" s="121">
        <v>45261</v>
      </c>
      <c r="B55" s="113">
        <v>4.8000000000000001E-2</v>
      </c>
      <c r="C55" s="113">
        <v>3.7999999999999999E-2</v>
      </c>
      <c r="D55" s="113">
        <v>5.1999999999999998E-2</v>
      </c>
      <c r="E55" s="113">
        <v>6.2E-2</v>
      </c>
      <c r="F55" s="113">
        <v>5.3999999999999999E-2</v>
      </c>
      <c r="G55" s="113">
        <v>4.8000000000000001E-2</v>
      </c>
      <c r="H55" s="113">
        <v>3.7999999999999999E-2</v>
      </c>
      <c r="I55" s="113">
        <v>5.1999999999999998E-2</v>
      </c>
      <c r="J55" s="113">
        <v>4.8000000000000001E-2</v>
      </c>
      <c r="K55" s="113">
        <v>5.3999999999999999E-2</v>
      </c>
      <c r="L55" s="113">
        <v>4.2000000000000003E-2</v>
      </c>
      <c r="M55" s="113">
        <v>4.8000000000000001E-2</v>
      </c>
      <c r="N55" s="113">
        <v>5.3999999999999999E-2</v>
      </c>
      <c r="O55" s="113">
        <v>4.2000000000000003E-2</v>
      </c>
      <c r="P55" s="113">
        <v>3.7999999999999999E-2</v>
      </c>
      <c r="Q55" s="114" cm="1">
        <f t="array" ref="Q55">IF(COUNTA(B5:P5)=0,"",SUMPRODUCT(B5:P5,IFERROR(B55:P55,0)))</f>
        <v>4.8479999999999995E-2</v>
      </c>
      <c r="R55" s="113">
        <v>4.6699999999999998E-2</v>
      </c>
      <c r="S55" s="112">
        <f t="shared" si="6"/>
        <v>1.7799999999999969E-3</v>
      </c>
      <c r="T55" s="125">
        <f t="shared" si="7"/>
        <v>159.82190606404657</v>
      </c>
      <c r="U55" s="343">
        <f t="shared" si="5"/>
        <v>140.92472486732535</v>
      </c>
      <c r="W55" s="345">
        <f t="shared" si="2"/>
        <v>45261</v>
      </c>
      <c r="X55" s="344">
        <f t="shared" si="3"/>
        <v>159.82190606404657</v>
      </c>
      <c r="Y55" s="344">
        <f t="shared" si="4"/>
        <v>140.92472486732535</v>
      </c>
    </row>
    <row r="56" spans="1:25" ht="18" customHeight="1" x14ac:dyDescent="0.2">
      <c r="A56" s="122">
        <v>45292</v>
      </c>
      <c r="B56" s="113">
        <v>1.7999999999999999E-2</v>
      </c>
      <c r="C56" s="113">
        <v>-4.8000000000000001E-2</v>
      </c>
      <c r="D56" s="113">
        <v>1.4E-2</v>
      </c>
      <c r="E56" s="113">
        <v>6.8000000000000005E-2</v>
      </c>
      <c r="F56" s="113">
        <v>5.8000000000000003E-2</v>
      </c>
      <c r="G56" s="113">
        <v>3.4000000000000002E-2</v>
      </c>
      <c r="H56" s="113">
        <v>-2.8000000000000001E-2</v>
      </c>
      <c r="I56" s="113">
        <v>2.4E-2</v>
      </c>
      <c r="J56" s="113">
        <v>-4.2000000000000003E-2</v>
      </c>
      <c r="K56" s="113">
        <v>2.8000000000000001E-2</v>
      </c>
      <c r="L56" s="113">
        <v>1.7999999999999999E-2</v>
      </c>
      <c r="M56" s="113">
        <v>3.4000000000000002E-2</v>
      </c>
      <c r="N56" s="113">
        <v>6.8000000000000005E-2</v>
      </c>
      <c r="O56" s="113">
        <v>1.7999999999999999E-2</v>
      </c>
      <c r="P56" s="113">
        <v>-1.7999999999999999E-2</v>
      </c>
      <c r="Q56" s="116" cm="1">
        <f t="array" ref="Q56">IF(COUNTA(B5:P5)=0,"",SUMPRODUCT(B5:P5,IFERROR(B56:P56,0)))</f>
        <v>2.0360000000000003E-2</v>
      </c>
      <c r="R56" s="113">
        <v>1.0999999999999999E-2</v>
      </c>
      <c r="S56" s="115">
        <f t="shared" si="6"/>
        <v>9.3600000000000037E-3</v>
      </c>
      <c r="T56" s="126">
        <f t="shared" si="7"/>
        <v>163.07588007151054</v>
      </c>
      <c r="U56" s="343">
        <f t="shared" si="5"/>
        <v>142.47489684086591</v>
      </c>
      <c r="W56" s="345">
        <f t="shared" si="2"/>
        <v>45292</v>
      </c>
      <c r="X56" s="344">
        <f t="shared" si="3"/>
        <v>163.07588007151054</v>
      </c>
      <c r="Y56" s="344">
        <f t="shared" si="4"/>
        <v>142.47489684086591</v>
      </c>
    </row>
    <row r="57" spans="1:25" ht="18" customHeight="1" x14ac:dyDescent="0.2">
      <c r="A57" s="121">
        <v>45323</v>
      </c>
      <c r="B57" s="113">
        <v>6.2E-2</v>
      </c>
      <c r="C57" s="113">
        <v>2.8000000000000001E-2</v>
      </c>
      <c r="D57" s="113">
        <v>5.8000000000000003E-2</v>
      </c>
      <c r="E57" s="113">
        <v>8.4000000000000005E-2</v>
      </c>
      <c r="F57" s="113">
        <v>6.2E-2</v>
      </c>
      <c r="G57" s="113">
        <v>2.8000000000000001E-2</v>
      </c>
      <c r="H57" s="113">
        <v>7.8E-2</v>
      </c>
      <c r="I57" s="113">
        <v>5.3999999999999999E-2</v>
      </c>
      <c r="J57" s="113">
        <v>6.2E-2</v>
      </c>
      <c r="K57" s="113">
        <v>7.1999999999999995E-2</v>
      </c>
      <c r="L57" s="113">
        <v>4.8000000000000001E-2</v>
      </c>
      <c r="M57" s="113">
        <v>6.4000000000000001E-2</v>
      </c>
      <c r="N57" s="113">
        <v>5.8000000000000003E-2</v>
      </c>
      <c r="O57" s="113">
        <v>5.3999999999999999E-2</v>
      </c>
      <c r="P57" s="113">
        <v>4.8000000000000001E-2</v>
      </c>
      <c r="Q57" s="114" cm="1">
        <f t="array" ref="Q57">IF(COUNTA(B5:P5)=0,"",SUMPRODUCT(B5:P5,IFERROR(B57:P57,0)))</f>
        <v>5.7149999999999992E-2</v>
      </c>
      <c r="R57" s="113">
        <v>4.65E-2</v>
      </c>
      <c r="S57" s="112">
        <f t="shared" si="6"/>
        <v>1.0649999999999993E-2</v>
      </c>
      <c r="T57" s="125">
        <f t="shared" si="7"/>
        <v>172.39566661759739</v>
      </c>
      <c r="U57" s="343">
        <f t="shared" si="5"/>
        <v>149.09997954396619</v>
      </c>
      <c r="W57" s="345">
        <f t="shared" si="2"/>
        <v>45323</v>
      </c>
      <c r="X57" s="344">
        <f t="shared" si="3"/>
        <v>172.39566661759739</v>
      </c>
      <c r="Y57" s="344">
        <f t="shared" si="4"/>
        <v>149.09997954396619</v>
      </c>
    </row>
    <row r="58" spans="1:25" ht="18" customHeight="1" x14ac:dyDescent="0.2">
      <c r="A58" s="122">
        <v>45352</v>
      </c>
      <c r="B58" s="113">
        <v>3.7999999999999999E-2</v>
      </c>
      <c r="C58" s="113">
        <v>1.7999999999999999E-2</v>
      </c>
      <c r="D58" s="113">
        <v>3.4000000000000002E-2</v>
      </c>
      <c r="E58" s="113">
        <v>5.8000000000000003E-2</v>
      </c>
      <c r="F58" s="113">
        <v>4.8000000000000001E-2</v>
      </c>
      <c r="G58" s="113">
        <v>4.2000000000000003E-2</v>
      </c>
      <c r="H58" s="113">
        <v>2.8000000000000001E-2</v>
      </c>
      <c r="I58" s="113">
        <v>4.2000000000000003E-2</v>
      </c>
      <c r="J58" s="113">
        <v>3.7999999999999999E-2</v>
      </c>
      <c r="K58" s="113">
        <v>4.2000000000000003E-2</v>
      </c>
      <c r="L58" s="113">
        <v>3.2000000000000001E-2</v>
      </c>
      <c r="M58" s="113">
        <v>3.7999999999999999E-2</v>
      </c>
      <c r="N58" s="113">
        <v>4.8000000000000001E-2</v>
      </c>
      <c r="O58" s="113">
        <v>3.5999999999999997E-2</v>
      </c>
      <c r="P58" s="113">
        <v>2.8000000000000001E-2</v>
      </c>
      <c r="Q58" s="116" cm="1">
        <f t="array" ref="Q58">IF(COUNTA(B5:P5)=0,"",SUMPRODUCT(B5:P5,IFERROR(B58:P58,0)))</f>
        <v>3.8910000000000007E-2</v>
      </c>
      <c r="R58" s="113">
        <v>3.2199999999999999E-2</v>
      </c>
      <c r="S58" s="115">
        <f t="shared" si="6"/>
        <v>6.7100000000000076E-3</v>
      </c>
      <c r="T58" s="126">
        <f t="shared" si="7"/>
        <v>179.10358200568811</v>
      </c>
      <c r="U58" s="343">
        <f t="shared" si="5"/>
        <v>153.90099888528189</v>
      </c>
      <c r="W58" s="345">
        <f t="shared" si="2"/>
        <v>45352</v>
      </c>
      <c r="X58" s="344">
        <f t="shared" si="3"/>
        <v>179.10358200568811</v>
      </c>
      <c r="Y58" s="344">
        <f t="shared" si="4"/>
        <v>153.90099888528189</v>
      </c>
    </row>
    <row r="59" spans="1:25" ht="18" customHeight="1" x14ac:dyDescent="0.2">
      <c r="A59" s="121">
        <v>45383</v>
      </c>
      <c r="B59" s="113">
        <v>-3.4000000000000002E-2</v>
      </c>
      <c r="C59" s="113">
        <v>-4.8000000000000001E-2</v>
      </c>
      <c r="D59" s="113">
        <v>-2.8000000000000001E-2</v>
      </c>
      <c r="E59" s="113">
        <v>-6.4000000000000001E-2</v>
      </c>
      <c r="F59" s="113">
        <v>-2.8000000000000001E-2</v>
      </c>
      <c r="G59" s="113">
        <v>-4.8000000000000001E-2</v>
      </c>
      <c r="H59" s="113">
        <v>-5.3999999999999999E-2</v>
      </c>
      <c r="I59" s="113">
        <v>-3.7999999999999999E-2</v>
      </c>
      <c r="J59" s="113">
        <v>-4.8000000000000001E-2</v>
      </c>
      <c r="K59" s="113">
        <v>-3.7999999999999999E-2</v>
      </c>
      <c r="L59" s="113">
        <v>-1.7999999999999999E-2</v>
      </c>
      <c r="M59" s="113">
        <v>-4.8000000000000001E-2</v>
      </c>
      <c r="N59" s="113">
        <v>-1.7999999999999999E-2</v>
      </c>
      <c r="O59" s="113">
        <v>-2.4E-2</v>
      </c>
      <c r="P59" s="113">
        <v>-4.8000000000000001E-2</v>
      </c>
      <c r="Q59" s="114" cm="1">
        <f t="array" ref="Q59">IF(COUNTA(B5:P5)=0,"",SUMPRODUCT(B5:P5,IFERROR(B59:P59,0)))</f>
        <v>-3.9009999999999996E-2</v>
      </c>
      <c r="R59" s="113">
        <v>-3.39E-2</v>
      </c>
      <c r="S59" s="112">
        <f t="shared" si="6"/>
        <v>-5.1099999999999965E-3</v>
      </c>
      <c r="T59" s="125">
        <f t="shared" si="7"/>
        <v>172.11675127164622</v>
      </c>
      <c r="U59" s="343">
        <f t="shared" si="5"/>
        <v>148.68375502307083</v>
      </c>
      <c r="W59" s="345">
        <f t="shared" si="2"/>
        <v>45383</v>
      </c>
      <c r="X59" s="344">
        <f t="shared" si="3"/>
        <v>172.11675127164622</v>
      </c>
      <c r="Y59" s="344">
        <f t="shared" si="4"/>
        <v>148.68375502307083</v>
      </c>
    </row>
    <row r="60" spans="1:25" ht="18" customHeight="1" x14ac:dyDescent="0.2">
      <c r="A60" s="122">
        <v>45413</v>
      </c>
      <c r="B60" s="113">
        <v>5.3999999999999999E-2</v>
      </c>
      <c r="C60" s="113">
        <v>1.4E-2</v>
      </c>
      <c r="D60" s="113">
        <v>4.8000000000000001E-2</v>
      </c>
      <c r="E60" s="113">
        <v>7.8E-2</v>
      </c>
      <c r="F60" s="113">
        <v>5.1999999999999998E-2</v>
      </c>
      <c r="G60" s="113">
        <v>2.8000000000000001E-2</v>
      </c>
      <c r="H60" s="113">
        <v>3.7999999999999999E-2</v>
      </c>
      <c r="I60" s="113">
        <v>4.8000000000000001E-2</v>
      </c>
      <c r="J60" s="113">
        <v>2.8000000000000001E-2</v>
      </c>
      <c r="K60" s="113">
        <v>6.2E-2</v>
      </c>
      <c r="L60" s="113">
        <v>3.7999999999999999E-2</v>
      </c>
      <c r="M60" s="113">
        <v>5.1999999999999998E-2</v>
      </c>
      <c r="N60" s="113">
        <v>5.3999999999999999E-2</v>
      </c>
      <c r="O60" s="113">
        <v>4.2000000000000003E-2</v>
      </c>
      <c r="P60" s="113">
        <v>2.1999999999999999E-2</v>
      </c>
      <c r="Q60" s="116" cm="1">
        <f t="array" ref="Q60">IF(COUNTA(B5:P5)=0,"",SUMPRODUCT(B5:P5,IFERROR(B60:P60,0)))</f>
        <v>4.4810000000000003E-2</v>
      </c>
      <c r="R60" s="113">
        <v>4.3700000000000003E-2</v>
      </c>
      <c r="S60" s="115">
        <f t="shared" si="6"/>
        <v>1.1099999999999999E-3</v>
      </c>
      <c r="T60" s="126">
        <f t="shared" si="7"/>
        <v>179.8293028961287</v>
      </c>
      <c r="U60" s="343">
        <f t="shared" si="5"/>
        <v>155.18123511757904</v>
      </c>
      <c r="W60" s="345">
        <f t="shared" si="2"/>
        <v>45413</v>
      </c>
      <c r="X60" s="344">
        <f t="shared" si="3"/>
        <v>179.8293028961287</v>
      </c>
      <c r="Y60" s="344">
        <f t="shared" si="4"/>
        <v>155.18123511757904</v>
      </c>
    </row>
    <row r="61" spans="1:25" ht="18" customHeight="1" x14ac:dyDescent="0.2">
      <c r="A61" s="121">
        <v>45444</v>
      </c>
      <c r="B61" s="113">
        <v>2.8000000000000001E-2</v>
      </c>
      <c r="C61" s="113">
        <v>8.0000000000000002E-3</v>
      </c>
      <c r="D61" s="113">
        <v>2.4E-2</v>
      </c>
      <c r="E61" s="113">
        <v>4.8000000000000001E-2</v>
      </c>
      <c r="F61" s="113">
        <v>3.7999999999999999E-2</v>
      </c>
      <c r="G61" s="113">
        <v>-1.7999999999999999E-2</v>
      </c>
      <c r="H61" s="113">
        <v>1.2E-2</v>
      </c>
      <c r="I61" s="113">
        <v>2.8000000000000001E-2</v>
      </c>
      <c r="J61" s="113">
        <v>8.0000000000000002E-3</v>
      </c>
      <c r="K61" s="113">
        <v>3.7999999999999999E-2</v>
      </c>
      <c r="L61" s="113">
        <v>1.7999999999999999E-2</v>
      </c>
      <c r="M61" s="113">
        <v>2.8000000000000001E-2</v>
      </c>
      <c r="N61" s="113">
        <v>4.2000000000000003E-2</v>
      </c>
      <c r="O61" s="113">
        <v>1.7999999999999999E-2</v>
      </c>
      <c r="P61" s="113">
        <v>-4.0000000000000001E-3</v>
      </c>
      <c r="Q61" s="114" cm="1">
        <f t="array" ref="Q61">IF(COUNTA(B5:P5)=0,"",SUMPRODUCT(B5:P5,IFERROR(B61:P61,0)))</f>
        <v>2.1730000000000003E-2</v>
      </c>
      <c r="R61" s="113">
        <v>2.1700000000000001E-2</v>
      </c>
      <c r="S61" s="112">
        <f t="shared" si="6"/>
        <v>3.0000000000002247E-5</v>
      </c>
      <c r="T61" s="125">
        <f t="shared" si="7"/>
        <v>183.73699364806157</v>
      </c>
      <c r="U61" s="343">
        <f t="shared" si="5"/>
        <v>158.5486679196305</v>
      </c>
      <c r="W61" s="345">
        <f t="shared" si="2"/>
        <v>45444</v>
      </c>
      <c r="X61" s="344">
        <f t="shared" si="3"/>
        <v>183.73699364806157</v>
      </c>
      <c r="Y61" s="344">
        <f t="shared" si="4"/>
        <v>158.5486679196305</v>
      </c>
    </row>
    <row r="62" spans="1:25" ht="18" customHeight="1" x14ac:dyDescent="0.2">
      <c r="A62" s="122">
        <v>45474</v>
      </c>
      <c r="B62" s="113">
        <v>4.8000000000000001E-2</v>
      </c>
      <c r="C62" s="113">
        <v>3.7999999999999999E-2</v>
      </c>
      <c r="D62" s="113">
        <v>5.1999999999999998E-2</v>
      </c>
      <c r="E62" s="113">
        <v>2.8000000000000001E-2</v>
      </c>
      <c r="F62" s="113">
        <v>3.4000000000000002E-2</v>
      </c>
      <c r="G62" s="113">
        <v>1.4E-2</v>
      </c>
      <c r="H62" s="113">
        <v>4.3999999999999997E-2</v>
      </c>
      <c r="I62" s="113">
        <v>4.8000000000000001E-2</v>
      </c>
      <c r="J62" s="113">
        <v>3.2000000000000001E-2</v>
      </c>
      <c r="K62" s="113">
        <v>5.3999999999999999E-2</v>
      </c>
      <c r="L62" s="113">
        <v>3.7999999999999999E-2</v>
      </c>
      <c r="M62" s="113">
        <v>1.4E-2</v>
      </c>
      <c r="N62" s="113">
        <v>3.4000000000000002E-2</v>
      </c>
      <c r="O62" s="113">
        <v>4.8000000000000001E-2</v>
      </c>
      <c r="P62" s="113">
        <v>2.8000000000000001E-2</v>
      </c>
      <c r="Q62" s="116" cm="1">
        <f t="array" ref="Q62">IF(COUNTA(B5:P5)=0,"",SUMPRODUCT(B5:P5,IFERROR(B62:P62,0)))</f>
        <v>3.6140000000000005E-2</v>
      </c>
      <c r="R62" s="113">
        <v>1.44E-2</v>
      </c>
      <c r="S62" s="115">
        <f t="shared" si="6"/>
        <v>2.1740000000000006E-2</v>
      </c>
      <c r="T62" s="126">
        <f t="shared" si="7"/>
        <v>190.37724859850252</v>
      </c>
      <c r="U62" s="343">
        <f t="shared" si="5"/>
        <v>160.83176873767317</v>
      </c>
      <c r="W62" s="345">
        <f t="shared" si="2"/>
        <v>45474</v>
      </c>
      <c r="X62" s="344">
        <f t="shared" si="3"/>
        <v>190.37724859850252</v>
      </c>
      <c r="Y62" s="344">
        <f t="shared" si="4"/>
        <v>160.83176873767317</v>
      </c>
    </row>
    <row r="63" spans="1:25" ht="18" customHeight="1" x14ac:dyDescent="0.2">
      <c r="A63" s="121">
        <v>45505</v>
      </c>
      <c r="B63" s="113">
        <v>3.7999999999999999E-2</v>
      </c>
      <c r="C63" s="113">
        <v>2.8000000000000001E-2</v>
      </c>
      <c r="D63" s="113">
        <v>3.4000000000000002E-2</v>
      </c>
      <c r="E63" s="113">
        <v>4.8000000000000001E-2</v>
      </c>
      <c r="F63" s="113">
        <v>4.2000000000000003E-2</v>
      </c>
      <c r="G63" s="113">
        <v>1.7999999999999999E-2</v>
      </c>
      <c r="H63" s="113">
        <v>2.8000000000000001E-2</v>
      </c>
      <c r="I63" s="113">
        <v>3.4000000000000002E-2</v>
      </c>
      <c r="J63" s="113">
        <v>2.8000000000000001E-2</v>
      </c>
      <c r="K63" s="113">
        <v>3.7999999999999999E-2</v>
      </c>
      <c r="L63" s="113">
        <v>2.8000000000000001E-2</v>
      </c>
      <c r="M63" s="113">
        <v>2.8000000000000001E-2</v>
      </c>
      <c r="N63" s="113">
        <v>4.2000000000000003E-2</v>
      </c>
      <c r="O63" s="113">
        <v>3.2000000000000001E-2</v>
      </c>
      <c r="P63" s="113">
        <v>2.1999999999999999E-2</v>
      </c>
      <c r="Q63" s="114" cm="1">
        <f t="array" ref="Q63">IF(COUNTA(B5:P5)=0,"",SUMPRODUCT(B5:P5,IFERROR(B63:P63,0)))</f>
        <v>3.295E-2</v>
      </c>
      <c r="R63" s="113">
        <v>2.7400000000000001E-2</v>
      </c>
      <c r="S63" s="112">
        <f t="shared" si="6"/>
        <v>5.5499999999999994E-3</v>
      </c>
      <c r="T63" s="125">
        <f t="shared" si="7"/>
        <v>196.65017893982318</v>
      </c>
      <c r="U63" s="343">
        <f t="shared" si="5"/>
        <v>165.23855920108542</v>
      </c>
      <c r="W63" s="345">
        <f t="shared" si="2"/>
        <v>45505</v>
      </c>
      <c r="X63" s="344">
        <f t="shared" si="3"/>
        <v>196.65017893982318</v>
      </c>
      <c r="Y63" s="344">
        <f t="shared" si="4"/>
        <v>165.23855920108542</v>
      </c>
    </row>
    <row r="64" spans="1:25" ht="18" customHeight="1" x14ac:dyDescent="0.2">
      <c r="A64" s="122">
        <v>45536</v>
      </c>
      <c r="B64" s="113">
        <v>1.7999999999999999E-2</v>
      </c>
      <c r="C64" s="113">
        <v>8.0000000000000002E-3</v>
      </c>
      <c r="D64" s="113">
        <v>2.4E-2</v>
      </c>
      <c r="E64" s="113">
        <v>3.7999999999999999E-2</v>
      </c>
      <c r="F64" s="113">
        <v>2.8000000000000001E-2</v>
      </c>
      <c r="G64" s="113">
        <v>1.2E-2</v>
      </c>
      <c r="H64" s="113">
        <v>1.7999999999999999E-2</v>
      </c>
      <c r="I64" s="113">
        <v>2.4E-2</v>
      </c>
      <c r="J64" s="113">
        <v>1.4E-2</v>
      </c>
      <c r="K64" s="113">
        <v>2.8000000000000001E-2</v>
      </c>
      <c r="L64" s="113">
        <v>1.7999999999999999E-2</v>
      </c>
      <c r="M64" s="113">
        <v>1.7999999999999999E-2</v>
      </c>
      <c r="N64" s="113">
        <v>2.8000000000000001E-2</v>
      </c>
      <c r="O64" s="113">
        <v>1.7999999999999999E-2</v>
      </c>
      <c r="P64" s="113">
        <v>1.2E-2</v>
      </c>
      <c r="Q64" s="116" cm="1">
        <f t="array" ref="Q64">IF(COUNTA(B5:P5)=0,"",SUMPRODUCT(B5:P5,IFERROR(B64:P64,0)))</f>
        <v>2.0950000000000003E-2</v>
      </c>
      <c r="R64" s="113">
        <v>1.7500000000000002E-2</v>
      </c>
      <c r="S64" s="115">
        <f t="shared" si="6"/>
        <v>3.4500000000000017E-3</v>
      </c>
      <c r="T64" s="126">
        <f t="shared" si="7"/>
        <v>200.77000018861247</v>
      </c>
      <c r="U64" s="343">
        <f t="shared" si="5"/>
        <v>168.13023398710442</v>
      </c>
      <c r="W64" s="345">
        <f t="shared" si="2"/>
        <v>45536</v>
      </c>
      <c r="X64" s="344">
        <f t="shared" si="3"/>
        <v>200.77000018861247</v>
      </c>
      <c r="Y64" s="344">
        <f t="shared" si="4"/>
        <v>168.13023398710442</v>
      </c>
    </row>
    <row r="65" spans="1:25" ht="18" customHeight="1" x14ac:dyDescent="0.2">
      <c r="A65" s="121">
        <v>45566</v>
      </c>
      <c r="B65" s="113">
        <v>-1.7999999999999999E-2</v>
      </c>
      <c r="C65" s="113">
        <v>-3.4000000000000002E-2</v>
      </c>
      <c r="D65" s="113">
        <v>-1.4E-2</v>
      </c>
      <c r="E65" s="113">
        <v>-4.8000000000000001E-2</v>
      </c>
      <c r="F65" s="113">
        <v>-2.8000000000000001E-2</v>
      </c>
      <c r="G65" s="113">
        <v>-9.8000000000000004E-2</v>
      </c>
      <c r="H65" s="113">
        <v>-3.7999999999999999E-2</v>
      </c>
      <c r="I65" s="113">
        <v>-2.4E-2</v>
      </c>
      <c r="J65" s="113">
        <v>-4.2000000000000003E-2</v>
      </c>
      <c r="K65" s="113">
        <v>-1.4E-2</v>
      </c>
      <c r="L65" s="113">
        <v>-1.4E-2</v>
      </c>
      <c r="M65" s="113">
        <v>-3.7999999999999999E-2</v>
      </c>
      <c r="N65" s="113">
        <v>-1.7999999999999999E-2</v>
      </c>
      <c r="O65" s="113">
        <v>-1.2E-2</v>
      </c>
      <c r="P65" s="113">
        <v>-2.8000000000000001E-2</v>
      </c>
      <c r="Q65" s="114" cm="1">
        <f t="array" ref="Q65">IF(COUNTA(B5:P5)=0,"",SUMPRODUCT(B5:P5,IFERROR(B65:P65,0)))</f>
        <v>-3.2450000000000007E-2</v>
      </c>
      <c r="R65" s="113">
        <v>-2.0299999999999999E-2</v>
      </c>
      <c r="S65" s="112">
        <f t="shared" si="6"/>
        <v>-1.2150000000000008E-2</v>
      </c>
      <c r="T65" s="125">
        <f t="shared" si="7"/>
        <v>194.25501368249201</v>
      </c>
      <c r="U65" s="343">
        <f t="shared" si="5"/>
        <v>164.71719023716619</v>
      </c>
      <c r="W65" s="345">
        <f t="shared" si="2"/>
        <v>45566</v>
      </c>
      <c r="X65" s="344">
        <f t="shared" si="3"/>
        <v>194.25501368249201</v>
      </c>
      <c r="Y65" s="344">
        <f t="shared" si="4"/>
        <v>164.71719023716619</v>
      </c>
    </row>
    <row r="66" spans="1:25" ht="18" customHeight="1" x14ac:dyDescent="0.2">
      <c r="A66" s="122">
        <v>45597</v>
      </c>
      <c r="B66" s="113">
        <v>8.2000000000000003E-2</v>
      </c>
      <c r="C66" s="113">
        <v>5.3999999999999999E-2</v>
      </c>
      <c r="D66" s="113">
        <v>7.8E-2</v>
      </c>
      <c r="E66" s="113">
        <v>4.8000000000000001E-2</v>
      </c>
      <c r="F66" s="113">
        <v>4.2000000000000003E-2</v>
      </c>
      <c r="G66" s="113">
        <v>-3.7999999999999999E-2</v>
      </c>
      <c r="H66" s="113">
        <v>6.4000000000000001E-2</v>
      </c>
      <c r="I66" s="113">
        <v>5.8000000000000003E-2</v>
      </c>
      <c r="J66" s="113">
        <v>6.8000000000000005E-2</v>
      </c>
      <c r="K66" s="113">
        <v>7.8E-2</v>
      </c>
      <c r="L66" s="113">
        <v>5.8000000000000003E-2</v>
      </c>
      <c r="M66" s="113">
        <v>5.8000000000000003E-2</v>
      </c>
      <c r="N66" s="113">
        <v>6.4000000000000001E-2</v>
      </c>
      <c r="O66" s="113">
        <v>8.7999999999999995E-2</v>
      </c>
      <c r="P66" s="113">
        <v>3.7999999999999999E-2</v>
      </c>
      <c r="Q66" s="116" cm="1">
        <f t="array" ref="Q66">IF(COUNTA(B5:P5)=0,"",SUMPRODUCT(B5:P5,IFERROR(B66:P66,0)))</f>
        <v>5.33E-2</v>
      </c>
      <c r="R66" s="113">
        <v>4.7699999999999999E-2</v>
      </c>
      <c r="S66" s="115">
        <f t="shared" si="6"/>
        <v>5.6000000000000008E-3</v>
      </c>
      <c r="T66" s="126">
        <f t="shared" si="7"/>
        <v>204.6088059117688</v>
      </c>
      <c r="U66" s="343">
        <f t="shared" si="5"/>
        <v>172.57420021147902</v>
      </c>
      <c r="W66" s="345">
        <f t="shared" si="2"/>
        <v>45597</v>
      </c>
      <c r="X66" s="344">
        <f t="shared" si="3"/>
        <v>204.6088059117688</v>
      </c>
      <c r="Y66" s="344">
        <f t="shared" si="4"/>
        <v>172.57420021147902</v>
      </c>
    </row>
    <row r="67" spans="1:25" ht="18" customHeight="1" x14ac:dyDescent="0.2">
      <c r="A67" s="123">
        <v>45627</v>
      </c>
      <c r="B67" s="117">
        <v>-2.4E-2</v>
      </c>
      <c r="C67" s="117">
        <v>-4.8000000000000001E-2</v>
      </c>
      <c r="D67" s="117">
        <v>-1.7999999999999999E-2</v>
      </c>
      <c r="E67" s="117">
        <v>-3.7999999999999999E-2</v>
      </c>
      <c r="F67" s="117">
        <v>-2.8000000000000001E-2</v>
      </c>
      <c r="G67" s="117">
        <v>-7.1999999999999995E-2</v>
      </c>
      <c r="H67" s="117">
        <v>-5.3999999999999999E-2</v>
      </c>
      <c r="I67" s="117">
        <v>-3.2000000000000001E-2</v>
      </c>
      <c r="J67" s="117">
        <v>-4.8000000000000001E-2</v>
      </c>
      <c r="K67" s="117">
        <v>-1.7999999999999999E-2</v>
      </c>
      <c r="L67" s="117">
        <v>-1.7999999999999999E-2</v>
      </c>
      <c r="M67" s="117">
        <v>-3.7999999999999999E-2</v>
      </c>
      <c r="N67" s="117">
        <v>-2.4E-2</v>
      </c>
      <c r="O67" s="117">
        <v>-1.7999999999999999E-2</v>
      </c>
      <c r="P67" s="117">
        <v>-3.4000000000000002E-2</v>
      </c>
      <c r="Q67" s="118" cm="1">
        <f t="array" ref="Q67">IF(COUNTA(B5:P5)=0,"",SUMPRODUCT(B5:P5,IFERROR(B67:P67,0)))</f>
        <v>-3.4449999999999995E-2</v>
      </c>
      <c r="R67" s="117">
        <v>-2.4799999999999999E-2</v>
      </c>
      <c r="S67" s="119">
        <f t="shared" si="6"/>
        <v>-9.6499999999999954E-3</v>
      </c>
      <c r="T67" s="127">
        <f t="shared" si="7"/>
        <v>197.56003254810835</v>
      </c>
      <c r="U67" s="343">
        <f t="shared" si="5"/>
        <v>168.29436004623435</v>
      </c>
      <c r="W67" s="345">
        <f t="shared" si="2"/>
        <v>45627</v>
      </c>
      <c r="X67" s="344">
        <f t="shared" si="3"/>
        <v>197.56003254810835</v>
      </c>
      <c r="Y67" s="344">
        <f t="shared" si="4"/>
        <v>168.29436004623435</v>
      </c>
    </row>
    <row r="70" spans="1:25" ht="28" customHeight="1" x14ac:dyDescent="0.2">
      <c r="A70" s="302" t="s">
        <v>202</v>
      </c>
      <c r="B70" s="295"/>
      <c r="C70" s="295"/>
      <c r="D70" s="296"/>
    </row>
    <row r="71" spans="1:25" ht="24" customHeight="1" x14ac:dyDescent="0.2">
      <c r="A71" s="132" t="s">
        <v>203</v>
      </c>
      <c r="B71" s="86" t="s">
        <v>204</v>
      </c>
      <c r="C71" s="86" t="s">
        <v>205</v>
      </c>
      <c r="D71" s="92" t="s">
        <v>206</v>
      </c>
    </row>
    <row r="72" spans="1:25" ht="22" customHeight="1" x14ac:dyDescent="0.2">
      <c r="A72" s="88" t="s">
        <v>207</v>
      </c>
      <c r="B72" s="128">
        <f>IF(T67="","",T67/100-1)</f>
        <v>0.97560032548108344</v>
      </c>
      <c r="C72" s="128" cm="1">
        <f t="array" ref="C72">IFERROR(PRODUCT(1+R8:R67)-1,"")</f>
        <v>0.68294360046234415</v>
      </c>
      <c r="D72" s="134">
        <f>IF(OR(B72="",C72=""),"",B72-C72)</f>
        <v>0.29265672501873929</v>
      </c>
    </row>
    <row r="73" spans="1:25" ht="22" customHeight="1" x14ac:dyDescent="0.2">
      <c r="A73" s="89" t="s">
        <v>208</v>
      </c>
      <c r="B73" s="129">
        <f>IF(B72="","",((1+B72)^(1/5))-1)</f>
        <v>0.14588179000230528</v>
      </c>
      <c r="C73" s="129">
        <f>IF(C72="","",((1+C72)^(1/5))-1)</f>
        <v>0.10972127553070443</v>
      </c>
      <c r="D73" s="135">
        <f>IF(OR(B73="",C73=""),"",B73-C73)</f>
        <v>3.6160514471600846E-2</v>
      </c>
    </row>
    <row r="74" spans="1:25" ht="22" customHeight="1" x14ac:dyDescent="0.2">
      <c r="A74" s="90" t="s">
        <v>209</v>
      </c>
      <c r="B74" s="130">
        <f>IF(COUNTA(Q8:Q67)=0,"",MAX(Q8:Q67))</f>
        <v>0.14359999999999998</v>
      </c>
      <c r="C74" s="130">
        <f>IF(COUNTA(R8:R67)=0,"",MAX(R8:R67))</f>
        <v>0.12640000000000001</v>
      </c>
      <c r="D74" s="136">
        <f>IF(OR(B74="",C74=""),"",B74-C74)</f>
        <v>1.7199999999999965E-2</v>
      </c>
    </row>
    <row r="75" spans="1:25" ht="22" customHeight="1" x14ac:dyDescent="0.2">
      <c r="A75" s="89" t="s">
        <v>210</v>
      </c>
      <c r="B75" s="129">
        <f>IF(COUNTA(Q8:Q67)=0,"",MIN(Q8:Q67))</f>
        <v>-0.14731500000000003</v>
      </c>
      <c r="C75" s="129">
        <f>IF(COUNTA(R8:R67)=0,"",MIN(R8:R67))</f>
        <v>-0.13270000000000001</v>
      </c>
      <c r="D75" s="135">
        <f>IF(OR(B75="",C75=""),"",B75-C75)</f>
        <v>-1.4615000000000017E-2</v>
      </c>
    </row>
    <row r="76" spans="1:25" ht="22" customHeight="1" x14ac:dyDescent="0.2">
      <c r="A76" s="133" t="s">
        <v>211</v>
      </c>
      <c r="B76" s="131">
        <f>COUNTIF(Q8:Q67,"&gt;0")</f>
        <v>39</v>
      </c>
      <c r="C76" s="131">
        <f>COUNTIF(R8:R67,"&gt;0")</f>
        <v>37</v>
      </c>
      <c r="D76" s="137">
        <f>IF(OR(B76="",C76=""),"",B76-C76)</f>
        <v>2</v>
      </c>
    </row>
  </sheetData>
  <mergeCells count="4">
    <mergeCell ref="A1:T1"/>
    <mergeCell ref="A2:T2"/>
    <mergeCell ref="A4:T4"/>
    <mergeCell ref="A70:D7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6C26-B9F5-BA49-AAAD-E7EF6FD906AD}">
  <dimension ref="A1:J29"/>
  <sheetViews>
    <sheetView workbookViewId="0">
      <selection activeCell="H26" sqref="H26"/>
    </sheetView>
  </sheetViews>
  <sheetFormatPr baseColWidth="10" defaultRowHeight="16" x14ac:dyDescent="0.2"/>
  <cols>
    <col min="1" max="1" width="24.6640625" customWidth="1"/>
    <col min="2" max="10" width="13" customWidth="1"/>
  </cols>
  <sheetData>
    <row r="1" spans="1:10" ht="36" customHeight="1" x14ac:dyDescent="0.2">
      <c r="A1" s="298" t="s">
        <v>214</v>
      </c>
      <c r="B1" s="293"/>
      <c r="C1" s="293"/>
      <c r="D1" s="293"/>
      <c r="E1" s="293"/>
      <c r="F1" s="293"/>
      <c r="G1" s="293"/>
      <c r="H1" s="293"/>
      <c r="I1" s="293"/>
      <c r="J1" s="293"/>
    </row>
    <row r="2" spans="1:10" ht="20" customHeight="1" x14ac:dyDescent="0.2">
      <c r="A2" s="299" t="s">
        <v>215</v>
      </c>
      <c r="B2" s="293"/>
      <c r="C2" s="293"/>
      <c r="D2" s="293"/>
      <c r="E2" s="293"/>
      <c r="F2" s="293"/>
      <c r="G2" s="293"/>
      <c r="H2" s="293"/>
      <c r="I2" s="293"/>
      <c r="J2" s="293"/>
    </row>
    <row r="3" spans="1:10" ht="8" customHeight="1" x14ac:dyDescent="0.2"/>
    <row r="4" spans="1:10" ht="20" customHeight="1" x14ac:dyDescent="0.2">
      <c r="A4" s="307" t="s">
        <v>212</v>
      </c>
      <c r="B4" s="293"/>
      <c r="C4" s="293"/>
      <c r="D4" s="293"/>
      <c r="E4" s="293"/>
      <c r="F4" s="293"/>
      <c r="G4" s="293"/>
      <c r="H4" s="293"/>
      <c r="I4" s="293"/>
      <c r="J4" s="293"/>
    </row>
    <row r="5" spans="1:10" ht="20" customHeight="1" x14ac:dyDescent="0.2">
      <c r="A5" s="138" t="s">
        <v>213</v>
      </c>
      <c r="B5" s="139" t="s">
        <v>216</v>
      </c>
      <c r="C5" s="321" t="s">
        <v>217</v>
      </c>
      <c r="D5" s="322"/>
      <c r="E5" s="322"/>
      <c r="F5" s="322"/>
      <c r="G5" s="322"/>
      <c r="H5" s="322"/>
      <c r="I5" s="322"/>
      <c r="J5" s="322"/>
    </row>
    <row r="6" spans="1:10" ht="20" customHeight="1" x14ac:dyDescent="0.2">
      <c r="A6" s="140" t="s">
        <v>218</v>
      </c>
      <c r="B6" s="141" t="s">
        <v>219</v>
      </c>
      <c r="C6" s="312" t="s">
        <v>220</v>
      </c>
      <c r="D6" s="313"/>
      <c r="E6" s="313"/>
      <c r="F6" s="313"/>
      <c r="G6" s="313"/>
      <c r="H6" s="313"/>
      <c r="I6" s="313"/>
      <c r="J6" s="313"/>
    </row>
    <row r="7" spans="1:10" ht="20" customHeight="1" x14ac:dyDescent="0.2">
      <c r="A7" s="138" t="s">
        <v>221</v>
      </c>
      <c r="B7" s="139" t="s">
        <v>222</v>
      </c>
      <c r="C7" s="321" t="s">
        <v>223</v>
      </c>
      <c r="D7" s="322"/>
      <c r="E7" s="322"/>
      <c r="F7" s="322"/>
      <c r="G7" s="322"/>
      <c r="H7" s="322"/>
      <c r="I7" s="322"/>
      <c r="J7" s="322"/>
    </row>
    <row r="8" spans="1:10" ht="20" customHeight="1" x14ac:dyDescent="0.2">
      <c r="A8" s="140" t="s">
        <v>224</v>
      </c>
      <c r="B8" s="141" t="s">
        <v>225</v>
      </c>
      <c r="C8" s="312" t="s">
        <v>226</v>
      </c>
      <c r="D8" s="313"/>
      <c r="E8" s="313"/>
      <c r="F8" s="313"/>
      <c r="G8" s="313"/>
      <c r="H8" s="313"/>
      <c r="I8" s="313"/>
      <c r="J8" s="313"/>
    </row>
    <row r="9" spans="1:10" ht="10" customHeight="1" x14ac:dyDescent="0.2"/>
    <row r="10" spans="1:10" ht="22" customHeight="1" x14ac:dyDescent="0.2">
      <c r="A10" s="54" t="s">
        <v>227</v>
      </c>
      <c r="B10" s="108">
        <f>IFERROR(Backtest!C73,"")</f>
        <v>0.10972127553070443</v>
      </c>
      <c r="C10" s="309" t="s">
        <v>228</v>
      </c>
      <c r="D10" s="314"/>
      <c r="E10" s="314"/>
      <c r="F10" s="314"/>
      <c r="G10" s="314"/>
      <c r="H10" s="314"/>
      <c r="I10" s="314"/>
      <c r="J10" s="314"/>
    </row>
    <row r="11" spans="1:10" ht="8" customHeight="1" x14ac:dyDescent="0.2">
      <c r="F11" s="348" t="s">
        <v>386</v>
      </c>
    </row>
    <row r="12" spans="1:10" ht="42" customHeight="1" x14ac:dyDescent="0.2">
      <c r="A12" s="155" t="s">
        <v>57</v>
      </c>
      <c r="B12" s="66" t="s">
        <v>229</v>
      </c>
      <c r="C12" s="67" t="s">
        <v>230</v>
      </c>
      <c r="D12" s="66" t="s">
        <v>231</v>
      </c>
      <c r="E12" s="67" t="s">
        <v>232</v>
      </c>
      <c r="F12" s="67" t="s">
        <v>233</v>
      </c>
      <c r="G12" s="66" t="s">
        <v>234</v>
      </c>
      <c r="H12" s="66" t="s">
        <v>235</v>
      </c>
      <c r="I12" s="66" t="s">
        <v>236</v>
      </c>
      <c r="J12" s="75" t="s">
        <v>237</v>
      </c>
    </row>
    <row r="13" spans="1:10" ht="24" customHeight="1" x14ac:dyDescent="0.2">
      <c r="A13" s="71" t="s">
        <v>61</v>
      </c>
      <c r="B13" s="143">
        <f>IFERROR(SUMIF(Portfolio!$E$5:$E$19,A13,Portfolio!$F$5:$F$19),"")</f>
        <v>0.32</v>
      </c>
      <c r="C13" s="144">
        <v>0.245</v>
      </c>
      <c r="D13" s="143">
        <f t="shared" ref="D13:D19" si="0">IF(OR(B13="",C13=""),"",B13-C13)</f>
        <v>7.5000000000000011E-2</v>
      </c>
      <c r="E13" s="144" cm="1">
        <f t="array" ref="E13">IFERROR((0.085*((PRODUCT(1+Backtest!E8:E67))^(1/5)-1)+0.055*((PRODUCT(1+Backtest!H8:H67))^(1/5)-1)+0.065*((PRODUCT(1+Backtest!M8:M67))^(1/5)-1)+0.05*((PRODUCT(1+Backtest!O8:O67))^(1/5)-1)+0.065*((PRODUCT(1+Backtest!P8:P67))^(1/5)-1))/0.32,"")</f>
        <v>0.10631861728187508</v>
      </c>
      <c r="F13" s="144">
        <v>0.129</v>
      </c>
      <c r="G13" s="143">
        <f t="shared" ref="G13:G19" si="1">IF(OR(E13="",F13=""),"",E13-F13)</f>
        <v>-2.2681382718124921E-2</v>
      </c>
      <c r="H13" s="145">
        <f>IF(OR(D13="",F13="",B10=""),"",D13*(F13-B10))</f>
        <v>1.445904335197168E-3</v>
      </c>
      <c r="I13" s="146">
        <f t="shared" ref="I13:I19" si="2">IF(OR(C13="",G13=""),"",C13*G13)</f>
        <v>-5.5569387659406052E-3</v>
      </c>
      <c r="J13" s="157">
        <f t="shared" ref="J13:J19" si="3">IF(OR(D13="",G13=""),"",D13*G13)</f>
        <v>-1.7011037038593693E-3</v>
      </c>
    </row>
    <row r="14" spans="1:10" ht="24" customHeight="1" x14ac:dyDescent="0.2">
      <c r="A14" s="72" t="s">
        <v>79</v>
      </c>
      <c r="B14" s="147">
        <f>IFERROR(SUMIF(Portfolio!$E$5:$E$19,A14,Portfolio!$F$5:$F$19),"")</f>
        <v>0.185</v>
      </c>
      <c r="C14" s="148">
        <v>0.17499999999999999</v>
      </c>
      <c r="D14" s="147">
        <f t="shared" si="0"/>
        <v>1.0000000000000009E-2</v>
      </c>
      <c r="E14" s="148" cm="1">
        <f t="array" ref="E14">IFERROR((0.07*((PRODUCT(1+Backtest!B8:B67))^(1/5)-1)+0.065*((PRODUCT(1+Backtest!D8:D67))^(1/5)-1)+0.05*((PRODUCT(1+Backtest!K8:K67))^(1/5)-1))/0.185,"")</f>
        <v>0.21298217797925259</v>
      </c>
      <c r="F14" s="148">
        <v>9.4E-2</v>
      </c>
      <c r="G14" s="147">
        <f t="shared" si="1"/>
        <v>0.11898217797925259</v>
      </c>
      <c r="H14" s="149">
        <f>IF(OR(D14="",F14="",B10=""),"",D14*(F14-B10))</f>
        <v>-1.5721275530704445E-4</v>
      </c>
      <c r="I14" s="150">
        <f t="shared" si="2"/>
        <v>2.0821881146369202E-2</v>
      </c>
      <c r="J14" s="158">
        <f t="shared" si="3"/>
        <v>1.189821779792527E-3</v>
      </c>
    </row>
    <row r="15" spans="1:10" ht="24" customHeight="1" x14ac:dyDescent="0.2">
      <c r="A15" s="73" t="s">
        <v>95</v>
      </c>
      <c r="B15" s="151">
        <f>IFERROR(SUMIF(Portfolio!$E$5:$E$19,A15,Portfolio!$F$5:$F$19),"")</f>
        <v>0.27</v>
      </c>
      <c r="C15" s="148">
        <v>0.115</v>
      </c>
      <c r="D15" s="151">
        <f t="shared" si="0"/>
        <v>0.15500000000000003</v>
      </c>
      <c r="E15" s="148" cm="1">
        <f t="array" ref="E15">IFERROR((0.06*((PRODUCT(1+Backtest!C8:C67))^(1/5)-1)+0.08*((PRODUCT(1+Backtest!G8:G67))^(1/5)-1)+0.08*((PRODUCT(1+Backtest!I8:I67))^(1/5)-1)+0.05*((PRODUCT(1+Backtest!J8:J67))^(1/5)-1))/0.27,"")</f>
        <v>7.6167984601217431E-2</v>
      </c>
      <c r="F15" s="148">
        <v>7.5999999999999998E-2</v>
      </c>
      <c r="G15" s="151">
        <f t="shared" si="1"/>
        <v>1.6798460121743297E-4</v>
      </c>
      <c r="H15" s="152">
        <f>IF(OR(D15="",F15="",B10=""),"",D15*(F15-B10))</f>
        <v>-5.2267977072591879E-3</v>
      </c>
      <c r="I15" s="153">
        <f t="shared" si="2"/>
        <v>1.9318229140004792E-5</v>
      </c>
      <c r="J15" s="159">
        <f t="shared" si="3"/>
        <v>2.6037613188702114E-5</v>
      </c>
    </row>
    <row r="16" spans="1:10" ht="24" customHeight="1" x14ac:dyDescent="0.2">
      <c r="A16" s="72" t="s">
        <v>107</v>
      </c>
      <c r="B16" s="147">
        <f>IFERROR(SUMIF(Portfolio!$E$5:$E$19,A16,Portfolio!$F$5:$F$19),"")</f>
        <v>0.15500000000000003</v>
      </c>
      <c r="C16" s="148">
        <v>0.105</v>
      </c>
      <c r="D16" s="147">
        <f t="shared" si="0"/>
        <v>5.0000000000000031E-2</v>
      </c>
      <c r="E16" s="148" cm="1">
        <f t="array" ref="E16">IFERROR((0.085*((PRODUCT(1+Backtest!F8:F67))^(1/5)-1)+0.07*((PRODUCT(1+Backtest!N8:N67))^(1/5)-1))/0.155,"")</f>
        <v>0.25945159180337485</v>
      </c>
      <c r="F16" s="148">
        <v>0.10199999999999999</v>
      </c>
      <c r="G16" s="147">
        <f t="shared" si="1"/>
        <v>0.15745159180337487</v>
      </c>
      <c r="H16" s="149">
        <f>IF(OR(D16="",F16="",B10=""),"",D16*(F16-B10))</f>
        <v>-3.8606377653522216E-4</v>
      </c>
      <c r="I16" s="150">
        <f t="shared" si="2"/>
        <v>1.6532417139354362E-2</v>
      </c>
      <c r="J16" s="158">
        <f t="shared" si="3"/>
        <v>7.8725795901687483E-3</v>
      </c>
    </row>
    <row r="17" spans="1:10" ht="24" customHeight="1" x14ac:dyDescent="0.2">
      <c r="A17" s="73" t="s">
        <v>112</v>
      </c>
      <c r="B17" s="151">
        <f>IFERROR(SUMIF(Portfolio!$E$5:$E$19,A17,Portfolio!$F$5:$F$19),"")</f>
        <v>0</v>
      </c>
      <c r="C17" s="148">
        <v>7.4999999999999997E-2</v>
      </c>
      <c r="D17" s="151">
        <f t="shared" si="0"/>
        <v>-7.4999999999999997E-2</v>
      </c>
      <c r="E17" s="148">
        <v>0</v>
      </c>
      <c r="F17" s="148">
        <v>4.2000000000000003E-2</v>
      </c>
      <c r="G17" s="151">
        <f t="shared" si="1"/>
        <v>-4.2000000000000003E-2</v>
      </c>
      <c r="H17" s="152">
        <f>IF(OR(D17="",F17="",B10=""),"",D17*(F17-B10))</f>
        <v>5.0790956648028313E-3</v>
      </c>
      <c r="I17" s="153">
        <f t="shared" si="2"/>
        <v>-3.15E-3</v>
      </c>
      <c r="J17" s="159">
        <f t="shared" si="3"/>
        <v>3.15E-3</v>
      </c>
    </row>
    <row r="18" spans="1:10" ht="24" customHeight="1" x14ac:dyDescent="0.2">
      <c r="A18" s="72" t="s">
        <v>122</v>
      </c>
      <c r="B18" s="147">
        <f>IFERROR(SUMIF(Portfolio!$E$5:$E$19,A18,Portfolio!$F$5:$F$19),"")</f>
        <v>7.0000000000000007E-2</v>
      </c>
      <c r="C18" s="148">
        <v>0.105</v>
      </c>
      <c r="D18" s="147">
        <f t="shared" si="0"/>
        <v>-3.4999999999999989E-2</v>
      </c>
      <c r="E18" s="148" cm="1">
        <f t="array" ref="E18">IFERROR((PRODUCT(1+Backtest!L8:L67))^(1/5)-1,"")</f>
        <v>0.17967914062511681</v>
      </c>
      <c r="F18" s="148">
        <v>8.7999999999999995E-2</v>
      </c>
      <c r="G18" s="147">
        <f t="shared" si="1"/>
        <v>9.1679140625116812E-2</v>
      </c>
      <c r="H18" s="149">
        <f>IF(OR(D18="",F18="",B10=""),"",D18*(F18-B10))</f>
        <v>7.6024464357465503E-4</v>
      </c>
      <c r="I18" s="150">
        <f t="shared" si="2"/>
        <v>9.626309765637265E-3</v>
      </c>
      <c r="J18" s="158">
        <f t="shared" si="3"/>
        <v>-3.2087699218790876E-3</v>
      </c>
    </row>
    <row r="19" spans="1:10" ht="24" customHeight="1" x14ac:dyDescent="0.2">
      <c r="A19" s="73" t="s">
        <v>185</v>
      </c>
      <c r="B19" s="151">
        <f>IFERROR(SUMIF(Portfolio!$E$5:$E$19,A19,Portfolio!$F$5:$F$19),"")</f>
        <v>0</v>
      </c>
      <c r="C19" s="148">
        <v>0.18</v>
      </c>
      <c r="D19" s="151">
        <f t="shared" si="0"/>
        <v>-0.18</v>
      </c>
      <c r="E19" s="148">
        <v>0</v>
      </c>
      <c r="F19" s="148">
        <v>5.0999999999999997E-2</v>
      </c>
      <c r="G19" s="151">
        <f t="shared" si="1"/>
        <v>-5.0999999999999997E-2</v>
      </c>
      <c r="H19" s="152">
        <f>IF(OR(D19="",F19="",B10=""),"",D19*(F19-B10))</f>
        <v>1.0569829595526797E-2</v>
      </c>
      <c r="I19" s="153">
        <f t="shared" si="2"/>
        <v>-9.1799999999999989E-3</v>
      </c>
      <c r="J19" s="159">
        <f t="shared" si="3"/>
        <v>9.1799999999999989E-3</v>
      </c>
    </row>
    <row r="20" spans="1:10" ht="26" customHeight="1" x14ac:dyDescent="0.2">
      <c r="A20" s="156" t="s">
        <v>238</v>
      </c>
      <c r="B20" s="354">
        <f>IFERROR(SUM(B13:B19),"")</f>
        <v>1</v>
      </c>
      <c r="C20" s="354">
        <f>IFERROR(SUM(C13:C19),"")</f>
        <v>1</v>
      </c>
      <c r="D20" s="355">
        <f t="shared" ref="B20:J20" si="4">IFERROR(SUM(D13:D19),"")</f>
        <v>0</v>
      </c>
      <c r="E20" s="354">
        <f>IFERROR(Backtest!B73,"")</f>
        <v>0.14588179000230528</v>
      </c>
      <c r="F20" s="354">
        <f>IFERROR(Backtest!C73,"")</f>
        <v>0.10972127553070443</v>
      </c>
      <c r="G20" s="355">
        <f>IF(OR(E20="",F20=""),"",E20-F20)</f>
        <v>3.6160514471600846E-2</v>
      </c>
      <c r="H20" s="354">
        <f t="shared" si="4"/>
        <v>1.2084999999999997E-2</v>
      </c>
      <c r="I20" s="355">
        <f t="shared" si="4"/>
        <v>2.9112987514560228E-2</v>
      </c>
      <c r="J20" s="356">
        <f t="shared" si="4"/>
        <v>1.650856535741152E-2</v>
      </c>
    </row>
    <row r="23" spans="1:10" ht="28" customHeight="1" x14ac:dyDescent="0.2">
      <c r="A23" s="302" t="s">
        <v>239</v>
      </c>
      <c r="B23" s="295"/>
      <c r="C23" s="295"/>
      <c r="D23" s="295"/>
      <c r="E23" s="296"/>
    </row>
    <row r="24" spans="1:10" ht="24" customHeight="1" x14ac:dyDescent="0.2">
      <c r="A24" s="132" t="s">
        <v>240</v>
      </c>
      <c r="B24" s="86" t="s">
        <v>241</v>
      </c>
      <c r="C24" s="86" t="s">
        <v>242</v>
      </c>
      <c r="D24" s="86" t="s">
        <v>243</v>
      </c>
      <c r="E24" s="92"/>
    </row>
    <row r="25" spans="1:10" ht="22" customHeight="1" x14ac:dyDescent="0.2">
      <c r="A25" s="168" t="s">
        <v>244</v>
      </c>
      <c r="B25" s="161">
        <f>IFERROR(H20,"")</f>
        <v>1.2084999999999997E-2</v>
      </c>
      <c r="C25" s="160">
        <f>IFERROR(H20/(H20+I20+J20),"")</f>
        <v>0.20942162368997991</v>
      </c>
      <c r="D25" s="315" t="s">
        <v>245</v>
      </c>
      <c r="E25" s="316"/>
    </row>
    <row r="26" spans="1:10" ht="22" customHeight="1" x14ac:dyDescent="0.2">
      <c r="A26" s="169" t="s">
        <v>246</v>
      </c>
      <c r="B26" s="163">
        <f>IFERROR(I20,"")</f>
        <v>2.9112987514560228E-2</v>
      </c>
      <c r="C26" s="162">
        <f>IFERROR(I20/(H20+I20+J20),"")</f>
        <v>0.50450054743610406</v>
      </c>
      <c r="D26" s="317" t="s">
        <v>247</v>
      </c>
      <c r="E26" s="318"/>
    </row>
    <row r="27" spans="1:10" ht="22" customHeight="1" x14ac:dyDescent="0.2">
      <c r="A27" s="170" t="s">
        <v>248</v>
      </c>
      <c r="B27" s="165">
        <f>IFERROR(J20,"")</f>
        <v>1.650856535741152E-2</v>
      </c>
      <c r="C27" s="164">
        <f>IFERROR(J20/(H20+I20+J20),"")</f>
        <v>0.28607782887391603</v>
      </c>
      <c r="D27" s="319" t="s">
        <v>249</v>
      </c>
      <c r="E27" s="320"/>
    </row>
    <row r="28" spans="1:10" ht="22" customHeight="1" x14ac:dyDescent="0.2">
      <c r="A28" s="171" t="s">
        <v>250</v>
      </c>
      <c r="B28" s="167">
        <f>IFERROR(H20+I20+J20,"")</f>
        <v>5.7706552871971746E-2</v>
      </c>
      <c r="C28" s="166"/>
      <c r="D28" s="310" t="s">
        <v>251</v>
      </c>
      <c r="E28" s="311"/>
    </row>
    <row r="29" spans="1:10" ht="40" customHeight="1" x14ac:dyDescent="0.2">
      <c r="A29" s="53" t="s">
        <v>388</v>
      </c>
      <c r="B29" s="357">
        <f>IF(OR(B28="",G20=""),"",B28-G20)</f>
        <v>2.15460384003709E-2</v>
      </c>
      <c r="C29" s="232" t="s">
        <v>387</v>
      </c>
      <c r="D29" s="348"/>
    </row>
  </sheetData>
  <mergeCells count="13">
    <mergeCell ref="C7:J7"/>
    <mergeCell ref="A1:J1"/>
    <mergeCell ref="A2:J2"/>
    <mergeCell ref="A4:J4"/>
    <mergeCell ref="C5:J5"/>
    <mergeCell ref="C6:J6"/>
    <mergeCell ref="D28:E28"/>
    <mergeCell ref="C8:J8"/>
    <mergeCell ref="C10:J10"/>
    <mergeCell ref="A23:E23"/>
    <mergeCell ref="D25:E25"/>
    <mergeCell ref="D26:E26"/>
    <mergeCell ref="D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2D5C-6719-8A41-9E92-1E58F6143BC6}">
  <dimension ref="A1:F49"/>
  <sheetViews>
    <sheetView workbookViewId="0">
      <selection activeCell="E30" sqref="E30"/>
    </sheetView>
  </sheetViews>
  <sheetFormatPr baseColWidth="10" defaultRowHeight="16" x14ac:dyDescent="0.2"/>
  <cols>
    <col min="1" max="1" width="29.1640625" customWidth="1"/>
    <col min="2" max="3" width="14.6640625" customWidth="1"/>
    <col min="4" max="5" width="16.6640625" customWidth="1"/>
    <col min="6" max="6" width="46.6640625" customWidth="1"/>
  </cols>
  <sheetData>
    <row r="1" spans="1:6" ht="36" customHeight="1" x14ac:dyDescent="0.2">
      <c r="A1" s="298" t="s">
        <v>252</v>
      </c>
      <c r="B1" s="293"/>
      <c r="C1" s="293"/>
      <c r="D1" s="293"/>
      <c r="E1" s="293"/>
      <c r="F1" s="293"/>
    </row>
    <row r="2" spans="1:6" ht="20" customHeight="1" x14ac:dyDescent="0.2">
      <c r="A2" s="299" t="s">
        <v>253</v>
      </c>
      <c r="B2" s="293"/>
      <c r="C2" s="293"/>
      <c r="D2" s="293"/>
      <c r="E2" s="293"/>
      <c r="F2" s="293"/>
    </row>
    <row r="3" spans="1:6" ht="8" customHeight="1" x14ac:dyDescent="0.2"/>
    <row r="4" spans="1:6" ht="20" customHeight="1" x14ac:dyDescent="0.2">
      <c r="A4" s="307" t="s">
        <v>254</v>
      </c>
      <c r="B4" s="293"/>
      <c r="C4" s="293"/>
      <c r="D4" s="293"/>
      <c r="E4" s="293"/>
      <c r="F4" s="293"/>
    </row>
    <row r="5" spans="1:6" ht="22" customHeight="1" x14ac:dyDescent="0.2">
      <c r="A5" s="54" t="s">
        <v>255</v>
      </c>
      <c r="B5" s="142">
        <v>3.5000000000000003E-2</v>
      </c>
      <c r="C5" s="54" t="s">
        <v>256</v>
      </c>
      <c r="D5" s="98">
        <v>12</v>
      </c>
      <c r="E5" s="54" t="s">
        <v>257</v>
      </c>
      <c r="F5" s="98">
        <v>60</v>
      </c>
    </row>
    <row r="6" spans="1:6" ht="10" customHeight="1" x14ac:dyDescent="0.2"/>
    <row r="7" spans="1:6" ht="36" customHeight="1" x14ac:dyDescent="0.2">
      <c r="A7" s="46" t="s">
        <v>258</v>
      </c>
      <c r="B7" s="39" t="s">
        <v>204</v>
      </c>
      <c r="C7" s="39" t="s">
        <v>205</v>
      </c>
      <c r="D7" s="39" t="s">
        <v>259</v>
      </c>
      <c r="E7" s="39" t="s">
        <v>260</v>
      </c>
      <c r="F7" s="51" t="s">
        <v>243</v>
      </c>
    </row>
    <row r="8" spans="1:6" ht="34" customHeight="1" x14ac:dyDescent="0.2">
      <c r="A8" s="10" t="s">
        <v>261</v>
      </c>
      <c r="B8" s="173">
        <f>IFERROR(STDEV(Backtest!$Q$8:$Q$67)*SQRT(D5),"")</f>
        <v>0.18367465957249299</v>
      </c>
      <c r="C8" s="174">
        <f>IFERROR(STDEV(Backtest!$R$8:$R$67)*SQRT(D5),"")</f>
        <v>0.18156767156058434</v>
      </c>
      <c r="D8" s="175">
        <f>IF(OR(B8="",C8=""),"",B8-C8)</f>
        <v>2.1069880119086448E-3</v>
      </c>
      <c r="E8" s="176" t="s">
        <v>262</v>
      </c>
      <c r="F8" s="195" t="s">
        <v>263</v>
      </c>
    </row>
    <row r="9" spans="1:6" ht="34" customHeight="1" x14ac:dyDescent="0.2">
      <c r="A9" s="11" t="s">
        <v>264</v>
      </c>
      <c r="B9" s="177">
        <f>IFERROR((AVERAGE(Backtest!$Q$8:$Q$67)*D5-B5)/STDEV(Backtest!$Q$8:$Q$67)/SQRT(D5),"")</f>
        <v>0.64618821276843541</v>
      </c>
      <c r="C9" s="178">
        <f>IFERROR((AVERAGE(Backtest!$R$8:$R$67)*D5-B5)/STDEV(Backtest!$R$8:$R$67)/SQRT(D5),"")</f>
        <v>0.4728815392191158</v>
      </c>
      <c r="D9" s="177">
        <f>IF(OR(B9="",C9=""),"",B9-C9)</f>
        <v>0.17330667354931961</v>
      </c>
      <c r="E9" s="179" t="s">
        <v>265</v>
      </c>
      <c r="F9" s="196" t="s">
        <v>266</v>
      </c>
    </row>
    <row r="10" spans="1:6" ht="34" customHeight="1" x14ac:dyDescent="0.2">
      <c r="A10" s="12" t="s">
        <v>267</v>
      </c>
      <c r="B10" s="181">
        <f>IFERROR(MIN(Backtest!T8:T67)/MAX(Backtest!T8:T67)-1,"")</f>
        <v>-0.6064582056848774</v>
      </c>
      <c r="C10" s="183">
        <f>IFERROR(MIN(Backtest!U8:U67)/MAX(Backtest!U8:U67)-1,"")</f>
        <v>-0.53855737829226769</v>
      </c>
      <c r="D10" s="183">
        <f>IF(OR(B10="",C10=""),"",B10-C10)</f>
        <v>-6.7900827392609719E-2</v>
      </c>
      <c r="E10" s="182" t="s">
        <v>268</v>
      </c>
      <c r="F10" s="197" t="s">
        <v>269</v>
      </c>
    </row>
    <row r="11" spans="1:6" ht="34" customHeight="1" x14ac:dyDescent="0.2">
      <c r="A11" s="11" t="s">
        <v>270</v>
      </c>
      <c r="B11" s="177">
        <f>IFERROR(COVAR(Backtest!$Q$8:$Q$67,Backtest!$R$8:$R$67)/VAR(Backtest!$R$8:$R$67),"")</f>
        <v>0.94860368563397224</v>
      </c>
      <c r="C11" s="178">
        <f>1</f>
        <v>1</v>
      </c>
      <c r="D11" s="177">
        <f>IF(B11="","",B11-1)</f>
        <v>-5.1396314366027762E-2</v>
      </c>
      <c r="E11" s="179" t="s">
        <v>271</v>
      </c>
      <c r="F11" s="196" t="s">
        <v>272</v>
      </c>
    </row>
    <row r="12" spans="1:6" ht="34" customHeight="1" x14ac:dyDescent="0.2">
      <c r="A12" s="12" t="s">
        <v>273</v>
      </c>
      <c r="B12" s="181">
        <f>IFERROR(STDEV(Backtest!$S$8:$S$67)*SQRT(D5),"")</f>
        <v>5.566169516581581E-2</v>
      </c>
      <c r="C12" s="183">
        <f>0</f>
        <v>0</v>
      </c>
      <c r="D12" s="184">
        <f>IF(B12="","",B12)</f>
        <v>5.566169516581581E-2</v>
      </c>
      <c r="E12" s="185" t="s">
        <v>274</v>
      </c>
      <c r="F12" s="197" t="s">
        <v>275</v>
      </c>
    </row>
    <row r="13" spans="1:6" ht="34" customHeight="1" x14ac:dyDescent="0.2">
      <c r="A13" s="11" t="s">
        <v>276</v>
      </c>
      <c r="B13" s="177">
        <f>IFERROR((AVERAGE(Backtest!$S$8:$S$67)*D5)/STDEV(Backtest!$S$8:$S$67)/SQRT(D5),"")</f>
        <v>0.58978440922800535</v>
      </c>
      <c r="C13" s="352"/>
      <c r="D13" s="352"/>
      <c r="E13" s="185" t="s">
        <v>277</v>
      </c>
      <c r="F13" s="196" t="s">
        <v>278</v>
      </c>
    </row>
    <row r="14" spans="1:6" ht="34" customHeight="1" x14ac:dyDescent="0.2">
      <c r="A14" s="12" t="s">
        <v>279</v>
      </c>
      <c r="B14" s="181">
        <f>IFERROR(COUNTIF(Backtest!$S$8:$S$67,"&gt;0")/COUNT(Backtest!$S$8:$S$67),"")</f>
        <v>0.6</v>
      </c>
      <c r="C14" s="183">
        <f>0.5</f>
        <v>0.5</v>
      </c>
      <c r="D14" s="181">
        <f>IF(OR(B14="",C14=""),"",B14-C14)</f>
        <v>9.9999999999999978E-2</v>
      </c>
      <c r="E14" s="186" t="s">
        <v>280</v>
      </c>
      <c r="F14" s="197" t="s">
        <v>281</v>
      </c>
    </row>
    <row r="15" spans="1:6" ht="34" customHeight="1" x14ac:dyDescent="0.2">
      <c r="A15" s="11" t="s">
        <v>282</v>
      </c>
      <c r="B15" s="188">
        <f>IFERROR(COUNTIF(Backtest!$Q$8:$Q$67,"&gt;0")/COUNT(Backtest!$Q$8:$Q$67),"")</f>
        <v>0.65</v>
      </c>
      <c r="C15" s="189">
        <f>IFERROR(COUNTIF(Backtest!$R$8:$R$67,"&gt;0")/COUNT(Backtest!$R$8:$R$67),"")</f>
        <v>0.6166666666666667</v>
      </c>
      <c r="D15" s="188">
        <f>IF(OR(B15="",C15=""),"",B15-C15)</f>
        <v>3.3333333333333326E-2</v>
      </c>
      <c r="E15" s="186" t="s">
        <v>280</v>
      </c>
      <c r="F15" s="196" t="s">
        <v>283</v>
      </c>
    </row>
    <row r="16" spans="1:6" ht="34" customHeight="1" x14ac:dyDescent="0.2">
      <c r="A16" s="12" t="s">
        <v>284</v>
      </c>
      <c r="B16" s="190" cm="1">
        <f t="array" ref="B16">IFERROR((AVERAGE(Backtest!Q8:Q67)*D5-B5)/(SQRT(SUMPRODUCT((Backtest!Q8:Q67*(Backtest!Q8:Q67&lt;0))^2)/COUNT(Backtest!Q8:Q67))*SQRT(D5)),"")</f>
        <v>1.0141255040577959</v>
      </c>
      <c r="C16" s="237" cm="1">
        <f t="array" ref="C16">IFERROR((AVERAGE(Backtest!R8:R67)*D5-B5)/(SQRT(SUMPRODUCT((Backtest!R8:R67*(Backtest!R8:R67&lt;0))^2)/COUNT(Backtest!R8:R67))*SQRT(D5)),"")</f>
        <v>0.73682374070283962</v>
      </c>
      <c r="D16" s="237">
        <f>IF(OR(B16="",C16=""),"",B16-C16)</f>
        <v>0.27730176335495627</v>
      </c>
      <c r="E16" s="185" t="s">
        <v>285</v>
      </c>
      <c r="F16" s="197" t="s">
        <v>286</v>
      </c>
    </row>
    <row r="17" spans="1:6" ht="34" customHeight="1" x14ac:dyDescent="0.2">
      <c r="A17" s="11" t="s">
        <v>287</v>
      </c>
      <c r="B17" s="177">
        <f>IFERROR(((Backtest!T67/100)^(1/5)-1)/ABS(B10),"")</f>
        <v>0.24054714510385752</v>
      </c>
      <c r="C17" s="178">
        <f>IFERROR(((Backtest!U67/100)^(1/5)-1)/ABS(C10),"")</f>
        <v>0.2037318212566758</v>
      </c>
      <c r="D17" s="178">
        <f>IF(OR(B17="",C17=""),"",B17-C17)</f>
        <v>3.6815323847181725E-2</v>
      </c>
      <c r="E17" s="185" t="s">
        <v>288</v>
      </c>
      <c r="F17" s="196" t="s">
        <v>289</v>
      </c>
    </row>
    <row r="18" spans="1:6" ht="34" customHeight="1" x14ac:dyDescent="0.2">
      <c r="A18" s="12" t="s">
        <v>290</v>
      </c>
      <c r="B18" s="181">
        <f>IFERROR((AVERAGE(Backtest!$Q$8:$Q$67)-B11*AVERAGE(Backtest!$R$8:$R$67))*D5,"")</f>
        <v>3.904015855427817E-2</v>
      </c>
      <c r="C18" s="353"/>
      <c r="D18" s="353"/>
      <c r="E18" s="185" t="s">
        <v>291</v>
      </c>
      <c r="F18" s="197" t="s">
        <v>292</v>
      </c>
    </row>
    <row r="19" spans="1:6" ht="34" customHeight="1" x14ac:dyDescent="0.2">
      <c r="A19" s="194" t="s">
        <v>293</v>
      </c>
      <c r="B19" s="191">
        <f>IFERROR(CORREL(Backtest!$Q$8:$Q$67,Backtest!$R$8:$R$67),"")</f>
        <v>0.9536155561838412</v>
      </c>
      <c r="C19" s="192">
        <f>1</f>
        <v>1</v>
      </c>
      <c r="D19" s="191">
        <f>IF(B19="","",B19-1)</f>
        <v>-4.6384443816158805E-2</v>
      </c>
      <c r="E19" s="193" t="s">
        <v>294</v>
      </c>
      <c r="F19" s="198" t="s">
        <v>295</v>
      </c>
    </row>
    <row r="22" spans="1:6" ht="28" customHeight="1" x14ac:dyDescent="0.2">
      <c r="A22" s="302" t="s">
        <v>296</v>
      </c>
      <c r="B22" s="295"/>
      <c r="C22" s="295"/>
      <c r="D22" s="296"/>
      <c r="E22" s="293"/>
      <c r="F22" s="293"/>
    </row>
    <row r="23" spans="1:6" ht="24" customHeight="1" x14ac:dyDescent="0.2">
      <c r="A23" s="132" t="s">
        <v>297</v>
      </c>
      <c r="B23" s="86" t="s">
        <v>298</v>
      </c>
      <c r="C23" s="86" t="s">
        <v>299</v>
      </c>
      <c r="D23" s="92" t="s">
        <v>4</v>
      </c>
    </row>
    <row r="24" spans="1:6" ht="22" customHeight="1" x14ac:dyDescent="0.2">
      <c r="A24" s="88" t="s">
        <v>300</v>
      </c>
      <c r="B24" s="199" t="s">
        <v>301</v>
      </c>
      <c r="C24" s="83">
        <f>IFERROR(B12,"")</f>
        <v>5.566169516581581E-2</v>
      </c>
      <c r="D24" s="203" t="str">
        <f>IF(C24="","Pending",IF(C24&lt;=0.04,"COMPLIANT","BREACH"))</f>
        <v>BREACH</v>
      </c>
    </row>
    <row r="25" spans="1:6" ht="22" customHeight="1" x14ac:dyDescent="0.2">
      <c r="A25" s="89" t="s">
        <v>23</v>
      </c>
      <c r="B25" s="200" t="s">
        <v>302</v>
      </c>
      <c r="C25" s="200">
        <f>IFERROR(COUNTA(Portfolio!$B$5:$B$19),"")</f>
        <v>15</v>
      </c>
      <c r="D25" s="204" t="str">
        <f>IF(C25="","Pending",IF(AND(C25&gt;=12,C25&lt;=15),"COMPLIANT","BREACH"))</f>
        <v>COMPLIANT</v>
      </c>
    </row>
    <row r="26" spans="1:6" ht="22" customHeight="1" x14ac:dyDescent="0.2">
      <c r="A26" s="133" t="s">
        <v>303</v>
      </c>
      <c r="B26" s="201" t="s">
        <v>304</v>
      </c>
      <c r="C26" s="202">
        <f>IFERROR(MAX(Portfolio!$F$5:$F$19),"")</f>
        <v>8.5000000000000006E-2</v>
      </c>
      <c r="D26" s="205" t="str">
        <f>IF(C26="","Pending",IF(C26&lt;=0.08,"COMPLIANT","BREACH"))</f>
        <v>BREACH</v>
      </c>
    </row>
    <row r="36" spans="1:6" ht="28" customHeight="1" x14ac:dyDescent="0.2">
      <c r="A36" s="302" t="s">
        <v>329</v>
      </c>
      <c r="B36" s="336"/>
      <c r="C36" s="336"/>
      <c r="D36" s="336"/>
      <c r="E36" s="336"/>
      <c r="F36" s="337"/>
    </row>
    <row r="37" spans="1:6" ht="20" customHeight="1" x14ac:dyDescent="0.2">
      <c r="A37" s="338" t="s">
        <v>343</v>
      </c>
      <c r="B37" s="339"/>
      <c r="C37" s="339"/>
      <c r="D37" s="339"/>
      <c r="E37" s="339"/>
      <c r="F37" s="340"/>
    </row>
    <row r="38" spans="1:6" ht="6" customHeight="1" x14ac:dyDescent="0.2">
      <c r="A38" s="248"/>
      <c r="F38" s="250"/>
    </row>
    <row r="39" spans="1:6" ht="28" customHeight="1" x14ac:dyDescent="0.2">
      <c r="A39" s="249" t="s">
        <v>203</v>
      </c>
      <c r="B39" s="244" t="s">
        <v>241</v>
      </c>
      <c r="C39" s="244" t="s">
        <v>332</v>
      </c>
      <c r="D39" s="244" t="s">
        <v>330</v>
      </c>
      <c r="E39" s="244" t="s">
        <v>243</v>
      </c>
      <c r="F39" s="251"/>
    </row>
    <row r="40" spans="1:6" ht="34" customHeight="1" x14ac:dyDescent="0.2">
      <c r="A40" s="10" t="s">
        <v>331</v>
      </c>
      <c r="B40" s="233" cm="1">
        <f t="array" ref="B40">IFERROR(SUMPRODUCT((LEN(Portfolio!$F$5:$F$19)&gt;0)*Portfolio!$F$5:$F$19*IFERROR(VLOOKUP(Portfolio!$C$5:$C$19,'Factor Screen'!$C$9:$N$43,12,0),0))/SUM(Portfolio!$F$5:$F$19),"")</f>
        <v>3.5449999999999995</v>
      </c>
      <c r="C40" s="234">
        <f>IFERROR(AVERAGE('Factor Screen'!$N$9:$N$43),"")</f>
        <v>3</v>
      </c>
      <c r="D40" s="240">
        <f>IF(OR(B40="",C40=""),"",B40-C40)</f>
        <v>0.54499999999999948</v>
      </c>
      <c r="E40" s="328" t="s">
        <v>344</v>
      </c>
      <c r="F40" s="329"/>
    </row>
    <row r="41" spans="1:6" ht="34" customHeight="1" x14ac:dyDescent="0.2">
      <c r="A41" s="11" t="s">
        <v>333</v>
      </c>
      <c r="B41" s="235" cm="1">
        <f t="array" ref="B41">IFERROR(SUMPRODUCT((LEN(Portfolio!$F$5:$F$19)&gt;0)*Portfolio!$F$5:$F$19*IFERROR(VLOOKUP(Portfolio!$C$5:$C$19,'Factor Screen'!$C$9:$E$43,3,0),0))/SUM(Portfolio!$F$5:$F$19),"")</f>
        <v>4.0649999999999995</v>
      </c>
      <c r="C41" s="178">
        <f>IFERROR(AVERAGE('Factor Screen'!$E$9:$E$43),"")</f>
        <v>3</v>
      </c>
      <c r="D41" s="241">
        <f>IF(OR(B41="",C41=""),"",B41-C41)</f>
        <v>1.0649999999999995</v>
      </c>
      <c r="E41" s="330" t="s">
        <v>334</v>
      </c>
      <c r="F41" s="331"/>
    </row>
    <row r="42" spans="1:6" ht="34" customHeight="1" x14ac:dyDescent="0.2">
      <c r="A42" s="12" t="s">
        <v>335</v>
      </c>
      <c r="B42" s="236" cm="1">
        <f t="array" ref="B42">IFERROR(SUMPRODUCT((LEN(Portfolio!$F$5:$F$19)&gt;0)*Portfolio!$F$5:$F$19*IFERROR(VLOOKUP(Portfolio!$C$5:$C$19,'Factor Screen'!$C$9:$G$43,5,0),0))/SUM(Portfolio!$F$5:$F$19),"")</f>
        <v>3.63</v>
      </c>
      <c r="C42" s="237">
        <f>IFERROR(AVERAGE('Factor Screen'!$G$9:$G$43),"")</f>
        <v>3</v>
      </c>
      <c r="D42" s="242">
        <f>IF(OR(B42="",C42=""),"",B42-C42)</f>
        <v>0.62999999999999989</v>
      </c>
      <c r="E42" s="332" t="s">
        <v>336</v>
      </c>
      <c r="F42" s="333"/>
    </row>
    <row r="43" spans="1:6" ht="34" customHeight="1" x14ac:dyDescent="0.2">
      <c r="A43" s="11" t="s">
        <v>337</v>
      </c>
      <c r="B43" s="235" cm="1">
        <f t="array" ref="B43">IFERROR(SUMPRODUCT((LEN(Portfolio!$F$5:$F$19)&gt;0)*Portfolio!$F$5:$F$19*IFERROR(VLOOKUP(Portfolio!$C$5:$C$19,'Factor Screen'!$C$9:$K$43,9,0),0))/SUM(Portfolio!$F$5:$F$19),"")</f>
        <v>2.7199999999999993</v>
      </c>
      <c r="C43" s="178">
        <f>IFERROR(AVERAGE('Factor Screen'!$K$9:$K$43),"")</f>
        <v>3</v>
      </c>
      <c r="D43" s="241">
        <f>IF(OR(B43="",C43=""),"",B43-C43)</f>
        <v>-0.28000000000000069</v>
      </c>
      <c r="E43" s="330" t="s">
        <v>338</v>
      </c>
      <c r="F43" s="331"/>
    </row>
    <row r="44" spans="1:6" ht="34" customHeight="1" x14ac:dyDescent="0.2">
      <c r="A44" s="12" t="s">
        <v>339</v>
      </c>
      <c r="B44" s="238" cm="1">
        <f t="array" ref="B44">IFERROR(SUMPRODUCT((LEN(Portfolio!$C$5:$C$19)&gt;0)*(IFERROR(VLOOKUP(Portfolio!$C$5:$C$19,'Factor Screen'!$C$9:$N$43,12,0),0)&gt;=3.5)),"")</f>
        <v>8</v>
      </c>
      <c r="C44" s="239" t="s">
        <v>340</v>
      </c>
      <c r="D44" s="243" t="str">
        <f>IF(B44="","",IF(B44&gt;=10,"STRONG","REVIEW"))</f>
        <v>REVIEW</v>
      </c>
      <c r="E44" s="332" t="s">
        <v>341</v>
      </c>
      <c r="F44" s="333"/>
    </row>
    <row r="45" spans="1:6" ht="34" customHeight="1" x14ac:dyDescent="0.2">
      <c r="A45" s="194" t="s">
        <v>342</v>
      </c>
      <c r="B45" s="245" cm="1">
        <f t="array" ref="B45">IFERROR(MIN(IFERROR(VLOOKUP(Portfolio!$C$5:$C$19,'Factor Screen'!$C$9:$N$43,12,0),999)),"")</f>
        <v>3.0999999999999996</v>
      </c>
      <c r="C45" s="246" t="s">
        <v>345</v>
      </c>
      <c r="D45" s="247" t="str">
        <f>IF(B45="","",IF(B45&gt;=2.5,"PASS","FLAG"))</f>
        <v>PASS</v>
      </c>
      <c r="E45" s="334" t="s">
        <v>346</v>
      </c>
      <c r="F45" s="335"/>
    </row>
    <row r="48" spans="1:6" ht="28" customHeight="1" x14ac:dyDescent="0.2">
      <c r="A48" s="323" t="s">
        <v>347</v>
      </c>
      <c r="B48" s="295"/>
      <c r="C48" s="295"/>
      <c r="D48" s="295"/>
      <c r="E48" s="295"/>
      <c r="F48" s="296"/>
    </row>
    <row r="49" spans="1:6" ht="36" customHeight="1" x14ac:dyDescent="0.25">
      <c r="A49" s="253" t="s">
        <v>348</v>
      </c>
      <c r="B49" s="324" t="str">
        <f>IF(B40="","Pending — fill Portfolio tab","Score: "&amp;TEXT(B40,"0.00")&amp;" / 5.00")</f>
        <v>Score: 3.55 / 5.00</v>
      </c>
      <c r="C49" s="325"/>
      <c r="D49" s="252" t="s">
        <v>349</v>
      </c>
      <c r="E49" s="326" t="str">
        <f>IF(D40="","(fill Portfolio tab)",IF(D40&gt;0,"+"&amp;TEXT(D40,"0.00")&amp;" above universe avg",TEXT(D40,"0.00")&amp;" vs universe avg"))</f>
        <v>+0.54 above universe avg</v>
      </c>
      <c r="F49" s="327"/>
    </row>
  </sheetData>
  <mergeCells count="15">
    <mergeCell ref="A37:F37"/>
    <mergeCell ref="A1:F1"/>
    <mergeCell ref="A2:F2"/>
    <mergeCell ref="A4:F4"/>
    <mergeCell ref="A22:F22"/>
    <mergeCell ref="A36:F36"/>
    <mergeCell ref="A48:F48"/>
    <mergeCell ref="B49:C49"/>
    <mergeCell ref="E49:F49"/>
    <mergeCell ref="E40:F40"/>
    <mergeCell ref="E41:F41"/>
    <mergeCell ref="E42:F42"/>
    <mergeCell ref="E43:F43"/>
    <mergeCell ref="E44:F44"/>
    <mergeCell ref="E45:F4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1" timestamp="1774349448886"><![CDATA[{"MSFT-US^FF_ROIC(ANN_R,0)":[[25.6011745687759]]}]]></FdsFormulaCache>
</file>

<file path=customXml/itemProps1.xml><?xml version="1.0" encoding="utf-8"?>
<ds:datastoreItem xmlns:ds="http://schemas.openxmlformats.org/officeDocument/2006/customXml" ds:itemID="{88EA7BB5-C36F-0042-B6AC-8754F96A27B4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Mandate</vt:lpstr>
      <vt:lpstr>Universe</vt:lpstr>
      <vt:lpstr>Factor Screen</vt:lpstr>
      <vt:lpstr>Portfolio</vt:lpstr>
      <vt:lpstr>Backtest</vt:lpstr>
      <vt:lpstr>Attribution</vt:lpstr>
      <vt:lpstr>Risk Metrics</vt:lpstr>
      <vt:lpstr>AnnFactor</vt:lpstr>
      <vt:lpstr>RiskFreeRate</vt:lpstr>
      <vt:lpstr>w_BS</vt:lpstr>
      <vt:lpstr>w_Earn</vt:lpstr>
      <vt:lpstr>w_FCF</vt:lpstr>
      <vt:lpstr>w_GM</vt:lpstr>
      <vt:lpstr>w_ROIC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Divij Budhiraja</dc:creator>
  <cp:lastModifiedBy>Divij Budhiraja</cp:lastModifiedBy>
  <dcterms:created xsi:type="dcterms:W3CDTF">2026-03-24T10:10:14Z</dcterms:created>
  <dcterms:modified xsi:type="dcterms:W3CDTF">2026-03-24T19:02:36Z</dcterms:modified>
</cp:coreProperties>
</file>