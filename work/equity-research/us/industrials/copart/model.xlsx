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vijbudhiraja/Desktop/Fin_work/Equity Research/Public company research /United States/Industrials/Copart Inc. /"/>
    </mc:Choice>
  </mc:AlternateContent>
  <xr:revisionPtr revIDLastSave="0" documentId="13_ncr:1_{D0A6E7BF-01BD-2C41-8809-812B0098E2CA}" xr6:coauthVersionLast="47" xr6:coauthVersionMax="47" xr10:uidLastSave="{00000000-0000-0000-0000-000000000000}"/>
  <bookViews>
    <workbookView xWindow="-25760" yWindow="-4260" windowWidth="25760" windowHeight="18320" activeTab="2" xr2:uid="{D6D46415-4F71-764C-A0A6-B9336AF9D47C}"/>
  </bookViews>
  <sheets>
    <sheet name="Cover" sheetId="1" r:id="rId1"/>
    <sheet name="TOC" sheetId="2" r:id="rId2"/>
    <sheet name="Executive Summary" sheetId="3" r:id="rId3"/>
    <sheet name="Historical Financials" sheetId="9" r:id="rId4"/>
    <sheet name="Historical Analysis" sheetId="12" r:id="rId5"/>
    <sheet name="Master Assumptions" sheetId="6" r:id="rId6"/>
    <sheet name="Supporting Schedules" sheetId="31" r:id="rId7"/>
    <sheet name="Forecast Model" sheetId="14" r:id="rId8"/>
    <sheet name="DCF Valuation" sheetId="22" r:id="rId9"/>
    <sheet name="Trading Comps" sheetId="23" r:id="rId10"/>
    <sheet name="Valuation Summary" sheetId="25" r:id="rId11"/>
    <sheet name="Sensitivity Tables" sheetId="26" r:id="rId12"/>
    <sheet name="Sources &amp; Footnotes" sheetId="30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6" i="22" l="1"/>
  <c r="E56" i="22"/>
  <c r="E18" i="22"/>
  <c r="E45" i="25"/>
  <c r="D45" i="25"/>
  <c r="C45" i="25"/>
  <c r="E43" i="25"/>
  <c r="E42" i="25"/>
  <c r="E41" i="25"/>
  <c r="D42" i="25"/>
  <c r="D43" i="25"/>
  <c r="D41" i="25"/>
  <c r="C42" i="25"/>
  <c r="C43" i="25"/>
  <c r="C41" i="25"/>
  <c r="D30" i="25"/>
  <c r="E29" i="25"/>
  <c r="C29" i="25"/>
  <c r="E11" i="25"/>
  <c r="C11" i="25"/>
  <c r="D12" i="25"/>
  <c r="D11" i="25"/>
  <c r="K45" i="23"/>
  <c r="F42" i="23"/>
  <c r="D42" i="23"/>
  <c r="J30" i="23"/>
  <c r="K29" i="23"/>
  <c r="K28" i="23"/>
  <c r="I28" i="23"/>
  <c r="P19" i="23"/>
  <c r="J42" i="23" s="1"/>
  <c r="N19" i="23"/>
  <c r="L19" i="23"/>
  <c r="J19" i="23"/>
  <c r="H42" i="23" s="1"/>
  <c r="H19" i="23"/>
  <c r="O19" i="23"/>
  <c r="Q19" i="23" s="1"/>
  <c r="K19" i="23"/>
  <c r="I42" i="23" s="1"/>
  <c r="G19" i="23"/>
  <c r="I19" i="23" s="1"/>
  <c r="E19" i="23"/>
  <c r="E42" i="23" s="1"/>
  <c r="Q22" i="23"/>
  <c r="K30" i="23" s="1"/>
  <c r="O22" i="23"/>
  <c r="K22" i="23"/>
  <c r="M22" i="23" s="1"/>
  <c r="I22" i="23"/>
  <c r="E22" i="23"/>
  <c r="P22" i="23"/>
  <c r="J22" i="23"/>
  <c r="L22" i="23" s="1"/>
  <c r="D22" i="23"/>
  <c r="H22" i="23" s="1"/>
  <c r="B22" i="23"/>
  <c r="N21" i="23"/>
  <c r="P21" i="23" s="1"/>
  <c r="J29" i="23" s="1"/>
  <c r="J21" i="23"/>
  <c r="L21" i="23" s="1"/>
  <c r="H21" i="23"/>
  <c r="O21" i="23"/>
  <c r="Q21" i="23" s="1"/>
  <c r="K21" i="23"/>
  <c r="M21" i="23" s="1"/>
  <c r="I21" i="23"/>
  <c r="N20" i="23"/>
  <c r="P20" i="23" s="1"/>
  <c r="J28" i="23" s="1"/>
  <c r="J20" i="23"/>
  <c r="L20" i="23" s="1"/>
  <c r="H20" i="23"/>
  <c r="Q20" i="23"/>
  <c r="M20" i="23"/>
  <c r="K20" i="23"/>
  <c r="I20" i="23"/>
  <c r="J11" i="23"/>
  <c r="H12" i="23"/>
  <c r="L12" i="23" s="1"/>
  <c r="H28" i="23" s="1"/>
  <c r="H13" i="23"/>
  <c r="L13" i="23" s="1"/>
  <c r="H14" i="23"/>
  <c r="L14" i="23" s="1"/>
  <c r="H11" i="23"/>
  <c r="I72" i="22"/>
  <c r="I71" i="22"/>
  <c r="I70" i="22"/>
  <c r="I69" i="22"/>
  <c r="I68" i="22"/>
  <c r="I55" i="22"/>
  <c r="E72" i="22"/>
  <c r="E71" i="22"/>
  <c r="E70" i="22"/>
  <c r="E69" i="22"/>
  <c r="F38" i="22"/>
  <c r="G38" i="22"/>
  <c r="H38" i="22"/>
  <c r="I38" i="22"/>
  <c r="E38" i="22"/>
  <c r="F37" i="22"/>
  <c r="G37" i="22"/>
  <c r="H37" i="22"/>
  <c r="I37" i="22"/>
  <c r="E37" i="22"/>
  <c r="F34" i="22"/>
  <c r="G34" i="22"/>
  <c r="H34" i="22"/>
  <c r="I34" i="22"/>
  <c r="E34" i="22"/>
  <c r="F33" i="22"/>
  <c r="G33" i="22"/>
  <c r="H33" i="22"/>
  <c r="I33" i="22"/>
  <c r="E33" i="22"/>
  <c r="F32" i="22"/>
  <c r="G32" i="22"/>
  <c r="H32" i="22"/>
  <c r="I32" i="22"/>
  <c r="E32" i="22"/>
  <c r="F29" i="22"/>
  <c r="G29" i="22"/>
  <c r="H29" i="22"/>
  <c r="I29" i="22"/>
  <c r="E29" i="22"/>
  <c r="F28" i="22"/>
  <c r="G28" i="22"/>
  <c r="H28" i="22"/>
  <c r="I28" i="22"/>
  <c r="E28" i="22"/>
  <c r="F27" i="22"/>
  <c r="G27" i="22"/>
  <c r="H27" i="22"/>
  <c r="I27" i="22"/>
  <c r="E27" i="22"/>
  <c r="F26" i="22"/>
  <c r="G26" i="22"/>
  <c r="H26" i="22"/>
  <c r="I26" i="22"/>
  <c r="E26" i="22"/>
  <c r="J15" i="22"/>
  <c r="E12" i="22"/>
  <c r="I78" i="22"/>
  <c r="I75" i="22"/>
  <c r="F44" i="22"/>
  <c r="G44" i="22" s="1"/>
  <c r="H44" i="22" s="1"/>
  <c r="I44" i="22" s="1"/>
  <c r="I36" i="23" l="1"/>
  <c r="H29" i="23"/>
  <c r="H36" i="23" s="1"/>
  <c r="G29" i="23"/>
  <c r="F29" i="23"/>
  <c r="E29" i="23"/>
  <c r="I29" i="23"/>
  <c r="D29" i="23"/>
  <c r="J36" i="23"/>
  <c r="J33" i="23"/>
  <c r="J41" i="23" s="1"/>
  <c r="J45" i="23" s="1"/>
  <c r="J35" i="23"/>
  <c r="J34" i="23"/>
  <c r="K36" i="23"/>
  <c r="K42" i="23"/>
  <c r="K27" i="23"/>
  <c r="I30" i="23"/>
  <c r="I34" i="23" s="1"/>
  <c r="H30" i="23"/>
  <c r="H33" i="23" s="1"/>
  <c r="H41" i="23" s="1"/>
  <c r="G30" i="23"/>
  <c r="F30" i="23"/>
  <c r="E30" i="23"/>
  <c r="D30" i="23"/>
  <c r="L11" i="23"/>
  <c r="M19" i="23"/>
  <c r="D28" i="23"/>
  <c r="E28" i="23"/>
  <c r="G42" i="23"/>
  <c r="F28" i="23"/>
  <c r="G28" i="23"/>
  <c r="I33" i="23"/>
  <c r="I41" i="23" s="1"/>
  <c r="J27" i="23"/>
  <c r="K33" i="23"/>
  <c r="K41" i="23" s="1"/>
  <c r="K34" i="23"/>
  <c r="K35" i="23"/>
  <c r="I57" i="22"/>
  <c r="H45" i="22"/>
  <c r="H47" i="22" s="1"/>
  <c r="I45" i="22"/>
  <c r="E45" i="22"/>
  <c r="E47" i="22" s="1"/>
  <c r="F45" i="22"/>
  <c r="F47" i="22" s="1"/>
  <c r="G45" i="22"/>
  <c r="G47" i="22" s="1"/>
  <c r="G36" i="23" l="1"/>
  <c r="G35" i="23"/>
  <c r="G34" i="23"/>
  <c r="G33" i="23"/>
  <c r="G41" i="23" s="1"/>
  <c r="F36" i="23"/>
  <c r="F35" i="23"/>
  <c r="F34" i="23"/>
  <c r="F33" i="23"/>
  <c r="F41" i="23" s="1"/>
  <c r="F43" i="23" s="1"/>
  <c r="F44" i="23" s="1"/>
  <c r="F45" i="23" s="1"/>
  <c r="D36" i="23"/>
  <c r="D35" i="23"/>
  <c r="D34" i="23"/>
  <c r="D33" i="23"/>
  <c r="D41" i="23" s="1"/>
  <c r="D43" i="23" s="1"/>
  <c r="D44" i="23" s="1"/>
  <c r="D45" i="23" s="1"/>
  <c r="H34" i="23"/>
  <c r="I35" i="23"/>
  <c r="H35" i="23"/>
  <c r="E36" i="23"/>
  <c r="E35" i="23"/>
  <c r="E34" i="23"/>
  <c r="E33" i="23"/>
  <c r="E41" i="23" s="1"/>
  <c r="E43" i="23" s="1"/>
  <c r="E44" i="23" s="1"/>
  <c r="E45" i="23" s="1"/>
  <c r="H27" i="23"/>
  <c r="G27" i="23"/>
  <c r="F27" i="23"/>
  <c r="E27" i="23"/>
  <c r="D27" i="23"/>
  <c r="I27" i="23"/>
  <c r="G43" i="23"/>
  <c r="G44" i="23" s="1"/>
  <c r="G45" i="23" s="1"/>
  <c r="H43" i="23"/>
  <c r="H44" i="23" s="1"/>
  <c r="H45" i="23" s="1"/>
  <c r="I43" i="23"/>
  <c r="I44" i="23" s="1"/>
  <c r="I45" i="23" s="1"/>
  <c r="I58" i="22"/>
  <c r="I65" i="22" s="1"/>
  <c r="I47" i="22"/>
  <c r="E55" i="22" s="1"/>
  <c r="E57" i="22" s="1"/>
  <c r="E58" i="22" l="1"/>
  <c r="E65" i="22" s="1"/>
  <c r="E49" i="22"/>
  <c r="E64" i="22" s="1"/>
  <c r="E66" i="22" l="1"/>
  <c r="E73" i="22" s="1"/>
  <c r="I64" i="22"/>
  <c r="I66" i="22" s="1"/>
  <c r="I73" i="22" l="1"/>
  <c r="I76" i="22" s="1"/>
  <c r="E79" i="22"/>
  <c r="E9" i="26" s="1"/>
  <c r="I79" i="22" l="1"/>
  <c r="E22" i="26" s="1"/>
  <c r="E76" i="22"/>
  <c r="K83" i="14" l="1"/>
  <c r="L83" i="14"/>
  <c r="M83" i="14"/>
  <c r="N83" i="14"/>
  <c r="J83" i="14"/>
  <c r="K106" i="14"/>
  <c r="L106" i="14"/>
  <c r="M106" i="14"/>
  <c r="N106" i="14"/>
  <c r="J106" i="14"/>
  <c r="K101" i="14"/>
  <c r="L101" i="14"/>
  <c r="M101" i="14"/>
  <c r="N101" i="14"/>
  <c r="K102" i="14"/>
  <c r="L102" i="14"/>
  <c r="M102" i="14"/>
  <c r="N102" i="14"/>
  <c r="K103" i="14"/>
  <c r="L103" i="14"/>
  <c r="M103" i="14"/>
  <c r="N103" i="14"/>
  <c r="K104" i="14"/>
  <c r="L104" i="14"/>
  <c r="M104" i="14"/>
  <c r="N104" i="14"/>
  <c r="J104" i="14"/>
  <c r="J103" i="14"/>
  <c r="J102" i="14"/>
  <c r="J101" i="14"/>
  <c r="K94" i="14"/>
  <c r="L94" i="14" s="1"/>
  <c r="K95" i="14"/>
  <c r="L95" i="14"/>
  <c r="M95" i="14"/>
  <c r="N95" i="14"/>
  <c r="K96" i="14"/>
  <c r="L96" i="14"/>
  <c r="M96" i="14"/>
  <c r="N96" i="14"/>
  <c r="K97" i="14"/>
  <c r="L97" i="14"/>
  <c r="M97" i="14"/>
  <c r="N97" i="14"/>
  <c r="J97" i="14"/>
  <c r="J96" i="14"/>
  <c r="J95" i="14"/>
  <c r="J94" i="14"/>
  <c r="K89" i="14"/>
  <c r="L89" i="14"/>
  <c r="M89" i="14"/>
  <c r="N89" i="14"/>
  <c r="J89" i="14"/>
  <c r="K56" i="14"/>
  <c r="L56" i="14" s="1"/>
  <c r="K57" i="14"/>
  <c r="L57" i="14"/>
  <c r="M57" i="14"/>
  <c r="N57" i="14"/>
  <c r="K58" i="14"/>
  <c r="L58" i="14" s="1"/>
  <c r="M58" i="14" s="1"/>
  <c r="N58" i="14" s="1"/>
  <c r="K59" i="14"/>
  <c r="J59" i="14"/>
  <c r="J58" i="14"/>
  <c r="J57" i="14"/>
  <c r="J56" i="14"/>
  <c r="F29" i="6"/>
  <c r="G29" i="6" s="1"/>
  <c r="H29" i="6" s="1"/>
  <c r="I29" i="6" s="1"/>
  <c r="J29" i="6" s="1"/>
  <c r="K51" i="14"/>
  <c r="L51" i="14" s="1"/>
  <c r="M51" i="14" s="1"/>
  <c r="N51" i="14" s="1"/>
  <c r="K52" i="14"/>
  <c r="L52" i="14"/>
  <c r="M52" i="14"/>
  <c r="N52" i="14"/>
  <c r="J52" i="14"/>
  <c r="J51" i="14"/>
  <c r="K43" i="14"/>
  <c r="L43" i="14"/>
  <c r="M43" i="14"/>
  <c r="N43" i="14"/>
  <c r="K44" i="14"/>
  <c r="L44" i="14" s="1"/>
  <c r="M44" i="14" s="1"/>
  <c r="N44" i="14" s="1"/>
  <c r="K45" i="14"/>
  <c r="L45" i="14"/>
  <c r="M45" i="14"/>
  <c r="N45" i="14"/>
  <c r="E139" i="31"/>
  <c r="F139" i="31"/>
  <c r="D139" i="31"/>
  <c r="E138" i="31"/>
  <c r="F138" i="31"/>
  <c r="D138" i="31"/>
  <c r="D140" i="31"/>
  <c r="E137" i="31" s="1"/>
  <c r="E143" i="31" s="1"/>
  <c r="E140" i="31"/>
  <c r="F137" i="31" s="1"/>
  <c r="F140" i="31"/>
  <c r="G137" i="31" s="1"/>
  <c r="C140" i="31"/>
  <c r="D137" i="31" s="1"/>
  <c r="D143" i="31" s="1"/>
  <c r="J45" i="14"/>
  <c r="J44" i="14"/>
  <c r="J43" i="14"/>
  <c r="F126" i="31"/>
  <c r="F127" i="31" s="1"/>
  <c r="G126" i="31"/>
  <c r="H126" i="31"/>
  <c r="H127" i="31" s="1"/>
  <c r="E126" i="31"/>
  <c r="E127" i="31" s="1"/>
  <c r="E117" i="31"/>
  <c r="E118" i="31" s="1"/>
  <c r="F117" i="31"/>
  <c r="F118" i="31" s="1"/>
  <c r="G117" i="31"/>
  <c r="G118" i="31" s="1"/>
  <c r="D117" i="31"/>
  <c r="D118" i="31" s="1"/>
  <c r="E116" i="31"/>
  <c r="F116" i="31"/>
  <c r="G116" i="31"/>
  <c r="D116" i="31"/>
  <c r="J37" i="14"/>
  <c r="K37" i="14" s="1"/>
  <c r="L37" i="14" s="1"/>
  <c r="M37" i="14" s="1"/>
  <c r="N37" i="14" s="1"/>
  <c r="E109" i="31"/>
  <c r="E110" i="31" s="1"/>
  <c r="F109" i="31"/>
  <c r="F110" i="31" s="1"/>
  <c r="F111" i="31" s="1"/>
  <c r="G109" i="31"/>
  <c r="G110" i="31" s="1"/>
  <c r="G111" i="31" s="1"/>
  <c r="H111" i="31" s="1"/>
  <c r="D109" i="31"/>
  <c r="D110" i="31" s="1"/>
  <c r="E108" i="31"/>
  <c r="F108" i="31"/>
  <c r="G108" i="31"/>
  <c r="D108" i="31"/>
  <c r="E99" i="31"/>
  <c r="F99" i="31"/>
  <c r="G99" i="31"/>
  <c r="D99" i="31"/>
  <c r="D102" i="31" s="1"/>
  <c r="E100" i="31"/>
  <c r="E101" i="31" s="1"/>
  <c r="F100" i="31"/>
  <c r="F101" i="31" s="1"/>
  <c r="G100" i="31"/>
  <c r="G101" i="31" s="1"/>
  <c r="D100" i="31"/>
  <c r="D101" i="31" s="1"/>
  <c r="D78" i="31"/>
  <c r="E75" i="31"/>
  <c r="E78" i="31" s="1"/>
  <c r="F75" i="31"/>
  <c r="F78" i="31" s="1"/>
  <c r="G75" i="31"/>
  <c r="D75" i="31"/>
  <c r="E76" i="31"/>
  <c r="F76" i="31"/>
  <c r="G76" i="31"/>
  <c r="D76" i="31"/>
  <c r="K24" i="14"/>
  <c r="L24" i="14" s="1"/>
  <c r="M24" i="14" s="1"/>
  <c r="N24" i="14" s="1"/>
  <c r="J24" i="14"/>
  <c r="L16" i="14"/>
  <c r="M16" i="14" s="1"/>
  <c r="N16" i="14" s="1"/>
  <c r="L17" i="14"/>
  <c r="M17" i="14"/>
  <c r="N17" i="14"/>
  <c r="K17" i="14"/>
  <c r="K16" i="14"/>
  <c r="L18" i="14"/>
  <c r="M18" i="14" s="1"/>
  <c r="K18" i="14"/>
  <c r="J18" i="14"/>
  <c r="J17" i="14"/>
  <c r="J16" i="14"/>
  <c r="E58" i="31"/>
  <c r="F58" i="31"/>
  <c r="G58" i="31"/>
  <c r="D58" i="31"/>
  <c r="D60" i="31" s="1"/>
  <c r="E57" i="31"/>
  <c r="F57" i="31"/>
  <c r="G57" i="31"/>
  <c r="D57" i="31"/>
  <c r="E44" i="31"/>
  <c r="F44" i="31"/>
  <c r="G44" i="31"/>
  <c r="D44" i="31"/>
  <c r="E43" i="31"/>
  <c r="E46" i="31" s="1"/>
  <c r="F43" i="31"/>
  <c r="G43" i="31"/>
  <c r="D43" i="31"/>
  <c r="F27" i="31"/>
  <c r="G27" i="31"/>
  <c r="E27" i="31"/>
  <c r="F26" i="31"/>
  <c r="G26" i="31"/>
  <c r="C9" i="31" s="1"/>
  <c r="E26" i="31"/>
  <c r="E23" i="31"/>
  <c r="E18" i="31" s="1"/>
  <c r="E21" i="31" s="1"/>
  <c r="F23" i="31"/>
  <c r="F18" i="31" s="1"/>
  <c r="F21" i="31" s="1"/>
  <c r="G23" i="31"/>
  <c r="G18" i="31" s="1"/>
  <c r="G21" i="31" s="1"/>
  <c r="D23" i="31"/>
  <c r="D18" i="31" s="1"/>
  <c r="D21" i="31" s="1"/>
  <c r="G107" i="14"/>
  <c r="I104" i="14"/>
  <c r="H104" i="14"/>
  <c r="G104" i="14"/>
  <c r="F104" i="14"/>
  <c r="I98" i="14"/>
  <c r="H98" i="14"/>
  <c r="G98" i="14"/>
  <c r="F98" i="14"/>
  <c r="I90" i="14"/>
  <c r="I107" i="14" s="1"/>
  <c r="H90" i="14"/>
  <c r="H107" i="14" s="1"/>
  <c r="G90" i="14"/>
  <c r="F90" i="14"/>
  <c r="F107" i="14" s="1"/>
  <c r="I67" i="14"/>
  <c r="H67" i="14"/>
  <c r="G67" i="14"/>
  <c r="F67" i="14"/>
  <c r="I59" i="14"/>
  <c r="H59" i="14"/>
  <c r="G59" i="14"/>
  <c r="F59" i="14"/>
  <c r="I54" i="14"/>
  <c r="I60" i="14" s="1"/>
  <c r="I69" i="14" s="1"/>
  <c r="H54" i="14"/>
  <c r="H60" i="14" s="1"/>
  <c r="H69" i="14" s="1"/>
  <c r="G54" i="14"/>
  <c r="G60" i="14" s="1"/>
  <c r="G69" i="14" s="1"/>
  <c r="F54" i="14"/>
  <c r="F60" i="14" s="1"/>
  <c r="F69" i="14" s="1"/>
  <c r="I46" i="14"/>
  <c r="H46" i="14"/>
  <c r="G46" i="14"/>
  <c r="F46" i="14"/>
  <c r="I40" i="14"/>
  <c r="I47" i="14" s="1"/>
  <c r="H40" i="14"/>
  <c r="H47" i="14" s="1"/>
  <c r="G40" i="14"/>
  <c r="G47" i="14" s="1"/>
  <c r="F40" i="14"/>
  <c r="F47" i="14" s="1"/>
  <c r="I14" i="14"/>
  <c r="I19" i="14" s="1"/>
  <c r="I22" i="14" s="1"/>
  <c r="I25" i="14" s="1"/>
  <c r="H14" i="14"/>
  <c r="H19" i="14" s="1"/>
  <c r="H22" i="14" s="1"/>
  <c r="H25" i="14" s="1"/>
  <c r="G14" i="14"/>
  <c r="G19" i="14" s="1"/>
  <c r="G22" i="14" s="1"/>
  <c r="G25" i="14" s="1"/>
  <c r="I10" i="14"/>
  <c r="H10" i="14"/>
  <c r="G10" i="14"/>
  <c r="F10" i="14"/>
  <c r="F14" i="14" s="1"/>
  <c r="F19" i="14" s="1"/>
  <c r="F22" i="14" s="1"/>
  <c r="F25" i="14" s="1"/>
  <c r="C7" i="6"/>
  <c r="G109" i="12"/>
  <c r="H109" i="12"/>
  <c r="I109" i="12"/>
  <c r="F109" i="12"/>
  <c r="G107" i="12"/>
  <c r="H107" i="12"/>
  <c r="I107" i="12"/>
  <c r="F107" i="12"/>
  <c r="F106" i="12"/>
  <c r="G106" i="12"/>
  <c r="H106" i="12"/>
  <c r="I106" i="12"/>
  <c r="G105" i="12"/>
  <c r="H105" i="12"/>
  <c r="I105" i="12"/>
  <c r="F105" i="12"/>
  <c r="G104" i="12"/>
  <c r="H104" i="12"/>
  <c r="I104" i="12"/>
  <c r="F104" i="12"/>
  <c r="G101" i="12"/>
  <c r="H101" i="12"/>
  <c r="I101" i="12"/>
  <c r="F101" i="12"/>
  <c r="H100" i="12"/>
  <c r="I100" i="12" s="1"/>
  <c r="G100" i="12"/>
  <c r="F100" i="12"/>
  <c r="G99" i="12"/>
  <c r="H99" i="12"/>
  <c r="I99" i="12"/>
  <c r="F99" i="12"/>
  <c r="G95" i="12"/>
  <c r="H95" i="12"/>
  <c r="I95" i="12"/>
  <c r="F95" i="12"/>
  <c r="G92" i="12"/>
  <c r="H92" i="12"/>
  <c r="I92" i="12"/>
  <c r="F92" i="12"/>
  <c r="H86" i="12"/>
  <c r="I86" i="12"/>
  <c r="G86" i="12"/>
  <c r="G84" i="12"/>
  <c r="H84" i="12"/>
  <c r="I84" i="12"/>
  <c r="F84" i="12"/>
  <c r="G79" i="12"/>
  <c r="H79" i="12"/>
  <c r="I79" i="12"/>
  <c r="F79" i="12"/>
  <c r="G77" i="12"/>
  <c r="H77" i="12"/>
  <c r="I77" i="12"/>
  <c r="F77" i="12"/>
  <c r="G76" i="12"/>
  <c r="H76" i="12"/>
  <c r="I76" i="12"/>
  <c r="F76" i="12"/>
  <c r="G71" i="12"/>
  <c r="H71" i="12"/>
  <c r="I71" i="12"/>
  <c r="F71" i="12"/>
  <c r="G70" i="12"/>
  <c r="H70" i="12"/>
  <c r="I70" i="12"/>
  <c r="F70" i="12"/>
  <c r="G63" i="12"/>
  <c r="H63" i="12"/>
  <c r="I63" i="12"/>
  <c r="F63" i="12"/>
  <c r="G61" i="12"/>
  <c r="H61" i="12"/>
  <c r="I61" i="12"/>
  <c r="F61" i="12"/>
  <c r="G60" i="12"/>
  <c r="H60" i="12"/>
  <c r="I60" i="12"/>
  <c r="F60" i="12"/>
  <c r="G53" i="12"/>
  <c r="H53" i="12"/>
  <c r="I53" i="12"/>
  <c r="I55" i="12" s="1"/>
  <c r="F53" i="12"/>
  <c r="G52" i="12"/>
  <c r="H52" i="12"/>
  <c r="I52" i="12"/>
  <c r="F52" i="12"/>
  <c r="G51" i="12"/>
  <c r="H51" i="12"/>
  <c r="I51" i="12"/>
  <c r="F51" i="12"/>
  <c r="G47" i="12"/>
  <c r="H47" i="12"/>
  <c r="I47" i="12"/>
  <c r="F47" i="12"/>
  <c r="G46" i="12"/>
  <c r="H46" i="12"/>
  <c r="I46" i="12"/>
  <c r="F46" i="12"/>
  <c r="G45" i="12"/>
  <c r="H45" i="12"/>
  <c r="I45" i="12"/>
  <c r="F45" i="12"/>
  <c r="G44" i="12"/>
  <c r="H44" i="12"/>
  <c r="I44" i="12"/>
  <c r="F44" i="12"/>
  <c r="G38" i="12"/>
  <c r="H38" i="12"/>
  <c r="I38" i="12"/>
  <c r="F38" i="12"/>
  <c r="G37" i="12"/>
  <c r="H37" i="12"/>
  <c r="I37" i="12"/>
  <c r="F37" i="12"/>
  <c r="G28" i="12"/>
  <c r="H28" i="12"/>
  <c r="I28" i="12"/>
  <c r="F28" i="12"/>
  <c r="G27" i="12"/>
  <c r="H27" i="12"/>
  <c r="I27" i="12"/>
  <c r="F27" i="12"/>
  <c r="G26" i="12"/>
  <c r="H26" i="12"/>
  <c r="I26" i="12"/>
  <c r="F26" i="12"/>
  <c r="G21" i="12"/>
  <c r="H21" i="12"/>
  <c r="I21" i="12"/>
  <c r="F21" i="12"/>
  <c r="G20" i="12"/>
  <c r="H20" i="12"/>
  <c r="I20" i="12"/>
  <c r="F20" i="12"/>
  <c r="G19" i="12"/>
  <c r="H19" i="12"/>
  <c r="I19" i="12"/>
  <c r="F19" i="12"/>
  <c r="G13" i="12"/>
  <c r="G14" i="12" s="1"/>
  <c r="H13" i="12"/>
  <c r="H14" i="12" s="1"/>
  <c r="I13" i="12"/>
  <c r="I14" i="12" s="1"/>
  <c r="F13" i="12"/>
  <c r="F14" i="12" s="1"/>
  <c r="G7" i="12"/>
  <c r="G8" i="12" s="1"/>
  <c r="H7" i="12"/>
  <c r="H8" i="12" s="1"/>
  <c r="I7" i="12"/>
  <c r="I9" i="12" s="1"/>
  <c r="F7" i="12"/>
  <c r="G49" i="12"/>
  <c r="E111" i="31" l="1"/>
  <c r="D119" i="31"/>
  <c r="F142" i="31"/>
  <c r="F143" i="31"/>
  <c r="D46" i="31"/>
  <c r="G78" i="31"/>
  <c r="C67" i="31" s="1"/>
  <c r="F21" i="6" s="1"/>
  <c r="G21" i="6" s="1"/>
  <c r="H21" i="6" s="1"/>
  <c r="I21" i="6" s="1"/>
  <c r="J21" i="6" s="1"/>
  <c r="D111" i="31"/>
  <c r="G119" i="31"/>
  <c r="H119" i="31" s="1"/>
  <c r="I119" i="31" s="1"/>
  <c r="E142" i="31"/>
  <c r="G46" i="31"/>
  <c r="F119" i="31"/>
  <c r="E119" i="31"/>
  <c r="M94" i="14"/>
  <c r="L59" i="14"/>
  <c r="M56" i="14"/>
  <c r="D142" i="31"/>
  <c r="I111" i="31"/>
  <c r="C90" i="31"/>
  <c r="F25" i="6" s="1"/>
  <c r="F102" i="31"/>
  <c r="G102" i="31"/>
  <c r="H102" i="31" s="1"/>
  <c r="E102" i="31"/>
  <c r="G127" i="31"/>
  <c r="E129" i="31" s="1"/>
  <c r="F27" i="6" s="1"/>
  <c r="G27" i="6" s="1"/>
  <c r="F46" i="31"/>
  <c r="G60" i="31"/>
  <c r="F15" i="6" s="1"/>
  <c r="G15" i="6" s="1"/>
  <c r="H15" i="6" s="1"/>
  <c r="I15" i="6" s="1"/>
  <c r="J15" i="6" s="1"/>
  <c r="F60" i="31"/>
  <c r="E60" i="31"/>
  <c r="N18" i="14"/>
  <c r="C11" i="31"/>
  <c r="F11" i="6" s="1"/>
  <c r="J8" i="14" s="1"/>
  <c r="J53" i="14" s="1"/>
  <c r="D9" i="31"/>
  <c r="C35" i="31"/>
  <c r="I8" i="12"/>
  <c r="H55" i="12"/>
  <c r="I49" i="12"/>
  <c r="H49" i="12"/>
  <c r="G55" i="12"/>
  <c r="F49" i="12"/>
  <c r="F55" i="12"/>
  <c r="G143" i="31" l="1"/>
  <c r="C89" i="31"/>
  <c r="F26" i="6" s="1"/>
  <c r="G142" i="31"/>
  <c r="H142" i="31" s="1"/>
  <c r="G28" i="6" s="1"/>
  <c r="N94" i="14"/>
  <c r="M59" i="14"/>
  <c r="N56" i="14"/>
  <c r="N59" i="14" s="1"/>
  <c r="J119" i="31"/>
  <c r="D89" i="31"/>
  <c r="G26" i="6" s="1"/>
  <c r="J111" i="31"/>
  <c r="D90" i="31"/>
  <c r="G25" i="6" s="1"/>
  <c r="C88" i="31"/>
  <c r="F24" i="6" s="1"/>
  <c r="I102" i="31"/>
  <c r="F28" i="6"/>
  <c r="J93" i="14" s="1"/>
  <c r="J98" i="14" s="1"/>
  <c r="G138" i="31"/>
  <c r="H27" i="6"/>
  <c r="H100" i="31"/>
  <c r="H101" i="31" s="1"/>
  <c r="H99" i="31" s="1"/>
  <c r="J36" i="14" s="1"/>
  <c r="J85" i="14" s="1"/>
  <c r="J12" i="14"/>
  <c r="J39" i="14"/>
  <c r="J88" i="14" s="1"/>
  <c r="F12" i="6"/>
  <c r="J10" i="14" s="1"/>
  <c r="D35" i="31"/>
  <c r="E9" i="31"/>
  <c r="D11" i="31"/>
  <c r="G11" i="6" s="1"/>
  <c r="K8" i="14" s="1"/>
  <c r="I142" i="31" l="1"/>
  <c r="G139" i="31"/>
  <c r="G140" i="31" s="1"/>
  <c r="F18" i="6"/>
  <c r="J13" i="14" s="1"/>
  <c r="J81" i="14" s="1"/>
  <c r="H143" i="31"/>
  <c r="K39" i="14"/>
  <c r="K53" i="14"/>
  <c r="K119" i="31"/>
  <c r="E89" i="31"/>
  <c r="H26" i="6" s="1"/>
  <c r="D88" i="31"/>
  <c r="G24" i="6" s="1"/>
  <c r="J102" i="31"/>
  <c r="K111" i="31"/>
  <c r="E90" i="31"/>
  <c r="H25" i="6" s="1"/>
  <c r="H28" i="6"/>
  <c r="J142" i="31"/>
  <c r="J9" i="14"/>
  <c r="J14" i="14"/>
  <c r="J19" i="14" s="1"/>
  <c r="K12" i="14"/>
  <c r="I100" i="31"/>
  <c r="I101" i="31" s="1"/>
  <c r="I99" i="31" s="1"/>
  <c r="K36" i="14" s="1"/>
  <c r="K85" i="14" s="1"/>
  <c r="I27" i="6"/>
  <c r="E11" i="31"/>
  <c r="H11" i="6" s="1"/>
  <c r="L8" i="14" s="1"/>
  <c r="L53" i="14" s="1"/>
  <c r="F9" i="31"/>
  <c r="E35" i="31"/>
  <c r="G12" i="6"/>
  <c r="K10" i="14" s="1"/>
  <c r="H137" i="31" l="1"/>
  <c r="J42" i="14"/>
  <c r="K88" i="14"/>
  <c r="I143" i="31"/>
  <c r="H18" i="6" s="1"/>
  <c r="G18" i="6"/>
  <c r="K13" i="14" s="1"/>
  <c r="K81" i="14" s="1"/>
  <c r="J143" i="31"/>
  <c r="I18" i="6" s="1"/>
  <c r="K142" i="31"/>
  <c r="I28" i="6"/>
  <c r="K102" i="31"/>
  <c r="E88" i="31"/>
  <c r="H24" i="6" s="1"/>
  <c r="H138" i="31"/>
  <c r="H139" i="31"/>
  <c r="L111" i="31"/>
  <c r="G90" i="31" s="1"/>
  <c r="J25" i="6" s="1"/>
  <c r="F90" i="31"/>
  <c r="I25" i="6" s="1"/>
  <c r="L119" i="31"/>
  <c r="G89" i="31" s="1"/>
  <c r="J26" i="6" s="1"/>
  <c r="F89" i="31"/>
  <c r="I26" i="6" s="1"/>
  <c r="L12" i="14"/>
  <c r="J100" i="31"/>
  <c r="J101" i="31" s="1"/>
  <c r="J99" i="31" s="1"/>
  <c r="L36" i="14" s="1"/>
  <c r="L85" i="14" s="1"/>
  <c r="L39" i="14"/>
  <c r="L88" i="14" s="1"/>
  <c r="J27" i="6"/>
  <c r="K9" i="14"/>
  <c r="K14" i="14"/>
  <c r="K19" i="14" s="1"/>
  <c r="J21" i="14"/>
  <c r="J22" i="14" s="1"/>
  <c r="J25" i="14" s="1"/>
  <c r="H109" i="31"/>
  <c r="H110" i="31" s="1"/>
  <c r="H108" i="31" s="1"/>
  <c r="J38" i="14" s="1"/>
  <c r="H117" i="31"/>
  <c r="H118" i="31" s="1"/>
  <c r="H116" i="31" s="1"/>
  <c r="J50" i="14" s="1"/>
  <c r="F11" i="31"/>
  <c r="I11" i="6" s="1"/>
  <c r="M8" i="14" s="1"/>
  <c r="G9" i="31"/>
  <c r="G11" i="31" s="1"/>
  <c r="J11" i="6" s="1"/>
  <c r="F35" i="31"/>
  <c r="H12" i="6"/>
  <c r="L10" i="14" s="1"/>
  <c r="J67" i="14" l="1"/>
  <c r="J80" i="14"/>
  <c r="K143" i="31"/>
  <c r="J18" i="6" s="1"/>
  <c r="H140" i="31"/>
  <c r="J46" i="14"/>
  <c r="K93" i="14"/>
  <c r="K98" i="14" s="1"/>
  <c r="J54" i="14"/>
  <c r="J60" i="14" s="1"/>
  <c r="J69" i="14" s="1"/>
  <c r="J87" i="14"/>
  <c r="J86" i="14"/>
  <c r="M39" i="14"/>
  <c r="M53" i="14"/>
  <c r="L102" i="31"/>
  <c r="G88" i="31" s="1"/>
  <c r="J24" i="6" s="1"/>
  <c r="F88" i="31"/>
  <c r="I24" i="6" s="1"/>
  <c r="J28" i="6"/>
  <c r="I109" i="31"/>
  <c r="I110" i="31" s="1"/>
  <c r="I108" i="31" s="1"/>
  <c r="K38" i="14" s="1"/>
  <c r="I117" i="31"/>
  <c r="I118" i="31" s="1"/>
  <c r="I116" i="31" s="1"/>
  <c r="K50" i="14" s="1"/>
  <c r="L9" i="14"/>
  <c r="K21" i="14"/>
  <c r="K22" i="14" s="1"/>
  <c r="K25" i="14" s="1"/>
  <c r="M12" i="14"/>
  <c r="K100" i="31"/>
  <c r="K101" i="31" s="1"/>
  <c r="K99" i="31" s="1"/>
  <c r="M36" i="14" s="1"/>
  <c r="M85" i="14" s="1"/>
  <c r="N8" i="14"/>
  <c r="G35" i="31"/>
  <c r="J12" i="6" s="1"/>
  <c r="I12" i="6"/>
  <c r="M10" i="14" s="1"/>
  <c r="K67" i="14" l="1"/>
  <c r="K80" i="14"/>
  <c r="M88" i="14"/>
  <c r="I137" i="31"/>
  <c r="K42" i="14"/>
  <c r="K54" i="14"/>
  <c r="K60" i="14" s="1"/>
  <c r="K69" i="14" s="1"/>
  <c r="K87" i="14"/>
  <c r="K86" i="14"/>
  <c r="J90" i="14"/>
  <c r="J107" i="14" s="1"/>
  <c r="J35" i="14" s="1"/>
  <c r="N39" i="14"/>
  <c r="N53" i="14"/>
  <c r="N10" i="14"/>
  <c r="M9" i="14"/>
  <c r="N12" i="14"/>
  <c r="L100" i="31"/>
  <c r="L101" i="31" s="1"/>
  <c r="L99" i="31" s="1"/>
  <c r="N36" i="14" s="1"/>
  <c r="N85" i="14" s="1"/>
  <c r="J117" i="31"/>
  <c r="J118" i="31" s="1"/>
  <c r="J116" i="31" s="1"/>
  <c r="L50" i="14" s="1"/>
  <c r="J109" i="31"/>
  <c r="J110" i="31" s="1"/>
  <c r="J108" i="31" s="1"/>
  <c r="L38" i="14" s="1"/>
  <c r="N9" i="14"/>
  <c r="L86" i="14" l="1"/>
  <c r="N88" i="14"/>
  <c r="I138" i="31"/>
  <c r="I139" i="31"/>
  <c r="J40" i="14"/>
  <c r="J47" i="14" s="1"/>
  <c r="J71" i="14" s="1"/>
  <c r="L54" i="14"/>
  <c r="L60" i="14" s="1"/>
  <c r="L87" i="14"/>
  <c r="L93" i="14"/>
  <c r="L98" i="14" s="1"/>
  <c r="K46" i="14"/>
  <c r="L13" i="14"/>
  <c r="K90" i="14"/>
  <c r="K107" i="14" s="1"/>
  <c r="K35" i="14" s="1"/>
  <c r="L117" i="31"/>
  <c r="L118" i="31" s="1"/>
  <c r="L116" i="31" s="1"/>
  <c r="N50" i="14" s="1"/>
  <c r="L109" i="31"/>
  <c r="L110" i="31" s="1"/>
  <c r="L108" i="31" s="1"/>
  <c r="N38" i="14" s="1"/>
  <c r="K117" i="31"/>
  <c r="K118" i="31" s="1"/>
  <c r="K116" i="31" s="1"/>
  <c r="M50" i="14" s="1"/>
  <c r="K109" i="31"/>
  <c r="K110" i="31" s="1"/>
  <c r="K108" i="31" s="1"/>
  <c r="M38" i="14" s="1"/>
  <c r="N86" i="14" l="1"/>
  <c r="M86" i="14"/>
  <c r="M54" i="14"/>
  <c r="M60" i="14" s="1"/>
  <c r="M87" i="14"/>
  <c r="N54" i="14"/>
  <c r="N60" i="14" s="1"/>
  <c r="N87" i="14"/>
  <c r="I140" i="31"/>
  <c r="K40" i="14"/>
  <c r="K47" i="14" s="1"/>
  <c r="K71" i="14" s="1"/>
  <c r="L81" i="14"/>
  <c r="L14" i="14"/>
  <c r="L19" i="14" s="1"/>
  <c r="L21" i="14" s="1"/>
  <c r="L22" i="14" s="1"/>
  <c r="L25" i="14" s="1"/>
  <c r="L67" i="14" l="1"/>
  <c r="L69" i="14" s="1"/>
  <c r="L80" i="14"/>
  <c r="L90" i="14" s="1"/>
  <c r="L107" i="14" s="1"/>
  <c r="L35" i="14" s="1"/>
  <c r="J137" i="31"/>
  <c r="L42" i="14"/>
  <c r="M93" i="14" l="1"/>
  <c r="M98" i="14" s="1"/>
  <c r="L46" i="14"/>
  <c r="M13" i="14"/>
  <c r="J138" i="31"/>
  <c r="J139" i="31"/>
  <c r="L40" i="14"/>
  <c r="L47" i="14" s="1"/>
  <c r="L71" i="14" s="1"/>
  <c r="J140" i="31" l="1"/>
  <c r="M81" i="14"/>
  <c r="M14" i="14"/>
  <c r="M19" i="14" s="1"/>
  <c r="M21" i="14" s="1"/>
  <c r="M22" i="14" s="1"/>
  <c r="M25" i="14" s="1"/>
  <c r="M67" i="14" l="1"/>
  <c r="M80" i="14"/>
  <c r="M90" i="14" s="1"/>
  <c r="M107" i="14" s="1"/>
  <c r="M35" i="14" s="1"/>
  <c r="K137" i="31"/>
  <c r="M42" i="14"/>
  <c r="N93" i="14" l="1"/>
  <c r="N98" i="14" s="1"/>
  <c r="M46" i="14"/>
  <c r="N13" i="14"/>
  <c r="K138" i="31"/>
  <c r="K139" i="31"/>
  <c r="M40" i="14"/>
  <c r="M47" i="14" s="1"/>
  <c r="M71" i="14" s="1"/>
  <c r="M69" i="14"/>
  <c r="K140" i="31" l="1"/>
  <c r="N42" i="14" s="1"/>
  <c r="N46" i="14" s="1"/>
  <c r="N81" i="14"/>
  <c r="N14" i="14"/>
  <c r="N19" i="14" s="1"/>
  <c r="N21" i="14" l="1"/>
  <c r="N22" i="14" s="1"/>
  <c r="N25" i="14" s="1"/>
  <c r="N80" i="14" l="1"/>
  <c r="N90" i="14" s="1"/>
  <c r="N107" i="14" s="1"/>
  <c r="N35" i="14" s="1"/>
  <c r="N40" i="14" s="1"/>
  <c r="N47" i="14" s="1"/>
  <c r="N67" i="14"/>
  <c r="N69" i="14" s="1"/>
  <c r="N71" i="14" l="1"/>
  <c r="G108" i="9" l="1"/>
  <c r="H108" i="9"/>
  <c r="I108" i="9"/>
  <c r="F108" i="9"/>
  <c r="G105" i="9"/>
  <c r="H105" i="9"/>
  <c r="I105" i="9"/>
  <c r="F105" i="9"/>
  <c r="G99" i="9"/>
  <c r="H99" i="9"/>
  <c r="I99" i="9"/>
  <c r="F99" i="9"/>
  <c r="G91" i="9"/>
  <c r="H91" i="9"/>
  <c r="I91" i="9"/>
  <c r="F91" i="9"/>
  <c r="G68" i="9"/>
  <c r="H68" i="9"/>
  <c r="I68" i="9"/>
  <c r="F68" i="9"/>
  <c r="G60" i="9"/>
  <c r="H60" i="9"/>
  <c r="I60" i="9"/>
  <c r="F60" i="9"/>
  <c r="G55" i="9"/>
  <c r="H55" i="9"/>
  <c r="I55" i="9"/>
  <c r="F55" i="9"/>
  <c r="G47" i="9"/>
  <c r="H47" i="9"/>
  <c r="I47" i="9"/>
  <c r="F47" i="9"/>
  <c r="G41" i="9"/>
  <c r="H41" i="9"/>
  <c r="I41" i="9"/>
  <c r="F41" i="9"/>
  <c r="G11" i="9"/>
  <c r="G15" i="9" s="1"/>
  <c r="G20" i="9" s="1"/>
  <c r="G23" i="9" s="1"/>
  <c r="G26" i="9" s="1"/>
  <c r="H11" i="9"/>
  <c r="H15" i="9" s="1"/>
  <c r="H20" i="9" s="1"/>
  <c r="H23" i="9" s="1"/>
  <c r="H26" i="9" s="1"/>
  <c r="I11" i="9"/>
  <c r="I15" i="9" s="1"/>
  <c r="I20" i="9" s="1"/>
  <c r="I23" i="9" s="1"/>
  <c r="I26" i="9" s="1"/>
  <c r="F11" i="9"/>
  <c r="F15" i="9" s="1"/>
  <c r="F20" i="9" s="1"/>
  <c r="F23" i="9" s="1"/>
  <c r="F26" i="9" s="1"/>
  <c r="F61" i="9" l="1"/>
  <c r="F70" i="9" s="1"/>
  <c r="I61" i="9"/>
  <c r="I70" i="9" s="1"/>
  <c r="G61" i="9"/>
  <c r="G70" i="9" s="1"/>
  <c r="H61" i="9"/>
  <c r="H70" i="9" s="1"/>
  <c r="I48" i="9"/>
  <c r="F48" i="9"/>
  <c r="H48" i="9"/>
  <c r="G48" i="9"/>
</calcChain>
</file>

<file path=xl/sharedStrings.xml><?xml version="1.0" encoding="utf-8"?>
<sst xmlns="http://schemas.openxmlformats.org/spreadsheetml/2006/main" count="1171" uniqueCount="728">
  <si>
    <t>Comprehensive Valuation Model — Table of Contents</t>
  </si>
  <si>
    <t>Tab #</t>
  </si>
  <si>
    <t>Tab Name</t>
  </si>
  <si>
    <t>Description</t>
  </si>
  <si>
    <t>Status</t>
  </si>
  <si>
    <t>SECTION 1: EXECUTIVE SUMMARY &amp; OVERVIEW</t>
  </si>
  <si>
    <t>Cover</t>
  </si>
  <si>
    <t>Title page, version control, confidentiality notice</t>
  </si>
  <si>
    <t>Complete</t>
  </si>
  <si>
    <t>TOC</t>
  </si>
  <si>
    <t>Executive Summary</t>
  </si>
  <si>
    <t>Historical Analysis</t>
  </si>
  <si>
    <t>Margins, growth rates, ratio analysis, trends</t>
  </si>
  <si>
    <t>SECTION 4: FORECASTS &amp; PROJECTIONS</t>
  </si>
  <si>
    <t>DCF Valuation</t>
  </si>
  <si>
    <t>Discounted Cash Flow analysis (WACC, terminal value)</t>
  </si>
  <si>
    <t>Trading Comps</t>
  </si>
  <si>
    <t>Public comparable company analysis (EV/Revenue, EV/EBITDA)</t>
  </si>
  <si>
    <t>Valuation Summary</t>
  </si>
  <si>
    <t>Combined valuation range across all methodologies</t>
  </si>
  <si>
    <t>Sensitivity Tables</t>
  </si>
  <si>
    <t>Sources &amp; Footnotes</t>
  </si>
  <si>
    <t>Data sources, methodology notes, disclaimers</t>
  </si>
  <si>
    <t>COLOR CODING LEGEND</t>
  </si>
  <si>
    <t>🔵</t>
  </si>
  <si>
    <t>BLUE cells</t>
  </si>
  <si>
    <t>Hardcoded inputs / assumptions (user changes these)</t>
  </si>
  <si>
    <t>⬛</t>
  </si>
  <si>
    <t>BLACK cells</t>
  </si>
  <si>
    <t>Formulas &amp; calculations (model calculates these)</t>
  </si>
  <si>
    <t>🟢</t>
  </si>
  <si>
    <t>GREEN cells</t>
  </si>
  <si>
    <t>Links from other worksheets within workbook</t>
  </si>
  <si>
    <t>🟡</t>
  </si>
  <si>
    <t>YELLOW cells</t>
  </si>
  <si>
    <t>Flags / checks / key assumptions needing attention</t>
  </si>
  <si>
    <t>🔴</t>
  </si>
  <si>
    <t>RED cells</t>
  </si>
  <si>
    <t>External links to other files</t>
  </si>
  <si>
    <t>Table of contents &amp; model map</t>
  </si>
  <si>
    <t>Investment thesis, highlights, key findings, target price</t>
  </si>
  <si>
    <t>Master Assumptions</t>
  </si>
  <si>
    <t>Key drivers: revenue growth, margins, CapEx, tax, WACC</t>
  </si>
  <si>
    <t>Supporting analysis: TAM, benchmarks, comps backup</t>
  </si>
  <si>
    <t>Historical Financials</t>
  </si>
  <si>
    <t>Historical IS + BS + CF (vertical 3-statement model)</t>
  </si>
  <si>
    <t>Forecast Model</t>
  </si>
  <si>
    <t>Projected IS + BS + CF (vertical 3-statement model)</t>
  </si>
  <si>
    <t>Supporting Schedules</t>
  </si>
  <si>
    <t>WACC vs. growth, revenue vs. margin data tables</t>
  </si>
  <si>
    <t>MASTER ASSUMPTIONS</t>
  </si>
  <si>
    <t>Gross Margin %</t>
  </si>
  <si>
    <t>SG&amp;A % of Revenue</t>
  </si>
  <si>
    <t>D&amp;A % of Revenue</t>
  </si>
  <si>
    <t>SECTION 2: HISTORICAL FINANCIALS &amp; ANALYSIS</t>
  </si>
  <si>
    <t>SECTION 3: ASSUMPTIONS &amp; OTHER INPUTS</t>
  </si>
  <si>
    <t xml:space="preserve">INCOME STATEMENT </t>
  </si>
  <si>
    <t>2022A</t>
  </si>
  <si>
    <t>2023A</t>
  </si>
  <si>
    <t>2025A</t>
  </si>
  <si>
    <t>Revenue</t>
  </si>
  <si>
    <t>SG&amp;A Expense</t>
  </si>
  <si>
    <t>D&amp;A Expense</t>
  </si>
  <si>
    <t>EBIT</t>
  </si>
  <si>
    <t>Interest Expense</t>
  </si>
  <si>
    <t>Other Income (Expense)</t>
  </si>
  <si>
    <t>EBT</t>
  </si>
  <si>
    <t>Income Taxes</t>
  </si>
  <si>
    <t>Net Income</t>
  </si>
  <si>
    <t>Assets</t>
  </si>
  <si>
    <t>Cash &amp; Short-Term Investments</t>
  </si>
  <si>
    <t>Accounts Receivable</t>
  </si>
  <si>
    <t>Other Receivables</t>
  </si>
  <si>
    <t>Inventories</t>
  </si>
  <si>
    <t>Other Current Assets</t>
  </si>
  <si>
    <t>Total Current Assets</t>
  </si>
  <si>
    <t>Net PP&amp;E</t>
  </si>
  <si>
    <t>Goodwill</t>
  </si>
  <si>
    <t>Other Intangible Assets</t>
  </si>
  <si>
    <t>Other Non-Current Assets</t>
  </si>
  <si>
    <t>Total Non-Current Assets</t>
  </si>
  <si>
    <t>Total Assets</t>
  </si>
  <si>
    <t>Liabilities</t>
  </si>
  <si>
    <t>Accounts Payable</t>
  </si>
  <si>
    <t>Short-Term Debt</t>
  </si>
  <si>
    <t>Income Tax Payable</t>
  </si>
  <si>
    <t>Other Current Liabilities</t>
  </si>
  <si>
    <t>Total Current Liabilities</t>
  </si>
  <si>
    <t>Long-Term Debt</t>
  </si>
  <si>
    <t>Deferred Tax Liabilities</t>
  </si>
  <si>
    <t>Other Non-Current Liabilities</t>
  </si>
  <si>
    <t>Total Non-Current Liabilities</t>
  </si>
  <si>
    <t>Total Liabilities</t>
  </si>
  <si>
    <t>Shareholders' Equity</t>
  </si>
  <si>
    <t>Retained Earnings</t>
  </si>
  <si>
    <t>Total Shareholders' Equity</t>
  </si>
  <si>
    <t>Total Liabilities &amp; Equity</t>
  </si>
  <si>
    <t>BALANCE STATEMENT</t>
  </si>
  <si>
    <t xml:space="preserve">CASH FLOW STATEMENT  </t>
  </si>
  <si>
    <t>Operating Activities</t>
  </si>
  <si>
    <t>D&amp;A</t>
  </si>
  <si>
    <t>Deferred Taxes</t>
  </si>
  <si>
    <t>Changes in Working Capital:</t>
  </si>
  <si>
    <t xml:space="preserve">  (Increase) / Decrease in Receivables</t>
  </si>
  <si>
    <t xml:space="preserve">  (Increase) / Decrease in Inventories</t>
  </si>
  <si>
    <t xml:space="preserve">  Increase / (Decrease) in Accounts Payable</t>
  </si>
  <si>
    <t xml:space="preserve">  Other Working Capital Changes</t>
  </si>
  <si>
    <t>Cash Flow from Operations</t>
  </si>
  <si>
    <t>Investing Activities</t>
  </si>
  <si>
    <t>Capital Expenditures</t>
  </si>
  <si>
    <t>Acquisitions</t>
  </si>
  <si>
    <t>Purchase / Sale of Investments</t>
  </si>
  <si>
    <t>Other Investing Activities</t>
  </si>
  <si>
    <t>Cash Flow from Investing</t>
  </si>
  <si>
    <t>Financing Activities</t>
  </si>
  <si>
    <t>Debt Issuance / (Repayment)</t>
  </si>
  <si>
    <t>Cash Flow from Financing</t>
  </si>
  <si>
    <t>Effect of Exchange Rate</t>
  </si>
  <si>
    <t>Net Change in Cash</t>
  </si>
  <si>
    <t>SOURCES &amp; FOOTNOTES</t>
  </si>
  <si>
    <t>SECTION 1: PRIMARY DATA SOURCES</t>
  </si>
  <si>
    <t>#</t>
  </si>
  <si>
    <t>Source Name</t>
  </si>
  <si>
    <t>Type</t>
  </si>
  <si>
    <t>Data Used For</t>
  </si>
  <si>
    <t>Tabs Referenced</t>
  </si>
  <si>
    <t>Access Date</t>
  </si>
  <si>
    <t>URL / Reference</t>
  </si>
  <si>
    <t>S1</t>
  </si>
  <si>
    <t>[e.g., SEC EDGAR - DUOL 10-K]</t>
  </si>
  <si>
    <t>[SEC Filing]</t>
  </si>
  <si>
    <t>[IS, BS, CF statements; footnotes]</t>
  </si>
  <si>
    <t>[Historical Financials]</t>
  </si>
  <si>
    <t>[Date]</t>
  </si>
  <si>
    <t>[https://sec.gov/...]</t>
  </si>
  <si>
    <t>S2</t>
  </si>
  <si>
    <t>[e.g., SEC EDGAR - DUOL 10-Q]</t>
  </si>
  <si>
    <t>[Quarterly interim financials]</t>
  </si>
  <si>
    <t>S3</t>
  </si>
  <si>
    <t>[e.g., DUOL Investor Relations]</t>
  </si>
  <si>
    <t>[Company IR]</t>
  </si>
  <si>
    <t>[Earnings releases, investor decks, KPIs]</t>
  </si>
  <si>
    <t>[Key Metrics, Assumptions]</t>
  </si>
  <si>
    <t>[https://investors.duolingo.com/...]</t>
  </si>
  <si>
    <t>S4</t>
  </si>
  <si>
    <t>[e.g., Bloomberg Terminal]</t>
  </si>
  <si>
    <t>[Terminal]</t>
  </si>
  <si>
    <t>[Beta, trading data, consensus]</t>
  </si>
  <si>
    <t>[DCF Valuation]</t>
  </si>
  <si>
    <t>[DUOL US Equity]</t>
  </si>
  <si>
    <t>S5</t>
  </si>
  <si>
    <t>[e.g., Damodaran Online]</t>
  </si>
  <si>
    <t>[Academic]</t>
  </si>
  <si>
    <t>[ERP, sector betas, country risk]</t>
  </si>
  <si>
    <t>[https://pages.stern.nyu.edu/...]</t>
  </si>
  <si>
    <t>S6</t>
  </si>
  <si>
    <t>[e.g., FRED / U.S. Treasury]</t>
  </si>
  <si>
    <t>[Govt]</t>
  </si>
  <si>
    <t>[Risk-free rate, macro rates, CPI]</t>
  </si>
  <si>
    <t>[https://fred.stlouisfed.org/...]</t>
  </si>
  <si>
    <t>S7</t>
  </si>
  <si>
    <t>[e.g., Industry Research Report]</t>
  </si>
  <si>
    <t>[3rd Party]</t>
  </si>
  <si>
    <t>[TAM, market sizing, growth rates]</t>
  </si>
  <si>
    <t>[Forecast Model]</t>
  </si>
  <si>
    <t>[Publisher / Report Title]</t>
  </si>
  <si>
    <t>S8</t>
  </si>
  <si>
    <t>[e.g., FactSet / Capital IQ]</t>
  </si>
  <si>
    <t>[Comps, multiples, consensus]</t>
  </si>
  <si>
    <t>[Valuation]</t>
  </si>
  <si>
    <t>[Screen / export ref]</t>
  </si>
  <si>
    <t>S9</t>
  </si>
  <si>
    <t>[e.g., Duff &amp; Phelps / Kroll]</t>
  </si>
  <si>
    <t>[Size premium, ERP, cost of capital]</t>
  </si>
  <si>
    <t>[Publication / Edition]</t>
  </si>
  <si>
    <t>S10</t>
  </si>
  <si>
    <t>[Add more as needed]</t>
  </si>
  <si>
    <t>SECTION 2: EXTERNAL MARKET INPUTS USED</t>
  </si>
  <si>
    <t>Input</t>
  </si>
  <si>
    <t>Value Used</t>
  </si>
  <si>
    <t>Source / Basis</t>
  </si>
  <si>
    <t>Feeds Into</t>
  </si>
  <si>
    <t>As-Of Date</t>
  </si>
  <si>
    <t>Source Ref</t>
  </si>
  <si>
    <t>Risk-Free Rate (Rf)</t>
  </si>
  <si>
    <t>[Enter]</t>
  </si>
  <si>
    <t>[e.g., 10-Year UST Yield at close]</t>
  </si>
  <si>
    <t>[DCF: WACC]</t>
  </si>
  <si>
    <t>[S6]</t>
  </si>
  <si>
    <t>Equity Risk Premium (ERP)</t>
  </si>
  <si>
    <t>[e.g., Damodaran implied ERP, Jan 2025]</t>
  </si>
  <si>
    <t>[S5]</t>
  </si>
  <si>
    <t>Levered Beta</t>
  </si>
  <si>
    <t>[e.g., 5Y monthly regression vs. S&amp;P 500]</t>
  </si>
  <si>
    <t>[S4]</t>
  </si>
  <si>
    <t>Terminal Growth Rate (g)</t>
  </si>
  <si>
    <t>[e.g., Long-run nominal GDP proxy]</t>
  </si>
  <si>
    <t>[DCF: Terminal Value]</t>
  </si>
  <si>
    <t>Marginal Tax Rate</t>
  </si>
  <si>
    <t>[e.g., Blended federal + state statutory]</t>
  </si>
  <si>
    <t>[DCF: NOPAT]</t>
  </si>
  <si>
    <t>[S1]</t>
  </si>
  <si>
    <t>EdTech TAM ($bn)</t>
  </si>
  <si>
    <t>[e.g., HolonIQ / Grand View Research]</t>
  </si>
  <si>
    <t>[Forecast: Revenue]</t>
  </si>
  <si>
    <t>[S7]</t>
  </si>
  <si>
    <t>Consensus Revenue FY25E ($mm)</t>
  </si>
  <si>
    <t>[e.g., Bloomberg / FactSet median]</t>
  </si>
  <si>
    <t>[Benchmark]</t>
  </si>
  <si>
    <t>[S4/S8]</t>
  </si>
  <si>
    <t>Consensus EPS FY25E</t>
  </si>
  <si>
    <t>[Add rows as needed]</t>
  </si>
  <si>
    <t>SECTION 3: FOOTNOTES &amp; ADJUSTMENTS</t>
  </si>
  <si>
    <t>Ref #</t>
  </si>
  <si>
    <t>Tab / Cell</t>
  </si>
  <si>
    <t>Footnote Description</t>
  </si>
  <si>
    <t>Impact on Model</t>
  </si>
  <si>
    <t>[1]</t>
  </si>
  <si>
    <t>[e.g., Historical Financials, F10]</t>
  </si>
  <si>
    <t>[e.g., Revenue restated to reflect ASC 606 adoption; FY2020 adjusted]</t>
  </si>
  <si>
    <t>[e.g., +$2.3mm to FY2020 revenue]</t>
  </si>
  <si>
    <t>[2]</t>
  </si>
  <si>
    <t>[e.g., DCF Valuation, E11]</t>
  </si>
  <si>
    <t>[e.g., Beta sourced from 5Y monthly regression vs. S&amp;P 500; R-sq = 0.42]</t>
  </si>
  <si>
    <t>[Affects Ke and WACC]</t>
  </si>
  <si>
    <t>[3]</t>
  </si>
  <si>
    <t>[e.g., Master Assumptions, F20]</t>
  </si>
  <si>
    <t>[e.g., Tax rate reflects blended state + federal; no NOL carryforward assumed]</t>
  </si>
  <si>
    <t>[Affects NOPAT / FCF]</t>
  </si>
  <si>
    <t>[4]</t>
  </si>
  <si>
    <t>[e.g., DCF Valuation, E35]</t>
  </si>
  <si>
    <t>[e.g., SBC added back to FCF as non-cash; dilution via diluted share count]</t>
  </si>
  <si>
    <t>[Increases UCF significantly]</t>
  </si>
  <si>
    <t>[5]</t>
  </si>
  <si>
    <t>[e.g., Forecast Model, H11]</t>
  </si>
  <si>
    <t>[e.g., Revenue growth assumes continued MAU expansion; no new product lines]</t>
  </si>
  <si>
    <t>[S3]</t>
  </si>
  <si>
    <t>[Core revenue driver]</t>
  </si>
  <si>
    <t>[6]</t>
  </si>
  <si>
    <t>[Tab / Cell]</t>
  </si>
  <si>
    <t>[Description]</t>
  </si>
  <si>
    <t>[Sn]</t>
  </si>
  <si>
    <t>[Impact]</t>
  </si>
  <si>
    <t>[7]</t>
  </si>
  <si>
    <t>[8]</t>
  </si>
  <si>
    <t>[9]</t>
  </si>
  <si>
    <t>[10]</t>
  </si>
  <si>
    <t>SECTION 4: METHODOLOGY NOTES</t>
  </si>
  <si>
    <t>Area</t>
  </si>
  <si>
    <t>Methodology Description</t>
  </si>
  <si>
    <t>Applicable Tab(s)</t>
  </si>
  <si>
    <t>Valuation Approach</t>
  </si>
  <si>
    <t>[e.g., Unlevered DCF; perpetuity growth terminal value; mid-year convention]</t>
  </si>
  <si>
    <t>WACC Derivation</t>
  </si>
  <si>
    <t>[e.g., CAPM-based Ke; 100% equity weight (no debt); no size/country premium]</t>
  </si>
  <si>
    <t>Revenue Forecast</t>
  </si>
  <si>
    <t>[e.g., Top-line driven by MAU growth x ARPU; 3 scenarios (Bull/Base/Bear)]</t>
  </si>
  <si>
    <t>[Forecast Model, Scenarios]</t>
  </si>
  <si>
    <t>Margin Expansion</t>
  </si>
  <si>
    <t>[e.g., Gross margin converges to 76% by FY2029; OpEx leverage from scale]</t>
  </si>
  <si>
    <t>[Master Assumptions]</t>
  </si>
  <si>
    <t>Working Capital</t>
  </si>
  <si>
    <t>[e.g., DSO/DPO held constant at historical average; NWC as % of revenue delta]</t>
  </si>
  <si>
    <t>[Supporting Schedules]</t>
  </si>
  <si>
    <t>CapEx Treatment</t>
  </si>
  <si>
    <t>[e.g., CapEx as % of revenue; includes capitalized software development]</t>
  </si>
  <si>
    <t>SBC Treatment</t>
  </si>
  <si>
    <t>[e.g., SBC added back to FCF as non-cash; dilution captured via diluted shares]</t>
  </si>
  <si>
    <t>Tax Assumptions</t>
  </si>
  <si>
    <t>[e.g., Effective tax rate ramping 15% to 20% over forecast; no deferred tax]</t>
  </si>
  <si>
    <t>Terminal Value</t>
  </si>
  <si>
    <t>[e.g., Gordon growth model; 2.5% perpetuity rate = long-run nominal GDP proxy]</t>
  </si>
  <si>
    <t>[DCF, Sensitivity]</t>
  </si>
  <si>
    <t>Scenario Framework</t>
  </si>
  <si>
    <t>[e.g., Bull/Base/Bear via CHOOSE function; assumption-driven from Supp. Schedules]</t>
  </si>
  <si>
    <t>[Scenario Analysis]</t>
  </si>
  <si>
    <t>SECTION 5: REVISION LOG</t>
  </si>
  <si>
    <t>Version</t>
  </si>
  <si>
    <t>Date</t>
  </si>
  <si>
    <t>Author</t>
  </si>
  <si>
    <t>Change Description</t>
  </si>
  <si>
    <t>Tabs Affected</t>
  </si>
  <si>
    <t>v1.0</t>
  </si>
  <si>
    <t>[Initials]</t>
  </si>
  <si>
    <t>[e.g., Initial model build; historical financials + DCF]</t>
  </si>
  <si>
    <t>[All]</t>
  </si>
  <si>
    <t>v1.1</t>
  </si>
  <si>
    <t>[e.g., Updated beta + ERP; re-ran sensitivity tables]</t>
  </si>
  <si>
    <t>v1.2</t>
  </si>
  <si>
    <t>[e.g., Added scenario analysis; Bull/Base/Bear assumptions]</t>
  </si>
  <si>
    <t>[Scenarios, Assumptions]</t>
  </si>
  <si>
    <t>v2.0</t>
  </si>
  <si>
    <t>[e.g., Major revision: incorporated Q4 2024 actuals; revised forecast]</t>
  </si>
  <si>
    <t>[Hist. Fin., Forecast]</t>
  </si>
  <si>
    <t>v2.1</t>
  </si>
  <si>
    <t>[Change description]</t>
  </si>
  <si>
    <t>[Tab names]</t>
  </si>
  <si>
    <t>v3.0</t>
  </si>
  <si>
    <t>[Add]</t>
  </si>
  <si>
    <t>SECTION 6: DISCLAIMER &amp; LIMITATIONS</t>
  </si>
  <si>
    <t>IMPORTANT: This financial model is prepared for informational and analytical purposes only.</t>
  </si>
  <si>
    <t>[1] This model does not constitute investment advice, a recommendation, or a solicitation to buy or sell securities.</t>
  </si>
  <si>
    <t>[2] All projections are based on assumptions that may not reflect actual future performance.</t>
  </si>
  <si>
    <t>[3] Historical financial data is sourced from public SEC filings and may be subject to restatement.</t>
  </si>
  <si>
    <t>[4] Market data (prices, rates, betas) is point-in-time and subject to change.</t>
  </si>
  <si>
    <t>[5] Model outputs are highly sensitive to input assumptions; users should review the Sensitivity Analysis tab.</t>
  </si>
  <si>
    <t>[6] The author(s) make no warranty as to accuracy or completeness of data or projections.</t>
  </si>
  <si>
    <t>[7] Users should conduct independent due diligence before making any investment decisions.</t>
  </si>
  <si>
    <t>2024A</t>
  </si>
  <si>
    <t xml:space="preserve">COGS </t>
  </si>
  <si>
    <t xml:space="preserve">Gross Profit </t>
  </si>
  <si>
    <t>Unusual Expense</t>
  </si>
  <si>
    <t>Consolidated Net Income</t>
  </si>
  <si>
    <t>Minority Interests</t>
  </si>
  <si>
    <t>APIC</t>
  </si>
  <si>
    <t>CTA / Unrealized Fx</t>
  </si>
  <si>
    <t xml:space="preserve">Acc. Minority Interest </t>
  </si>
  <si>
    <t>Other Funds</t>
  </si>
  <si>
    <t>Sale of Fixed Assets &amp; Businesses</t>
  </si>
  <si>
    <t>Change in Capital Stock</t>
  </si>
  <si>
    <t xml:space="preserve">SECTION A: GROWTH AND MARGIN ANALYSIS </t>
  </si>
  <si>
    <t xml:space="preserve">REVENUE GROWTH: </t>
  </si>
  <si>
    <t>Trend</t>
  </si>
  <si>
    <t>Total Revenue ($M)</t>
  </si>
  <si>
    <t xml:space="preserve">YoY Growth % </t>
  </si>
  <si>
    <t>YoY Growth</t>
  </si>
  <si>
    <t xml:space="preserve">GROSS MARGIN: </t>
  </si>
  <si>
    <t>Gross Profit ($M)</t>
  </si>
  <si>
    <t>Gross Profit %</t>
  </si>
  <si>
    <t xml:space="preserve">OPEX ANALYSIS: </t>
  </si>
  <si>
    <t>Total Opex % of Revenue</t>
  </si>
  <si>
    <t>PROFITABILITY:</t>
  </si>
  <si>
    <t xml:space="preserve">Operating Margin % </t>
  </si>
  <si>
    <t>EBITDA Margin %</t>
  </si>
  <si>
    <t>Net Margin %</t>
  </si>
  <si>
    <t>SECTION B: CASH GENERATION AND CAPITAL EFFICIENCY</t>
  </si>
  <si>
    <t>CASH FLOW QUALITY:</t>
  </si>
  <si>
    <t xml:space="preserve">Trend </t>
  </si>
  <si>
    <t>OCF</t>
  </si>
  <si>
    <t>FCF</t>
  </si>
  <si>
    <t>WC DYNAMICS:</t>
  </si>
  <si>
    <t>Changes in WC ($M):</t>
  </si>
  <si>
    <r>
      <t xml:space="preserve">     </t>
    </r>
    <r>
      <rPr>
        <i/>
        <sz val="12"/>
        <color theme="1"/>
        <rFont val="Aptos Narrow"/>
        <scheme val="minor"/>
      </rPr>
      <t xml:space="preserve">  Changes in AR</t>
    </r>
  </si>
  <si>
    <t xml:space="preserve">       Changes in AP</t>
  </si>
  <si>
    <t xml:space="preserve">       Changes in Inventory</t>
  </si>
  <si>
    <t xml:space="preserve">       Other WC changes </t>
  </si>
  <si>
    <t xml:space="preserve">Net WC Impact </t>
  </si>
  <si>
    <t>DSO</t>
  </si>
  <si>
    <t>DPO</t>
  </si>
  <si>
    <t>DIO</t>
  </si>
  <si>
    <t>CCC</t>
  </si>
  <si>
    <t>CAPEX REQUIREMENTS:</t>
  </si>
  <si>
    <t xml:space="preserve">CapEx ($M) </t>
  </si>
  <si>
    <t xml:space="preserve">      as % of Revenue </t>
  </si>
  <si>
    <t>CapEx / Depreciation</t>
  </si>
  <si>
    <t>SECTION C: BALANCE SHEET HEALTH AND RETURN METRICS</t>
  </si>
  <si>
    <t xml:space="preserve">LIQUIDITY: </t>
  </si>
  <si>
    <t xml:space="preserve">Current Ratio </t>
  </si>
  <si>
    <t>Quick Ratio</t>
  </si>
  <si>
    <t>LEVERAGE:</t>
  </si>
  <si>
    <t xml:space="preserve">Total Debt </t>
  </si>
  <si>
    <t>Equity</t>
  </si>
  <si>
    <t>Debt / Equity</t>
  </si>
  <si>
    <t>EQUITY  &amp; RETAINED EARNINGS:</t>
  </si>
  <si>
    <t>Total Shareholder's Equity</t>
  </si>
  <si>
    <t xml:space="preserve">YoY equity Growth </t>
  </si>
  <si>
    <t>RETURN METRICS:</t>
  </si>
  <si>
    <t>RoE(%)</t>
  </si>
  <si>
    <t xml:space="preserve">       =NI/Shareholder's Equity</t>
  </si>
  <si>
    <t>RoA(%)</t>
  </si>
  <si>
    <t xml:space="preserve">       =Net Income/Avg Assets</t>
  </si>
  <si>
    <t>ROIC(%)</t>
  </si>
  <si>
    <t xml:space="preserve">          EBIT</t>
  </si>
  <si>
    <t xml:space="preserve">          x (1-Tax rate)</t>
  </si>
  <si>
    <t xml:space="preserve">         =NOPAT</t>
  </si>
  <si>
    <t xml:space="preserve">         Invested Capital</t>
  </si>
  <si>
    <t xml:space="preserve">        Total Equity </t>
  </si>
  <si>
    <t xml:space="preserve">              +Total Debt </t>
  </si>
  <si>
    <t xml:space="preserve">              -Excess Cash</t>
  </si>
  <si>
    <t xml:space="preserve">        = Invested Capital</t>
  </si>
  <si>
    <t xml:space="preserve">        = NOPAT/Invested Capital</t>
  </si>
  <si>
    <t>CAGR</t>
  </si>
  <si>
    <t>SCENARIO SELECTOR</t>
  </si>
  <si>
    <t>Active Scenario:</t>
  </si>
  <si>
    <t>Base</t>
  </si>
  <si>
    <t>Scenario Code:</t>
  </si>
  <si>
    <t>(1=Bull, 2=Base, 3=Bear)</t>
  </si>
  <si>
    <t>ACTIVE ASSUMPTIONS</t>
  </si>
  <si>
    <t>2026E</t>
  </si>
  <si>
    <t>2027E</t>
  </si>
  <si>
    <t>2028E</t>
  </si>
  <si>
    <t>2029E</t>
  </si>
  <si>
    <t>REVENUE &amp; MARGINS</t>
  </si>
  <si>
    <t>Revenue Growth %</t>
  </si>
  <si>
    <t>OPERATING EXPENSES (% of Revenue)</t>
  </si>
  <si>
    <t>SG&amp;A %</t>
  </si>
  <si>
    <t>Depreciation (% of Beg. PPE )</t>
  </si>
  <si>
    <t>Depreciation %</t>
  </si>
  <si>
    <t>TAX &amp; OTHER</t>
  </si>
  <si>
    <t>Effective Tax Rate %</t>
  </si>
  <si>
    <t>BALANCE SHEET &amp; CAPEX</t>
  </si>
  <si>
    <t>DSO (Days)</t>
  </si>
  <si>
    <t>DIO (Days)</t>
  </si>
  <si>
    <t>DPO (Days)</t>
  </si>
  <si>
    <t>Other Current Assets % of Revenue</t>
  </si>
  <si>
    <t>VALUATION PARAMETERS</t>
  </si>
  <si>
    <t>Terminal Growth Rate</t>
  </si>
  <si>
    <t>Copart  Inc. (CPRT) |   Forecast Assumptions</t>
  </si>
  <si>
    <t>2030E</t>
  </si>
  <si>
    <t>INCOME STATEMENT</t>
  </si>
  <si>
    <t>All figures in millions of euros</t>
  </si>
  <si>
    <t>unless stated otherwise</t>
  </si>
  <si>
    <t>BALANCE SHEET</t>
  </si>
  <si>
    <t>CASH FLOW STATEMENT</t>
  </si>
  <si>
    <t>SUPPORTING SCHEDULES</t>
  </si>
  <si>
    <t>Scenario Assumptions — Revenue Growth Rates</t>
  </si>
  <si>
    <t>Copart Inc. (CPRT)</t>
  </si>
  <si>
    <t xml:space="preserve">REVENUE SCHEDULE </t>
  </si>
  <si>
    <t xml:space="preserve">Section A : Segment Wise Historical Data </t>
  </si>
  <si>
    <t xml:space="preserve">Service </t>
  </si>
  <si>
    <t>% of Total</t>
  </si>
  <si>
    <t xml:space="preserve">Vehicle </t>
  </si>
  <si>
    <t>YoY Growth %</t>
  </si>
  <si>
    <t>Vehicle</t>
  </si>
  <si>
    <t xml:space="preserve">  Service Revenue Growth</t>
  </si>
  <si>
    <t xml:space="preserve">  Vehicle Sales Growth</t>
  </si>
  <si>
    <t xml:space="preserve">  Total Revenue Growth </t>
  </si>
  <si>
    <t>(implied)</t>
  </si>
  <si>
    <t xml:space="preserve">GROSS MARGIN ASSUMPTIONS </t>
  </si>
  <si>
    <t xml:space="preserve">Gross Margin </t>
  </si>
  <si>
    <t xml:space="preserve">Section A : Historical Gross Margin </t>
  </si>
  <si>
    <t>Scenario Assumptions - Gross Margins</t>
  </si>
  <si>
    <t xml:space="preserve">Section A : Historical SG&amp;A </t>
  </si>
  <si>
    <t xml:space="preserve">SG&amp;A </t>
  </si>
  <si>
    <t>SG&amp;A as % of Revenue</t>
  </si>
  <si>
    <t xml:space="preserve">* using recent year </t>
  </si>
  <si>
    <t>Operating Expenses  Assumptions</t>
  </si>
  <si>
    <t>Tax Schedule</t>
  </si>
  <si>
    <t>Section A : Historical Tax Rate</t>
  </si>
  <si>
    <t xml:space="preserve">Taxes </t>
  </si>
  <si>
    <t>Effective Tax rate</t>
  </si>
  <si>
    <t>Avg. Tax rate (Last 4 yrs )</t>
  </si>
  <si>
    <t>Working Capital Schedule</t>
  </si>
  <si>
    <t xml:space="preserve">Scenario Assumptions </t>
  </si>
  <si>
    <t>WC Schedule</t>
  </si>
  <si>
    <t>Days in Period</t>
  </si>
  <si>
    <t>Accounts Receivables:</t>
  </si>
  <si>
    <t xml:space="preserve">Receivables </t>
  </si>
  <si>
    <t>Revenue/(Days in Period)</t>
  </si>
  <si>
    <t>Inventory:</t>
  </si>
  <si>
    <t>Inventory</t>
  </si>
  <si>
    <t>COGS</t>
  </si>
  <si>
    <t>COGS/(Days in Period)</t>
  </si>
  <si>
    <t>Accounts Payables:</t>
  </si>
  <si>
    <t>Payables</t>
  </si>
  <si>
    <t>Purchases</t>
  </si>
  <si>
    <t>Purchases/(Days in Period)</t>
  </si>
  <si>
    <t xml:space="preserve">Other Current Assets </t>
  </si>
  <si>
    <t xml:space="preserve">as % of Revenue </t>
  </si>
  <si>
    <t>Avg. (Last 4 years)</t>
  </si>
  <si>
    <t>*considering latest year moving forward</t>
  </si>
  <si>
    <t>PP&amp;E Schedule</t>
  </si>
  <si>
    <t>Section A : PPE Calculations</t>
  </si>
  <si>
    <t>BoP</t>
  </si>
  <si>
    <t xml:space="preserve">(+) Capex </t>
  </si>
  <si>
    <t>(-)Depreciation</t>
  </si>
  <si>
    <t xml:space="preserve">EOP </t>
  </si>
  <si>
    <t>Capex as % of BoP</t>
  </si>
  <si>
    <t>Dep. As % of BoP</t>
  </si>
  <si>
    <t>* Using Rolling Average</t>
  </si>
  <si>
    <t xml:space="preserve">Capex as % of Beg. PPE </t>
  </si>
  <si>
    <t>Other Current Liabilities % of Revenue</t>
  </si>
  <si>
    <t>Check</t>
  </si>
  <si>
    <t xml:space="preserve">DCF VALUATION </t>
  </si>
  <si>
    <t>SECTION 1: CAPITAL STRUCTURE</t>
  </si>
  <si>
    <t>Cost of Equity (CAPM):</t>
  </si>
  <si>
    <t>Cost of Debt:</t>
  </si>
  <si>
    <t>Pre-tax Cost of Debt (Kd)</t>
  </si>
  <si>
    <t>Equity risk premium (ERP)</t>
  </si>
  <si>
    <t>Tax rate</t>
  </si>
  <si>
    <t>Beta (Levered)</t>
  </si>
  <si>
    <t>After-Tax Cost of Debt</t>
  </si>
  <si>
    <t xml:space="preserve">Cost of Equity(Ke) </t>
  </si>
  <si>
    <t xml:space="preserve">Weight of Equity </t>
  </si>
  <si>
    <t xml:space="preserve">Weight of Debt </t>
  </si>
  <si>
    <t xml:space="preserve">Weighted Average Cost of Capital </t>
  </si>
  <si>
    <t xml:space="preserve">SECTION 2: FREE CASH FLOW SCHEDULE </t>
  </si>
  <si>
    <t>2025E</t>
  </si>
  <si>
    <t xml:space="preserve">EBIT </t>
  </si>
  <si>
    <t xml:space="preserve">    % Margin</t>
  </si>
  <si>
    <t>Less: Taxes on EBIT</t>
  </si>
  <si>
    <t>NOPAT (EBIT x (1-Tax rate)</t>
  </si>
  <si>
    <t>Plus: D&amp;A</t>
  </si>
  <si>
    <t>Less: CapEx</t>
  </si>
  <si>
    <t xml:space="preserve">Less: Change in NWC </t>
  </si>
  <si>
    <t xml:space="preserve">Unlevered Free Cash Flow </t>
  </si>
  <si>
    <t xml:space="preserve">          % Conversion (UCF/NOPAT)</t>
  </si>
  <si>
    <t xml:space="preserve">SECTION 3: DISCOUNTING &amp; PRESENT VALUE  </t>
  </si>
  <si>
    <t xml:space="preserve">Discount Period (Mid Year Convention) </t>
  </si>
  <si>
    <t>Discount Factor</t>
  </si>
  <si>
    <t>PV of FCF</t>
  </si>
  <si>
    <t>Sum of FCF</t>
  </si>
  <si>
    <t>SECTION 4: TERMINAL VALUE CALCULATION</t>
  </si>
  <si>
    <t xml:space="preserve">Perpetual Growth Method </t>
  </si>
  <si>
    <t>Exit multiple Method</t>
  </si>
  <si>
    <t>Terminal Year FCF (2029E)</t>
  </si>
  <si>
    <t>Terminal Year EBITDA (2029E)</t>
  </si>
  <si>
    <t>Perpetual Growth Rate</t>
  </si>
  <si>
    <t>Exit EV/EBITDA Multiple</t>
  </si>
  <si>
    <t>Terminal Value (Perpetuity)</t>
  </si>
  <si>
    <t xml:space="preserve">Terminal Value </t>
  </si>
  <si>
    <t>PV of Terminal Value</t>
  </si>
  <si>
    <t>SECTION 5: ENTERPRISE VALUE TO EQUITY VALUE</t>
  </si>
  <si>
    <t>Perpetual Growth Method</t>
  </si>
  <si>
    <t>Sum of PV of FCF</t>
  </si>
  <si>
    <t>Enterprise Value</t>
  </si>
  <si>
    <t>Less: Total Debt</t>
  </si>
  <si>
    <t>Plus: Cash &amp; Equivalents</t>
  </si>
  <si>
    <t>Less: Minority Interest</t>
  </si>
  <si>
    <t>Less: Preferred Stock</t>
  </si>
  <si>
    <t>Plus: Equity Investments</t>
  </si>
  <si>
    <t>Equity Value</t>
  </si>
  <si>
    <t>Shares Outstanding (mm)</t>
  </si>
  <si>
    <t>Implied Share Price ($)</t>
  </si>
  <si>
    <t>Fully Diluted Shares Outstanding(mm)</t>
  </si>
  <si>
    <t>Implied Share Price -Diluted ($)</t>
  </si>
  <si>
    <t>TRADING COMPARABLES ANALYSIS</t>
  </si>
  <si>
    <t>All figures in EUR millions unless stated otherwise</t>
  </si>
  <si>
    <t>SECTION 1: COMPANY OVERVIEW &amp; MARKET DATA</t>
  </si>
  <si>
    <t>Company</t>
  </si>
  <si>
    <t>Ticker</t>
  </si>
  <si>
    <t>Exchange</t>
  </si>
  <si>
    <t>Currency</t>
  </si>
  <si>
    <t>Shares Out. (mm)</t>
  </si>
  <si>
    <t>NYSE</t>
  </si>
  <si>
    <t>USD</t>
  </si>
  <si>
    <t>EBITDA Margin</t>
  </si>
  <si>
    <t>EBIT Margin</t>
  </si>
  <si>
    <t>NTM</t>
  </si>
  <si>
    <t>SECTION 3: TRADING MULTIPLES</t>
  </si>
  <si>
    <t>EV / Revenue</t>
  </si>
  <si>
    <t>EV / EBITDA</t>
  </si>
  <si>
    <t>EV / EBIT</t>
  </si>
  <si>
    <t>P / E</t>
  </si>
  <si>
    <t>—  Peer Summary Statistics (Comps Only)  —</t>
  </si>
  <si>
    <t>Mean</t>
  </si>
  <si>
    <t>Median</t>
  </si>
  <si>
    <t>High</t>
  </si>
  <si>
    <t>Low</t>
  </si>
  <si>
    <t>Multiple Basis</t>
  </si>
  <si>
    <t>EV/Rev NTM</t>
  </si>
  <si>
    <t>EV/EBITDA NTM</t>
  </si>
  <si>
    <t>EV/EBIT NTM</t>
  </si>
  <si>
    <t>P/E NTM</t>
  </si>
  <si>
    <t>Notes: (1) Blue cells = manual inputs. (2) Margin % and multiples auto-calculate upon data entry. (3) EV-based multiples = EV / respective metric. (4) P/E = Market Cap / Net Income.</t>
  </si>
  <si>
    <t xml:space="preserve">Copart Inc. </t>
  </si>
  <si>
    <t xml:space="preserve">RB Global </t>
  </si>
  <si>
    <t>CarMax</t>
  </si>
  <si>
    <t>Carvana A</t>
  </si>
  <si>
    <t>CPRT-US</t>
  </si>
  <si>
    <t>RBA-CA</t>
  </si>
  <si>
    <t>KMX-US</t>
  </si>
  <si>
    <t>CVNA-US</t>
  </si>
  <si>
    <t>Toronto</t>
  </si>
  <si>
    <t>CAD</t>
  </si>
  <si>
    <t>Share Price($)</t>
  </si>
  <si>
    <t>Market Cap ($mm)</t>
  </si>
  <si>
    <t>(+) Total Debt ($mm)</t>
  </si>
  <si>
    <t>(-) Cash ($mm)</t>
  </si>
  <si>
    <t>(-)Inv in Unconsolidated Subs ($mm)</t>
  </si>
  <si>
    <t>Enterprise Value ($mm)</t>
  </si>
  <si>
    <t>Revenue ($mm)</t>
  </si>
  <si>
    <t>EBITDA ($mm)</t>
  </si>
  <si>
    <t>EBIT ($mm)</t>
  </si>
  <si>
    <t>Net Income ($mm)</t>
  </si>
  <si>
    <t>EPS-Diluted ($)</t>
  </si>
  <si>
    <t>Avg. Multiple Applied</t>
  </si>
  <si>
    <t>EV/Rev 2026E</t>
  </si>
  <si>
    <t>EV/EBITDA 2026E</t>
  </si>
  <si>
    <t>EV/EBIT 2026E</t>
  </si>
  <si>
    <t>P/E 2026E</t>
  </si>
  <si>
    <t>SECTION 2: FINANCIAL SUMMARY (LTM &amp; 2026E)</t>
  </si>
  <si>
    <t>SECTION 4: IMPLIED VALUATION FOR COPART</t>
  </si>
  <si>
    <t>Methodology</t>
  </si>
  <si>
    <t>Mid</t>
  </si>
  <si>
    <t>Source</t>
  </si>
  <si>
    <t>DCF - Perpetuity Growth</t>
  </si>
  <si>
    <t>WACC ±1%, TGR ±0.5%</t>
  </si>
  <si>
    <t>DCF - Exit Multiple</t>
  </si>
  <si>
    <t>Current Market EV</t>
  </si>
  <si>
    <t>As of current price</t>
  </si>
  <si>
    <t>Current Share Price</t>
  </si>
  <si>
    <t>VALUATION SUMMARY</t>
  </si>
  <si>
    <t xml:space="preserve"> V/S Current</t>
  </si>
  <si>
    <t xml:space="preserve">Trading Comps </t>
  </si>
  <si>
    <t>Blended Valuation (Equal Weight)</t>
  </si>
  <si>
    <t>ENTERPRISE VALUE ($ millions)</t>
  </si>
  <si>
    <t>IMPLIED SHARE PRICE ($)</t>
  </si>
  <si>
    <t>Midpoint EV ($mm)</t>
  </si>
  <si>
    <t>Midpoint Price ($)</t>
  </si>
  <si>
    <t>Trading Comps (EV/EBITDA:2026E)</t>
  </si>
  <si>
    <t>Copart Metric ($mm)</t>
  </si>
  <si>
    <t>Implied Enterprise Value ($mm)</t>
  </si>
  <si>
    <t>Implied Equity Value ($mm)</t>
  </si>
  <si>
    <t xml:space="preserve">Peer range </t>
  </si>
  <si>
    <t>Exit Multiple 13x-19x</t>
  </si>
  <si>
    <t>Trading Comps (P/E-2026E)</t>
  </si>
  <si>
    <t xml:space="preserve">SENSITIVITY ANALYSIS </t>
  </si>
  <si>
    <t>WACC vs. PERPETUAL GROWTH RATE</t>
  </si>
  <si>
    <t>Implied Price (Diluted)</t>
  </si>
  <si>
    <t>GROWTH RATE</t>
  </si>
  <si>
    <t>WACC</t>
  </si>
  <si>
    <t>WACC vs EXIT MULTIPLE</t>
  </si>
  <si>
    <t>EXIT MULTIPLE (EV/EBITDA)</t>
  </si>
  <si>
    <t>SECTION 5: VALUATION</t>
  </si>
  <si>
    <t>SECTION 6: OUTPUTS &amp; ANALYSIS</t>
  </si>
  <si>
    <t>SECTION 7: REFERENCE &amp; DATA</t>
  </si>
  <si>
    <t>COPART INC.</t>
  </si>
  <si>
    <t>COPART, INC.</t>
  </si>
  <si>
    <t>Equity Valuation Model</t>
  </si>
  <si>
    <t>CPRT  ·  NASDAQ  ·  Automotive Remarketing &amp; Online Vehicle Auctions</t>
  </si>
  <si>
    <t>MODEL OVERVIEW</t>
  </si>
  <si>
    <t>KEY DETAILS</t>
  </si>
  <si>
    <t>DCF + Trading Comps</t>
  </si>
  <si>
    <t>Sector</t>
  </si>
  <si>
    <t>Financials / Industrials</t>
  </si>
  <si>
    <t>Fiscal Year End</t>
  </si>
  <si>
    <t>Market Cap</t>
  </si>
  <si>
    <t>~$48B</t>
  </si>
  <si>
    <t>Historical Period</t>
  </si>
  <si>
    <t>FY2019 – FY2024</t>
  </si>
  <si>
    <t>Recommendation</t>
  </si>
  <si>
    <t>BUY</t>
  </si>
  <si>
    <t>Projection Period</t>
  </si>
  <si>
    <t>FY2025E – FY2029E</t>
  </si>
  <si>
    <t>Price Target</t>
  </si>
  <si>
    <t>$  ___</t>
  </si>
  <si>
    <t>USD (millions)</t>
  </si>
  <si>
    <t>Current Price</t>
  </si>
  <si>
    <t>Prepared By</t>
  </si>
  <si>
    <t>ABOUT COPART</t>
  </si>
  <si>
    <t>Copart, Inc. (CPRT) is the global leader in online vehicle auctions and remarketing services, connecting sellers of damaged and low-value vehicles with buyers across 170+ countries. Operating through its proprietary VB2® platform, Copart provides end-to-end vehicle lifecycle solutions to insurance carriers, fleet operators, banks, and dealers. Its asset-light, high-margin business model and powerful network effects create durable competitive advantages and strong free cash flow generation.</t>
  </si>
  <si>
    <t>For educational &amp; analytical purposes only. Not investment advice.</t>
  </si>
  <si>
    <t>Copart Equity Valuation Model  ·  Confidential</t>
  </si>
  <si>
    <t>Divij Budhiraja</t>
  </si>
  <si>
    <t>COPART, INC. |  Data Sources, Market Inputs, Methodology &amp; Audit Trail</t>
  </si>
  <si>
    <t>COPART, INC. (CPRT)  —  EXECUTIVE SUMMARY</t>
  </si>
  <si>
    <t>Equity Research  |  Initiating Coverage</t>
  </si>
  <si>
    <t>Automotive Remarketing &amp; Online Vehicle Auctions  |  NASDAQ: CPRT  |  Current Price: $32.43  |  Blended Target: $36.36  |  Upside: +12.1%  |  Rating: BUY</t>
  </si>
  <si>
    <t>INVESTMENT THESIS</t>
  </si>
  <si>
    <t>Structural Market Leadership</t>
  </si>
  <si>
    <t>Capital-Light Compounding Machine</t>
  </si>
  <si>
    <t>Secular Tailwinds Underappreciated</t>
  </si>
  <si>
    <t>Copart commands ~40% U.S. market share in salvage auctions with a 42%+ gross margin — nearly 3x the closest peer. VB2® platform creates a two-sided marketplace moat that deepens with scale.</t>
  </si>
  <si>
    <t>CPRT converts ~67% of NOPAT to unlevered FCF. Zero net debt, $4.8B cash, and consistent 8–10% revenue growth fund global expansion while compounding tangible book value per share at a double-digit CAGR.</t>
  </si>
  <si>
    <t>Rising vehicle complexity, higher repair costs &amp; insurance outsourcing accelerate total loss rates. Global expansion into UK, Germany, Brazil, and UAE provides a long runway underweighted by consensus.</t>
  </si>
  <si>
    <t>KEY FINANCIALS  ($ millions)</t>
  </si>
  <si>
    <t>Metric</t>
  </si>
  <si>
    <t>FY2022A</t>
  </si>
  <si>
    <t>FY2023A</t>
  </si>
  <si>
    <t>FY2024A</t>
  </si>
  <si>
    <t>FY2025A</t>
  </si>
  <si>
    <t>FY2026E</t>
  </si>
  <si>
    <t>FY2027E</t>
  </si>
  <si>
    <t>FY2028E</t>
  </si>
  <si>
    <t>FY2029E</t>
  </si>
  <si>
    <t xml:space="preserve">  YoY Growth</t>
  </si>
  <si>
    <t>—</t>
  </si>
  <si>
    <t>Gross Profit</t>
  </si>
  <si>
    <t xml:space="preserve">  Gross Margin</t>
  </si>
  <si>
    <t xml:space="preserve">  EBIT Margin</t>
  </si>
  <si>
    <t>EBITDA</t>
  </si>
  <si>
    <t xml:space="preserve">  EBITDA Margin</t>
  </si>
  <si>
    <t>EPS (Diluted)</t>
  </si>
  <si>
    <t>Capex</t>
  </si>
  <si>
    <t>◀  ACTUALS  ▶</t>
  </si>
  <si>
    <t>◀  ESTIMATES  ▶</t>
  </si>
  <si>
    <t>FY22A</t>
  </si>
  <si>
    <t>FY23A</t>
  </si>
  <si>
    <t>FY24A</t>
  </si>
  <si>
    <t>FY25A</t>
  </si>
  <si>
    <t>FY26E</t>
  </si>
  <si>
    <t>FY27E</t>
  </si>
  <si>
    <t>FY28E</t>
  </si>
  <si>
    <t>FY29E</t>
  </si>
  <si>
    <t>FINANCIAL PERFORMANCE  &amp;  VALUATION OVERVIEW</t>
  </si>
  <si>
    <t>Year</t>
  </si>
  <si>
    <t>Revenue ($M)</t>
  </si>
  <si>
    <t>EBITDA ($M)</t>
  </si>
  <si>
    <t>EBIT Margin %</t>
  </si>
  <si>
    <t>Current</t>
  </si>
  <si>
    <t>Upside</t>
  </si>
  <si>
    <t>DCF - Perp. Growth</t>
  </si>
  <si>
    <t>Blended Target</t>
  </si>
  <si>
    <t>VALUATION SUMMARY  —  IMPLIED SHARE PRICE  ($)</t>
  </si>
  <si>
    <t>Mid (Base)</t>
  </si>
  <si>
    <t>vs. Current</t>
  </si>
  <si>
    <t>Upside / (Downside)</t>
  </si>
  <si>
    <t>DCF – Perpetuity Growth</t>
  </si>
  <si>
    <t>▼ -34.5%</t>
  </si>
  <si>
    <t>UNDERPERFORM</t>
  </si>
  <si>
    <t>DCF – Exit Multiple</t>
  </si>
  <si>
    <t>▲ 37.0%</t>
  </si>
  <si>
    <t>Trading Comps (EV/EBITDA)</t>
  </si>
  <si>
    <t>▲ 33.9%</t>
  </si>
  <si>
    <t>Blended Valuation</t>
  </si>
  <si>
    <t>▲ 12.1%</t>
  </si>
  <si>
    <t>KEY METRICS  &amp;  CREDIT PROFILE</t>
  </si>
  <si>
    <t>Revenue CAGR
(FY22–FY29E)</t>
  </si>
  <si>
    <t>Consistent compounder</t>
  </si>
  <si>
    <t>EBITDA Margin
(FY25A)</t>
  </si>
  <si>
    <t>Industry-leading</t>
  </si>
  <si>
    <t>(2.5x)</t>
  </si>
  <si>
    <t>Net Debt / EBITDA</t>
  </si>
  <si>
    <t>Net cash position</t>
  </si>
  <si>
    <t>~67%</t>
  </si>
  <si>
    <t>FCF Conversion
(NOPAT)</t>
  </si>
  <si>
    <t>FY26E avg</t>
  </si>
  <si>
    <t>Return on Equity
(FY25A)</t>
  </si>
  <si>
    <t>vs. 15.2% peers</t>
  </si>
  <si>
    <t>13.6x</t>
  </si>
  <si>
    <t>EV / EBITDA
(NTM)</t>
  </si>
  <si>
    <t>vs. peer median 22.2x</t>
  </si>
  <si>
    <t>Revenue &amp; EBITDA Trend  (FY22–FY29E)</t>
  </si>
  <si>
    <t>Football Field — Implied Share Price by Methodology</t>
  </si>
  <si>
    <t>Sources: Company filings (10-K, 10-Q), Bloomberg, Internal Model Estimates. This analysis is for informational purposes only and does not constitute investment advice.</t>
  </si>
  <si>
    <t>CPRT  |  Equity Valuation  |  Confidential</t>
  </si>
  <si>
    <t>Current ($32.43)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</si>
</sst>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0.0%"/>
    <numFmt numFmtId="165" formatCode="0.0"/>
    <numFmt numFmtId="166" formatCode="0.0&quot;x&quot;"/>
    <numFmt numFmtId="167" formatCode="_(* #,##0.00_);_(* \(#,##0.00\);_(* &quot;-&quot;_);_(@_)"/>
    <numFmt numFmtId="168" formatCode="_(* #,##0_);_(* \(#,##0\);_(* &quot;-&quot;??_);_(@_)"/>
    <numFmt numFmtId="169" formatCode="0.00000"/>
    <numFmt numFmtId="170" formatCode="#,##0.0"/>
    <numFmt numFmtId="171" formatCode="0.0\x"/>
    <numFmt numFmtId="172" formatCode="&quot;$&quot;#,##0.00"/>
  </numFmts>
  <fonts count="118" x14ac:knownFonts="1">
    <font>
      <sz val="12"/>
      <color theme="1"/>
      <name val="Aptos Narrow"/>
      <family val="2"/>
      <scheme val="minor"/>
    </font>
    <font>
      <b/>
      <sz val="18"/>
      <color rgb="FF1B2A4A"/>
      <name val="Arial"/>
      <family val="2"/>
    </font>
    <font>
      <sz val="12"/>
      <color rgb="FF4472C4"/>
      <name val="Arial"/>
      <family val="2"/>
    </font>
    <font>
      <sz val="10"/>
      <color rgb="FF333333"/>
      <name val="Arial"/>
      <family val="2"/>
    </font>
    <font>
      <b/>
      <sz val="10"/>
      <color rgb="FFBF8F00"/>
      <name val="Arial"/>
      <family val="2"/>
    </font>
    <font>
      <sz val="10"/>
      <color theme="1"/>
      <name val="Arial"/>
      <family val="2"/>
    </font>
    <font>
      <b/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008000"/>
      <name val="Arial"/>
      <family val="2"/>
    </font>
    <font>
      <b/>
      <sz val="10"/>
      <color rgb="FFFF0000"/>
      <name val="Arial"/>
      <family val="2"/>
    </font>
    <font>
      <sz val="12"/>
      <color rgb="FF0000FF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scheme val="minor"/>
    </font>
    <font>
      <b/>
      <sz val="12"/>
      <color theme="1"/>
      <name val="Aptos Narrow"/>
      <scheme val="minor"/>
    </font>
    <font>
      <b/>
      <u/>
      <sz val="12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4"/>
      <color rgb="FFFFFFFF"/>
      <name val="Aptos Narrow"/>
      <scheme val="minor"/>
    </font>
    <font>
      <i/>
      <sz val="10"/>
      <color rgb="FF1F4E79"/>
      <name val="Aptos Narrow"/>
      <scheme val="minor"/>
    </font>
    <font>
      <b/>
      <sz val="11"/>
      <color rgb="FF000000"/>
      <name val="Aptos Narrow"/>
      <scheme val="minor"/>
    </font>
    <font>
      <b/>
      <sz val="11"/>
      <color rgb="FFFFFFFF"/>
      <name val="Aptos Narrow"/>
      <scheme val="minor"/>
    </font>
    <font>
      <b/>
      <sz val="10"/>
      <color rgb="FF000000"/>
      <name val="Aptos Narrow"/>
      <scheme val="minor"/>
    </font>
    <font>
      <i/>
      <sz val="10"/>
      <color rgb="FF808080"/>
      <name val="Aptos Narrow"/>
      <scheme val="minor"/>
    </font>
    <font>
      <sz val="10"/>
      <color rgb="FF000000"/>
      <name val="Aptos Narrow"/>
      <scheme val="minor"/>
    </font>
    <font>
      <sz val="10"/>
      <color rgb="FF0000FF"/>
      <name val="Aptos Narrow"/>
      <scheme val="minor"/>
    </font>
    <font>
      <b/>
      <sz val="10"/>
      <color rgb="FF1F4E79"/>
      <name val="Aptos Narrow"/>
      <scheme val="minor"/>
    </font>
    <font>
      <sz val="10"/>
      <color rgb="FF808080"/>
      <name val="Aptos Narrow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9" tint="0.39997558519241921"/>
      <name val="Aptos Narrow"/>
      <family val="2"/>
      <scheme val="minor"/>
    </font>
    <font>
      <b/>
      <u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i/>
      <sz val="11"/>
      <color rgb="FF1F4E79"/>
      <name val="Aptos Narrow"/>
      <scheme val="minor"/>
    </font>
    <font>
      <b/>
      <u/>
      <sz val="12"/>
      <color rgb="FF1F4E79"/>
      <name val="Aptos Narrow"/>
      <scheme val="minor"/>
    </font>
    <font>
      <b/>
      <sz val="14"/>
      <color rgb="FF0000FF"/>
      <name val="Aptos Narrow"/>
      <scheme val="minor"/>
    </font>
    <font>
      <b/>
      <sz val="11"/>
      <color rgb="FF808080"/>
      <name val="Aptos Narrow"/>
      <scheme val="minor"/>
    </font>
    <font>
      <sz val="11"/>
      <color rgb="FF808080"/>
      <name val="Aptos Narrow"/>
      <scheme val="minor"/>
    </font>
    <font>
      <b/>
      <u/>
      <sz val="11"/>
      <color rgb="FF1F4E79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rgb="FFFFFFFF"/>
      <name val="Aptos Narrow"/>
      <scheme val="minor"/>
    </font>
    <font>
      <sz val="11"/>
      <color rgb="FF0000FF"/>
      <name val="Aptos Narrow"/>
      <scheme val="minor"/>
    </font>
    <font>
      <b/>
      <sz val="12"/>
      <color rgb="FFFFFFFF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i/>
      <sz val="11"/>
      <color rgb="FFC62828"/>
      <name val="Aptos Narrow"/>
      <scheme val="minor"/>
    </font>
    <font>
      <b/>
      <i/>
      <sz val="10"/>
      <color theme="1"/>
      <name val="Aptos Narrow"/>
      <scheme val="minor"/>
    </font>
    <font>
      <sz val="12"/>
      <color theme="0"/>
      <name val="Aptos Narrow"/>
      <family val="2"/>
      <scheme val="minor"/>
    </font>
    <font>
      <b/>
      <sz val="14"/>
      <color theme="1"/>
      <name val="Aptos Narrow"/>
      <scheme val="minor"/>
    </font>
    <font>
      <sz val="12"/>
      <color rgb="FF0000FF"/>
      <name val="Aptos Narrow"/>
      <scheme val="minor"/>
    </font>
    <font>
      <sz val="12"/>
      <color rgb="FF141413"/>
      <name val="Aptos Narrow"/>
      <family val="1"/>
      <scheme val="minor"/>
    </font>
    <font>
      <b/>
      <sz val="14"/>
      <color rgb="FF000000"/>
      <name val="Aptos Narrow"/>
      <scheme val="minor"/>
    </font>
    <font>
      <i/>
      <sz val="11"/>
      <color rgb="FF595959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i/>
      <sz val="12"/>
      <color rgb="FF595959"/>
      <name val="Aptos Narrow"/>
      <scheme val="minor"/>
    </font>
    <font>
      <i/>
      <sz val="10"/>
      <color rgb="FF595959"/>
      <name val="Aptos Narrow"/>
      <scheme val="minor"/>
    </font>
    <font>
      <b/>
      <sz val="11"/>
      <color rgb="FF1F4E79"/>
      <name val="Aptos Narrow"/>
      <family val="2"/>
      <scheme val="minor"/>
    </font>
    <font>
      <b/>
      <sz val="10"/>
      <color theme="1"/>
      <name val="Arial"/>
      <family val="2"/>
    </font>
    <font>
      <b/>
      <sz val="12"/>
      <color rgb="FFC00000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9" tint="-0.499984740745262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265317"/>
      <name val="Aptos Narrow"/>
      <family val="2"/>
      <scheme val="minor"/>
    </font>
    <font>
      <b/>
      <i/>
      <sz val="10"/>
      <color rgb="FFFFFFFF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0"/>
      <color theme="0"/>
      <name val="Aptos Narrow"/>
      <scheme val="minor"/>
    </font>
    <font>
      <sz val="11"/>
      <color rgb="FF7F6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1"/>
      <color rgb="FF833C0B"/>
      <name val="Aptos Narrow"/>
      <family val="2"/>
      <scheme val="minor"/>
    </font>
    <font>
      <b/>
      <sz val="11"/>
      <color rgb="FF833C0B"/>
      <name val="Aptos Narrow"/>
      <family val="2"/>
      <scheme val="minor"/>
    </font>
    <font>
      <b/>
      <sz val="10"/>
      <color theme="0"/>
      <name val="Arial"/>
      <family val="2"/>
    </font>
    <font>
      <b/>
      <sz val="10"/>
      <color theme="9" tint="-0.249977111117893"/>
      <name val="Arial"/>
      <family val="2"/>
    </font>
    <font>
      <b/>
      <sz val="26"/>
      <color rgb="FFFFFFFF"/>
      <name val="Calibri"/>
      <family val="2"/>
    </font>
    <font>
      <sz val="8"/>
      <color theme="1"/>
      <name val="Calibri"/>
      <family val="2"/>
    </font>
    <font>
      <sz val="10"/>
      <color rgb="FF333333"/>
      <name val="Calibri"/>
      <family val="2"/>
    </font>
    <font>
      <sz val="14"/>
      <color rgb="FF76BC43"/>
      <name val="Calibri"/>
      <family val="2"/>
    </font>
    <font>
      <sz val="10"/>
      <color rgb="FF8AB89A"/>
      <name val="Calibri"/>
      <family val="2"/>
    </font>
    <font>
      <b/>
      <sz val="8"/>
      <color rgb="FF1B6B36"/>
      <name val="Calibri"/>
      <family val="2"/>
    </font>
    <font>
      <sz val="10"/>
      <color rgb="FF5E8070"/>
      <name val="Calibri"/>
      <family val="2"/>
    </font>
    <font>
      <b/>
      <sz val="10"/>
      <color rgb="FF0F4422"/>
      <name val="Calibri"/>
      <family val="2"/>
    </font>
    <font>
      <b/>
      <sz val="11"/>
      <color rgb="FF1B6B36"/>
      <name val="Calibri"/>
      <family val="2"/>
    </font>
    <font>
      <sz val="8"/>
      <color rgb="FF8AB89A"/>
      <name val="Calibri"/>
      <family val="2"/>
    </font>
    <font>
      <b/>
      <sz val="16"/>
      <color rgb="FFFFFFFF"/>
      <name val="Calibri"/>
      <family val="2"/>
    </font>
    <font>
      <sz val="9"/>
      <color theme="1"/>
      <name val="Calibri"/>
      <family val="2"/>
    </font>
    <font>
      <sz val="9"/>
      <color rgb="FF8AB89A"/>
      <name val="Calibri"/>
      <family val="2"/>
    </font>
    <font>
      <sz val="9"/>
      <color rgb="FF76BC43"/>
      <name val="Calibri"/>
      <family val="2"/>
    </font>
    <font>
      <b/>
      <sz val="8"/>
      <color rgb="FF76BC43"/>
      <name val="Calibri"/>
      <family val="2"/>
    </font>
    <font>
      <b/>
      <sz val="18"/>
      <color rgb="FF76BC43"/>
      <name val="Calibri"/>
      <family val="2"/>
    </font>
    <font>
      <sz val="9"/>
      <color rgb="FF333333"/>
      <name val="Calibri"/>
      <family val="2"/>
    </font>
    <font>
      <b/>
      <sz val="9"/>
      <color rgb="FFFFFFFF"/>
      <name val="Calibri"/>
      <family val="2"/>
    </font>
    <font>
      <sz val="9"/>
      <color rgb="FF1A1A1A"/>
      <name val="Calibri"/>
      <family val="2"/>
    </font>
    <font>
      <sz val="9"/>
      <color rgb="FF1B6B36"/>
      <name val="Calibri"/>
      <family val="2"/>
    </font>
    <font>
      <i/>
      <sz val="9"/>
      <color rgb="FF5E8070"/>
      <name val="Calibri"/>
      <family val="2"/>
    </font>
    <font>
      <sz val="9"/>
      <color rgb="FFAAAAAA"/>
      <name val="Calibri"/>
      <family val="2"/>
    </font>
    <font>
      <i/>
      <sz val="9"/>
      <color rgb="FF3A6850"/>
      <name val="Calibri"/>
      <family val="2"/>
    </font>
    <font>
      <b/>
      <sz val="7"/>
      <color rgb="FFFFFFFF"/>
      <name val="Calibri"/>
      <family val="2"/>
    </font>
    <font>
      <b/>
      <sz val="7"/>
      <color rgb="FF76BC43"/>
      <name val="Calibri"/>
      <family val="2"/>
    </font>
    <font>
      <b/>
      <sz val="8"/>
      <color rgb="FFFFFFFF"/>
      <name val="Calibri"/>
      <family val="2"/>
    </font>
    <font>
      <sz val="8"/>
      <color theme="1"/>
      <name val="Aptos Narrow"/>
      <family val="2"/>
      <scheme val="minor"/>
    </font>
    <font>
      <b/>
      <sz val="9"/>
      <color rgb="FFCC2222"/>
      <name val="Calibri"/>
      <family val="2"/>
    </font>
    <font>
      <b/>
      <sz val="9"/>
      <color rgb="FF1B6B36"/>
      <name val="Calibri"/>
      <family val="2"/>
    </font>
    <font>
      <sz val="9"/>
      <color rgb="FF555555"/>
      <name val="Calibri"/>
      <family val="2"/>
    </font>
    <font>
      <b/>
      <sz val="9"/>
      <color rgb="FF0F4422"/>
      <name val="Calibri"/>
      <family val="2"/>
    </font>
    <font>
      <b/>
      <sz val="18"/>
      <color rgb="FF1B6B36"/>
      <name val="Calibri"/>
      <family val="2"/>
    </font>
    <font>
      <b/>
      <sz val="8"/>
      <color rgb="FF333333"/>
      <name val="Calibri"/>
      <family val="2"/>
    </font>
    <font>
      <i/>
      <sz val="8"/>
      <color rgb="FF888888"/>
      <name val="Calibri"/>
      <family val="2"/>
    </font>
    <font>
      <b/>
      <sz val="18"/>
      <color rgb="FF1B5C2E"/>
      <name val="Calibri"/>
      <family val="2"/>
    </font>
    <font>
      <b/>
      <sz val="8"/>
      <color rgb="FF0F4422"/>
      <name val="Calibri"/>
      <family val="2"/>
    </font>
    <font>
      <sz val="7"/>
      <color rgb="FF8AB89A"/>
      <name val="Calibri"/>
      <family val="2"/>
    </font>
  </fonts>
  <fills count="5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BE9F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DCEAF9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782170"/>
        <bgColor indexed="64"/>
      </patternFill>
    </fill>
    <fill>
      <patternFill patternType="solid">
        <fgColor rgb="FF9B59B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DFF0D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E2725B"/>
        <bgColor indexed="64"/>
      </patternFill>
    </fill>
    <fill>
      <patternFill patternType="solid">
        <fgColor rgb="FFD7E4F1"/>
        <bgColor indexed="64"/>
      </patternFill>
    </fill>
    <fill>
      <patternFill patternType="solid">
        <fgColor rgb="FFE9F0F7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D8AC6"/>
        <bgColor indexed="64"/>
      </patternFill>
    </fill>
    <fill>
      <patternFill patternType="solid">
        <fgColor rgb="FFF4F8F4"/>
        <bgColor indexed="64"/>
      </patternFill>
    </fill>
    <fill>
      <patternFill patternType="solid">
        <fgColor rgb="FF0F4422"/>
        <bgColor indexed="64"/>
      </patternFill>
    </fill>
    <fill>
      <patternFill patternType="solid">
        <fgColor rgb="FF76BC43"/>
        <bgColor indexed="64"/>
      </patternFill>
    </fill>
    <fill>
      <patternFill patternType="solid">
        <fgColor rgb="FF2E8B57"/>
        <bgColor indexed="64"/>
      </patternFill>
    </fill>
    <fill>
      <patternFill patternType="solid">
        <fgColor rgb="FF1B6B36"/>
        <bgColor indexed="64"/>
      </patternFill>
    </fill>
    <fill>
      <patternFill patternType="solid">
        <fgColor rgb="FF155229"/>
        <bgColor indexed="64"/>
      </patternFill>
    </fill>
    <fill>
      <patternFill patternType="solid">
        <fgColor rgb="FFE8F2EB"/>
        <bgColor indexed="64"/>
      </patternFill>
    </fill>
    <fill>
      <patternFill patternType="solid">
        <fgColor rgb="FFDCF0E2"/>
        <bgColor indexed="64"/>
      </patternFill>
    </fill>
    <fill>
      <patternFill patternType="solid">
        <fgColor rgb="FFEBF4EE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medium">
        <color rgb="FF1B2A4A"/>
      </bottom>
      <diagonal/>
    </border>
    <border>
      <left/>
      <right/>
      <top/>
      <bottom style="thin">
        <color rgb="FF999999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BF8F00"/>
      </bottom>
      <diagonal/>
    </border>
    <border>
      <left/>
      <right/>
      <top/>
      <bottom style="thin">
        <color rgb="FFC08F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782170"/>
      </left>
      <right/>
      <top style="thick">
        <color rgb="FF782170"/>
      </top>
      <bottom/>
      <diagonal/>
    </border>
    <border>
      <left/>
      <right/>
      <top style="thick">
        <color rgb="FF782170"/>
      </top>
      <bottom/>
      <diagonal/>
    </border>
    <border>
      <left/>
      <right style="thick">
        <color rgb="FF782170"/>
      </right>
      <top style="thick">
        <color rgb="FF782170"/>
      </top>
      <bottom/>
      <diagonal/>
    </border>
    <border>
      <left style="thick">
        <color rgb="FF782170"/>
      </left>
      <right style="medium">
        <color rgb="FF782170"/>
      </right>
      <top/>
      <bottom style="medium">
        <color rgb="FF782170"/>
      </bottom>
      <diagonal/>
    </border>
    <border>
      <left/>
      <right/>
      <top/>
      <bottom style="medium">
        <color rgb="FF782170"/>
      </bottom>
      <diagonal/>
    </border>
    <border>
      <left/>
      <right style="thick">
        <color rgb="FF782170"/>
      </right>
      <top/>
      <bottom style="medium">
        <color rgb="FF782170"/>
      </bottom>
      <diagonal/>
    </border>
    <border>
      <left style="thick">
        <color rgb="FF782170"/>
      </left>
      <right style="medium">
        <color rgb="FF782170"/>
      </right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ck">
        <color rgb="FF782170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ck">
        <color rgb="FF782170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D9D9D9"/>
      </right>
      <top style="thin">
        <color rgb="FFD9D9D9"/>
      </top>
      <bottom style="thick">
        <color rgb="FF78217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ck">
        <color rgb="FF782170"/>
      </bottom>
      <diagonal/>
    </border>
    <border>
      <left style="thin">
        <color rgb="FFD9D9D9"/>
      </left>
      <right style="thick">
        <color rgb="FF782170"/>
      </right>
      <top style="thin">
        <color rgb="FFD9D9D9"/>
      </top>
      <bottom style="thick">
        <color rgb="FF782170"/>
      </bottom>
      <diagonal/>
    </border>
    <border>
      <left/>
      <right/>
      <top/>
      <bottom style="thin">
        <color rgb="FF1B6B36"/>
      </bottom>
      <diagonal/>
    </border>
    <border>
      <left/>
      <right/>
      <top style="thin">
        <color rgb="FF1A2E4A"/>
      </top>
      <bottom style="hair">
        <color rgb="FFD6E8DC"/>
      </bottom>
      <diagonal/>
    </border>
    <border>
      <left/>
      <right/>
      <top style="hair">
        <color rgb="FFD6E8DC"/>
      </top>
      <bottom style="hair">
        <color rgb="FFD6E8DC"/>
      </bottom>
      <diagonal/>
    </border>
    <border>
      <left/>
      <right/>
      <top style="thin">
        <color rgb="FF1B6B36"/>
      </top>
      <bottom/>
      <diagonal/>
    </border>
    <border>
      <left/>
      <right/>
      <top style="hair">
        <color rgb="FFD6E8DC"/>
      </top>
      <bottom/>
      <diagonal/>
    </border>
    <border>
      <left/>
      <right/>
      <top/>
      <bottom style="medium">
        <color rgb="FF76BC43"/>
      </bottom>
      <diagonal/>
    </border>
    <border>
      <left/>
      <right style="thin">
        <color rgb="FFD6E8DC"/>
      </right>
      <top/>
      <bottom/>
      <diagonal/>
    </border>
    <border>
      <left/>
      <right/>
      <top/>
      <bottom style="thin">
        <color rgb="FFD6E8DC"/>
      </bottom>
      <diagonal/>
    </border>
    <border>
      <left/>
      <right style="thin">
        <color rgb="FFD6E8DC"/>
      </right>
      <top/>
      <bottom style="thin">
        <color rgb="FFD6E8DC"/>
      </bottom>
      <diagonal/>
    </border>
    <border>
      <left style="thin">
        <color rgb="FF76BC43"/>
      </left>
      <right/>
      <top/>
      <bottom/>
      <diagonal/>
    </border>
    <border>
      <left style="medium">
        <color rgb="FF76BC43"/>
      </left>
      <right/>
      <top/>
      <bottom/>
      <diagonal/>
    </border>
    <border>
      <left style="thin">
        <color rgb="FF76BC43"/>
      </left>
      <right/>
      <top style="hair">
        <color rgb="FFD6E8DC"/>
      </top>
      <bottom/>
      <diagonal/>
    </border>
    <border>
      <left/>
      <right/>
      <top style="hair">
        <color rgb="FFD6E8DC"/>
      </top>
      <bottom style="medium">
        <color rgb="FF76BC43"/>
      </bottom>
      <diagonal/>
    </border>
    <border>
      <left/>
      <right/>
      <top style="thick">
        <color rgb="FF1B6B36"/>
      </top>
      <bottom/>
      <diagonal/>
    </border>
    <border>
      <left/>
      <right/>
      <top style="thick">
        <color rgb="FF1B5C2E"/>
      </top>
      <bottom/>
      <diagonal/>
    </border>
    <border>
      <left/>
      <right/>
      <top style="thin">
        <color rgb="FFD6E8DC"/>
      </top>
      <bottom/>
      <diagonal/>
    </border>
    <border>
      <left style="thin">
        <color rgb="FFD6E8DC"/>
      </left>
      <right/>
      <top style="thin">
        <color rgb="FFD6E8DC"/>
      </top>
      <bottom/>
      <diagonal/>
    </border>
    <border>
      <left style="thin">
        <color rgb="FFD6E8DC"/>
      </left>
      <right/>
      <top/>
      <bottom/>
      <diagonal/>
    </border>
    <border>
      <left style="thin">
        <color rgb="FFD6E8DC"/>
      </left>
      <right/>
      <top/>
      <bottom style="thin">
        <color rgb="FFD6E8DC"/>
      </bottom>
      <diagonal/>
    </border>
    <border>
      <left/>
      <right style="thin">
        <color rgb="FFD6E8DC"/>
      </right>
      <top style="thin">
        <color rgb="FFD6E8DC"/>
      </top>
      <bottom/>
      <diagonal/>
    </border>
    <border>
      <left style="thin">
        <color rgb="FFD6E8DC"/>
      </left>
      <right/>
      <top style="hair">
        <color rgb="FFD6E8DC"/>
      </top>
      <bottom/>
      <diagonal/>
    </border>
    <border>
      <left/>
      <right style="thin">
        <color rgb="FFD6E8DC"/>
      </right>
      <top style="hair">
        <color rgb="FFD6E8DC"/>
      </top>
      <bottom/>
      <diagonal/>
    </border>
    <border>
      <left style="thin">
        <color rgb="FFD6E8DC"/>
      </left>
      <right/>
      <top style="hair">
        <color rgb="FFD6E8DC"/>
      </top>
      <bottom style="medium">
        <color rgb="FF76BC43"/>
      </bottom>
      <diagonal/>
    </border>
    <border>
      <left/>
      <right style="thin">
        <color rgb="FFD6E8DC"/>
      </right>
      <top style="hair">
        <color rgb="FFD6E8DC"/>
      </top>
      <bottom style="medium">
        <color rgb="FF76BC43"/>
      </bottom>
      <diagonal/>
    </border>
    <border>
      <left/>
      <right style="thin">
        <color rgb="FFD6E8DC"/>
      </right>
      <top style="thick">
        <color rgb="FF1B5C2E"/>
      </top>
      <bottom/>
      <diagonal/>
    </border>
  </borders>
  <cellStyleXfs count="3">
    <xf numFmtId="0" fontId="0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</cellStyleXfs>
  <cellXfs count="471">
    <xf numFmtId="0" fontId="0" fillId="0" borderId="0" xfId="0"/>
    <xf numFmtId="0" fontId="0" fillId="2" borderId="0" xfId="0" applyFill="1"/>
    <xf numFmtId="0" fontId="0" fillId="4" borderId="0" xfId="0" applyFill="1"/>
    <xf numFmtId="0" fontId="0" fillId="8" borderId="0" xfId="0" applyFill="1"/>
    <xf numFmtId="0" fontId="13" fillId="10" borderId="0" xfId="0" applyFont="1" applyFill="1"/>
    <xf numFmtId="0" fontId="14" fillId="2" borderId="0" xfId="0" applyFont="1" applyFill="1"/>
    <xf numFmtId="0" fontId="14" fillId="2" borderId="0" xfId="0" applyFont="1" applyFill="1" applyAlignment="1">
      <alignment horizontal="center"/>
    </xf>
    <xf numFmtId="0" fontId="12" fillId="2" borderId="0" xfId="0" applyFont="1" applyFill="1"/>
    <xf numFmtId="0" fontId="15" fillId="2" borderId="0" xfId="0" applyFont="1" applyFill="1"/>
    <xf numFmtId="0" fontId="16" fillId="8" borderId="0" xfId="0" applyFont="1" applyFill="1"/>
    <xf numFmtId="0" fontId="17" fillId="11" borderId="0" xfId="0" applyFont="1" applyFill="1"/>
    <xf numFmtId="0" fontId="16" fillId="11" borderId="0" xfId="0" applyFont="1" applyFill="1"/>
    <xf numFmtId="0" fontId="18" fillId="5" borderId="0" xfId="0" applyFont="1" applyFill="1"/>
    <xf numFmtId="0" fontId="16" fillId="5" borderId="0" xfId="0" applyFont="1" applyFill="1"/>
    <xf numFmtId="0" fontId="19" fillId="12" borderId="0" xfId="0" applyFont="1" applyFill="1"/>
    <xf numFmtId="0" fontId="16" fillId="12" borderId="0" xfId="0" applyFont="1" applyFill="1"/>
    <xf numFmtId="0" fontId="20" fillId="11" borderId="0" xfId="0" applyFont="1" applyFill="1" applyAlignment="1">
      <alignment horizontal="center"/>
    </xf>
    <xf numFmtId="0" fontId="20" fillId="11" borderId="0" xfId="0" applyFont="1" applyFill="1"/>
    <xf numFmtId="0" fontId="21" fillId="8" borderId="0" xfId="0" applyFont="1" applyFill="1" applyAlignment="1">
      <alignment horizontal="center"/>
    </xf>
    <xf numFmtId="0" fontId="22" fillId="8" borderId="0" xfId="0" applyFont="1" applyFill="1"/>
    <xf numFmtId="0" fontId="22" fillId="8" borderId="0" xfId="0" applyFont="1" applyFill="1" applyAlignment="1">
      <alignment horizontal="center"/>
    </xf>
    <xf numFmtId="0" fontId="23" fillId="8" borderId="0" xfId="0" applyFont="1" applyFill="1"/>
    <xf numFmtId="0" fontId="24" fillId="8" borderId="0" xfId="0" applyFont="1" applyFill="1" applyAlignment="1">
      <alignment horizontal="center"/>
    </xf>
    <xf numFmtId="0" fontId="21" fillId="8" borderId="0" xfId="0" applyFont="1" applyFill="1"/>
    <xf numFmtId="0" fontId="25" fillId="8" borderId="0" xfId="0" applyFont="1" applyFill="1"/>
    <xf numFmtId="0" fontId="26" fillId="8" borderId="0" xfId="0" applyFont="1" applyFill="1"/>
    <xf numFmtId="41" fontId="0" fillId="2" borderId="0" xfId="0" applyNumberFormat="1" applyFill="1"/>
    <xf numFmtId="41" fontId="14" fillId="2" borderId="0" xfId="0" applyNumberFormat="1" applyFont="1" applyFill="1"/>
    <xf numFmtId="0" fontId="28" fillId="2" borderId="0" xfId="0" applyFont="1" applyFill="1"/>
    <xf numFmtId="41" fontId="10" fillId="2" borderId="0" xfId="0" applyNumberFormat="1" applyFont="1" applyFill="1"/>
    <xf numFmtId="0" fontId="29" fillId="10" borderId="0" xfId="0" applyFont="1" applyFill="1"/>
    <xf numFmtId="0" fontId="30" fillId="10" borderId="0" xfId="0" applyFont="1" applyFill="1"/>
    <xf numFmtId="0" fontId="0" fillId="10" borderId="0" xfId="0" applyFill="1"/>
    <xf numFmtId="0" fontId="31" fillId="2" borderId="0" xfId="0" applyFont="1" applyFill="1"/>
    <xf numFmtId="0" fontId="14" fillId="2" borderId="0" xfId="0" applyFont="1" applyFill="1" applyAlignment="1">
      <alignment horizontal="right"/>
    </xf>
    <xf numFmtId="41" fontId="28" fillId="2" borderId="0" xfId="0" applyNumberFormat="1" applyFont="1" applyFill="1" applyAlignment="1">
      <alignment horizontal="right" vertical="center"/>
    </xf>
    <xf numFmtId="0" fontId="0" fillId="2" borderId="0" xfId="0" applyFill="1" applyAlignment="1">
      <alignment horizontal="center"/>
    </xf>
    <xf numFmtId="9" fontId="0" fillId="13" borderId="0" xfId="2" applyFont="1" applyFill="1"/>
    <xf numFmtId="9" fontId="14" fillId="13" borderId="0" xfId="2" applyFont="1" applyFill="1"/>
    <xf numFmtId="9" fontId="0" fillId="2" borderId="0" xfId="2" applyFont="1" applyFill="1"/>
    <xf numFmtId="2" fontId="0" fillId="2" borderId="0" xfId="0" applyNumberFormat="1" applyFill="1"/>
    <xf numFmtId="9" fontId="28" fillId="2" borderId="0" xfId="2" applyFont="1" applyFill="1"/>
    <xf numFmtId="0" fontId="14" fillId="2" borderId="3" xfId="0" applyFont="1" applyFill="1" applyBorder="1"/>
    <xf numFmtId="0" fontId="28" fillId="2" borderId="3" xfId="0" applyFont="1" applyFill="1" applyBorder="1"/>
    <xf numFmtId="9" fontId="28" fillId="2" borderId="3" xfId="2" applyFont="1" applyFill="1" applyBorder="1"/>
    <xf numFmtId="0" fontId="0" fillId="2" borderId="3" xfId="0" applyFill="1" applyBorder="1"/>
    <xf numFmtId="0" fontId="32" fillId="2" borderId="0" xfId="0" applyFont="1" applyFill="1"/>
    <xf numFmtId="0" fontId="33" fillId="2" borderId="0" xfId="0" applyFont="1" applyFill="1"/>
    <xf numFmtId="1" fontId="0" fillId="2" borderId="0" xfId="0" applyNumberFormat="1" applyFill="1"/>
    <xf numFmtId="9" fontId="33" fillId="2" borderId="0" xfId="2" applyFont="1" applyFill="1"/>
    <xf numFmtId="166" fontId="0" fillId="2" borderId="0" xfId="0" applyNumberFormat="1" applyFill="1"/>
    <xf numFmtId="167" fontId="0" fillId="2" borderId="0" xfId="0" applyNumberFormat="1" applyFill="1"/>
    <xf numFmtId="41" fontId="0" fillId="2" borderId="0" xfId="0" applyNumberFormat="1" applyFill="1" applyAlignment="1">
      <alignment horizontal="right"/>
    </xf>
    <xf numFmtId="0" fontId="0" fillId="2" borderId="0" xfId="0" applyFill="1" applyAlignment="1">
      <alignment horizontal="right"/>
    </xf>
    <xf numFmtId="43" fontId="0" fillId="2" borderId="0" xfId="0" applyNumberFormat="1" applyFill="1"/>
    <xf numFmtId="0" fontId="0" fillId="11" borderId="0" xfId="0" applyFill="1"/>
    <xf numFmtId="0" fontId="34" fillId="5" borderId="0" xfId="0" applyFont="1" applyFill="1"/>
    <xf numFmtId="0" fontId="0" fillId="5" borderId="0" xfId="0" applyFill="1"/>
    <xf numFmtId="0" fontId="35" fillId="2" borderId="0" xfId="0" applyFont="1" applyFill="1"/>
    <xf numFmtId="0" fontId="36" fillId="9" borderId="0" xfId="0" applyFont="1" applyFill="1" applyAlignment="1">
      <alignment horizontal="center"/>
    </xf>
    <xf numFmtId="0" fontId="37" fillId="2" borderId="0" xfId="0" applyFont="1" applyFill="1"/>
    <xf numFmtId="0" fontId="38" fillId="2" borderId="0" xfId="0" applyFont="1" applyFill="1" applyAlignment="1">
      <alignment horizontal="center"/>
    </xf>
    <xf numFmtId="0" fontId="22" fillId="2" borderId="0" xfId="0" applyFont="1" applyFill="1"/>
    <xf numFmtId="0" fontId="39" fillId="2" borderId="0" xfId="0" applyFont="1" applyFill="1"/>
    <xf numFmtId="0" fontId="40" fillId="2" borderId="0" xfId="0" applyFont="1" applyFill="1"/>
    <xf numFmtId="164" fontId="41" fillId="2" borderId="0" xfId="0" applyNumberFormat="1" applyFont="1" applyFill="1" applyAlignment="1">
      <alignment horizontal="center"/>
    </xf>
    <xf numFmtId="164" fontId="0" fillId="2" borderId="0" xfId="2" applyNumberFormat="1" applyFont="1" applyFill="1" applyAlignment="1">
      <alignment horizontal="center"/>
    </xf>
    <xf numFmtId="165" fontId="41" fillId="2" borderId="0" xfId="0" applyNumberFormat="1" applyFont="1" applyFill="1" applyAlignment="1">
      <alignment horizontal="center"/>
    </xf>
    <xf numFmtId="9" fontId="41" fillId="2" borderId="0" xfId="2" applyFont="1" applyFill="1" applyAlignment="1">
      <alignment horizontal="center"/>
    </xf>
    <xf numFmtId="166" fontId="41" fillId="2" borderId="0" xfId="0" applyNumberFormat="1" applyFont="1" applyFill="1" applyAlignment="1">
      <alignment horizontal="center"/>
    </xf>
    <xf numFmtId="0" fontId="17" fillId="2" borderId="0" xfId="0" applyFont="1" applyFill="1"/>
    <xf numFmtId="0" fontId="42" fillId="2" borderId="0" xfId="0" applyFont="1" applyFill="1"/>
    <xf numFmtId="0" fontId="40" fillId="2" borderId="0" xfId="0" applyFont="1" applyFill="1" applyAlignment="1">
      <alignment horizontal="center"/>
    </xf>
    <xf numFmtId="164" fontId="43" fillId="2" borderId="0" xfId="0" applyNumberFormat="1" applyFont="1" applyFill="1" applyAlignment="1">
      <alignment horizontal="center"/>
    </xf>
    <xf numFmtId="165" fontId="43" fillId="2" borderId="0" xfId="0" applyNumberFormat="1" applyFont="1" applyFill="1" applyAlignment="1">
      <alignment horizontal="center"/>
    </xf>
    <xf numFmtId="166" fontId="43" fillId="2" borderId="0" xfId="0" applyNumberFormat="1" applyFont="1" applyFill="1" applyAlignment="1">
      <alignment horizontal="center"/>
    </xf>
    <xf numFmtId="0" fontId="0" fillId="2" borderId="4" xfId="0" applyFill="1" applyBorder="1"/>
    <xf numFmtId="0" fontId="14" fillId="2" borderId="5" xfId="0" applyFont="1" applyFill="1" applyBorder="1" applyAlignment="1">
      <alignment horizontal="right"/>
    </xf>
    <xf numFmtId="0" fontId="14" fillId="2" borderId="4" xfId="0" applyFont="1" applyFill="1" applyBorder="1" applyAlignment="1">
      <alignment horizontal="right"/>
    </xf>
    <xf numFmtId="168" fontId="0" fillId="2" borderId="0" xfId="0" applyNumberFormat="1" applyFill="1"/>
    <xf numFmtId="168" fontId="14" fillId="2" borderId="0" xfId="0" applyNumberFormat="1" applyFont="1" applyFill="1"/>
    <xf numFmtId="168" fontId="14" fillId="2" borderId="0" xfId="0" applyNumberFormat="1" applyFont="1" applyFill="1" applyAlignment="1">
      <alignment horizontal="right"/>
    </xf>
    <xf numFmtId="168" fontId="28" fillId="2" borderId="0" xfId="0" applyNumberFormat="1" applyFont="1" applyFill="1"/>
    <xf numFmtId="168" fontId="0" fillId="13" borderId="0" xfId="0" applyNumberFormat="1" applyFill="1"/>
    <xf numFmtId="41" fontId="14" fillId="2" borderId="0" xfId="0" applyNumberFormat="1" applyFont="1" applyFill="1" applyAlignment="1">
      <alignment horizontal="right"/>
    </xf>
    <xf numFmtId="0" fontId="44" fillId="11" borderId="0" xfId="0" applyFont="1" applyFill="1"/>
    <xf numFmtId="0" fontId="42" fillId="4" borderId="0" xfId="0" applyFont="1" applyFill="1"/>
    <xf numFmtId="0" fontId="39" fillId="5" borderId="0" xfId="0" applyFont="1" applyFill="1"/>
    <xf numFmtId="0" fontId="12" fillId="5" borderId="0" xfId="0" applyFont="1" applyFill="1" applyAlignment="1">
      <alignment horizontal="center"/>
    </xf>
    <xf numFmtId="0" fontId="0" fillId="2" borderId="6" xfId="0" applyFill="1" applyBorder="1"/>
    <xf numFmtId="9" fontId="0" fillId="2" borderId="0" xfId="0" applyNumberFormat="1" applyFill="1"/>
    <xf numFmtId="164" fontId="0" fillId="2" borderId="0" xfId="2" applyNumberFormat="1" applyFont="1" applyFill="1"/>
    <xf numFmtId="0" fontId="45" fillId="2" borderId="0" xfId="0" applyFont="1" applyFill="1"/>
    <xf numFmtId="0" fontId="46" fillId="2" borderId="0" xfId="0" applyFont="1" applyFill="1"/>
    <xf numFmtId="164" fontId="0" fillId="2" borderId="0" xfId="0" applyNumberFormat="1" applyFill="1"/>
    <xf numFmtId="164" fontId="11" fillId="2" borderId="0" xfId="0" applyNumberFormat="1" applyFont="1" applyFill="1"/>
    <xf numFmtId="0" fontId="12" fillId="5" borderId="0" xfId="0" applyFont="1" applyFill="1" applyAlignment="1">
      <alignment horizontal="right"/>
    </xf>
    <xf numFmtId="164" fontId="10" fillId="2" borderId="0" xfId="0" applyNumberFormat="1" applyFont="1" applyFill="1" applyAlignment="1">
      <alignment horizontal="right"/>
    </xf>
    <xf numFmtId="164" fontId="0" fillId="14" borderId="0" xfId="2" applyNumberFormat="1" applyFont="1" applyFill="1"/>
    <xf numFmtId="0" fontId="14" fillId="2" borderId="7" xfId="0" applyFont="1" applyFill="1" applyBorder="1"/>
    <xf numFmtId="164" fontId="0" fillId="14" borderId="8" xfId="0" applyNumberFormat="1" applyFill="1" applyBorder="1"/>
    <xf numFmtId="0" fontId="29" fillId="4" borderId="0" xfId="0" applyFont="1" applyFill="1"/>
    <xf numFmtId="0" fontId="47" fillId="8" borderId="0" xfId="0" applyFont="1" applyFill="1"/>
    <xf numFmtId="0" fontId="14" fillId="14" borderId="0" xfId="0" applyFont="1" applyFill="1" applyAlignment="1">
      <alignment horizontal="right"/>
    </xf>
    <xf numFmtId="0" fontId="28" fillId="14" borderId="0" xfId="0" applyFont="1" applyFill="1" applyAlignment="1">
      <alignment horizontal="right"/>
    </xf>
    <xf numFmtId="43" fontId="0" fillId="2" borderId="0" xfId="0" applyNumberFormat="1" applyFill="1" applyAlignment="1">
      <alignment horizontal="right"/>
    </xf>
    <xf numFmtId="2" fontId="0" fillId="2" borderId="0" xfId="0" applyNumberFormat="1" applyFill="1" applyAlignment="1">
      <alignment horizontal="right"/>
    </xf>
    <xf numFmtId="2" fontId="0" fillId="15" borderId="0" xfId="0" applyNumberFormat="1" applyFill="1"/>
    <xf numFmtId="0" fontId="48" fillId="2" borderId="0" xfId="0" applyFont="1" applyFill="1"/>
    <xf numFmtId="1" fontId="0" fillId="13" borderId="0" xfId="0" applyNumberFormat="1" applyFill="1"/>
    <xf numFmtId="43" fontId="0" fillId="2" borderId="0" xfId="1" applyFont="1" applyFill="1"/>
    <xf numFmtId="43" fontId="0" fillId="15" borderId="0" xfId="0" applyNumberFormat="1" applyFill="1"/>
    <xf numFmtId="0" fontId="0" fillId="2" borderId="9" xfId="0" applyFill="1" applyBorder="1"/>
    <xf numFmtId="164" fontId="0" fillId="2" borderId="9" xfId="0" applyNumberFormat="1" applyFill="1" applyBorder="1"/>
    <xf numFmtId="0" fontId="14" fillId="13" borderId="0" xfId="0" applyFont="1" applyFill="1" applyAlignment="1">
      <alignment horizontal="right"/>
    </xf>
    <xf numFmtId="0" fontId="0" fillId="13" borderId="0" xfId="0" applyFill="1"/>
    <xf numFmtId="41" fontId="0" fillId="13" borderId="0" xfId="0" applyNumberFormat="1" applyFill="1"/>
    <xf numFmtId="41" fontId="0" fillId="2" borderId="7" xfId="0" applyNumberFormat="1" applyFill="1" applyBorder="1"/>
    <xf numFmtId="41" fontId="0" fillId="2" borderId="9" xfId="0" applyNumberFormat="1" applyFill="1" applyBorder="1"/>
    <xf numFmtId="41" fontId="0" fillId="2" borderId="8" xfId="0" applyNumberFormat="1" applyFill="1" applyBorder="1"/>
    <xf numFmtId="164" fontId="0" fillId="2" borderId="10" xfId="0" applyNumberFormat="1" applyFill="1" applyBorder="1"/>
    <xf numFmtId="164" fontId="0" fillId="2" borderId="11" xfId="0" applyNumberFormat="1" applyFill="1" applyBorder="1"/>
    <xf numFmtId="164" fontId="0" fillId="2" borderId="12" xfId="0" applyNumberFormat="1" applyFill="1" applyBorder="1"/>
    <xf numFmtId="164" fontId="0" fillId="2" borderId="13" xfId="0" applyNumberFormat="1" applyFill="1" applyBorder="1"/>
    <xf numFmtId="164" fontId="0" fillId="2" borderId="3" xfId="0" applyNumberFormat="1" applyFill="1" applyBorder="1"/>
    <xf numFmtId="164" fontId="0" fillId="2" borderId="14" xfId="0" applyNumberFormat="1" applyFill="1" applyBorder="1"/>
    <xf numFmtId="168" fontId="0" fillId="2" borderId="0" xfId="0" applyNumberFormat="1" applyFill="1" applyAlignment="1">
      <alignment horizontal="center"/>
    </xf>
    <xf numFmtId="168" fontId="0" fillId="15" borderId="0" xfId="0" applyNumberFormat="1" applyFill="1"/>
    <xf numFmtId="168" fontId="14" fillId="15" borderId="0" xfId="0" applyNumberFormat="1" applyFont="1" applyFill="1"/>
    <xf numFmtId="168" fontId="0" fillId="2" borderId="7" xfId="0" applyNumberFormat="1" applyFill="1" applyBorder="1"/>
    <xf numFmtId="168" fontId="0" fillId="2" borderId="9" xfId="0" applyNumberFormat="1" applyFill="1" applyBorder="1"/>
    <xf numFmtId="168" fontId="0" fillId="2" borderId="8" xfId="0" applyNumberFormat="1" applyFill="1" applyBorder="1"/>
    <xf numFmtId="0" fontId="14" fillId="16" borderId="0" xfId="0" applyFont="1" applyFill="1"/>
    <xf numFmtId="0" fontId="0" fillId="16" borderId="0" xfId="0" applyFill="1"/>
    <xf numFmtId="10" fontId="10" fillId="2" borderId="0" xfId="2" applyNumberFormat="1" applyFont="1" applyFill="1" applyAlignment="1">
      <alignment horizontal="center"/>
    </xf>
    <xf numFmtId="9" fontId="10" fillId="2" borderId="0" xfId="2" applyFont="1" applyFill="1"/>
    <xf numFmtId="0" fontId="51" fillId="2" borderId="0" xfId="0" applyFont="1" applyFill="1" applyAlignment="1">
      <alignment horizontal="center"/>
    </xf>
    <xf numFmtId="164" fontId="10" fillId="2" borderId="0" xfId="2" applyNumberFormat="1" applyFont="1" applyFill="1"/>
    <xf numFmtId="2" fontId="10" fillId="2" borderId="0" xfId="2" applyNumberFormat="1" applyFont="1" applyFill="1" applyAlignment="1">
      <alignment horizontal="center"/>
    </xf>
    <xf numFmtId="164" fontId="14" fillId="2" borderId="0" xfId="2" applyNumberFormat="1" applyFont="1" applyFill="1"/>
    <xf numFmtId="10" fontId="14" fillId="2" borderId="0" xfId="2" applyNumberFormat="1" applyFont="1" applyFill="1" applyAlignment="1">
      <alignment horizontal="center"/>
    </xf>
    <xf numFmtId="9" fontId="10" fillId="2" borderId="0" xfId="0" applyNumberFormat="1" applyFont="1" applyFill="1" applyAlignment="1">
      <alignment horizontal="center"/>
    </xf>
    <xf numFmtId="9" fontId="10" fillId="2" borderId="0" xfId="0" applyNumberFormat="1" applyFont="1" applyFill="1"/>
    <xf numFmtId="9" fontId="14" fillId="2" borderId="0" xfId="0" applyNumberFormat="1" applyFont="1" applyFill="1" applyAlignment="1">
      <alignment horizontal="center"/>
    </xf>
    <xf numFmtId="0" fontId="14" fillId="17" borderId="0" xfId="0" applyFont="1" applyFill="1"/>
    <xf numFmtId="0" fontId="0" fillId="17" borderId="0" xfId="0" applyFill="1"/>
    <xf numFmtId="10" fontId="14" fillId="17" borderId="0" xfId="2" applyNumberFormat="1" applyFont="1" applyFill="1" applyAlignment="1">
      <alignment horizontal="center"/>
    </xf>
    <xf numFmtId="164" fontId="33" fillId="2" borderId="0" xfId="2" applyNumberFormat="1" applyFont="1" applyFill="1"/>
    <xf numFmtId="168" fontId="0" fillId="17" borderId="0" xfId="2" applyNumberFormat="1" applyFont="1" applyFill="1"/>
    <xf numFmtId="169" fontId="0" fillId="2" borderId="7" xfId="0" applyNumberFormat="1" applyFill="1" applyBorder="1"/>
    <xf numFmtId="169" fontId="0" fillId="2" borderId="9" xfId="0" applyNumberFormat="1" applyFill="1" applyBorder="1"/>
    <xf numFmtId="169" fontId="0" fillId="2" borderId="8" xfId="0" applyNumberFormat="1" applyFill="1" applyBorder="1"/>
    <xf numFmtId="0" fontId="14" fillId="18" borderId="0" xfId="0" applyFont="1" applyFill="1"/>
    <xf numFmtId="0" fontId="0" fillId="18" borderId="0" xfId="0" applyFill="1"/>
    <xf numFmtId="43" fontId="14" fillId="18" borderId="0" xfId="0" applyNumberFormat="1" applyFont="1" applyFill="1"/>
    <xf numFmtId="164" fontId="52" fillId="0" borderId="0" xfId="2" applyNumberFormat="1" applyFont="1"/>
    <xf numFmtId="41" fontId="0" fillId="2" borderId="0" xfId="0" applyNumberFormat="1" applyFill="1" applyAlignment="1">
      <alignment horizontal="center"/>
    </xf>
    <xf numFmtId="0" fontId="12" fillId="19" borderId="0" xfId="0" applyFont="1" applyFill="1"/>
    <xf numFmtId="0" fontId="0" fillId="19" borderId="0" xfId="0" applyFill="1"/>
    <xf numFmtId="0" fontId="12" fillId="18" borderId="0" xfId="0" applyFont="1" applyFill="1"/>
    <xf numFmtId="168" fontId="14" fillId="18" borderId="0" xfId="0" applyNumberFormat="1" applyFont="1" applyFill="1"/>
    <xf numFmtId="41" fontId="14" fillId="18" borderId="0" xfId="0" applyNumberFormat="1" applyFont="1" applyFill="1"/>
    <xf numFmtId="0" fontId="32" fillId="18" borderId="0" xfId="0" applyFont="1" applyFill="1"/>
    <xf numFmtId="0" fontId="53" fillId="12" borderId="0" xfId="0" applyFont="1" applyFill="1"/>
    <xf numFmtId="0" fontId="0" fillId="12" borderId="0" xfId="0" applyFill="1"/>
    <xf numFmtId="0" fontId="54" fillId="2" borderId="0" xfId="0" applyFont="1" applyFill="1"/>
    <xf numFmtId="0" fontId="55" fillId="12" borderId="0" xfId="0" applyFont="1" applyFill="1"/>
    <xf numFmtId="0" fontId="55" fillId="2" borderId="0" xfId="0" applyFont="1" applyFill="1" applyAlignment="1">
      <alignment horizontal="center"/>
    </xf>
    <xf numFmtId="0" fontId="56" fillId="2" borderId="0" xfId="0" applyFont="1" applyFill="1" applyAlignment="1">
      <alignment horizontal="center"/>
    </xf>
    <xf numFmtId="4" fontId="51" fillId="2" borderId="0" xfId="0" applyNumberFormat="1" applyFont="1" applyFill="1" applyAlignment="1">
      <alignment horizontal="center"/>
    </xf>
    <xf numFmtId="170" fontId="51" fillId="2" borderId="0" xfId="0" applyNumberFormat="1" applyFont="1" applyFill="1" applyAlignment="1">
      <alignment horizontal="center"/>
    </xf>
    <xf numFmtId="3" fontId="56" fillId="2" borderId="0" xfId="0" applyNumberFormat="1" applyFont="1" applyFill="1" applyAlignment="1">
      <alignment horizontal="center"/>
    </xf>
    <xf numFmtId="3" fontId="51" fillId="2" borderId="0" xfId="0" applyNumberFormat="1" applyFont="1" applyFill="1" applyAlignment="1">
      <alignment horizontal="center"/>
    </xf>
    <xf numFmtId="3" fontId="0" fillId="2" borderId="0" xfId="0" applyNumberFormat="1" applyFill="1"/>
    <xf numFmtId="0" fontId="54" fillId="2" borderId="0" xfId="0" applyFont="1" applyFill="1" applyAlignment="1">
      <alignment horizontal="center"/>
    </xf>
    <xf numFmtId="164" fontId="56" fillId="2" borderId="0" xfId="0" applyNumberFormat="1" applyFont="1" applyFill="1" applyAlignment="1">
      <alignment horizontal="center"/>
    </xf>
    <xf numFmtId="2" fontId="51" fillId="2" borderId="0" xfId="0" applyNumberFormat="1" applyFont="1" applyFill="1" applyAlignment="1">
      <alignment horizontal="center"/>
    </xf>
    <xf numFmtId="171" fontId="55" fillId="2" borderId="0" xfId="0" applyNumberFormat="1" applyFont="1" applyFill="1" applyAlignment="1">
      <alignment horizontal="center"/>
    </xf>
    <xf numFmtId="0" fontId="55" fillId="20" borderId="0" xfId="0" applyFont="1" applyFill="1"/>
    <xf numFmtId="171" fontId="55" fillId="20" borderId="0" xfId="0" applyNumberFormat="1" applyFont="1" applyFill="1" applyAlignment="1">
      <alignment horizontal="center"/>
    </xf>
    <xf numFmtId="171" fontId="55" fillId="21" borderId="0" xfId="0" applyNumberFormat="1" applyFont="1" applyFill="1" applyAlignment="1">
      <alignment horizontal="center"/>
    </xf>
    <xf numFmtId="0" fontId="56" fillId="2" borderId="0" xfId="0" applyFont="1" applyFill="1"/>
    <xf numFmtId="171" fontId="56" fillId="2" borderId="0" xfId="0" applyNumberFormat="1" applyFont="1" applyFill="1" applyAlignment="1">
      <alignment horizontal="center"/>
    </xf>
    <xf numFmtId="0" fontId="57" fillId="2" borderId="0" xfId="0" applyFont="1" applyFill="1"/>
    <xf numFmtId="0" fontId="55" fillId="18" borderId="0" xfId="0" applyFont="1" applyFill="1"/>
    <xf numFmtId="3" fontId="55" fillId="18" borderId="0" xfId="0" applyNumberFormat="1" applyFont="1" applyFill="1" applyAlignment="1">
      <alignment horizontal="center"/>
    </xf>
    <xf numFmtId="0" fontId="0" fillId="21" borderId="0" xfId="0" applyFill="1"/>
    <xf numFmtId="0" fontId="58" fillId="2" borderId="0" xfId="0" applyFont="1" applyFill="1"/>
    <xf numFmtId="0" fontId="10" fillId="2" borderId="0" xfId="0" applyFont="1" applyFill="1" applyAlignment="1">
      <alignment horizontal="center"/>
    </xf>
    <xf numFmtId="3" fontId="0" fillId="2" borderId="0" xfId="0" applyNumberFormat="1" applyFill="1" applyAlignment="1">
      <alignment horizontal="right"/>
    </xf>
    <xf numFmtId="170" fontId="56" fillId="2" borderId="0" xfId="0" applyNumberFormat="1" applyFont="1" applyFill="1" applyAlignment="1">
      <alignment horizontal="center"/>
    </xf>
    <xf numFmtId="171" fontId="55" fillId="18" borderId="0" xfId="0" applyNumberFormat="1" applyFont="1" applyFill="1" applyAlignment="1">
      <alignment horizontal="center"/>
    </xf>
    <xf numFmtId="172" fontId="55" fillId="18" borderId="0" xfId="0" applyNumberFormat="1" applyFont="1" applyFill="1" applyAlignment="1">
      <alignment horizontal="center"/>
    </xf>
    <xf numFmtId="172" fontId="14" fillId="21" borderId="0" xfId="0" applyNumberFormat="1" applyFont="1" applyFill="1" applyAlignment="1">
      <alignment horizontal="center"/>
    </xf>
    <xf numFmtId="172" fontId="14" fillId="18" borderId="0" xfId="0" applyNumberFormat="1" applyFont="1" applyFill="1" applyAlignment="1">
      <alignment horizontal="center"/>
    </xf>
    <xf numFmtId="0" fontId="59" fillId="2" borderId="0" xfId="0" applyFont="1" applyFill="1"/>
    <xf numFmtId="0" fontId="44" fillId="11" borderId="15" xfId="0" applyFont="1" applyFill="1" applyBorder="1" applyAlignment="1">
      <alignment horizontal="center"/>
    </xf>
    <xf numFmtId="0" fontId="5" fillId="22" borderId="15" xfId="0" applyFont="1" applyFill="1" applyBorder="1"/>
    <xf numFmtId="3" fontId="5" fillId="22" borderId="15" xfId="0" applyNumberFormat="1" applyFont="1" applyFill="1" applyBorder="1"/>
    <xf numFmtId="3" fontId="60" fillId="22" borderId="15" xfId="0" applyNumberFormat="1" applyFont="1" applyFill="1" applyBorder="1"/>
    <xf numFmtId="0" fontId="5" fillId="2" borderId="15" xfId="0" applyFont="1" applyFill="1" applyBorder="1"/>
    <xf numFmtId="3" fontId="5" fillId="2" borderId="15" xfId="0" applyNumberFormat="1" applyFont="1" applyFill="1" applyBorder="1"/>
    <xf numFmtId="3" fontId="60" fillId="2" borderId="15" xfId="0" applyNumberFormat="1" applyFont="1" applyFill="1" applyBorder="1"/>
    <xf numFmtId="0" fontId="5" fillId="0" borderId="15" xfId="0" applyFont="1" applyBorder="1"/>
    <xf numFmtId="3" fontId="5" fillId="0" borderId="15" xfId="0" applyNumberFormat="1" applyFont="1" applyBorder="1"/>
    <xf numFmtId="3" fontId="60" fillId="0" borderId="15" xfId="0" applyNumberFormat="1" applyFont="1" applyBorder="1"/>
    <xf numFmtId="0" fontId="61" fillId="2" borderId="15" xfId="0" applyFont="1" applyFill="1" applyBorder="1"/>
    <xf numFmtId="0" fontId="12" fillId="2" borderId="15" xfId="0" applyFont="1" applyFill="1" applyBorder="1"/>
    <xf numFmtId="3" fontId="61" fillId="2" borderId="15" xfId="0" applyNumberFormat="1" applyFont="1" applyFill="1" applyBorder="1"/>
    <xf numFmtId="0" fontId="62" fillId="11" borderId="15" xfId="0" applyFont="1" applyFill="1" applyBorder="1" applyAlignment="1">
      <alignment horizontal="center"/>
    </xf>
    <xf numFmtId="0" fontId="63" fillId="2" borderId="15" xfId="0" applyFont="1" applyFill="1" applyBorder="1"/>
    <xf numFmtId="164" fontId="64" fillId="2" borderId="15" xfId="0" applyNumberFormat="1" applyFont="1" applyFill="1" applyBorder="1"/>
    <xf numFmtId="164" fontId="65" fillId="2" borderId="15" xfId="0" applyNumberFormat="1" applyFont="1" applyFill="1" applyBorder="1"/>
    <xf numFmtId="0" fontId="12" fillId="23" borderId="16" xfId="0" applyFont="1" applyFill="1" applyBorder="1"/>
    <xf numFmtId="3" fontId="0" fillId="23" borderId="17" xfId="0" applyNumberFormat="1" applyFill="1" applyBorder="1"/>
    <xf numFmtId="164" fontId="64" fillId="23" borderId="18" xfId="0" applyNumberFormat="1" applyFont="1" applyFill="1" applyBorder="1"/>
    <xf numFmtId="172" fontId="60" fillId="22" borderId="15" xfId="0" applyNumberFormat="1" applyFont="1" applyFill="1" applyBorder="1"/>
    <xf numFmtId="172" fontId="5" fillId="2" borderId="15" xfId="0" applyNumberFormat="1" applyFont="1" applyFill="1" applyBorder="1"/>
    <xf numFmtId="172" fontId="60" fillId="2" borderId="15" xfId="0" applyNumberFormat="1" applyFont="1" applyFill="1" applyBorder="1"/>
    <xf numFmtId="172" fontId="5" fillId="22" borderId="15" xfId="0" applyNumberFormat="1" applyFont="1" applyFill="1" applyBorder="1"/>
    <xf numFmtId="172" fontId="60" fillId="0" borderId="15" xfId="0" applyNumberFormat="1" applyFont="1" applyBorder="1"/>
    <xf numFmtId="172" fontId="5" fillId="0" borderId="15" xfId="0" applyNumberFormat="1" applyFont="1" applyBorder="1"/>
    <xf numFmtId="172" fontId="61" fillId="2" borderId="15" xfId="0" applyNumberFormat="1" applyFont="1" applyFill="1" applyBorder="1"/>
    <xf numFmtId="3" fontId="66" fillId="2" borderId="15" xfId="0" applyNumberFormat="1" applyFont="1" applyFill="1" applyBorder="1"/>
    <xf numFmtId="172" fontId="66" fillId="2" borderId="15" xfId="0" applyNumberFormat="1" applyFont="1" applyFill="1" applyBorder="1"/>
    <xf numFmtId="164" fontId="67" fillId="2" borderId="15" xfId="0" applyNumberFormat="1" applyFont="1" applyFill="1" applyBorder="1"/>
    <xf numFmtId="172" fontId="0" fillId="23" borderId="17" xfId="0" applyNumberFormat="1" applyFill="1" applyBorder="1"/>
    <xf numFmtId="0" fontId="44" fillId="25" borderId="0" xfId="0" applyFont="1" applyFill="1"/>
    <xf numFmtId="0" fontId="0" fillId="25" borderId="0" xfId="0" applyFill="1"/>
    <xf numFmtId="0" fontId="68" fillId="25" borderId="19" xfId="0" applyFont="1" applyFill="1" applyBorder="1" applyAlignment="1">
      <alignment horizontal="center"/>
    </xf>
    <xf numFmtId="164" fontId="71" fillId="26" borderId="23" xfId="0" applyNumberFormat="1" applyFont="1" applyFill="1" applyBorder="1" applyAlignment="1">
      <alignment horizontal="center"/>
    </xf>
    <xf numFmtId="164" fontId="71" fillId="26" borderId="24" xfId="0" applyNumberFormat="1" applyFont="1" applyFill="1" applyBorder="1" applyAlignment="1">
      <alignment horizontal="center"/>
    </xf>
    <xf numFmtId="10" fontId="71" fillId="26" borderId="25" xfId="0" applyNumberFormat="1" applyFont="1" applyFill="1" applyBorder="1" applyAlignment="1">
      <alignment horizontal="center"/>
    </xf>
    <xf numFmtId="172" fontId="72" fillId="27" borderId="27" xfId="0" applyNumberFormat="1" applyFont="1" applyFill="1" applyBorder="1" applyAlignment="1">
      <alignment horizontal="center"/>
    </xf>
    <xf numFmtId="10" fontId="0" fillId="2" borderId="0" xfId="0" applyNumberFormat="1" applyFill="1"/>
    <xf numFmtId="172" fontId="73" fillId="30" borderId="30" xfId="0" applyNumberFormat="1" applyFont="1" applyFill="1" applyBorder="1" applyAlignment="1">
      <alignment horizontal="center"/>
    </xf>
    <xf numFmtId="172" fontId="75" fillId="31" borderId="33" xfId="0" applyNumberFormat="1" applyFont="1" applyFill="1" applyBorder="1" applyAlignment="1">
      <alignment horizontal="center"/>
    </xf>
    <xf numFmtId="172" fontId="77" fillId="33" borderId="30" xfId="0" applyNumberFormat="1" applyFont="1" applyFill="1" applyBorder="1" applyAlignment="1">
      <alignment horizontal="center"/>
    </xf>
    <xf numFmtId="172" fontId="78" fillId="35" borderId="36" xfId="0" applyNumberFormat="1" applyFont="1" applyFill="1" applyBorder="1" applyAlignment="1">
      <alignment horizontal="center"/>
    </xf>
    <xf numFmtId="166" fontId="71" fillId="26" borderId="23" xfId="0" applyNumberFormat="1" applyFont="1" applyFill="1" applyBorder="1" applyAlignment="1">
      <alignment horizontal="center"/>
    </xf>
    <xf numFmtId="166" fontId="71" fillId="26" borderId="24" xfId="0" applyNumberFormat="1" applyFont="1" applyFill="1" applyBorder="1" applyAlignment="1">
      <alignment horizontal="center"/>
    </xf>
    <xf numFmtId="0" fontId="0" fillId="2" borderId="0" xfId="2" applyNumberFormat="1" applyFont="1" applyFill="1"/>
    <xf numFmtId="172" fontId="71" fillId="26" borderId="22" xfId="0" applyNumberFormat="1" applyFont="1" applyFill="1" applyBorder="1" applyAlignment="1">
      <alignment horizontal="center"/>
    </xf>
    <xf numFmtId="172" fontId="72" fillId="27" borderId="26" xfId="0" applyNumberFormat="1" applyFont="1" applyFill="1" applyBorder="1" applyAlignment="1">
      <alignment horizontal="center"/>
    </xf>
    <xf numFmtId="172" fontId="72" fillId="28" borderId="27" xfId="0" applyNumberFormat="1" applyFont="1" applyFill="1" applyBorder="1" applyAlignment="1">
      <alignment horizontal="center"/>
    </xf>
    <xf numFmtId="172" fontId="71" fillId="29" borderId="28" xfId="0" applyNumberFormat="1" applyFont="1" applyFill="1" applyBorder="1" applyAlignment="1">
      <alignment horizontal="center"/>
    </xf>
    <xf numFmtId="172" fontId="73" fillId="30" borderId="29" xfId="0" applyNumberFormat="1" applyFont="1" applyFill="1" applyBorder="1" applyAlignment="1">
      <alignment horizontal="center"/>
    </xf>
    <xf numFmtId="172" fontId="73" fillId="27" borderId="31" xfId="0" applyNumberFormat="1" applyFont="1" applyFill="1" applyBorder="1" applyAlignment="1">
      <alignment horizontal="center"/>
    </xf>
    <xf numFmtId="172" fontId="73" fillId="27" borderId="30" xfId="0" applyNumberFormat="1" applyFont="1" applyFill="1" applyBorder="1" applyAlignment="1">
      <alignment horizontal="center"/>
    </xf>
    <xf numFmtId="172" fontId="73" fillId="28" borderId="32" xfId="0" applyNumberFormat="1" applyFont="1" applyFill="1" applyBorder="1" applyAlignment="1">
      <alignment horizontal="center"/>
    </xf>
    <xf numFmtId="172" fontId="75" fillId="31" borderId="29" xfId="0" applyNumberFormat="1" applyFont="1" applyFill="1" applyBorder="1" applyAlignment="1">
      <alignment horizontal="center"/>
    </xf>
    <xf numFmtId="172" fontId="76" fillId="32" borderId="34" xfId="0" applyNumberFormat="1" applyFont="1" applyFill="1" applyBorder="1" applyAlignment="1">
      <alignment horizontal="center"/>
    </xf>
    <xf numFmtId="172" fontId="75" fillId="31" borderId="32" xfId="0" applyNumberFormat="1" applyFont="1" applyFill="1" applyBorder="1" applyAlignment="1">
      <alignment horizontal="center"/>
    </xf>
    <xf numFmtId="172" fontId="77" fillId="33" borderId="29" xfId="0" applyNumberFormat="1" applyFont="1" applyFill="1" applyBorder="1" applyAlignment="1">
      <alignment horizontal="center"/>
    </xf>
    <xf numFmtId="172" fontId="77" fillId="34" borderId="27" xfId="0" applyNumberFormat="1" applyFont="1" applyFill="1" applyBorder="1" applyAlignment="1">
      <alignment horizontal="center"/>
    </xf>
    <xf numFmtId="172" fontId="77" fillId="34" borderId="30" xfId="0" applyNumberFormat="1" applyFont="1" applyFill="1" applyBorder="1" applyAlignment="1">
      <alignment horizontal="center"/>
    </xf>
    <xf numFmtId="172" fontId="77" fillId="33" borderId="32" xfId="0" applyNumberFormat="1" applyFont="1" applyFill="1" applyBorder="1" applyAlignment="1">
      <alignment horizontal="center"/>
    </xf>
    <xf numFmtId="172" fontId="78" fillId="35" borderId="35" xfId="0" applyNumberFormat="1" applyFont="1" applyFill="1" applyBorder="1" applyAlignment="1">
      <alignment horizontal="center"/>
    </xf>
    <xf numFmtId="172" fontId="71" fillId="36" borderId="36" xfId="0" applyNumberFormat="1" applyFont="1" applyFill="1" applyBorder="1" applyAlignment="1">
      <alignment horizontal="center"/>
    </xf>
    <xf numFmtId="172" fontId="78" fillId="35" borderId="37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79" fillId="3" borderId="1" xfId="0" applyFont="1" applyFill="1" applyBorder="1" applyAlignment="1">
      <alignment horizontal="center"/>
    </xf>
    <xf numFmtId="0" fontId="79" fillId="3" borderId="1" xfId="0" applyFont="1" applyFill="1" applyBorder="1" applyAlignment="1">
      <alignment horizontal="left"/>
    </xf>
    <xf numFmtId="0" fontId="79" fillId="4" borderId="0" xfId="0" applyFont="1" applyFill="1"/>
    <xf numFmtId="0" fontId="5" fillId="37" borderId="0" xfId="0" applyFont="1" applyFill="1" applyAlignment="1">
      <alignment horizontal="center"/>
    </xf>
    <xf numFmtId="0" fontId="5" fillId="37" borderId="0" xfId="0" applyFont="1" applyFill="1"/>
    <xf numFmtId="0" fontId="60" fillId="37" borderId="0" xfId="0" applyFont="1" applyFill="1" applyAlignment="1">
      <alignment horizontal="center"/>
    </xf>
    <xf numFmtId="0" fontId="5" fillId="38" borderId="0" xfId="0" applyFont="1" applyFill="1" applyAlignment="1">
      <alignment horizontal="center"/>
    </xf>
    <xf numFmtId="0" fontId="5" fillId="38" borderId="0" xfId="0" applyFont="1" applyFill="1"/>
    <xf numFmtId="0" fontId="60" fillId="38" borderId="0" xfId="0" applyFont="1" applyFill="1" applyAlignment="1">
      <alignment horizontal="center"/>
    </xf>
    <xf numFmtId="0" fontId="79" fillId="39" borderId="0" xfId="0" applyFont="1" applyFill="1"/>
    <xf numFmtId="0" fontId="49" fillId="39" borderId="0" xfId="0" applyFont="1" applyFill="1"/>
    <xf numFmtId="0" fontId="79" fillId="40" borderId="0" xfId="0" applyFont="1" applyFill="1"/>
    <xf numFmtId="0" fontId="49" fillId="40" borderId="0" xfId="0" applyFont="1" applyFill="1"/>
    <xf numFmtId="0" fontId="79" fillId="6" borderId="0" xfId="0" applyFont="1" applyFill="1"/>
    <xf numFmtId="0" fontId="49" fillId="6" borderId="0" xfId="0" applyFont="1" applyFill="1"/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60" fillId="2" borderId="0" xfId="0" applyFont="1" applyFill="1" applyAlignment="1">
      <alignment horizontal="center"/>
    </xf>
    <xf numFmtId="0" fontId="79" fillId="41" borderId="0" xfId="0" applyFont="1" applyFill="1"/>
    <xf numFmtId="0" fontId="49" fillId="41" borderId="0" xfId="0" applyFont="1" applyFill="1"/>
    <xf numFmtId="0" fontId="80" fillId="38" borderId="0" xfId="0" applyFont="1" applyFill="1" applyAlignment="1">
      <alignment horizontal="center"/>
    </xf>
    <xf numFmtId="0" fontId="79" fillId="42" borderId="0" xfId="0" applyFont="1" applyFill="1"/>
    <xf numFmtId="0" fontId="49" fillId="42" borderId="0" xfId="0" applyFont="1" applyFill="1"/>
    <xf numFmtId="0" fontId="79" fillId="7" borderId="0" xfId="0" applyFont="1" applyFill="1"/>
    <xf numFmtId="0" fontId="49" fillId="7" borderId="0" xfId="0" applyFont="1" applyFill="1"/>
    <xf numFmtId="0" fontId="3" fillId="38" borderId="2" xfId="0" applyFont="1" applyFill="1" applyBorder="1" applyAlignment="1">
      <alignment horizontal="center"/>
    </xf>
    <xf numFmtId="0" fontId="3" fillId="38" borderId="2" xfId="0" applyFont="1" applyFill="1" applyBorder="1"/>
    <xf numFmtId="0" fontId="80" fillId="38" borderId="2" xfId="0" applyFont="1" applyFill="1" applyBorder="1" applyAlignment="1">
      <alignment horizontal="center"/>
    </xf>
    <xf numFmtId="0" fontId="6" fillId="2" borderId="0" xfId="0" applyFont="1" applyFill="1"/>
    <xf numFmtId="0" fontId="3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4" fillId="2" borderId="0" xfId="0" applyFont="1" applyFill="1"/>
    <xf numFmtId="0" fontId="5" fillId="2" borderId="2" xfId="0" applyFont="1" applyFill="1" applyBorder="1" applyAlignment="1">
      <alignment horizontal="center"/>
    </xf>
    <xf numFmtId="0" fontId="9" fillId="2" borderId="2" xfId="0" applyFont="1" applyFill="1" applyBorder="1"/>
    <xf numFmtId="0" fontId="3" fillId="2" borderId="2" xfId="0" applyFont="1" applyFill="1" applyBorder="1"/>
    <xf numFmtId="0" fontId="0" fillId="2" borderId="2" xfId="0" applyFill="1" applyBorder="1"/>
    <xf numFmtId="0" fontId="0" fillId="2" borderId="0" xfId="0" applyFill="1" applyAlignment="1">
      <alignment horizontal="center"/>
    </xf>
    <xf numFmtId="0" fontId="13" fillId="6" borderId="0" xfId="0" applyFont="1" applyFill="1" applyAlignment="1">
      <alignment horizontal="left"/>
    </xf>
    <xf numFmtId="0" fontId="50" fillId="16" borderId="0" xfId="0" applyFont="1" applyFill="1" applyAlignment="1">
      <alignment horizontal="left"/>
    </xf>
    <xf numFmtId="0" fontId="55" fillId="2" borderId="0" xfId="0" applyFont="1" applyFill="1" applyAlignment="1">
      <alignment horizontal="center"/>
    </xf>
    <xf numFmtId="0" fontId="13" fillId="24" borderId="0" xfId="0" applyFont="1" applyFill="1" applyAlignment="1">
      <alignment horizontal="left"/>
    </xf>
    <xf numFmtId="0" fontId="69" fillId="25" borderId="20" xfId="0" applyFont="1" applyFill="1" applyBorder="1" applyAlignment="1">
      <alignment horizontal="center" vertical="center"/>
    </xf>
    <xf numFmtId="0" fontId="70" fillId="25" borderId="20" xfId="0" applyFont="1" applyFill="1" applyBorder="1" applyAlignment="1">
      <alignment horizontal="center" vertical="center"/>
    </xf>
    <xf numFmtId="0" fontId="69" fillId="25" borderId="21" xfId="0" applyFont="1" applyFill="1" applyBorder="1" applyAlignment="1">
      <alignment horizontal="center" vertical="center"/>
    </xf>
    <xf numFmtId="0" fontId="29" fillId="25" borderId="0" xfId="0" applyFont="1" applyFill="1" applyAlignment="1">
      <alignment horizontal="right" vertical="center" textRotation="90" wrapText="1"/>
    </xf>
    <xf numFmtId="0" fontId="74" fillId="25" borderId="0" xfId="0" applyFont="1" applyFill="1" applyAlignment="1">
      <alignment horizontal="right" vertical="center" textRotation="90" wrapText="1"/>
    </xf>
    <xf numFmtId="0" fontId="0" fillId="8" borderId="0" xfId="0" applyFill="1" applyBorder="1"/>
    <xf numFmtId="0" fontId="0" fillId="43" borderId="0" xfId="0" applyFill="1"/>
    <xf numFmtId="0" fontId="0" fillId="43" borderId="0" xfId="0" applyFill="1" applyBorder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81" fillId="44" borderId="0" xfId="0" applyFont="1" applyFill="1" applyAlignment="1">
      <alignment horizontal="left" vertical="center"/>
    </xf>
    <xf numFmtId="0" fontId="84" fillId="44" borderId="0" xfId="0" applyFont="1" applyFill="1" applyAlignment="1">
      <alignment horizontal="left" vertical="center"/>
    </xf>
    <xf numFmtId="0" fontId="85" fillId="44" borderId="0" xfId="0" applyFont="1" applyFill="1" applyAlignment="1">
      <alignment horizontal="left" vertical="center"/>
    </xf>
    <xf numFmtId="0" fontId="86" fillId="43" borderId="0" xfId="0" applyFont="1" applyFill="1" applyBorder="1"/>
    <xf numFmtId="0" fontId="86" fillId="43" borderId="38" xfId="0" applyFont="1" applyFill="1" applyBorder="1"/>
    <xf numFmtId="0" fontId="0" fillId="43" borderId="38" xfId="0" applyFill="1" applyBorder="1"/>
    <xf numFmtId="0" fontId="87" fillId="43" borderId="39" xfId="0" applyFont="1" applyFill="1" applyBorder="1" applyAlignment="1">
      <alignment vertical="center"/>
    </xf>
    <xf numFmtId="0" fontId="88" fillId="43" borderId="39" xfId="0" applyFont="1" applyFill="1" applyBorder="1" applyAlignment="1">
      <alignment vertical="center"/>
    </xf>
    <xf numFmtId="0" fontId="0" fillId="43" borderId="39" xfId="0" applyFill="1" applyBorder="1"/>
    <xf numFmtId="0" fontId="87" fillId="43" borderId="40" xfId="0" applyFont="1" applyFill="1" applyBorder="1" applyAlignment="1">
      <alignment vertical="center"/>
    </xf>
    <xf numFmtId="16" fontId="88" fillId="43" borderId="40" xfId="0" applyNumberFormat="1" applyFont="1" applyFill="1" applyBorder="1" applyAlignment="1">
      <alignment vertical="center"/>
    </xf>
    <xf numFmtId="0" fontId="0" fillId="43" borderId="40" xfId="0" applyFill="1" applyBorder="1"/>
    <xf numFmtId="0" fontId="87" fillId="43" borderId="41" xfId="0" applyFont="1" applyFill="1" applyBorder="1" applyAlignment="1">
      <alignment vertical="center"/>
    </xf>
    <xf numFmtId="0" fontId="88" fillId="43" borderId="41" xfId="0" applyFont="1" applyFill="1" applyBorder="1" applyAlignment="1">
      <alignment vertical="center"/>
    </xf>
    <xf numFmtId="0" fontId="0" fillId="43" borderId="41" xfId="0" applyFill="1" applyBorder="1"/>
    <xf numFmtId="0" fontId="88" fillId="43" borderId="40" xfId="0" applyFont="1" applyFill="1" applyBorder="1" applyAlignment="1">
      <alignment vertical="center"/>
    </xf>
    <xf numFmtId="0" fontId="87" fillId="43" borderId="42" xfId="0" applyFont="1" applyFill="1" applyBorder="1" applyAlignment="1">
      <alignment vertical="center"/>
    </xf>
    <xf numFmtId="0" fontId="88" fillId="43" borderId="42" xfId="0" applyFont="1" applyFill="1" applyBorder="1" applyAlignment="1">
      <alignment vertical="center"/>
    </xf>
    <xf numFmtId="0" fontId="0" fillId="43" borderId="42" xfId="0" applyFill="1" applyBorder="1"/>
    <xf numFmtId="0" fontId="89" fillId="43" borderId="42" xfId="0" applyFont="1" applyFill="1" applyBorder="1" applyAlignment="1">
      <alignment vertical="center"/>
    </xf>
    <xf numFmtId="0" fontId="83" fillId="43" borderId="0" xfId="0" applyFont="1" applyFill="1" applyAlignment="1">
      <alignment vertical="top" wrapText="1"/>
    </xf>
    <xf numFmtId="0" fontId="90" fillId="44" borderId="0" xfId="0" applyFont="1" applyFill="1" applyAlignment="1">
      <alignment vertical="center"/>
    </xf>
    <xf numFmtId="0" fontId="90" fillId="44" borderId="0" xfId="0" applyFont="1" applyFill="1" applyAlignment="1">
      <alignment horizontal="right" vertical="center"/>
    </xf>
    <xf numFmtId="0" fontId="0" fillId="46" borderId="0" xfId="0" applyFill="1"/>
    <xf numFmtId="0" fontId="91" fillId="44" borderId="0" xfId="0" applyFont="1" applyFill="1" applyAlignment="1">
      <alignment vertical="center"/>
    </xf>
    <xf numFmtId="0" fontId="93" fillId="44" borderId="0" xfId="0" applyFont="1" applyFill="1" applyAlignment="1">
      <alignment horizontal="right" vertical="center"/>
    </xf>
    <xf numFmtId="0" fontId="0" fillId="47" borderId="0" xfId="0" applyFill="1"/>
    <xf numFmtId="0" fontId="94" fillId="47" borderId="0" xfId="0" applyFont="1" applyFill="1" applyAlignment="1">
      <alignment vertical="center"/>
    </xf>
    <xf numFmtId="0" fontId="88" fillId="8" borderId="43" xfId="0" applyFont="1" applyFill="1" applyBorder="1"/>
    <xf numFmtId="0" fontId="0" fillId="8" borderId="43" xfId="0" applyFill="1" applyBorder="1"/>
    <xf numFmtId="0" fontId="0" fillId="8" borderId="44" xfId="0" applyFill="1" applyBorder="1"/>
    <xf numFmtId="0" fontId="0" fillId="0" borderId="44" xfId="0" applyBorder="1"/>
    <xf numFmtId="0" fontId="0" fillId="8" borderId="45" xfId="0" applyFill="1" applyBorder="1"/>
    <xf numFmtId="0" fontId="0" fillId="8" borderId="46" xfId="0" applyFill="1" applyBorder="1"/>
    <xf numFmtId="0" fontId="0" fillId="49" borderId="0" xfId="0" applyFill="1"/>
    <xf numFmtId="0" fontId="99" fillId="8" borderId="0" xfId="0" applyFont="1" applyFill="1" applyBorder="1" applyAlignment="1">
      <alignment vertical="center"/>
    </xf>
    <xf numFmtId="3" fontId="99" fillId="8" borderId="0" xfId="0" applyNumberFormat="1" applyFont="1" applyFill="1" applyBorder="1" applyAlignment="1">
      <alignment horizontal="center" vertical="center"/>
    </xf>
    <xf numFmtId="3" fontId="100" fillId="8" borderId="47" xfId="0" applyNumberFormat="1" applyFont="1" applyFill="1" applyBorder="1" applyAlignment="1">
      <alignment horizontal="center" vertical="center"/>
    </xf>
    <xf numFmtId="3" fontId="100" fillId="8" borderId="0" xfId="0" applyNumberFormat="1" applyFont="1" applyFill="1" applyBorder="1" applyAlignment="1">
      <alignment horizontal="center" vertical="center"/>
    </xf>
    <xf numFmtId="0" fontId="0" fillId="49" borderId="42" xfId="0" applyFill="1" applyBorder="1"/>
    <xf numFmtId="0" fontId="101" fillId="49" borderId="42" xfId="0" applyFont="1" applyFill="1" applyBorder="1" applyAlignment="1">
      <alignment vertical="center"/>
    </xf>
    <xf numFmtId="0" fontId="101" fillId="49" borderId="42" xfId="0" applyFont="1" applyFill="1" applyBorder="1" applyAlignment="1">
      <alignment horizontal="center" vertical="center"/>
    </xf>
    <xf numFmtId="164" fontId="101" fillId="49" borderId="42" xfId="0" applyNumberFormat="1" applyFont="1" applyFill="1" applyBorder="1" applyAlignment="1">
      <alignment horizontal="center" vertical="center"/>
    </xf>
    <xf numFmtId="164" fontId="103" fillId="49" borderId="49" xfId="0" applyNumberFormat="1" applyFont="1" applyFill="1" applyBorder="1" applyAlignment="1">
      <alignment horizontal="center" vertical="center"/>
    </xf>
    <xf numFmtId="164" fontId="103" fillId="49" borderId="42" xfId="0" applyNumberFormat="1" applyFont="1" applyFill="1" applyBorder="1" applyAlignment="1">
      <alignment horizontal="center" vertical="center"/>
    </xf>
    <xf numFmtId="0" fontId="0" fillId="8" borderId="42" xfId="0" applyFill="1" applyBorder="1"/>
    <xf numFmtId="0" fontId="99" fillId="8" borderId="42" xfId="0" applyFont="1" applyFill="1" applyBorder="1" applyAlignment="1">
      <alignment vertical="center"/>
    </xf>
    <xf numFmtId="3" fontId="99" fillId="8" borderId="42" xfId="0" applyNumberFormat="1" applyFont="1" applyFill="1" applyBorder="1" applyAlignment="1">
      <alignment horizontal="center" vertical="center"/>
    </xf>
    <xf numFmtId="3" fontId="100" fillId="8" borderId="49" xfId="0" applyNumberFormat="1" applyFont="1" applyFill="1" applyBorder="1" applyAlignment="1">
      <alignment horizontal="center" vertical="center"/>
    </xf>
    <xf numFmtId="3" fontId="100" fillId="8" borderId="42" xfId="0" applyNumberFormat="1" applyFont="1" applyFill="1" applyBorder="1" applyAlignment="1">
      <alignment horizontal="center" vertical="center"/>
    </xf>
    <xf numFmtId="172" fontId="99" fillId="8" borderId="42" xfId="0" applyNumberFormat="1" applyFont="1" applyFill="1" applyBorder="1" applyAlignment="1">
      <alignment horizontal="center" vertical="center"/>
    </xf>
    <xf numFmtId="172" fontId="100" fillId="8" borderId="49" xfId="0" applyNumberFormat="1" applyFont="1" applyFill="1" applyBorder="1" applyAlignment="1">
      <alignment horizontal="center" vertical="center"/>
    </xf>
    <xf numFmtId="172" fontId="100" fillId="8" borderId="42" xfId="0" applyNumberFormat="1" applyFont="1" applyFill="1" applyBorder="1" applyAlignment="1">
      <alignment horizontal="center" vertical="center"/>
    </xf>
    <xf numFmtId="0" fontId="105" fillId="48" borderId="48" xfId="0" applyFont="1" applyFill="1" applyBorder="1" applyAlignment="1">
      <alignment horizontal="center" vertical="center"/>
    </xf>
    <xf numFmtId="0" fontId="82" fillId="8" borderId="0" xfId="0" applyFont="1" applyFill="1" applyBorder="1"/>
    <xf numFmtId="3" fontId="107" fillId="8" borderId="0" xfId="0" applyNumberFormat="1" applyFont="1" applyFill="1" applyBorder="1"/>
    <xf numFmtId="172" fontId="92" fillId="8" borderId="0" xfId="0" applyNumberFormat="1" applyFont="1" applyFill="1" applyBorder="1" applyAlignment="1">
      <alignment horizontal="center" vertical="center"/>
    </xf>
    <xf numFmtId="172" fontId="109" fillId="8" borderId="0" xfId="0" applyNumberFormat="1" applyFont="1" applyFill="1" applyBorder="1" applyAlignment="1">
      <alignment horizontal="center" vertical="center"/>
    </xf>
    <xf numFmtId="172" fontId="110" fillId="8" borderId="0" xfId="0" applyNumberFormat="1" applyFont="1" applyFill="1" applyBorder="1" applyAlignment="1">
      <alignment horizontal="center" vertical="center"/>
    </xf>
    <xf numFmtId="164" fontId="108" fillId="8" borderId="0" xfId="0" applyNumberFormat="1" applyFont="1" applyFill="1" applyBorder="1" applyAlignment="1">
      <alignment horizontal="center" vertical="center"/>
    </xf>
    <xf numFmtId="0" fontId="108" fillId="8" borderId="0" xfId="0" applyFont="1" applyFill="1" applyBorder="1" applyAlignment="1">
      <alignment horizontal="center"/>
    </xf>
    <xf numFmtId="0" fontId="108" fillId="8" borderId="0" xfId="0" applyFont="1" applyFill="1" applyBorder="1" applyAlignment="1">
      <alignment horizontal="center" vertical="center"/>
    </xf>
    <xf numFmtId="0" fontId="99" fillId="49" borderId="42" xfId="0" applyFont="1" applyFill="1" applyBorder="1" applyAlignment="1">
      <alignment vertical="center"/>
    </xf>
    <xf numFmtId="172" fontId="92" fillId="49" borderId="42" xfId="0" applyNumberFormat="1" applyFont="1" applyFill="1" applyBorder="1" applyAlignment="1">
      <alignment horizontal="center" vertical="center"/>
    </xf>
    <xf numFmtId="172" fontId="109" fillId="49" borderId="42" xfId="0" applyNumberFormat="1" applyFont="1" applyFill="1" applyBorder="1" applyAlignment="1">
      <alignment horizontal="center" vertical="center"/>
    </xf>
    <xf numFmtId="172" fontId="110" fillId="49" borderId="42" xfId="0" applyNumberFormat="1" applyFont="1" applyFill="1" applyBorder="1" applyAlignment="1">
      <alignment horizontal="center" vertical="center"/>
    </xf>
    <xf numFmtId="164" fontId="109" fillId="49" borderId="42" xfId="0" applyNumberFormat="1" applyFont="1" applyFill="1" applyBorder="1" applyAlignment="1">
      <alignment horizontal="center" vertical="center"/>
    </xf>
    <xf numFmtId="0" fontId="109" fillId="49" borderId="42" xfId="0" applyFont="1" applyFill="1" applyBorder="1" applyAlignment="1">
      <alignment horizontal="center"/>
    </xf>
    <xf numFmtId="0" fontId="109" fillId="49" borderId="42" xfId="0" applyFont="1" applyFill="1" applyBorder="1" applyAlignment="1">
      <alignment horizontal="center" vertical="center"/>
    </xf>
    <xf numFmtId="172" fontId="92" fillId="8" borderId="42" xfId="0" applyNumberFormat="1" applyFont="1" applyFill="1" applyBorder="1" applyAlignment="1">
      <alignment horizontal="center" vertical="center"/>
    </xf>
    <xf numFmtId="172" fontId="109" fillId="8" borderId="42" xfId="0" applyNumberFormat="1" applyFont="1" applyFill="1" applyBorder="1" applyAlignment="1">
      <alignment horizontal="center" vertical="center"/>
    </xf>
    <xf numFmtId="172" fontId="110" fillId="8" borderId="42" xfId="0" applyNumberFormat="1" applyFont="1" applyFill="1" applyBorder="1" applyAlignment="1">
      <alignment horizontal="center" vertical="center"/>
    </xf>
    <xf numFmtId="164" fontId="109" fillId="8" borderId="42" xfId="0" applyNumberFormat="1" applyFont="1" applyFill="1" applyBorder="1" applyAlignment="1">
      <alignment horizontal="center" vertical="center"/>
    </xf>
    <xf numFmtId="0" fontId="109" fillId="8" borderId="42" xfId="0" applyFont="1" applyFill="1" applyBorder="1" applyAlignment="1">
      <alignment horizontal="center"/>
    </xf>
    <xf numFmtId="0" fontId="109" fillId="8" borderId="42" xfId="0" applyFont="1" applyFill="1" applyBorder="1" applyAlignment="1">
      <alignment horizontal="center" vertical="center"/>
    </xf>
    <xf numFmtId="0" fontId="0" fillId="50" borderId="42" xfId="0" applyFill="1" applyBorder="1"/>
    <xf numFmtId="0" fontId="111" fillId="50" borderId="42" xfId="0" applyFont="1" applyFill="1" applyBorder="1" applyAlignment="1">
      <alignment vertical="center"/>
    </xf>
    <xf numFmtId="0" fontId="102" fillId="50" borderId="42" xfId="0" applyFont="1" applyFill="1" applyBorder="1" applyAlignment="1">
      <alignment horizontal="center" vertical="center"/>
    </xf>
    <xf numFmtId="172" fontId="111" fillId="50" borderId="42" xfId="0" applyNumberFormat="1" applyFont="1" applyFill="1" applyBorder="1" applyAlignment="1">
      <alignment horizontal="center" vertical="center"/>
    </xf>
    <xf numFmtId="172" fontId="110" fillId="50" borderId="42" xfId="0" applyNumberFormat="1" applyFont="1" applyFill="1" applyBorder="1" applyAlignment="1">
      <alignment horizontal="center" vertical="center"/>
    </xf>
    <xf numFmtId="164" fontId="109" fillId="50" borderId="42" xfId="0" applyNumberFormat="1" applyFont="1" applyFill="1" applyBorder="1" applyAlignment="1">
      <alignment horizontal="center" vertical="center"/>
    </xf>
    <xf numFmtId="0" fontId="109" fillId="50" borderId="42" xfId="0" applyFont="1" applyFill="1" applyBorder="1" applyAlignment="1">
      <alignment horizontal="center"/>
    </xf>
    <xf numFmtId="0" fontId="109" fillId="50" borderId="42" xfId="0" applyFont="1" applyFill="1" applyBorder="1" applyAlignment="1">
      <alignment horizontal="center" vertical="center"/>
    </xf>
    <xf numFmtId="0" fontId="0" fillId="43" borderId="50" xfId="0" applyFill="1" applyBorder="1"/>
    <xf numFmtId="0" fontId="0" fillId="8" borderId="51" xfId="0" applyFill="1" applyBorder="1"/>
    <xf numFmtId="10" fontId="112" fillId="8" borderId="0" xfId="0" applyNumberFormat="1" applyFont="1" applyFill="1" applyBorder="1" applyAlignment="1">
      <alignment horizontal="left" vertical="center"/>
    </xf>
    <xf numFmtId="0" fontId="113" fillId="8" borderId="0" xfId="0" applyFont="1" applyFill="1" applyBorder="1" applyAlignment="1">
      <alignment wrapText="1"/>
    </xf>
    <xf numFmtId="0" fontId="114" fillId="8" borderId="0" xfId="0" applyFont="1" applyFill="1" applyBorder="1"/>
    <xf numFmtId="0" fontId="112" fillId="8" borderId="0" xfId="0" applyFont="1" applyFill="1" applyBorder="1" applyAlignment="1">
      <alignment horizontal="left" vertical="center"/>
    </xf>
    <xf numFmtId="0" fontId="0" fillId="8" borderId="52" xfId="0" applyFill="1" applyBorder="1"/>
    <xf numFmtId="0" fontId="115" fillId="8" borderId="0" xfId="0" applyFont="1" applyFill="1" applyBorder="1" applyAlignment="1">
      <alignment horizontal="left" vertical="center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0" fontId="0" fillId="8" borderId="56" xfId="0" applyFill="1" applyBorder="1"/>
    <xf numFmtId="0" fontId="0" fillId="8" borderId="57" xfId="0" applyFill="1" applyBorder="1"/>
    <xf numFmtId="0" fontId="117" fillId="44" borderId="0" xfId="0" applyFont="1" applyFill="1" applyAlignment="1">
      <alignment vertical="center"/>
    </xf>
    <xf numFmtId="0" fontId="117" fillId="44" borderId="0" xfId="0" applyFont="1" applyFill="1" applyAlignment="1">
      <alignment horizontal="right" vertical="center"/>
    </xf>
    <xf numFmtId="0" fontId="96" fillId="8" borderId="0" xfId="0" applyFont="1" applyFill="1" applyBorder="1" applyAlignment="1"/>
    <xf numFmtId="0" fontId="97" fillId="0" borderId="0" xfId="0" applyFont="1" applyBorder="1" applyAlignment="1">
      <alignment vertical="top" wrapText="1"/>
    </xf>
    <xf numFmtId="0" fontId="0" fillId="0" borderId="0" xfId="0" applyBorder="1"/>
    <xf numFmtId="0" fontId="0" fillId="44" borderId="53" xfId="0" applyFill="1" applyBorder="1"/>
    <xf numFmtId="0" fontId="95" fillId="44" borderId="53" xfId="0" applyFont="1" applyFill="1" applyBorder="1" applyAlignment="1">
      <alignment vertical="center"/>
    </xf>
    <xf numFmtId="0" fontId="0" fillId="44" borderId="54" xfId="0" applyFill="1" applyBorder="1"/>
    <xf numFmtId="0" fontId="0" fillId="44" borderId="57" xfId="0" applyFill="1" applyBorder="1"/>
    <xf numFmtId="0" fontId="0" fillId="47" borderId="0" xfId="0" applyFill="1" applyBorder="1"/>
    <xf numFmtId="0" fontId="98" fillId="47" borderId="0" xfId="0" applyFont="1" applyFill="1" applyBorder="1" applyAlignment="1">
      <alignment horizontal="left" vertical="center"/>
    </xf>
    <xf numFmtId="0" fontId="104" fillId="47" borderId="0" xfId="0" applyFont="1" applyFill="1" applyBorder="1" applyAlignment="1">
      <alignment horizontal="center" vertical="center"/>
    </xf>
    <xf numFmtId="0" fontId="98" fillId="47" borderId="0" xfId="0" applyFont="1" applyFill="1" applyBorder="1" applyAlignment="1">
      <alignment horizontal="center" vertical="center"/>
    </xf>
    <xf numFmtId="0" fontId="98" fillId="48" borderId="0" xfId="0" applyFont="1" applyFill="1" applyBorder="1" applyAlignment="1">
      <alignment horizontal="center" vertical="center"/>
    </xf>
    <xf numFmtId="0" fontId="106" fillId="47" borderId="0" xfId="0" applyFont="1" applyFill="1" applyBorder="1" applyAlignment="1">
      <alignment horizontal="center"/>
    </xf>
    <xf numFmtId="0" fontId="95" fillId="47" borderId="0" xfId="0" applyFont="1" applyFill="1" applyBorder="1" applyAlignment="1">
      <alignment horizontal="center"/>
    </xf>
    <xf numFmtId="0" fontId="0" fillId="47" borderId="55" xfId="0" applyFill="1" applyBorder="1"/>
    <xf numFmtId="0" fontId="0" fillId="47" borderId="44" xfId="0" applyFill="1" applyBorder="1"/>
    <xf numFmtId="0" fontId="0" fillId="49" borderId="59" xfId="0" applyFill="1" applyBorder="1"/>
    <xf numFmtId="0" fontId="0" fillId="8" borderId="59" xfId="0" applyFill="1" applyBorder="1"/>
    <xf numFmtId="3" fontId="101" fillId="49" borderId="42" xfId="0" applyNumberFormat="1" applyFont="1" applyFill="1" applyBorder="1" applyAlignment="1">
      <alignment horizontal="center" vertical="center"/>
    </xf>
    <xf numFmtId="3" fontId="103" fillId="49" borderId="49" xfId="0" applyNumberFormat="1" applyFont="1" applyFill="1" applyBorder="1" applyAlignment="1">
      <alignment horizontal="center" vertical="center"/>
    </xf>
    <xf numFmtId="3" fontId="103" fillId="49" borderId="42" xfId="0" applyNumberFormat="1" applyFont="1" applyFill="1" applyBorder="1" applyAlignment="1">
      <alignment horizontal="center" vertical="center"/>
    </xf>
    <xf numFmtId="0" fontId="106" fillId="47" borderId="0" xfId="0" applyFont="1" applyFill="1" applyBorder="1"/>
    <xf numFmtId="0" fontId="107" fillId="8" borderId="0" xfId="0" applyFont="1" applyFill="1" applyBorder="1"/>
    <xf numFmtId="164" fontId="107" fillId="8" borderId="0" xfId="0" applyNumberFormat="1" applyFont="1" applyFill="1" applyBorder="1"/>
    <xf numFmtId="172" fontId="107" fillId="8" borderId="0" xfId="0" applyNumberFormat="1" applyFont="1" applyFill="1" applyBorder="1"/>
    <xf numFmtId="0" fontId="82" fillId="49" borderId="0" xfId="0" applyFont="1" applyFill="1" applyBorder="1"/>
    <xf numFmtId="0" fontId="107" fillId="49" borderId="0" xfId="0" applyFont="1" applyFill="1" applyBorder="1"/>
    <xf numFmtId="3" fontId="107" fillId="49" borderId="0" xfId="0" applyNumberFormat="1" applyFont="1" applyFill="1" applyBorder="1"/>
    <xf numFmtId="164" fontId="107" fillId="49" borderId="0" xfId="0" applyNumberFormat="1" applyFont="1" applyFill="1" applyBorder="1"/>
    <xf numFmtId="172" fontId="107" fillId="49" borderId="0" xfId="0" applyNumberFormat="1" applyFont="1" applyFill="1" applyBorder="1"/>
    <xf numFmtId="0" fontId="95" fillId="44" borderId="0" xfId="0" applyFont="1" applyFill="1" applyBorder="1" applyAlignment="1">
      <alignment vertical="center"/>
    </xf>
    <xf numFmtId="3" fontId="107" fillId="44" borderId="0" xfId="0" applyNumberFormat="1" applyFont="1" applyFill="1" applyBorder="1"/>
    <xf numFmtId="164" fontId="107" fillId="44" borderId="0" xfId="0" applyNumberFormat="1" applyFont="1" applyFill="1" applyBorder="1"/>
    <xf numFmtId="0" fontId="0" fillId="44" borderId="0" xfId="0" applyFill="1" applyBorder="1"/>
    <xf numFmtId="0" fontId="106" fillId="47" borderId="0" xfId="0" applyFont="1" applyFill="1" applyBorder="1" applyAlignment="1">
      <alignment horizontal="left" vertical="center"/>
    </xf>
    <xf numFmtId="3" fontId="107" fillId="47" borderId="0" xfId="0" applyNumberFormat="1" applyFont="1" applyFill="1" applyBorder="1"/>
    <xf numFmtId="164" fontId="106" fillId="47" borderId="0" xfId="0" applyNumberFormat="1" applyFont="1" applyFill="1" applyBorder="1" applyAlignment="1">
      <alignment horizontal="center" vertical="center"/>
    </xf>
    <xf numFmtId="0" fontId="106" fillId="47" borderId="0" xfId="0" applyFont="1" applyFill="1" applyBorder="1" applyAlignment="1">
      <alignment horizontal="center" vertical="center"/>
    </xf>
    <xf numFmtId="0" fontId="0" fillId="43" borderId="55" xfId="0" applyFill="1" applyBorder="1"/>
    <xf numFmtId="0" fontId="106" fillId="47" borderId="55" xfId="0" applyFont="1" applyFill="1" applyBorder="1"/>
    <xf numFmtId="0" fontId="82" fillId="8" borderId="55" xfId="0" applyFont="1" applyFill="1" applyBorder="1"/>
    <xf numFmtId="0" fontId="82" fillId="49" borderId="55" xfId="0" applyFont="1" applyFill="1" applyBorder="1"/>
    <xf numFmtId="0" fontId="82" fillId="44" borderId="55" xfId="0" applyFont="1" applyFill="1" applyBorder="1"/>
    <xf numFmtId="0" fontId="82" fillId="47" borderId="55" xfId="0" applyFont="1" applyFill="1" applyBorder="1"/>
    <xf numFmtId="0" fontId="0" fillId="43" borderId="44" xfId="0" applyFill="1" applyBorder="1"/>
    <xf numFmtId="0" fontId="0" fillId="44" borderId="44" xfId="0" applyFill="1" applyBorder="1"/>
    <xf numFmtId="0" fontId="0" fillId="50" borderId="59" xfId="0" applyFill="1" applyBorder="1"/>
    <xf numFmtId="0" fontId="0" fillId="43" borderId="61" xfId="0" applyFill="1" applyBorder="1"/>
    <xf numFmtId="0" fontId="0" fillId="8" borderId="62" xfId="0" applyFill="1" applyBorder="1"/>
    <xf numFmtId="0" fontId="0" fillId="44" borderId="55" xfId="0" applyFill="1" applyBorder="1"/>
    <xf numFmtId="0" fontId="116" fillId="51" borderId="54" xfId="0" applyFont="1" applyFill="1" applyBorder="1"/>
    <xf numFmtId="0" fontId="0" fillId="51" borderId="53" xfId="0" applyFill="1" applyBorder="1"/>
    <xf numFmtId="0" fontId="116" fillId="51" borderId="53" xfId="0" applyFont="1" applyFill="1" applyBorder="1"/>
    <xf numFmtId="0" fontId="0" fillId="51" borderId="57" xfId="0" applyFill="1" applyBorder="1"/>
    <xf numFmtId="0" fontId="0" fillId="44" borderId="58" xfId="0" applyFill="1" applyBorder="1"/>
    <xf numFmtId="0" fontId="0" fillId="47" borderId="58" xfId="0" applyFill="1" applyBorder="1"/>
    <xf numFmtId="0" fontId="0" fillId="47" borderId="60" xfId="0" applyFill="1" applyBorder="1"/>
    <xf numFmtId="0" fontId="12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35">
    <dxf>
      <font>
        <color rgb="FF999999"/>
      </font>
    </dxf>
    <dxf>
      <font>
        <color rgb="FFBF8F00"/>
      </font>
    </dxf>
    <dxf>
      <font>
        <color rgb="FFBF8F00"/>
      </font>
    </dxf>
    <dxf>
      <font>
        <color rgb="FFBF8F00"/>
      </font>
    </dxf>
    <dxf>
      <font>
        <color rgb="FF548235"/>
      </font>
    </dxf>
    <dxf>
      <font>
        <color rgb="FF999999"/>
      </font>
    </dxf>
    <dxf>
      <font>
        <color rgb="FFBF8F00"/>
      </font>
    </dxf>
    <dxf>
      <font>
        <color rgb="FFBF8F00"/>
      </font>
    </dxf>
    <dxf>
      <font>
        <color rgb="FFBF8F00"/>
      </font>
    </dxf>
    <dxf>
      <font>
        <color rgb="FF548235"/>
      </font>
    </dxf>
    <dxf>
      <font>
        <color rgb="FF999999"/>
      </font>
    </dxf>
    <dxf>
      <font>
        <color rgb="FFBF8F00"/>
      </font>
    </dxf>
    <dxf>
      <font>
        <color rgb="FFBF8F00"/>
      </font>
    </dxf>
    <dxf>
      <font>
        <color rgb="FFBF8F00"/>
      </font>
    </dxf>
    <dxf>
      <font>
        <color rgb="FF548235"/>
      </font>
    </dxf>
    <dxf>
      <font>
        <color rgb="FF999999"/>
      </font>
    </dxf>
    <dxf>
      <font>
        <color rgb="FFBF8F00"/>
      </font>
    </dxf>
    <dxf>
      <font>
        <color rgb="FFBF8F00"/>
      </font>
    </dxf>
    <dxf>
      <font>
        <color rgb="FFBF8F00"/>
      </font>
    </dxf>
    <dxf>
      <font>
        <color rgb="FF548235"/>
      </font>
    </dxf>
    <dxf>
      <font>
        <color rgb="FF999999"/>
      </font>
    </dxf>
    <dxf>
      <font>
        <color rgb="FFBF8F00"/>
      </font>
    </dxf>
    <dxf>
      <font>
        <color rgb="FFBF8F00"/>
      </font>
    </dxf>
    <dxf>
      <font>
        <color rgb="FFBF8F00"/>
      </font>
    </dxf>
    <dxf>
      <font>
        <color rgb="FF548235"/>
      </font>
    </dxf>
    <dxf>
      <font>
        <color rgb="FF999999"/>
      </font>
    </dxf>
    <dxf>
      <font>
        <color rgb="FFBF8F00"/>
      </font>
    </dxf>
    <dxf>
      <font>
        <color rgb="FFBF8F00"/>
      </font>
    </dxf>
    <dxf>
      <font>
        <color rgb="FFBF8F00"/>
      </font>
    </dxf>
    <dxf>
      <font>
        <color rgb="FF548235"/>
      </font>
    </dxf>
    <dxf>
      <font>
        <color rgb="FF999999"/>
      </font>
    </dxf>
    <dxf>
      <font>
        <color rgb="FFBF8F00"/>
      </font>
    </dxf>
    <dxf>
      <font>
        <color rgb="FFBF8F00"/>
      </font>
    </dxf>
    <dxf>
      <font>
        <color rgb="FFBF8F00"/>
      </font>
    </dxf>
    <dxf>
      <font>
        <color rgb="FF548235"/>
      </font>
    </dxf>
  </dxfs>
  <tableStyles count="0" defaultTableStyle="TableStyleMedium2" defaultPivotStyle="PivotStyleLight16"/>
  <colors>
    <mruColors>
      <color rgb="FFB80101"/>
      <color rgb="FF265317"/>
      <color rgb="FF538234"/>
      <color rgb="FFDBE9F9"/>
      <color rgb="FF0000FF"/>
      <color rgb="FF2E73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rgbClr val="0F4422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Football Field — Implied Share Price 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rgbClr val="0F4422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Summary'!$G$32</c:f>
              <c:strCache>
                <c:ptCount val="1"/>
                <c:pt idx="0">
                  <c:v>DCF - Perp. Growth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'Executive Summary'!$H$31:$K$31</c:f>
              <c:strCache>
                <c:ptCount val="4"/>
                <c:pt idx="0">
                  <c:v>Low</c:v>
                </c:pt>
                <c:pt idx="1">
                  <c:v>Mid</c:v>
                </c:pt>
                <c:pt idx="2">
                  <c:v>High</c:v>
                </c:pt>
                <c:pt idx="3">
                  <c:v>Current</c:v>
                </c:pt>
              </c:strCache>
            </c:strRef>
          </c:cat>
          <c:val>
            <c:numRef>
              <c:f>'Executive Summary'!$H$32:$K$32</c:f>
              <c:numCache>
                <c:formatCode>"$"#,##0.00</c:formatCode>
                <c:ptCount val="4"/>
                <c:pt idx="0">
                  <c:v>18.059999999999999</c:v>
                </c:pt>
                <c:pt idx="1">
                  <c:v>21.24</c:v>
                </c:pt>
                <c:pt idx="2">
                  <c:v>26.62</c:v>
                </c:pt>
                <c:pt idx="3">
                  <c:v>32.43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EF-2349-B885-CF31759AB970}"/>
            </c:ext>
          </c:extLst>
        </c:ser>
        <c:ser>
          <c:idx val="1"/>
          <c:order val="1"/>
          <c:tx>
            <c:strRef>
              <c:f>'Executive Summary'!$G$33</c:f>
              <c:strCache>
                <c:ptCount val="1"/>
                <c:pt idx="0">
                  <c:v>DCF - Exit Multiple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'Executive Summary'!$H$31:$K$31</c:f>
              <c:strCache>
                <c:ptCount val="4"/>
                <c:pt idx="0">
                  <c:v>Low</c:v>
                </c:pt>
                <c:pt idx="1">
                  <c:v>Mid</c:v>
                </c:pt>
                <c:pt idx="2">
                  <c:v>High</c:v>
                </c:pt>
                <c:pt idx="3">
                  <c:v>Current</c:v>
                </c:pt>
              </c:strCache>
            </c:strRef>
          </c:cat>
          <c:val>
            <c:numRef>
              <c:f>'Executive Summary'!$H$33:$K$33</c:f>
              <c:numCache>
                <c:formatCode>"$"#,##0.00</c:formatCode>
                <c:ptCount val="4"/>
                <c:pt idx="0">
                  <c:v>36.28</c:v>
                </c:pt>
                <c:pt idx="1">
                  <c:v>44.43</c:v>
                </c:pt>
                <c:pt idx="2">
                  <c:v>48.51</c:v>
                </c:pt>
                <c:pt idx="3">
                  <c:v>32.43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EF-2349-B885-CF31759AB970}"/>
            </c:ext>
          </c:extLst>
        </c:ser>
        <c:ser>
          <c:idx val="2"/>
          <c:order val="2"/>
          <c:tx>
            <c:strRef>
              <c:f>'Executive Summary'!$G$34</c:f>
              <c:strCache>
                <c:ptCount val="1"/>
                <c:pt idx="0">
                  <c:v>Trading Comps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'Executive Summary'!$H$31:$K$31</c:f>
              <c:strCache>
                <c:ptCount val="4"/>
                <c:pt idx="0">
                  <c:v>Low</c:v>
                </c:pt>
                <c:pt idx="1">
                  <c:v>Mid</c:v>
                </c:pt>
                <c:pt idx="2">
                  <c:v>High</c:v>
                </c:pt>
                <c:pt idx="3">
                  <c:v>Current</c:v>
                </c:pt>
              </c:strCache>
            </c:strRef>
          </c:cat>
          <c:val>
            <c:numRef>
              <c:f>'Executive Summary'!$H$34:$K$34</c:f>
              <c:numCache>
                <c:formatCode>"$"#,##0.00</c:formatCode>
                <c:ptCount val="4"/>
                <c:pt idx="0">
                  <c:v>24.84</c:v>
                </c:pt>
                <c:pt idx="1">
                  <c:v>43.42</c:v>
                </c:pt>
                <c:pt idx="2">
                  <c:v>69.63</c:v>
                </c:pt>
                <c:pt idx="3">
                  <c:v>32.43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EF-2349-B885-CF31759AB970}"/>
            </c:ext>
          </c:extLst>
        </c:ser>
        <c:ser>
          <c:idx val="3"/>
          <c:order val="3"/>
          <c:tx>
            <c:strRef>
              <c:f>'Executive Summary'!$G$35</c:f>
              <c:strCache>
                <c:ptCount val="1"/>
                <c:pt idx="0">
                  <c:v>Blended Target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'Executive Summary'!$H$31:$K$31</c:f>
              <c:strCache>
                <c:ptCount val="4"/>
                <c:pt idx="0">
                  <c:v>Low</c:v>
                </c:pt>
                <c:pt idx="1">
                  <c:v>Mid</c:v>
                </c:pt>
                <c:pt idx="2">
                  <c:v>High</c:v>
                </c:pt>
                <c:pt idx="3">
                  <c:v>Current</c:v>
                </c:pt>
              </c:strCache>
            </c:strRef>
          </c:cat>
          <c:val>
            <c:numRef>
              <c:f>'Executive Summary'!$H$35:$K$35</c:f>
              <c:numCache>
                <c:formatCode>General</c:formatCode>
                <c:ptCount val="4"/>
                <c:pt idx="1">
                  <c:v>36.36</c:v>
                </c:pt>
                <c:pt idx="3">
                  <c:v>32.43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EF-2349-B885-CF31759AB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0208704"/>
        <c:axId val="957418112"/>
      </c:barChart>
      <c:catAx>
        <c:axId val="1160208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418112"/>
        <c:crosses val="autoZero"/>
        <c:auto val="1"/>
        <c:lblAlgn val="ctr"/>
        <c:lblOffset val="100"/>
        <c:noMultiLvlLbl val="0"/>
      </c:catAx>
      <c:valAx>
        <c:axId val="95741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020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rgbClr val="0F4422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Revenue &amp; EBITDA  ($ millions,  FY22–FY29E)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rgbClr val="0F4422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Summary'!$C$76</c:f>
              <c:strCache>
                <c:ptCount val="1"/>
                <c:pt idx="0">
                  <c:v>Revenue ($M)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'Executive Summary'!$B$77:$B$84</c:f>
              <c:strCache>
                <c:ptCount val="8"/>
                <c:pt idx="0">
                  <c:v>FY2022A</c:v>
                </c:pt>
                <c:pt idx="1">
                  <c:v>FY2023A</c:v>
                </c:pt>
                <c:pt idx="2">
                  <c:v>FY2024A</c:v>
                </c:pt>
                <c:pt idx="3">
                  <c:v>FY2025A</c:v>
                </c:pt>
                <c:pt idx="4">
                  <c:v>FY2026E</c:v>
                </c:pt>
                <c:pt idx="5">
                  <c:v>FY2027E</c:v>
                </c:pt>
                <c:pt idx="6">
                  <c:v>FY2028E</c:v>
                </c:pt>
                <c:pt idx="7">
                  <c:v>FY2029E</c:v>
                </c:pt>
              </c:strCache>
            </c:strRef>
          </c:cat>
          <c:val>
            <c:numRef>
              <c:f>'Executive Summary'!$C$77:$C$84</c:f>
              <c:numCache>
                <c:formatCode>General</c:formatCode>
                <c:ptCount val="8"/>
                <c:pt idx="0">
                  <c:v>3501</c:v>
                </c:pt>
                <c:pt idx="1">
                  <c:v>3870</c:v>
                </c:pt>
                <c:pt idx="2">
                  <c:v>4237</c:v>
                </c:pt>
                <c:pt idx="3">
                  <c:v>4647</c:v>
                </c:pt>
                <c:pt idx="4">
                  <c:v>5085</c:v>
                </c:pt>
                <c:pt idx="5">
                  <c:v>5524</c:v>
                </c:pt>
                <c:pt idx="6">
                  <c:v>5954</c:v>
                </c:pt>
                <c:pt idx="7">
                  <c:v>6442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CF-2246-A237-83A72E2D7532}"/>
            </c:ext>
          </c:extLst>
        </c:ser>
        <c:ser>
          <c:idx val="1"/>
          <c:order val="1"/>
          <c:tx>
            <c:strRef>
              <c:f>'Executive Summary'!$D$76</c:f>
              <c:strCache>
                <c:ptCount val="1"/>
                <c:pt idx="0">
                  <c:v>EBITDA ($M)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'Executive Summary'!$B$77:$B$84</c:f>
              <c:strCache>
                <c:ptCount val="8"/>
                <c:pt idx="0">
                  <c:v>FY2022A</c:v>
                </c:pt>
                <c:pt idx="1">
                  <c:v>FY2023A</c:v>
                </c:pt>
                <c:pt idx="2">
                  <c:v>FY2024A</c:v>
                </c:pt>
                <c:pt idx="3">
                  <c:v>FY2025A</c:v>
                </c:pt>
                <c:pt idx="4">
                  <c:v>FY2026E</c:v>
                </c:pt>
                <c:pt idx="5">
                  <c:v>FY2027E</c:v>
                </c:pt>
                <c:pt idx="6">
                  <c:v>FY2028E</c:v>
                </c:pt>
                <c:pt idx="7">
                  <c:v>FY2029E</c:v>
                </c:pt>
              </c:strCache>
            </c:strRef>
          </c:cat>
          <c:val>
            <c:numRef>
              <c:f>'Executive Summary'!$D$77:$D$84</c:f>
              <c:numCache>
                <c:formatCode>General</c:formatCode>
                <c:ptCount val="8"/>
                <c:pt idx="0">
                  <c:v>1513</c:v>
                </c:pt>
                <c:pt idx="1">
                  <c:v>1646</c:v>
                </c:pt>
                <c:pt idx="2">
                  <c:v>1762</c:v>
                </c:pt>
                <c:pt idx="3">
                  <c:v>1913</c:v>
                </c:pt>
                <c:pt idx="4">
                  <c:v>2079</c:v>
                </c:pt>
                <c:pt idx="5">
                  <c:v>2259</c:v>
                </c:pt>
                <c:pt idx="6">
                  <c:v>2435</c:v>
                </c:pt>
                <c:pt idx="7">
                  <c:v>2634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CF-2246-A237-83A72E2D7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0339392"/>
        <c:axId val="870338496"/>
      </c:barChart>
      <c:catAx>
        <c:axId val="87033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338496"/>
        <c:crosses val="autoZero"/>
        <c:auto val="1"/>
        <c:lblAlgn val="ctr"/>
        <c:lblOffset val="100"/>
        <c:noMultiLvlLbl val="0"/>
      </c:catAx>
      <c:valAx>
        <c:axId val="87033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33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ENTERPRISE</a:t>
            </a:r>
            <a:r>
              <a:rPr lang="en-US" baseline="0"/>
              <a:t>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'Valuation Summary'!$B$9:$B$11</c:f>
              <c:strCache>
                <c:ptCount val="3"/>
                <c:pt idx="0">
                  <c:v>DCF - Perpetuity Growth</c:v>
                </c:pt>
                <c:pt idx="1">
                  <c:v>DCF - Exit Multiple</c:v>
                </c:pt>
                <c:pt idx="2">
                  <c:v>Trading Comps (EV/EBITDA:2026E)</c:v>
                </c:pt>
              </c:strCache>
            </c:strRef>
          </c:cat>
          <c:val>
            <c:numRef>
              <c:f>'Valuation Summary'!$C$9:$C$11</c:f>
              <c:numCache>
                <c:formatCode>#,##0</c:formatCode>
                <c:ptCount val="3"/>
                <c:pt idx="0">
                  <c:v>12839.400468406366</c:v>
                </c:pt>
                <c:pt idx="1">
                  <c:v>30611.955160342768</c:v>
                </c:pt>
                <c:pt idx="2">
                  <c:v>27817.130794318462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B2-914A-91D5-9928F6D19848}"/>
            </c:ext>
          </c:extLst>
        </c:ser>
        <c:ser>
          <c:idx val="1"/>
          <c:order val="1"/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'Valuation Summary'!$B$9:$B$11</c:f>
              <c:strCache>
                <c:ptCount val="3"/>
                <c:pt idx="0">
                  <c:v>DCF - Perpetuity Growth</c:v>
                </c:pt>
                <c:pt idx="1">
                  <c:v>DCF - Exit Multiple</c:v>
                </c:pt>
                <c:pt idx="2">
                  <c:v>Trading Comps (EV/EBITDA:2026E)</c:v>
                </c:pt>
              </c:strCache>
            </c:strRef>
          </c:cat>
          <c:val>
            <c:numRef>
              <c:f>'Valuation Summary'!$D$9:$D$11</c:f>
              <c:numCache>
                <c:formatCode>#,##0</c:formatCode>
                <c:ptCount val="3"/>
                <c:pt idx="0">
                  <c:v>15938.437335106628</c:v>
                </c:pt>
                <c:pt idx="1">
                  <c:v>38556.452574091316</c:v>
                </c:pt>
                <c:pt idx="2">
                  <c:v>41431.166389296355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B2-914A-91D5-9928F6D19848}"/>
            </c:ext>
          </c:extLst>
        </c:ser>
        <c:ser>
          <c:idx val="2"/>
          <c:order val="2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'Valuation Summary'!$B$9:$B$11</c:f>
              <c:strCache>
                <c:ptCount val="3"/>
                <c:pt idx="0">
                  <c:v>DCF - Perpetuity Growth</c:v>
                </c:pt>
                <c:pt idx="1">
                  <c:v>DCF - Exit Multiple</c:v>
                </c:pt>
                <c:pt idx="2">
                  <c:v>Trading Comps (EV/EBITDA:2026E)</c:v>
                </c:pt>
              </c:strCache>
            </c:strRef>
          </c:cat>
          <c:val>
            <c:numRef>
              <c:f>'Valuation Summary'!$E$9:$E$11</c:f>
              <c:numCache>
                <c:formatCode>#,##0</c:formatCode>
                <c:ptCount val="3"/>
                <c:pt idx="0">
                  <c:v>21187.659720950931</c:v>
                </c:pt>
                <c:pt idx="1">
                  <c:v>42528.701280965593</c:v>
                </c:pt>
                <c:pt idx="2">
                  <c:v>49406.953447667278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B2-914A-91D5-9928F6D19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3688511"/>
        <c:axId val="572107263"/>
      </c:barChart>
      <c:catAx>
        <c:axId val="583688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107263"/>
        <c:crosses val="autoZero"/>
        <c:auto val="1"/>
        <c:lblAlgn val="ctr"/>
        <c:lblOffset val="100"/>
        <c:noMultiLvlLbl val="0"/>
      </c:catAx>
      <c:valAx>
        <c:axId val="572107263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583688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SHARE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'Valuation Summary'!$B$27:$B$29</c:f>
              <c:strCache>
                <c:ptCount val="3"/>
                <c:pt idx="0">
                  <c:v>DCF - Perpetuity Growth</c:v>
                </c:pt>
                <c:pt idx="1">
                  <c:v>DCF - Exit Multiple</c:v>
                </c:pt>
                <c:pt idx="2">
                  <c:v>Trading Comps (P/E-2026E)</c:v>
                </c:pt>
              </c:strCache>
            </c:strRef>
          </c:cat>
          <c:val>
            <c:numRef>
              <c:f>'Valuation Summary'!$C$27:$C$29</c:f>
              <c:numCache>
                <c:formatCode>"$"#,##0.00</c:formatCode>
                <c:ptCount val="3"/>
                <c:pt idx="0">
                  <c:v>18.057833090695592</c:v>
                </c:pt>
                <c:pt idx="1">
                  <c:v>36.284411859769627</c:v>
                </c:pt>
                <c:pt idx="2">
                  <c:v>24.842656698215844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0D-9746-B678-6DE5AFBE86D7}"/>
            </c:ext>
          </c:extLst>
        </c:ser>
        <c:ser>
          <c:idx val="1"/>
          <c:order val="1"/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'Valuation Summary'!$B$27:$B$29</c:f>
              <c:strCache>
                <c:ptCount val="3"/>
                <c:pt idx="0">
                  <c:v>DCF - Perpetuity Growth</c:v>
                </c:pt>
                <c:pt idx="1">
                  <c:v>DCF - Exit Multiple</c:v>
                </c:pt>
                <c:pt idx="2">
                  <c:v>Trading Comps (P/E-2026E)</c:v>
                </c:pt>
              </c:strCache>
            </c:strRef>
          </c:cat>
          <c:val>
            <c:numRef>
              <c:f>'Valuation Summary'!$D$27:$D$29</c:f>
              <c:numCache>
                <c:formatCode>"$"#,##0.00</c:formatCode>
                <c:ptCount val="3"/>
                <c:pt idx="0">
                  <c:v>21.236039068297931</c:v>
                </c:pt>
                <c:pt idx="1">
                  <c:v>44.431862263064247</c:v>
                </c:pt>
                <c:pt idx="2">
                  <c:v>43.416425899304755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0D-9746-B678-6DE5AFBE86D7}"/>
            </c:ext>
          </c:extLst>
        </c:ser>
        <c:ser>
          <c:idx val="2"/>
          <c:order val="2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'Valuation Summary'!$B$27:$B$29</c:f>
              <c:strCache>
                <c:ptCount val="3"/>
                <c:pt idx="0">
                  <c:v>DCF - Perpetuity Growth</c:v>
                </c:pt>
                <c:pt idx="1">
                  <c:v>DCF - Exit Multiple</c:v>
                </c:pt>
                <c:pt idx="2">
                  <c:v>Trading Comps (P/E-2026E)</c:v>
                </c:pt>
              </c:strCache>
            </c:strRef>
          </c:cat>
          <c:val>
            <c:numRef>
              <c:f>'Valuation Summary'!$E$27:$E$29</c:f>
              <c:numCache>
                <c:formatCode>"$"#,##0.00</c:formatCode>
                <c:ptCount val="3"/>
                <c:pt idx="0">
                  <c:v>26.619359978002986</c:v>
                </c:pt>
                <c:pt idx="1">
                  <c:v>48.50558746471156</c:v>
                </c:pt>
                <c:pt idx="2">
                  <c:v>69.631512096266079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0D-9746-B678-6DE5AFBE86D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354403199"/>
        <c:axId val="354414847"/>
      </c:barChart>
      <c:catAx>
        <c:axId val="354403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414847"/>
        <c:crosses val="autoZero"/>
        <c:auto val="1"/>
        <c:lblAlgn val="ctr"/>
        <c:lblOffset val="100"/>
        <c:noMultiLvlLbl val="0"/>
      </c:catAx>
      <c:valAx>
        <c:axId val="354414847"/>
        <c:scaling>
          <c:orientation val="minMax"/>
        </c:scaling>
        <c:delete val="1"/>
        <c:axPos val="b"/>
        <c:numFmt formatCode="&quot;$&quot;#,##0.00" sourceLinked="1"/>
        <c:majorTickMark val="none"/>
        <c:minorTickMark val="none"/>
        <c:tickLblPos val="nextTo"/>
        <c:crossAx val="354403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139700</xdr:colOff>
      <xdr:row>53</xdr:row>
      <xdr:rowOff>63500</xdr:rowOff>
    </xdr:from>
    <xdr:to>
      <xdr:col>13</xdr:col>
      <xdr:colOff>736600</xdr:colOff>
      <xdr:row>69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A1F148-5232-94A9-BEB0-BB07E4BE15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50800</xdr:colOff>
      <xdr:row>53</xdr:row>
      <xdr:rowOff>25400</xdr:rowOff>
    </xdr:from>
    <xdr:to>
      <xdr:col>6</xdr:col>
      <xdr:colOff>762000</xdr:colOff>
      <xdr:row>65</xdr:row>
      <xdr:rowOff>25400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30D228C-2519-2248-0FFA-BB0706A927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813165</xdr:colOff>
      <xdr:row>5</xdr:row>
      <xdr:rowOff>191870</xdr:rowOff>
    </xdr:from>
    <xdr:to>
      <xdr:col>9</xdr:col>
      <xdr:colOff>0</xdr:colOff>
      <xdr:row>6</xdr:row>
      <xdr:rowOff>18274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4FE8928-47E2-B988-C99B-E7BB2DDD47D0}"/>
            </a:ext>
          </a:extLst>
        </xdr:cNvPr>
        <xdr:cNvCxnSpPr/>
      </xdr:nvCxnSpPr>
      <xdr:spPr>
        <a:xfrm flipV="1">
          <a:off x="4102374" y="1434460"/>
          <a:ext cx="4942950" cy="2741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813165</xdr:colOff>
      <xdr:row>31</xdr:row>
      <xdr:rowOff>191870</xdr:rowOff>
    </xdr:from>
    <xdr:to>
      <xdr:col>9</xdr:col>
      <xdr:colOff>0</xdr:colOff>
      <xdr:row>32</xdr:row>
      <xdr:rowOff>18274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A2A0A579-4860-EC45-9FBA-5328C5B0D484}"/>
            </a:ext>
          </a:extLst>
        </xdr:cNvPr>
        <xdr:cNvCxnSpPr/>
      </xdr:nvCxnSpPr>
      <xdr:spPr>
        <a:xfrm flipV="1">
          <a:off x="4102374" y="1434460"/>
          <a:ext cx="4120648" cy="2741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813165</xdr:colOff>
      <xdr:row>76</xdr:row>
      <xdr:rowOff>191870</xdr:rowOff>
    </xdr:from>
    <xdr:to>
      <xdr:col>9</xdr:col>
      <xdr:colOff>0</xdr:colOff>
      <xdr:row>77</xdr:row>
      <xdr:rowOff>18274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6AE56E0A-B82B-8D4F-BADD-F988C56617F8}"/>
            </a:ext>
          </a:extLst>
        </xdr:cNvPr>
        <xdr:cNvCxnSpPr/>
      </xdr:nvCxnSpPr>
      <xdr:spPr>
        <a:xfrm flipV="1">
          <a:off x="4102374" y="6697194"/>
          <a:ext cx="4120648" cy="2741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813165</xdr:colOff>
      <xdr:row>31</xdr:row>
      <xdr:rowOff>191870</xdr:rowOff>
    </xdr:from>
    <xdr:to>
      <xdr:col>9</xdr:col>
      <xdr:colOff>0</xdr:colOff>
      <xdr:row>32</xdr:row>
      <xdr:rowOff>18274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CB6E9F2-5D83-5D40-B224-3C539106EB98}"/>
            </a:ext>
          </a:extLst>
        </xdr:cNvPr>
        <xdr:cNvCxnSpPr/>
      </xdr:nvCxnSpPr>
      <xdr:spPr>
        <a:xfrm flipV="1">
          <a:off x="4102374" y="1434460"/>
          <a:ext cx="4120648" cy="2741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813165</xdr:colOff>
      <xdr:row>76</xdr:row>
      <xdr:rowOff>191870</xdr:rowOff>
    </xdr:from>
    <xdr:to>
      <xdr:col>9</xdr:col>
      <xdr:colOff>0</xdr:colOff>
      <xdr:row>77</xdr:row>
      <xdr:rowOff>18274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693400B-A8EF-D241-9147-A75D8C5BE2A0}"/>
            </a:ext>
          </a:extLst>
        </xdr:cNvPr>
        <xdr:cNvCxnSpPr/>
      </xdr:nvCxnSpPr>
      <xdr:spPr>
        <a:xfrm flipV="1">
          <a:off x="4102374" y="1434460"/>
          <a:ext cx="4120648" cy="2741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624840</xdr:colOff>
      <xdr:row>5</xdr:row>
      <xdr:rowOff>5080</xdr:rowOff>
    </xdr:from>
    <xdr:to>
      <xdr:col>14</xdr:col>
      <xdr:colOff>447040</xdr:colOff>
      <xdr:row>18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8C780E-517F-B096-A2AC-06B67C447F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792480</xdr:colOff>
      <xdr:row>7</xdr:row>
      <xdr:rowOff>142240</xdr:rowOff>
    </xdr:from>
    <xdr:to>
      <xdr:col>9</xdr:col>
      <xdr:colOff>802640</xdr:colOff>
      <xdr:row>18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A5D0554-ED5F-4BA1-27CF-18BFE4F3E06F}"/>
            </a:ext>
          </a:extLst>
        </xdr:cNvPr>
        <xdr:cNvCxnSpPr/>
      </xdr:nvCxnSpPr>
      <xdr:spPr>
        <a:xfrm>
          <a:off x="11856720" y="1564640"/>
          <a:ext cx="10160" cy="2092960"/>
        </a:xfrm>
        <a:prstGeom prst="line">
          <a:avLst/>
        </a:prstGeom>
        <a:ln w="19050" cap="flat" cmpd="sng" algn="ctr">
          <a:solidFill>
            <a:schemeClr val="accent3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9</xdr:col>
      <xdr:colOff>751840</xdr:colOff>
      <xdr:row>17</xdr:row>
      <xdr:rowOff>0</xdr:rowOff>
    </xdr:from>
    <xdr:to>
      <xdr:col>10</xdr:col>
      <xdr:colOff>599821</xdr:colOff>
      <xdr:row>18</xdr:row>
      <xdr:rowOff>12470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BB954000-F9AF-99A5-7731-6C7721349EAA}"/>
            </a:ext>
          </a:extLst>
        </xdr:cNvPr>
        <xdr:cNvSpPr txBox="1"/>
      </xdr:nvSpPr>
      <xdr:spPr>
        <a:xfrm>
          <a:off x="11816080" y="3454400"/>
          <a:ext cx="670941" cy="2156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="1">
              <a:solidFill>
                <a:srgbClr val="C00000"/>
              </a:solidFill>
            </a:rPr>
            <a:t>26,833</a:t>
          </a:r>
        </a:p>
        <a:p>
          <a:endParaRPr lang="en-US" sz="1100">
            <a:solidFill>
              <a:schemeClr val="dk1"/>
            </a:solidFill>
          </a:endParaRPr>
        </a:p>
      </xdr:txBody>
    </xdr:sp>
    <xdr:clientData/>
  </xdr:twoCellAnchor>
  <xdr:twoCellAnchor>
    <xdr:from>
      <xdr:col>6</xdr:col>
      <xdr:colOff>675640</xdr:colOff>
      <xdr:row>22</xdr:row>
      <xdr:rowOff>76200</xdr:rowOff>
    </xdr:from>
    <xdr:to>
      <xdr:col>14</xdr:col>
      <xdr:colOff>457200</xdr:colOff>
      <xdr:row>35</xdr:row>
      <xdr:rowOff>177800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0E33679-FD29-81EF-EBBF-562668D2E1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101600</xdr:colOff>
      <xdr:row>24</xdr:row>
      <xdr:rowOff>162560</xdr:rowOff>
    </xdr:from>
    <xdr:to>
      <xdr:col>10</xdr:col>
      <xdr:colOff>111760</xdr:colOff>
      <xdr:row>35</xdr:row>
      <xdr:rowOff>111760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AD55F3EE-3A18-57E8-3EDD-40894F554CC0}"/>
            </a:ext>
          </a:extLst>
        </xdr:cNvPr>
        <xdr:cNvCxnSpPr/>
      </xdr:nvCxnSpPr>
      <xdr:spPr>
        <a:xfrm>
          <a:off x="11988800" y="5039360"/>
          <a:ext cx="10160" cy="2184400"/>
        </a:xfrm>
        <a:prstGeom prst="line">
          <a:avLst/>
        </a:prstGeom>
        <a:ln w="19050" cap="flat" cmpd="sng" algn="ctr">
          <a:solidFill>
            <a:schemeClr val="accent3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81280</xdr:colOff>
      <xdr:row>34</xdr:row>
      <xdr:rowOff>111760</xdr:rowOff>
    </xdr:from>
    <xdr:to>
      <xdr:col>10</xdr:col>
      <xdr:colOff>752221</xdr:colOff>
      <xdr:row>35</xdr:row>
      <xdr:rowOff>124230</xdr:rowOff>
    </xdr:to>
    <xdr:sp macro="" textlink="">
      <xdr:nvSpPr>
        <xdr:cNvPr id="15" name="TextBox 1">
          <a:extLst>
            <a:ext uri="{FF2B5EF4-FFF2-40B4-BE49-F238E27FC236}">
              <a16:creationId xmlns:a16="http://schemas.microsoft.com/office/drawing/2014/main" id="{264B3EDC-6AAE-F248-AD82-FD9E4398B022}"/>
            </a:ext>
          </a:extLst>
        </xdr:cNvPr>
        <xdr:cNvSpPr txBox="1"/>
      </xdr:nvSpPr>
      <xdr:spPr>
        <a:xfrm>
          <a:off x="11968480" y="7020560"/>
          <a:ext cx="670941" cy="2156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="1">
              <a:solidFill>
                <a:srgbClr val="B80101"/>
              </a:solidFill>
            </a:rPr>
            <a:t>$32.43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AB20F94-4240-AA40-9381-3C8E217334FB}">
  <we:reference id="wa200009404" version="1.0.0.5" store="en-US" storeType="OMEX"/>
  <we:alternateReferences>
    <we:reference id="wa200009404" version="1.0.0.5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55309-9523-5143-80DD-F368B652E0F8}">
  <sheetPr>
    <tabColor theme="3"/>
  </sheetPr>
  <dimension ref="A1:Z88"/>
  <sheetViews>
    <sheetView showGridLines="0" zoomScale="125" workbookViewId="0">
      <selection activeCell="D27" sqref="D27"/>
    </sheetView>
  </sheetViews>
  <sheetFormatPr baseColWidth="10" defaultRowHeight="16" x14ac:dyDescent="0.2"/>
  <cols>
    <col min="1" max="1" width="3" style="1" customWidth="1"/>
    <col min="2" max="2" width="2" style="1" customWidth="1"/>
    <col min="3" max="4" width="18.33203125" style="1" customWidth="1"/>
    <col min="5" max="5" width="15" style="1" customWidth="1"/>
    <col min="6" max="7" width="2.33203125" style="1" customWidth="1"/>
    <col min="8" max="10" width="15" style="1" customWidth="1"/>
    <col min="11" max="11" width="3" style="1" customWidth="1"/>
    <col min="12" max="16384" width="10.83203125" style="1"/>
  </cols>
  <sheetData>
    <row r="1" spans="1:26" ht="12" customHeight="1" x14ac:dyDescent="0.2">
      <c r="A1" s="313"/>
      <c r="B1" s="313"/>
      <c r="C1" s="313"/>
      <c r="D1" s="313"/>
      <c r="E1" s="313"/>
      <c r="F1" s="313"/>
      <c r="G1" s="313"/>
      <c r="H1" s="313"/>
      <c r="I1" s="313"/>
      <c r="J1" s="313"/>
      <c r="K1" s="313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ht="38" customHeight="1" x14ac:dyDescent="0.2">
      <c r="A2" s="313"/>
      <c r="B2" s="313"/>
      <c r="C2" s="315" t="s">
        <v>618</v>
      </c>
      <c r="D2" s="313"/>
      <c r="E2" s="313"/>
      <c r="F2" s="313"/>
      <c r="G2" s="313"/>
      <c r="H2" s="313"/>
      <c r="I2" s="313"/>
      <c r="J2" s="313"/>
      <c r="K2" s="313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 r="3" spans="1:26" ht="28" customHeight="1" x14ac:dyDescent="0.2">
      <c r="A3" s="313"/>
      <c r="B3" s="313"/>
      <c r="C3" s="316" t="s">
        <v>619</v>
      </c>
      <c r="D3" s="313"/>
      <c r="E3" s="313"/>
      <c r="F3" s="313"/>
      <c r="G3" s="313"/>
      <c r="H3" s="313"/>
      <c r="I3" s="313"/>
      <c r="J3" s="313"/>
      <c r="K3" s="31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spans="1:26" ht="20" customHeight="1" x14ac:dyDescent="0.2">
      <c r="A4" s="313"/>
      <c r="B4" s="313"/>
      <c r="C4" s="313"/>
      <c r="D4" s="313"/>
      <c r="E4" s="313"/>
      <c r="F4" s="313"/>
      <c r="G4" s="313"/>
      <c r="H4" s="313"/>
      <c r="I4" s="313"/>
      <c r="J4" s="313"/>
      <c r="K4" s="313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26" ht="22" customHeight="1" x14ac:dyDescent="0.2">
      <c r="A5" s="313"/>
      <c r="B5" s="313"/>
      <c r="C5" s="317" t="s">
        <v>620</v>
      </c>
      <c r="D5" s="313"/>
      <c r="E5" s="313"/>
      <c r="F5" s="313"/>
      <c r="G5" s="313"/>
      <c r="H5" s="313"/>
      <c r="I5" s="313"/>
      <c r="J5" s="313"/>
      <c r="K5" s="313"/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spans="1:26" ht="12" customHeight="1" x14ac:dyDescent="0.2">
      <c r="A6" s="313"/>
      <c r="B6" s="313"/>
      <c r="C6" s="313"/>
      <c r="D6" s="313"/>
      <c r="E6" s="313"/>
      <c r="F6" s="313"/>
      <c r="G6" s="313"/>
      <c r="H6" s="313"/>
      <c r="I6" s="313"/>
      <c r="J6" s="313"/>
      <c r="K6" s="313"/>
      <c r="L6"/>
      <c r="M6"/>
      <c r="N6"/>
      <c r="O6"/>
      <c r="P6"/>
      <c r="Q6"/>
      <c r="R6"/>
      <c r="S6"/>
      <c r="T6"/>
      <c r="U6"/>
      <c r="V6"/>
      <c r="W6"/>
      <c r="X6"/>
      <c r="Y6"/>
      <c r="Z6"/>
    </row>
    <row r="7" spans="1:26" ht="5" customHeight="1" x14ac:dyDescent="0.2">
      <c r="A7" s="313"/>
      <c r="B7" s="314"/>
      <c r="C7" s="314"/>
      <c r="D7" s="314"/>
      <c r="E7" s="314"/>
      <c r="F7" s="314"/>
      <c r="G7" s="314"/>
      <c r="H7" s="314"/>
      <c r="I7" s="314"/>
      <c r="J7" s="314"/>
      <c r="K7" s="314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spans="1:26" ht="16" customHeight="1" x14ac:dyDescent="0.2">
      <c r="A8" s="313"/>
      <c r="B8" s="310"/>
      <c r="C8" s="310"/>
      <c r="D8" s="310"/>
      <c r="E8" s="310"/>
      <c r="F8" s="310"/>
      <c r="G8" s="310"/>
      <c r="H8" s="310"/>
      <c r="I8" s="310"/>
      <c r="J8" s="310"/>
      <c r="K8" s="310"/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spans="1:26" ht="14" customHeight="1" x14ac:dyDescent="0.2">
      <c r="A9" s="313"/>
      <c r="B9" s="310"/>
      <c r="C9" s="310"/>
      <c r="D9" s="310"/>
      <c r="E9" s="310"/>
      <c r="F9" s="310"/>
      <c r="G9" s="310"/>
      <c r="H9" s="310"/>
      <c r="I9" s="310"/>
      <c r="J9" s="310"/>
      <c r="K9" s="310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1:26" ht="14" customHeight="1" x14ac:dyDescent="0.2">
      <c r="A10" s="313"/>
      <c r="B10" s="310"/>
      <c r="C10" s="310"/>
      <c r="D10" s="310"/>
      <c r="E10" s="310"/>
      <c r="F10" s="310"/>
      <c r="G10" s="310"/>
      <c r="H10" s="310"/>
      <c r="I10" s="310"/>
      <c r="J10" s="310"/>
      <c r="K10" s="3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 spans="1:26" ht="14" customHeight="1" x14ac:dyDescent="0.2">
      <c r="A11" s="313"/>
      <c r="B11" s="310"/>
      <c r="C11" s="310"/>
      <c r="D11" s="310"/>
      <c r="E11" s="310"/>
      <c r="F11" s="310"/>
      <c r="G11" s="310"/>
      <c r="H11" s="310"/>
      <c r="I11" s="310"/>
      <c r="J11" s="310"/>
      <c r="K11" s="310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1:26" ht="14" customHeight="1" x14ac:dyDescent="0.2">
      <c r="A12" s="313"/>
      <c r="B12" s="310"/>
      <c r="C12" s="310"/>
      <c r="D12" s="310"/>
      <c r="E12" s="310"/>
      <c r="F12" s="310"/>
      <c r="G12" s="310"/>
      <c r="H12" s="310"/>
      <c r="I12" s="310"/>
      <c r="J12" s="310"/>
      <c r="K12" s="310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1:26" ht="18" customHeight="1" x14ac:dyDescent="0.2">
      <c r="A13" s="314"/>
      <c r="B13" s="310"/>
      <c r="C13" s="319" t="s">
        <v>621</v>
      </c>
      <c r="D13" s="320"/>
      <c r="E13" s="320"/>
      <c r="F13" s="310"/>
      <c r="G13" s="310"/>
      <c r="H13" s="318" t="s">
        <v>622</v>
      </c>
      <c r="I13" s="311"/>
      <c r="J13" s="311"/>
      <c r="K13" s="310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26" ht="22" customHeight="1" x14ac:dyDescent="0.2">
      <c r="A14" s="314"/>
      <c r="B14" s="310"/>
      <c r="C14" s="321" t="s">
        <v>583</v>
      </c>
      <c r="D14" s="322" t="s">
        <v>623</v>
      </c>
      <c r="E14" s="323"/>
      <c r="F14" s="310"/>
      <c r="G14" s="310"/>
      <c r="H14" s="327" t="s">
        <v>624</v>
      </c>
      <c r="I14" s="328" t="s">
        <v>625</v>
      </c>
      <c r="J14" s="329"/>
      <c r="K14" s="310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1:26" ht="22" customHeight="1" x14ac:dyDescent="0.2">
      <c r="A15" s="314"/>
      <c r="B15" s="310"/>
      <c r="C15" s="324" t="s">
        <v>626</v>
      </c>
      <c r="D15" s="325">
        <v>46234</v>
      </c>
      <c r="E15" s="326"/>
      <c r="F15" s="310"/>
      <c r="G15" s="310"/>
      <c r="H15" s="331" t="s">
        <v>627</v>
      </c>
      <c r="I15" s="332" t="s">
        <v>628</v>
      </c>
      <c r="J15" s="333"/>
      <c r="K15" s="310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1:26" ht="22" customHeight="1" x14ac:dyDescent="0.2">
      <c r="A16" s="314"/>
      <c r="B16" s="310"/>
      <c r="C16" s="324" t="s">
        <v>629</v>
      </c>
      <c r="D16" s="330" t="s">
        <v>630</v>
      </c>
      <c r="E16" s="326"/>
      <c r="F16" s="310"/>
      <c r="G16" s="310"/>
      <c r="H16" s="331" t="s">
        <v>631</v>
      </c>
      <c r="I16" s="334" t="s">
        <v>632</v>
      </c>
      <c r="J16" s="333"/>
      <c r="K16" s="310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 spans="1:26" ht="22" customHeight="1" x14ac:dyDescent="0.2">
      <c r="A17" s="314"/>
      <c r="B17" s="310"/>
      <c r="C17" s="324" t="s">
        <v>633</v>
      </c>
      <c r="D17" s="330" t="s">
        <v>634</v>
      </c>
      <c r="E17" s="326"/>
      <c r="F17" s="310"/>
      <c r="G17" s="310"/>
      <c r="H17" s="331" t="s">
        <v>635</v>
      </c>
      <c r="I17" s="332" t="s">
        <v>636</v>
      </c>
      <c r="J17" s="333"/>
      <c r="K17" s="310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1:26" ht="22" customHeight="1" x14ac:dyDescent="0.2">
      <c r="A18" s="313"/>
      <c r="B18" s="310"/>
      <c r="C18" s="324" t="s">
        <v>532</v>
      </c>
      <c r="D18" s="330" t="s">
        <v>637</v>
      </c>
      <c r="E18" s="326"/>
      <c r="F18" s="310"/>
      <c r="G18" s="310"/>
      <c r="H18" s="331" t="s">
        <v>638</v>
      </c>
      <c r="I18" s="332" t="s">
        <v>636</v>
      </c>
      <c r="J18" s="333"/>
      <c r="K18" s="310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spans="1:26" ht="22" customHeight="1" x14ac:dyDescent="0.2">
      <c r="A19" s="313"/>
      <c r="B19" s="310"/>
      <c r="C19" s="324" t="s">
        <v>639</v>
      </c>
      <c r="D19" s="330" t="s">
        <v>644</v>
      </c>
      <c r="E19" s="326"/>
      <c r="F19" s="310"/>
      <c r="G19" s="310"/>
      <c r="H19" s="324" t="s">
        <v>278</v>
      </c>
      <c r="I19" s="330"/>
      <c r="J19" s="326"/>
      <c r="K19" s="310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spans="1:26" ht="22" customHeight="1" x14ac:dyDescent="0.2">
      <c r="A20" s="313"/>
      <c r="B20" s="310"/>
      <c r="C20" s="310"/>
      <c r="D20" s="310"/>
      <c r="E20" s="310"/>
      <c r="F20" s="310"/>
      <c r="G20" s="310"/>
      <c r="H20" s="310"/>
      <c r="I20" s="310"/>
      <c r="J20" s="310"/>
      <c r="K20" s="31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spans="1:26" ht="10" customHeight="1" x14ac:dyDescent="0.2">
      <c r="A21" s="313"/>
      <c r="B21" s="310"/>
      <c r="C21" s="310"/>
      <c r="D21" s="310"/>
      <c r="E21" s="310"/>
      <c r="F21" s="310"/>
      <c r="G21" s="310"/>
      <c r="H21" s="310"/>
      <c r="I21" s="310"/>
      <c r="J21" s="310"/>
      <c r="K21" s="310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1:26" ht="10" customHeight="1" x14ac:dyDescent="0.2">
      <c r="A22" s="313"/>
      <c r="B22" s="310"/>
      <c r="C22" s="310"/>
      <c r="D22" s="310"/>
      <c r="E22" s="310"/>
      <c r="F22" s="310"/>
      <c r="G22" s="310"/>
      <c r="H22" s="310"/>
      <c r="I22" s="310"/>
      <c r="J22" s="310"/>
      <c r="K22" s="310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spans="1:26" ht="10" customHeight="1" x14ac:dyDescent="0.2">
      <c r="A23" s="313"/>
      <c r="B23" s="310"/>
      <c r="C23" s="310"/>
      <c r="D23" s="310"/>
      <c r="E23" s="310"/>
      <c r="F23" s="310"/>
      <c r="G23" s="310"/>
      <c r="H23" s="310"/>
      <c r="I23" s="310"/>
      <c r="J23" s="310"/>
      <c r="K23" s="310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</row>
    <row r="24" spans="1:26" ht="8" customHeight="1" x14ac:dyDescent="0.2">
      <c r="A24" s="313"/>
      <c r="B24" s="310"/>
      <c r="C24" s="310"/>
      <c r="D24" s="310"/>
      <c r="E24" s="310"/>
      <c r="F24" s="310"/>
      <c r="G24" s="310"/>
      <c r="H24" s="310"/>
      <c r="I24" s="310"/>
      <c r="J24" s="310"/>
      <c r="K24" s="310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</row>
    <row r="25" spans="1:26" ht="8" customHeight="1" x14ac:dyDescent="0.2">
      <c r="A25" s="338"/>
      <c r="B25" s="310"/>
      <c r="C25" s="310"/>
      <c r="D25" s="310"/>
      <c r="E25" s="310"/>
      <c r="F25" s="310"/>
      <c r="G25" s="310"/>
      <c r="H25" s="310"/>
      <c r="I25" s="310"/>
      <c r="J25" s="310"/>
      <c r="K25" s="310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</row>
    <row r="26" spans="1:26" ht="8" customHeight="1" x14ac:dyDescent="0.2">
      <c r="A26" s="338"/>
      <c r="B26" s="310"/>
      <c r="C26" s="310"/>
      <c r="D26" s="310"/>
      <c r="E26" s="310"/>
      <c r="F26" s="310"/>
      <c r="G26" s="310"/>
      <c r="H26" s="310"/>
      <c r="I26" s="310"/>
      <c r="J26" s="310"/>
      <c r="K26" s="310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  <row r="27" spans="1:26" ht="18" customHeight="1" x14ac:dyDescent="0.2">
      <c r="A27" s="338"/>
      <c r="B27" s="310"/>
      <c r="C27" s="319" t="s">
        <v>640</v>
      </c>
      <c r="D27" s="320"/>
      <c r="E27" s="320"/>
      <c r="F27" s="320"/>
      <c r="G27" s="320"/>
      <c r="H27" s="320"/>
      <c r="I27" s="320"/>
      <c r="J27" s="320"/>
      <c r="K27" s="310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</row>
    <row r="28" spans="1:26" ht="10" customHeight="1" x14ac:dyDescent="0.2">
      <c r="A28" s="313"/>
      <c r="B28" s="310"/>
      <c r="C28" s="310"/>
      <c r="D28" s="310"/>
      <c r="E28" s="310"/>
      <c r="F28" s="310"/>
      <c r="G28" s="310"/>
      <c r="H28" s="310"/>
      <c r="I28" s="310"/>
      <c r="J28" s="310"/>
      <c r="K28" s="310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</row>
    <row r="29" spans="1:26" ht="80" customHeight="1" x14ac:dyDescent="0.2">
      <c r="A29" s="313"/>
      <c r="B29" s="310"/>
      <c r="C29" s="335" t="s">
        <v>641</v>
      </c>
      <c r="D29" s="312"/>
      <c r="E29" s="312"/>
      <c r="F29" s="312"/>
      <c r="G29" s="312"/>
      <c r="H29" s="312"/>
      <c r="I29" s="312"/>
      <c r="J29" s="312"/>
      <c r="K29" s="310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</row>
    <row r="30" spans="1:26" ht="5" customHeight="1" x14ac:dyDescent="0.2">
      <c r="A30" s="313"/>
      <c r="B30" s="314"/>
      <c r="C30" s="314"/>
      <c r="D30" s="314"/>
      <c r="E30" s="314"/>
      <c r="F30" s="314"/>
      <c r="G30" s="314"/>
      <c r="H30" s="314"/>
      <c r="I30" s="314"/>
      <c r="J30" s="314"/>
      <c r="K30" s="314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</row>
    <row r="31" spans="1:26" ht="12" customHeight="1" x14ac:dyDescent="0.2">
      <c r="A31" s="313"/>
      <c r="B31" s="313"/>
      <c r="C31" s="313"/>
      <c r="D31" s="313"/>
      <c r="E31" s="313"/>
      <c r="F31" s="313"/>
      <c r="G31" s="313"/>
      <c r="H31" s="313"/>
      <c r="I31" s="313"/>
      <c r="J31" s="313"/>
      <c r="K31" s="313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</row>
    <row r="32" spans="1:26" ht="22" customHeight="1" x14ac:dyDescent="0.2">
      <c r="A32" s="313"/>
      <c r="B32" s="313"/>
      <c r="C32" s="336" t="s">
        <v>642</v>
      </c>
      <c r="D32" s="313"/>
      <c r="E32" s="313"/>
      <c r="F32" s="313"/>
      <c r="G32" s="313"/>
      <c r="H32" s="313"/>
      <c r="I32" s="337" t="s">
        <v>643</v>
      </c>
      <c r="J32" s="313"/>
      <c r="K32" s="313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</row>
    <row r="33" spans="1:26" ht="12" customHeight="1" x14ac:dyDescent="0.2">
      <c r="A33" s="313"/>
      <c r="B33" s="313"/>
      <c r="C33" s="313"/>
      <c r="D33" s="313"/>
      <c r="E33" s="313"/>
      <c r="F33" s="313"/>
      <c r="G33" s="313"/>
      <c r="H33" s="313"/>
      <c r="I33" s="313"/>
      <c r="J33" s="313"/>
      <c r="K33" s="31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</row>
    <row r="34" spans="1:26" ht="22" customHeight="1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</row>
    <row r="35" spans="1:26" ht="12" customHeight="1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1:26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</row>
    <row r="37" spans="1:26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</row>
    <row r="38" spans="1:26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</row>
    <row r="39" spans="1:26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</row>
    <row r="40" spans="1:26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</row>
    <row r="41" spans="1:26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</row>
    <row r="42" spans="1:26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</row>
    <row r="43" spans="1:26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1:26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</row>
    <row r="45" spans="1:26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</row>
    <row r="46" spans="1:26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</row>
    <row r="47" spans="1:26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</row>
    <row r="48" spans="1:26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</row>
    <row r="49" spans="1:26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1:26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1:26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1:26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</row>
    <row r="60" spans="1:26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</row>
    <row r="61" spans="1:26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</row>
    <row r="62" spans="1:26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</row>
    <row r="63" spans="1:26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</row>
    <row r="64" spans="1:26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</row>
    <row r="65" spans="1:26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</row>
    <row r="66" spans="1:26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</row>
    <row r="67" spans="1:26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</row>
    <row r="68" spans="1:26" x14ac:dyDescent="0.2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</row>
    <row r="69" spans="1:26" x14ac:dyDescent="0.2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</row>
    <row r="70" spans="1:26" x14ac:dyDescent="0.2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</row>
    <row r="71" spans="1:26" x14ac:dyDescent="0.2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</row>
    <row r="72" spans="1:26" x14ac:dyDescent="0.2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</row>
    <row r="73" spans="1:26" x14ac:dyDescent="0.2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</row>
    <row r="74" spans="1:26" x14ac:dyDescent="0.2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</row>
    <row r="75" spans="1:26" x14ac:dyDescent="0.2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</row>
    <row r="76" spans="1:26" x14ac:dyDescent="0.2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</row>
    <row r="77" spans="1:26" x14ac:dyDescent="0.2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</row>
    <row r="78" spans="1:26" x14ac:dyDescent="0.2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</row>
    <row r="79" spans="1:26" x14ac:dyDescent="0.2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</row>
    <row r="80" spans="1:26" x14ac:dyDescent="0.2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</row>
    <row r="81" spans="1:26" x14ac:dyDescent="0.2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</row>
    <row r="82" spans="1:26" x14ac:dyDescent="0.2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</row>
    <row r="83" spans="1:26" x14ac:dyDescent="0.2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</row>
    <row r="84" spans="1:26" x14ac:dyDescent="0.2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</row>
    <row r="85" spans="1:26" x14ac:dyDescent="0.2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</row>
    <row r="86" spans="1:26" x14ac:dyDescent="0.2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</row>
    <row r="87" spans="1:26" x14ac:dyDescent="0.2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</row>
    <row r="88" spans="1:26" x14ac:dyDescent="0.2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</row>
  </sheetData>
  <mergeCells count="1">
    <mergeCell ref="C29:J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9FEC8-C216-2C43-95E5-6A5E8D9E16D5}">
  <sheetPr>
    <tabColor rgb="FF000080"/>
  </sheetPr>
  <dimension ref="B1:E38"/>
  <sheetViews>
    <sheetView zoomScale="108" workbookViewId="0">
      <pane ySplit="1" topLeftCell="A2" activePane="bottomLeft" state="frozen"/>
      <selection pane="bottomLeft" activeCell="B2" sqref="B2"/>
    </sheetView>
  </sheetViews>
  <sheetFormatPr baseColWidth="10" defaultRowHeight="16" x14ac:dyDescent="0.2"/>
  <cols>
    <col min="1" max="1" width="5" style="1" customWidth="1"/>
    <col min="2" max="2" width="9.1640625" style="1" customWidth="1"/>
    <col min="3" max="4" width="46.6640625" style="1" customWidth="1"/>
    <col min="5" max="5" width="16.6640625" style="1" customWidth="1"/>
    <col min="6" max="16384" width="10.83203125" style="1"/>
  </cols>
  <sheetData>
    <row r="1" spans="2:5" ht="23" x14ac:dyDescent="0.25">
      <c r="B1" s="260" t="s">
        <v>617</v>
      </c>
    </row>
    <row r="2" spans="2:5" x14ac:dyDescent="0.2">
      <c r="B2" s="261" t="s">
        <v>0</v>
      </c>
    </row>
    <row r="4" spans="2:5" ht="17" thickBot="1" x14ac:dyDescent="0.25">
      <c r="B4" s="262" t="s">
        <v>1</v>
      </c>
      <c r="C4" s="263" t="s">
        <v>2</v>
      </c>
      <c r="D4" s="263" t="s">
        <v>3</v>
      </c>
      <c r="E4" s="262" t="s">
        <v>4</v>
      </c>
    </row>
    <row r="5" spans="2:5" x14ac:dyDescent="0.2">
      <c r="B5" s="264" t="s">
        <v>5</v>
      </c>
      <c r="C5" s="2"/>
      <c r="D5" s="2"/>
      <c r="E5" s="2"/>
    </row>
    <row r="6" spans="2:5" x14ac:dyDescent="0.2">
      <c r="B6" s="265">
        <v>1</v>
      </c>
      <c r="C6" s="266" t="s">
        <v>6</v>
      </c>
      <c r="D6" s="266" t="s">
        <v>7</v>
      </c>
      <c r="E6" s="267" t="s">
        <v>8</v>
      </c>
    </row>
    <row r="7" spans="2:5" x14ac:dyDescent="0.2">
      <c r="B7" s="268">
        <v>2</v>
      </c>
      <c r="C7" s="269" t="s">
        <v>9</v>
      </c>
      <c r="D7" s="269" t="s">
        <v>39</v>
      </c>
      <c r="E7" s="270" t="s">
        <v>8</v>
      </c>
    </row>
    <row r="8" spans="2:5" x14ac:dyDescent="0.2">
      <c r="B8" s="265">
        <v>3</v>
      </c>
      <c r="C8" s="266" t="s">
        <v>10</v>
      </c>
      <c r="D8" s="266" t="s">
        <v>40</v>
      </c>
      <c r="E8" s="267" t="s">
        <v>8</v>
      </c>
    </row>
    <row r="10" spans="2:5" x14ac:dyDescent="0.2">
      <c r="B10" s="271" t="s">
        <v>54</v>
      </c>
      <c r="C10" s="272"/>
      <c r="D10" s="272"/>
      <c r="E10" s="272"/>
    </row>
    <row r="11" spans="2:5" x14ac:dyDescent="0.2">
      <c r="B11" s="265">
        <v>4</v>
      </c>
      <c r="C11" s="266" t="s">
        <v>44</v>
      </c>
      <c r="D11" s="266" t="s">
        <v>45</v>
      </c>
      <c r="E11" s="267" t="s">
        <v>8</v>
      </c>
    </row>
    <row r="12" spans="2:5" x14ac:dyDescent="0.2">
      <c r="B12" s="268">
        <v>5</v>
      </c>
      <c r="C12" s="269" t="s">
        <v>11</v>
      </c>
      <c r="D12" s="269" t="s">
        <v>12</v>
      </c>
      <c r="E12" s="270" t="s">
        <v>8</v>
      </c>
    </row>
    <row r="14" spans="2:5" x14ac:dyDescent="0.2">
      <c r="B14" s="273" t="s">
        <v>55</v>
      </c>
      <c r="C14" s="274"/>
      <c r="D14" s="274"/>
      <c r="E14" s="274"/>
    </row>
    <row r="15" spans="2:5" x14ac:dyDescent="0.2">
      <c r="B15" s="265">
        <v>6</v>
      </c>
      <c r="C15" s="266" t="s">
        <v>41</v>
      </c>
      <c r="D15" s="266" t="s">
        <v>42</v>
      </c>
      <c r="E15" s="267" t="s">
        <v>8</v>
      </c>
    </row>
    <row r="16" spans="2:5" x14ac:dyDescent="0.2">
      <c r="B16" s="268">
        <v>7</v>
      </c>
      <c r="C16" s="269" t="s">
        <v>48</v>
      </c>
      <c r="D16" s="269" t="s">
        <v>43</v>
      </c>
      <c r="E16" s="270" t="s">
        <v>8</v>
      </c>
    </row>
    <row r="18" spans="2:5" x14ac:dyDescent="0.2">
      <c r="B18" s="275" t="s">
        <v>13</v>
      </c>
      <c r="C18" s="276"/>
      <c r="D18" s="276"/>
      <c r="E18" s="276"/>
    </row>
    <row r="19" spans="2:5" x14ac:dyDescent="0.2">
      <c r="B19" s="265">
        <v>8</v>
      </c>
      <c r="C19" s="266" t="s">
        <v>46</v>
      </c>
      <c r="D19" s="266" t="s">
        <v>47</v>
      </c>
      <c r="E19" s="267" t="s">
        <v>8</v>
      </c>
    </row>
    <row r="20" spans="2:5" x14ac:dyDescent="0.2">
      <c r="B20" s="277"/>
      <c r="C20" s="278"/>
      <c r="D20" s="278"/>
      <c r="E20" s="279"/>
    </row>
    <row r="21" spans="2:5" x14ac:dyDescent="0.2">
      <c r="B21" s="280" t="s">
        <v>614</v>
      </c>
      <c r="C21" s="281"/>
      <c r="D21" s="281"/>
      <c r="E21" s="281"/>
    </row>
    <row r="22" spans="2:5" x14ac:dyDescent="0.2">
      <c r="B22" s="268">
        <v>9</v>
      </c>
      <c r="C22" s="269" t="s">
        <v>14</v>
      </c>
      <c r="D22" s="269" t="s">
        <v>15</v>
      </c>
      <c r="E22" s="270" t="s">
        <v>8</v>
      </c>
    </row>
    <row r="23" spans="2:5" x14ac:dyDescent="0.2">
      <c r="B23" s="265">
        <v>10</v>
      </c>
      <c r="C23" s="266" t="s">
        <v>16</v>
      </c>
      <c r="D23" s="266" t="s">
        <v>17</v>
      </c>
      <c r="E23" s="267" t="s">
        <v>8</v>
      </c>
    </row>
    <row r="24" spans="2:5" x14ac:dyDescent="0.2">
      <c r="B24" s="268">
        <v>11</v>
      </c>
      <c r="C24" s="269" t="s">
        <v>18</v>
      </c>
      <c r="D24" s="269" t="s">
        <v>19</v>
      </c>
      <c r="E24" s="282" t="s">
        <v>8</v>
      </c>
    </row>
    <row r="26" spans="2:5" x14ac:dyDescent="0.2">
      <c r="B26" s="283" t="s">
        <v>615</v>
      </c>
      <c r="C26" s="284"/>
      <c r="D26" s="284"/>
      <c r="E26" s="284"/>
    </row>
    <row r="27" spans="2:5" x14ac:dyDescent="0.2">
      <c r="B27" s="268">
        <v>12</v>
      </c>
      <c r="C27" s="269" t="s">
        <v>20</v>
      </c>
      <c r="D27" s="269" t="s">
        <v>49</v>
      </c>
      <c r="E27" s="270" t="s">
        <v>8</v>
      </c>
    </row>
    <row r="29" spans="2:5" x14ac:dyDescent="0.2">
      <c r="B29" s="285" t="s">
        <v>616</v>
      </c>
      <c r="C29" s="286"/>
      <c r="D29" s="286"/>
      <c r="E29" s="286"/>
    </row>
    <row r="30" spans="2:5" x14ac:dyDescent="0.2">
      <c r="B30" s="287">
        <v>13</v>
      </c>
      <c r="C30" s="288" t="s">
        <v>21</v>
      </c>
      <c r="D30" s="288" t="s">
        <v>22</v>
      </c>
      <c r="E30" s="289" t="s">
        <v>8</v>
      </c>
    </row>
    <row r="33" spans="2:5" x14ac:dyDescent="0.2">
      <c r="B33" s="285" t="s">
        <v>23</v>
      </c>
      <c r="C33" s="286"/>
      <c r="D33" s="286"/>
      <c r="E33" s="286"/>
    </row>
    <row r="34" spans="2:5" x14ac:dyDescent="0.2">
      <c r="B34" s="277" t="s">
        <v>24</v>
      </c>
      <c r="C34" s="290" t="s">
        <v>25</v>
      </c>
      <c r="D34" s="291" t="s">
        <v>26</v>
      </c>
    </row>
    <row r="35" spans="2:5" x14ac:dyDescent="0.2">
      <c r="B35" s="277" t="s">
        <v>27</v>
      </c>
      <c r="C35" s="292" t="s">
        <v>28</v>
      </c>
      <c r="D35" s="291" t="s">
        <v>29</v>
      </c>
    </row>
    <row r="36" spans="2:5" x14ac:dyDescent="0.2">
      <c r="B36" s="277" t="s">
        <v>30</v>
      </c>
      <c r="C36" s="293" t="s">
        <v>31</v>
      </c>
      <c r="D36" s="291" t="s">
        <v>32</v>
      </c>
    </row>
    <row r="37" spans="2:5" x14ac:dyDescent="0.2">
      <c r="B37" s="277" t="s">
        <v>33</v>
      </c>
      <c r="C37" s="294" t="s">
        <v>34</v>
      </c>
      <c r="D37" s="291" t="s">
        <v>35</v>
      </c>
    </row>
    <row r="38" spans="2:5" x14ac:dyDescent="0.2">
      <c r="B38" s="295" t="s">
        <v>36</v>
      </c>
      <c r="C38" s="296" t="s">
        <v>37</v>
      </c>
      <c r="D38" s="297" t="s">
        <v>38</v>
      </c>
      <c r="E38" s="298"/>
    </row>
  </sheetData>
  <conditionalFormatting sqref="E6:E8">
    <cfRule type="cellIs" dxfId="34" priority="1" operator="equal">
      <formula>"Complete"</formula>
    </cfRule>
    <cfRule type="cellIs" dxfId="33" priority="2" operator="equal">
      <formula>"In Progress"</formula>
    </cfRule>
    <cfRule type="cellIs" dxfId="32" priority="3" operator="equal">
      <formula>"Pending"</formula>
    </cfRule>
    <cfRule type="cellIs" dxfId="31" priority="4" operator="equal">
      <formula>"Not Started"</formula>
    </cfRule>
    <cfRule type="cellIs" dxfId="30" priority="5" operator="equal">
      <formula>"N/A"</formula>
    </cfRule>
  </conditionalFormatting>
  <conditionalFormatting sqref="E11:E12">
    <cfRule type="cellIs" dxfId="29" priority="6" operator="equal">
      <formula>"Complete"</formula>
    </cfRule>
    <cfRule type="cellIs" dxfId="28" priority="7" operator="equal">
      <formula>"In Progress"</formula>
    </cfRule>
    <cfRule type="cellIs" dxfId="27" priority="8" operator="equal">
      <formula>"Pending"</formula>
    </cfRule>
    <cfRule type="cellIs" dxfId="26" priority="9" operator="equal">
      <formula>"Not Started"</formula>
    </cfRule>
    <cfRule type="cellIs" dxfId="25" priority="10" operator="equal">
      <formula>"N/A"</formula>
    </cfRule>
  </conditionalFormatting>
  <conditionalFormatting sqref="E15:E16">
    <cfRule type="cellIs" dxfId="24" priority="11" operator="equal">
      <formula>"Complete"</formula>
    </cfRule>
    <cfRule type="cellIs" dxfId="23" priority="12" operator="equal">
      <formula>"In Progress"</formula>
    </cfRule>
    <cfRule type="cellIs" dxfId="22" priority="13" operator="equal">
      <formula>"Pending"</formula>
    </cfRule>
    <cfRule type="cellIs" dxfId="21" priority="14" operator="equal">
      <formula>"Not Started"</formula>
    </cfRule>
    <cfRule type="cellIs" dxfId="20" priority="15" operator="equal">
      <formula>"N/A"</formula>
    </cfRule>
  </conditionalFormatting>
  <conditionalFormatting sqref="E19">
    <cfRule type="cellIs" dxfId="19" priority="16" operator="equal">
      <formula>"Complete"</formula>
    </cfRule>
    <cfRule type="cellIs" dxfId="18" priority="17" operator="equal">
      <formula>"In Progress"</formula>
    </cfRule>
    <cfRule type="cellIs" dxfId="17" priority="18" operator="equal">
      <formula>"Pending"</formula>
    </cfRule>
    <cfRule type="cellIs" dxfId="16" priority="19" operator="equal">
      <formula>"Not Started"</formula>
    </cfRule>
    <cfRule type="cellIs" dxfId="15" priority="20" operator="equal">
      <formula>"N/A"</formula>
    </cfRule>
  </conditionalFormatting>
  <conditionalFormatting sqref="E21:E23">
    <cfRule type="cellIs" dxfId="14" priority="21" operator="equal">
      <formula>"Complete"</formula>
    </cfRule>
    <cfRule type="cellIs" dxfId="13" priority="22" operator="equal">
      <formula>"In Progress"</formula>
    </cfRule>
    <cfRule type="cellIs" dxfId="12" priority="23" operator="equal">
      <formula>"Pending"</formula>
    </cfRule>
    <cfRule type="cellIs" dxfId="11" priority="24" operator="equal">
      <formula>"Not Started"</formula>
    </cfRule>
    <cfRule type="cellIs" dxfId="10" priority="25" operator="equal">
      <formula>"N/A"</formula>
    </cfRule>
  </conditionalFormatting>
  <conditionalFormatting sqref="E26:E27">
    <cfRule type="cellIs" dxfId="9" priority="26" operator="equal">
      <formula>"Complete"</formula>
    </cfRule>
    <cfRule type="cellIs" dxfId="8" priority="27" operator="equal">
      <formula>"In Progress"</formula>
    </cfRule>
    <cfRule type="cellIs" dxfId="7" priority="28" operator="equal">
      <formula>"Pending"</formula>
    </cfRule>
    <cfRule type="cellIs" dxfId="6" priority="29" operator="equal">
      <formula>"Not Started"</formula>
    </cfRule>
    <cfRule type="cellIs" dxfId="5" priority="30" operator="equal">
      <formula>"N/A"</formula>
    </cfRule>
  </conditionalFormatting>
  <conditionalFormatting sqref="E29">
    <cfRule type="cellIs" dxfId="4" priority="31" operator="equal">
      <formula>"Complete"</formula>
    </cfRule>
    <cfRule type="cellIs" dxfId="3" priority="32" operator="equal">
      <formula>"In Progress"</formula>
    </cfRule>
    <cfRule type="cellIs" dxfId="2" priority="33" operator="equal">
      <formula>"Pending"</formula>
    </cfRule>
    <cfRule type="cellIs" dxfId="1" priority="34" operator="equal">
      <formula>"Not Started"</formula>
    </cfRule>
    <cfRule type="cellIs" dxfId="0" priority="35" operator="equal">
      <formula>"N/A"</formula>
    </cfRule>
  </conditionalFormatting>
  <dataValidations count="1">
    <dataValidation type="list" allowBlank="1" showInputMessage="1" showErrorMessage="1" sqref="E6:E8 E11:E12 E15:E16 E22:E24 E27 E30 E18:E20" xr:uid="{FAD88761-F5A3-FB41-9613-211C073E2BCD}">
      <formula1>"Complete,In Progress,Pending,Not Started,N/A"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0AECA-D317-BC4C-ABFB-CE4BAEC81BA6}">
  <sheetPr>
    <tabColor rgb="FF1B6B36"/>
  </sheetPr>
  <dimension ref="A1:DO104"/>
  <sheetViews>
    <sheetView showGridLines="0" tabSelected="1" topLeftCell="A2" workbookViewId="0">
      <selection activeCell="P24" sqref="P24"/>
    </sheetView>
  </sheetViews>
  <sheetFormatPr baseColWidth="10" defaultRowHeight="16" x14ac:dyDescent="0.2"/>
  <cols>
    <col min="1" max="1" width="2.33203125" style="1" customWidth="1"/>
    <col min="2" max="2" width="1.33203125" style="1" customWidth="1"/>
    <col min="3" max="14" width="11.33203125" style="1" customWidth="1"/>
    <col min="15" max="15" width="2.33203125" style="1" customWidth="1"/>
    <col min="16" max="16384" width="10.83203125" style="1"/>
  </cols>
  <sheetData>
    <row r="1" spans="1:26" ht="5" customHeight="1" x14ac:dyDescent="0.2">
      <c r="A1" s="314"/>
      <c r="B1" s="314"/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/>
      <c r="Q1"/>
      <c r="R1"/>
      <c r="S1"/>
      <c r="T1"/>
      <c r="U1"/>
      <c r="V1"/>
      <c r="W1"/>
      <c r="X1"/>
      <c r="Y1"/>
      <c r="Z1"/>
    </row>
    <row r="2" spans="1:26" ht="30" customHeight="1" x14ac:dyDescent="0.2">
      <c r="A2" s="313"/>
      <c r="B2" s="313"/>
      <c r="C2" s="339" t="s">
        <v>646</v>
      </c>
      <c r="D2" s="313"/>
      <c r="E2" s="313"/>
      <c r="F2" s="313"/>
      <c r="G2" s="313"/>
      <c r="H2" s="313"/>
      <c r="I2" s="313"/>
      <c r="J2" s="313"/>
      <c r="K2" s="313"/>
      <c r="L2" s="340" t="s">
        <v>647</v>
      </c>
      <c r="M2" s="313"/>
      <c r="N2" s="313"/>
      <c r="O2" s="313"/>
      <c r="P2"/>
      <c r="Q2"/>
      <c r="R2"/>
      <c r="S2"/>
      <c r="T2"/>
      <c r="U2"/>
      <c r="V2"/>
      <c r="W2"/>
      <c r="X2"/>
      <c r="Y2"/>
      <c r="Z2"/>
    </row>
    <row r="3" spans="1:26" ht="18" customHeight="1" x14ac:dyDescent="0.2">
      <c r="A3" s="341"/>
      <c r="B3" s="341"/>
      <c r="C3" s="342" t="s">
        <v>648</v>
      </c>
      <c r="D3" s="341"/>
      <c r="E3" s="341"/>
      <c r="F3" s="341"/>
      <c r="G3" s="341"/>
      <c r="H3" s="341"/>
      <c r="I3" s="341"/>
      <c r="J3" s="341"/>
      <c r="K3" s="341"/>
      <c r="L3" s="341"/>
      <c r="M3" s="341"/>
      <c r="N3" s="341"/>
      <c r="O3" s="341"/>
      <c r="P3"/>
      <c r="Q3"/>
      <c r="R3"/>
      <c r="S3"/>
      <c r="T3"/>
      <c r="U3"/>
      <c r="V3"/>
      <c r="W3"/>
      <c r="X3"/>
      <c r="Y3"/>
      <c r="Z3"/>
    </row>
    <row r="4" spans="1:26" ht="8" customHeight="1" x14ac:dyDescent="0.2">
      <c r="A4" s="313"/>
      <c r="B4" s="310"/>
      <c r="C4" s="310"/>
      <c r="D4" s="310"/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3"/>
      <c r="P4"/>
      <c r="Q4"/>
      <c r="R4"/>
      <c r="S4"/>
      <c r="T4"/>
      <c r="U4"/>
      <c r="V4"/>
      <c r="W4"/>
      <c r="X4"/>
      <c r="Y4"/>
      <c r="Z4"/>
    </row>
    <row r="5" spans="1:26" ht="6" customHeight="1" x14ac:dyDescent="0.2">
      <c r="A5" s="313"/>
      <c r="B5" s="310"/>
      <c r="C5" s="310"/>
      <c r="D5" s="310"/>
      <c r="E5" s="310"/>
      <c r="F5" s="310"/>
      <c r="G5" s="310"/>
      <c r="H5" s="310"/>
      <c r="I5" s="310"/>
      <c r="J5" s="310"/>
      <c r="K5" s="310"/>
      <c r="L5" s="310"/>
      <c r="M5" s="310"/>
      <c r="N5" s="310"/>
      <c r="O5" s="313"/>
      <c r="P5"/>
      <c r="Q5"/>
      <c r="R5"/>
      <c r="S5"/>
      <c r="T5"/>
      <c r="U5"/>
      <c r="V5"/>
      <c r="W5"/>
      <c r="X5"/>
      <c r="Y5"/>
      <c r="Z5"/>
    </row>
    <row r="6" spans="1:26" ht="16" customHeight="1" x14ac:dyDescent="0.2">
      <c r="A6" s="313"/>
      <c r="B6" s="418"/>
      <c r="C6" s="417" t="s">
        <v>649</v>
      </c>
      <c r="D6" s="416"/>
      <c r="E6" s="416"/>
      <c r="F6" s="416"/>
      <c r="G6" s="416"/>
      <c r="H6" s="416"/>
      <c r="I6" s="416"/>
      <c r="J6" s="416"/>
      <c r="K6" s="416"/>
      <c r="L6" s="416"/>
      <c r="M6" s="416"/>
      <c r="N6" s="419"/>
      <c r="O6" s="313"/>
      <c r="P6"/>
      <c r="Q6"/>
      <c r="R6"/>
      <c r="S6"/>
      <c r="T6"/>
      <c r="U6"/>
      <c r="V6"/>
      <c r="W6"/>
      <c r="X6"/>
      <c r="Y6"/>
      <c r="Z6"/>
    </row>
    <row r="7" spans="1:26" ht="18" customHeight="1" x14ac:dyDescent="0.3">
      <c r="A7" s="313"/>
      <c r="B7" s="408"/>
      <c r="C7" s="413">
        <v>1</v>
      </c>
      <c r="D7" s="309"/>
      <c r="E7" s="309"/>
      <c r="F7" s="345"/>
      <c r="G7" s="413">
        <v>2</v>
      </c>
      <c r="H7" s="309"/>
      <c r="I7" s="309"/>
      <c r="J7" s="345"/>
      <c r="K7" s="413">
        <v>3</v>
      </c>
      <c r="L7" s="309"/>
      <c r="M7" s="309"/>
      <c r="N7" s="345"/>
      <c r="O7" s="313"/>
      <c r="P7"/>
      <c r="Q7"/>
      <c r="R7"/>
      <c r="S7"/>
      <c r="T7"/>
      <c r="U7"/>
      <c r="V7"/>
      <c r="W7"/>
      <c r="X7"/>
      <c r="Y7"/>
      <c r="Z7"/>
    </row>
    <row r="8" spans="1:26" ht="18" customHeight="1" thickBot="1" x14ac:dyDescent="0.25">
      <c r="A8" s="313"/>
      <c r="B8" s="408"/>
      <c r="C8" s="343" t="s">
        <v>650</v>
      </c>
      <c r="D8" s="344"/>
      <c r="E8" s="344"/>
      <c r="F8" s="345"/>
      <c r="G8" s="343" t="s">
        <v>651</v>
      </c>
      <c r="H8" s="344"/>
      <c r="I8" s="344"/>
      <c r="J8" s="345"/>
      <c r="K8" s="343" t="s">
        <v>652</v>
      </c>
      <c r="L8" s="344"/>
      <c r="M8" s="344"/>
      <c r="N8" s="345"/>
      <c r="O8" s="313"/>
      <c r="P8"/>
      <c r="Q8"/>
      <c r="R8"/>
      <c r="S8"/>
      <c r="T8"/>
      <c r="U8"/>
      <c r="V8"/>
      <c r="W8"/>
      <c r="X8"/>
      <c r="Y8"/>
      <c r="Z8"/>
    </row>
    <row r="9" spans="1:26" ht="18" customHeight="1" x14ac:dyDescent="0.2">
      <c r="A9" s="313"/>
      <c r="B9" s="408"/>
      <c r="C9" s="414" t="s">
        <v>653</v>
      </c>
      <c r="D9" s="415"/>
      <c r="E9" s="415"/>
      <c r="F9" s="346"/>
      <c r="G9" s="414" t="s">
        <v>654</v>
      </c>
      <c r="H9" s="415"/>
      <c r="I9" s="415"/>
      <c r="J9" s="346"/>
      <c r="K9" s="414" t="s">
        <v>655</v>
      </c>
      <c r="L9" s="415"/>
      <c r="M9" s="415"/>
      <c r="N9" s="346"/>
      <c r="O9" s="313"/>
      <c r="P9"/>
      <c r="Q9"/>
      <c r="R9"/>
      <c r="S9"/>
      <c r="T9"/>
      <c r="U9"/>
      <c r="V9"/>
      <c r="W9"/>
      <c r="X9"/>
      <c r="Y9"/>
      <c r="Z9"/>
    </row>
    <row r="10" spans="1:26" ht="18" customHeight="1" x14ac:dyDescent="0.2">
      <c r="A10" s="313"/>
      <c r="B10" s="408"/>
      <c r="C10" s="415"/>
      <c r="D10" s="415"/>
      <c r="E10" s="415"/>
      <c r="F10" s="346"/>
      <c r="G10" s="415"/>
      <c r="H10" s="415"/>
      <c r="I10" s="415"/>
      <c r="J10" s="346"/>
      <c r="K10" s="415"/>
      <c r="L10" s="415"/>
      <c r="M10" s="415"/>
      <c r="N10" s="346"/>
      <c r="O10" s="313"/>
      <c r="P10"/>
      <c r="Q10"/>
      <c r="R10"/>
      <c r="S10"/>
      <c r="T10"/>
      <c r="U10"/>
      <c r="V10"/>
      <c r="W10"/>
      <c r="X10"/>
      <c r="Y10"/>
      <c r="Z10"/>
    </row>
    <row r="11" spans="1:26" ht="18" customHeight="1" x14ac:dyDescent="0.2">
      <c r="A11" s="313"/>
      <c r="B11" s="408"/>
      <c r="C11" s="415"/>
      <c r="D11" s="415"/>
      <c r="E11" s="415"/>
      <c r="F11" s="346"/>
      <c r="G11" s="415"/>
      <c r="H11" s="415"/>
      <c r="I11" s="415"/>
      <c r="J11" s="346"/>
      <c r="K11" s="415"/>
      <c r="L11" s="415"/>
      <c r="M11" s="415"/>
      <c r="N11" s="346"/>
      <c r="O11" s="313"/>
      <c r="P11"/>
      <c r="Q11"/>
      <c r="R11"/>
      <c r="S11"/>
      <c r="T11"/>
      <c r="U11"/>
      <c r="V11"/>
      <c r="W11"/>
      <c r="X11"/>
      <c r="Y11"/>
      <c r="Z11"/>
    </row>
    <row r="12" spans="1:26" ht="18" customHeight="1" x14ac:dyDescent="0.2">
      <c r="A12" s="313"/>
      <c r="B12" s="409"/>
      <c r="C12" s="347"/>
      <c r="D12" s="347"/>
      <c r="E12" s="347"/>
      <c r="F12" s="348"/>
      <c r="G12" s="347"/>
      <c r="H12" s="347"/>
      <c r="I12" s="347"/>
      <c r="J12" s="348"/>
      <c r="K12" s="347"/>
      <c r="L12" s="347"/>
      <c r="M12" s="347"/>
      <c r="N12" s="348"/>
      <c r="O12" s="313"/>
      <c r="P12"/>
      <c r="Q12"/>
      <c r="R12"/>
      <c r="S12"/>
      <c r="T12"/>
      <c r="U12"/>
      <c r="V12"/>
      <c r="W12"/>
      <c r="X12"/>
      <c r="Y12"/>
      <c r="Z12"/>
    </row>
    <row r="13" spans="1:26" ht="6" customHeight="1" x14ac:dyDescent="0.2">
      <c r="A13" s="313"/>
      <c r="B13" s="310"/>
      <c r="C13" s="310"/>
      <c r="D13" s="310"/>
      <c r="E13" s="310"/>
      <c r="F13" s="310"/>
      <c r="G13" s="310"/>
      <c r="H13" s="310"/>
      <c r="I13" s="310"/>
      <c r="J13" s="310"/>
      <c r="K13" s="310"/>
      <c r="L13" s="310"/>
      <c r="M13" s="310"/>
      <c r="N13" s="310"/>
      <c r="O13" s="313"/>
      <c r="P13"/>
      <c r="Q13"/>
      <c r="R13"/>
      <c r="S13"/>
      <c r="T13"/>
      <c r="U13"/>
      <c r="V13"/>
      <c r="W13"/>
      <c r="X13"/>
      <c r="Y13"/>
      <c r="Z13"/>
    </row>
    <row r="14" spans="1:26" ht="16" customHeight="1" x14ac:dyDescent="0.2">
      <c r="A14" s="313"/>
      <c r="B14" s="418"/>
      <c r="C14" s="417" t="s">
        <v>656</v>
      </c>
      <c r="D14" s="416"/>
      <c r="E14" s="416"/>
      <c r="F14" s="416"/>
      <c r="G14" s="416"/>
      <c r="H14" s="416"/>
      <c r="I14" s="416"/>
      <c r="J14" s="416"/>
      <c r="K14" s="416"/>
      <c r="L14" s="416"/>
      <c r="M14" s="416"/>
      <c r="N14" s="419"/>
      <c r="O14" s="313"/>
      <c r="P14"/>
      <c r="Q14"/>
      <c r="R14"/>
      <c r="S14"/>
      <c r="T14"/>
      <c r="U14"/>
      <c r="V14"/>
      <c r="W14"/>
      <c r="X14"/>
      <c r="Y14"/>
      <c r="Z14"/>
    </row>
    <row r="15" spans="1:26" ht="14" customHeight="1" x14ac:dyDescent="0.2">
      <c r="A15" s="313"/>
      <c r="B15" s="427"/>
      <c r="C15" s="421" t="s">
        <v>657</v>
      </c>
      <c r="D15" s="420"/>
      <c r="E15" s="422" t="s">
        <v>675</v>
      </c>
      <c r="F15" s="423" t="s">
        <v>659</v>
      </c>
      <c r="G15" s="423" t="s">
        <v>660</v>
      </c>
      <c r="H15" s="423" t="s">
        <v>661</v>
      </c>
      <c r="I15" s="368" t="s">
        <v>676</v>
      </c>
      <c r="J15" s="424" t="s">
        <v>663</v>
      </c>
      <c r="K15" s="424" t="s">
        <v>664</v>
      </c>
      <c r="L15" s="424" t="s">
        <v>665</v>
      </c>
      <c r="M15" s="420"/>
      <c r="N15" s="428"/>
      <c r="O15" s="313"/>
      <c r="P15"/>
      <c r="Q15"/>
      <c r="R15"/>
      <c r="S15"/>
      <c r="T15"/>
      <c r="U15"/>
      <c r="V15"/>
      <c r="W15"/>
      <c r="X15"/>
      <c r="Y15"/>
      <c r="Z15"/>
    </row>
    <row r="16" spans="1:26" ht="16" customHeight="1" x14ac:dyDescent="0.2">
      <c r="A16" s="313"/>
      <c r="B16" s="427"/>
      <c r="C16" s="420"/>
      <c r="D16" s="420"/>
      <c r="E16" s="425" t="s">
        <v>677</v>
      </c>
      <c r="F16" s="425" t="s">
        <v>678</v>
      </c>
      <c r="G16" s="425" t="s">
        <v>679</v>
      </c>
      <c r="H16" s="425" t="s">
        <v>680</v>
      </c>
      <c r="I16" s="426" t="s">
        <v>681</v>
      </c>
      <c r="J16" s="426" t="s">
        <v>682</v>
      </c>
      <c r="K16" s="426" t="s">
        <v>683</v>
      </c>
      <c r="L16" s="426" t="s">
        <v>684</v>
      </c>
      <c r="M16" s="420"/>
      <c r="N16" s="428"/>
      <c r="O16" s="313"/>
      <c r="P16"/>
      <c r="Q16"/>
      <c r="R16"/>
      <c r="S16"/>
      <c r="T16"/>
      <c r="U16"/>
      <c r="V16"/>
      <c r="W16"/>
      <c r="X16"/>
      <c r="Y16"/>
      <c r="Z16"/>
    </row>
    <row r="17" spans="1:26" ht="18" customHeight="1" x14ac:dyDescent="0.2">
      <c r="A17" s="313"/>
      <c r="B17" s="462"/>
      <c r="C17" s="350" t="s">
        <v>60</v>
      </c>
      <c r="D17" s="309"/>
      <c r="E17" s="351">
        <v>3500.9</v>
      </c>
      <c r="F17" s="351">
        <v>3869.5</v>
      </c>
      <c r="G17" s="351">
        <v>4236.8</v>
      </c>
      <c r="H17" s="351">
        <v>4647</v>
      </c>
      <c r="I17" s="352">
        <v>5085.2</v>
      </c>
      <c r="J17" s="353">
        <v>5523.7</v>
      </c>
      <c r="K17" s="353">
        <v>5954.3</v>
      </c>
      <c r="L17" s="353">
        <v>6442.2</v>
      </c>
      <c r="M17" s="309"/>
      <c r="N17" s="345"/>
      <c r="O17" s="313"/>
      <c r="P17"/>
      <c r="Q17"/>
      <c r="R17"/>
      <c r="S17"/>
      <c r="T17"/>
      <c r="U17"/>
      <c r="V17"/>
      <c r="W17"/>
      <c r="X17"/>
      <c r="Y17"/>
      <c r="Z17"/>
    </row>
    <row r="18" spans="1:26" ht="18" customHeight="1" x14ac:dyDescent="0.2">
      <c r="A18" s="313"/>
      <c r="B18" s="467"/>
      <c r="C18" s="355" t="s">
        <v>666</v>
      </c>
      <c r="D18" s="354"/>
      <c r="E18" s="356" t="s">
        <v>667</v>
      </c>
      <c r="F18" s="357">
        <v>0.10539999999999999</v>
      </c>
      <c r="G18" s="357">
        <v>9.5200000000000007E-2</v>
      </c>
      <c r="H18" s="357">
        <v>9.6600000000000005E-2</v>
      </c>
      <c r="I18" s="358">
        <v>9.4299999999999995E-2</v>
      </c>
      <c r="J18" s="359">
        <v>8.6199999999999999E-2</v>
      </c>
      <c r="K18" s="359">
        <v>7.8E-2</v>
      </c>
      <c r="L18" s="359">
        <v>8.1900000000000001E-2</v>
      </c>
      <c r="M18" s="354"/>
      <c r="N18" s="429"/>
      <c r="O18" s="313"/>
      <c r="P18"/>
      <c r="Q18"/>
      <c r="R18"/>
      <c r="S18"/>
      <c r="T18"/>
      <c r="U18"/>
      <c r="V18"/>
      <c r="W18"/>
      <c r="X18"/>
      <c r="Y18"/>
      <c r="Z18"/>
    </row>
    <row r="19" spans="1:26" ht="18" customHeight="1" x14ac:dyDescent="0.2">
      <c r="A19" s="313"/>
      <c r="B19" s="467"/>
      <c r="C19" s="361" t="s">
        <v>668</v>
      </c>
      <c r="D19" s="360"/>
      <c r="E19" s="362">
        <v>1724.1</v>
      </c>
      <c r="F19" s="362">
        <v>1879.1</v>
      </c>
      <c r="G19" s="362">
        <v>2077.9</v>
      </c>
      <c r="H19" s="362">
        <v>2291.4</v>
      </c>
      <c r="I19" s="363">
        <v>2493.8000000000002</v>
      </c>
      <c r="J19" s="364">
        <v>2708.8</v>
      </c>
      <c r="K19" s="364">
        <v>2920</v>
      </c>
      <c r="L19" s="364">
        <v>3159.3</v>
      </c>
      <c r="M19" s="360"/>
      <c r="N19" s="430"/>
      <c r="O19" s="313"/>
      <c r="P19"/>
      <c r="Q19"/>
      <c r="R19"/>
      <c r="S19"/>
      <c r="T19"/>
      <c r="U19"/>
      <c r="V19"/>
      <c r="W19"/>
      <c r="X19"/>
      <c r="Y19"/>
      <c r="Z19"/>
    </row>
    <row r="20" spans="1:26" ht="18" customHeight="1" x14ac:dyDescent="0.2">
      <c r="A20" s="313"/>
      <c r="B20" s="467"/>
      <c r="C20" s="355" t="s">
        <v>669</v>
      </c>
      <c r="D20" s="354"/>
      <c r="E20" s="357">
        <v>0.49249999999999999</v>
      </c>
      <c r="F20" s="357">
        <v>0.48559999999999998</v>
      </c>
      <c r="G20" s="357">
        <v>0.4904</v>
      </c>
      <c r="H20" s="357">
        <v>0.49309999999999998</v>
      </c>
      <c r="I20" s="358">
        <v>0.4904</v>
      </c>
      <c r="J20" s="359">
        <v>0.4904</v>
      </c>
      <c r="K20" s="359">
        <v>0.4904</v>
      </c>
      <c r="L20" s="359">
        <v>0.4904</v>
      </c>
      <c r="M20" s="354"/>
      <c r="N20" s="429"/>
      <c r="O20" s="313"/>
      <c r="P20"/>
      <c r="Q20"/>
      <c r="R20"/>
      <c r="S20"/>
      <c r="T20"/>
      <c r="U20"/>
      <c r="V20"/>
      <c r="W20"/>
      <c r="X20"/>
      <c r="Y20"/>
      <c r="Z20"/>
    </row>
    <row r="21" spans="1:26" ht="18" customHeight="1" x14ac:dyDescent="0.2">
      <c r="A21" s="313"/>
      <c r="B21" s="467"/>
      <c r="C21" s="361" t="s">
        <v>63</v>
      </c>
      <c r="D21" s="360"/>
      <c r="E21" s="362">
        <v>1375</v>
      </c>
      <c r="F21" s="362">
        <v>1486.6</v>
      </c>
      <c r="G21" s="362">
        <v>1572</v>
      </c>
      <c r="H21" s="362">
        <v>1696.7</v>
      </c>
      <c r="I21" s="363">
        <v>1843.7</v>
      </c>
      <c r="J21" s="364">
        <v>1991.9</v>
      </c>
      <c r="K21" s="364">
        <v>2137.9</v>
      </c>
      <c r="L21" s="364">
        <v>2305.8000000000002</v>
      </c>
      <c r="M21" s="360"/>
      <c r="N21" s="430"/>
      <c r="O21" s="313"/>
      <c r="P21"/>
      <c r="Q21"/>
      <c r="R21"/>
      <c r="S21"/>
      <c r="T21"/>
      <c r="U21"/>
      <c r="V21"/>
      <c r="W21"/>
      <c r="X21"/>
      <c r="Y21"/>
      <c r="Z21"/>
    </row>
    <row r="22" spans="1:26" ht="18" customHeight="1" x14ac:dyDescent="0.2">
      <c r="A22" s="313"/>
      <c r="B22" s="467"/>
      <c r="C22" s="355" t="s">
        <v>670</v>
      </c>
      <c r="D22" s="354"/>
      <c r="E22" s="357">
        <v>0.39279999999999998</v>
      </c>
      <c r="F22" s="357">
        <v>0.38400000000000001</v>
      </c>
      <c r="G22" s="357">
        <v>0.37109999999999999</v>
      </c>
      <c r="H22" s="357">
        <v>0.36520000000000002</v>
      </c>
      <c r="I22" s="358">
        <v>0.36259999999999998</v>
      </c>
      <c r="J22" s="359">
        <v>0.36059999999999998</v>
      </c>
      <c r="K22" s="359">
        <v>0.35899999999999999</v>
      </c>
      <c r="L22" s="359">
        <v>0.3579</v>
      </c>
      <c r="M22" s="354"/>
      <c r="N22" s="429"/>
      <c r="O22" s="313"/>
      <c r="P22"/>
      <c r="Q22"/>
      <c r="R22"/>
      <c r="S22"/>
      <c r="T22"/>
      <c r="U22"/>
      <c r="V22"/>
      <c r="W22"/>
      <c r="X22"/>
      <c r="Y22"/>
      <c r="Z22"/>
    </row>
    <row r="23" spans="1:26" ht="18" customHeight="1" x14ac:dyDescent="0.2">
      <c r="A23" s="313"/>
      <c r="B23" s="467"/>
      <c r="C23" s="361" t="s">
        <v>671</v>
      </c>
      <c r="D23" s="360"/>
      <c r="E23" s="362">
        <v>1513</v>
      </c>
      <c r="F23" s="362">
        <v>1646</v>
      </c>
      <c r="G23" s="362">
        <v>1761.8</v>
      </c>
      <c r="H23" s="362">
        <v>1912.6</v>
      </c>
      <c r="I23" s="363">
        <v>2079.3000000000002</v>
      </c>
      <c r="J23" s="364">
        <v>2258.5</v>
      </c>
      <c r="K23" s="364">
        <v>2434.6</v>
      </c>
      <c r="L23" s="364">
        <v>2634.1</v>
      </c>
      <c r="M23" s="360"/>
      <c r="N23" s="430"/>
      <c r="O23" s="313"/>
      <c r="P23"/>
      <c r="Q23"/>
      <c r="R23"/>
      <c r="S23"/>
      <c r="T23"/>
      <c r="U23"/>
      <c r="V23"/>
      <c r="W23"/>
      <c r="X23"/>
      <c r="Y23"/>
      <c r="Z23"/>
    </row>
    <row r="24" spans="1:26" ht="18" customHeight="1" x14ac:dyDescent="0.2">
      <c r="A24" s="313"/>
      <c r="B24" s="467"/>
      <c r="C24" s="355" t="s">
        <v>672</v>
      </c>
      <c r="D24" s="354"/>
      <c r="E24" s="357">
        <v>0.43219999999999997</v>
      </c>
      <c r="F24" s="357">
        <v>0.42530000000000001</v>
      </c>
      <c r="G24" s="357">
        <v>0.41589999999999999</v>
      </c>
      <c r="H24" s="357">
        <v>0.41160000000000002</v>
      </c>
      <c r="I24" s="358">
        <v>0.40889999999999999</v>
      </c>
      <c r="J24" s="359">
        <v>0.40889999999999999</v>
      </c>
      <c r="K24" s="359">
        <v>0.40889999999999999</v>
      </c>
      <c r="L24" s="359">
        <v>0.40889999999999999</v>
      </c>
      <c r="M24" s="354"/>
      <c r="N24" s="429"/>
      <c r="O24" s="313"/>
      <c r="P24"/>
      <c r="Q24"/>
      <c r="R24"/>
      <c r="S24"/>
      <c r="T24"/>
      <c r="U24"/>
      <c r="V24"/>
      <c r="W24"/>
      <c r="X24"/>
      <c r="Y24"/>
      <c r="Z24"/>
    </row>
    <row r="25" spans="1:26" ht="18" customHeight="1" x14ac:dyDescent="0.2">
      <c r="A25" s="313"/>
      <c r="B25" s="467"/>
      <c r="C25" s="361" t="s">
        <v>68</v>
      </c>
      <c r="D25" s="360"/>
      <c r="E25" s="362">
        <v>1090.0999999999999</v>
      </c>
      <c r="F25" s="362">
        <v>1237.7</v>
      </c>
      <c r="G25" s="362">
        <v>1361.6</v>
      </c>
      <c r="H25" s="362">
        <v>1544.3</v>
      </c>
      <c r="I25" s="363">
        <v>1617.8</v>
      </c>
      <c r="J25" s="364">
        <v>1737.1</v>
      </c>
      <c r="K25" s="364">
        <v>1854.7</v>
      </c>
      <c r="L25" s="364">
        <v>1989.9</v>
      </c>
      <c r="M25" s="360"/>
      <c r="N25" s="430"/>
      <c r="O25" s="313"/>
      <c r="P25"/>
      <c r="Q25"/>
      <c r="R25"/>
      <c r="S25"/>
      <c r="T25"/>
      <c r="U25"/>
      <c r="V25"/>
      <c r="W25"/>
      <c r="X25"/>
      <c r="Y25"/>
      <c r="Z25"/>
    </row>
    <row r="26" spans="1:26" ht="18" customHeight="1" x14ac:dyDescent="0.2">
      <c r="A26" s="313"/>
      <c r="B26" s="467"/>
      <c r="C26" s="361" t="s">
        <v>673</v>
      </c>
      <c r="D26" s="360"/>
      <c r="E26" s="365">
        <v>1.1200000000000001</v>
      </c>
      <c r="F26" s="365">
        <v>1.27</v>
      </c>
      <c r="G26" s="365">
        <v>1.4</v>
      </c>
      <c r="H26" s="365">
        <v>1.58</v>
      </c>
      <c r="I26" s="366">
        <v>1.66</v>
      </c>
      <c r="J26" s="367">
        <v>1.78</v>
      </c>
      <c r="K26" s="367">
        <v>1.9</v>
      </c>
      <c r="L26" s="367">
        <v>2.04</v>
      </c>
      <c r="M26" s="360"/>
      <c r="N26" s="430"/>
      <c r="O26" s="313"/>
      <c r="P26"/>
      <c r="Q26"/>
      <c r="R26"/>
      <c r="S26"/>
      <c r="T26"/>
      <c r="U26"/>
      <c r="V26"/>
      <c r="W26"/>
      <c r="X26"/>
      <c r="Y26"/>
      <c r="Z26"/>
    </row>
    <row r="27" spans="1:26" ht="18" customHeight="1" x14ac:dyDescent="0.2">
      <c r="A27" s="313"/>
      <c r="B27" s="467"/>
      <c r="C27" s="361" t="s">
        <v>339</v>
      </c>
      <c r="D27" s="360"/>
      <c r="E27" s="362">
        <v>838</v>
      </c>
      <c r="F27" s="362">
        <v>847.6</v>
      </c>
      <c r="G27" s="362">
        <v>961.6</v>
      </c>
      <c r="H27" s="362">
        <v>1230.8</v>
      </c>
      <c r="I27" s="363">
        <v>998.4</v>
      </c>
      <c r="J27" s="364">
        <v>1121.7</v>
      </c>
      <c r="K27" s="364">
        <v>1184.7</v>
      </c>
      <c r="L27" s="364">
        <v>1251.0999999999999</v>
      </c>
      <c r="M27" s="360"/>
      <c r="N27" s="430"/>
      <c r="O27" s="313"/>
      <c r="P27"/>
      <c r="Q27"/>
      <c r="R27"/>
      <c r="S27"/>
      <c r="T27"/>
      <c r="U27"/>
      <c r="V27"/>
      <c r="W27"/>
      <c r="X27"/>
      <c r="Y27"/>
      <c r="Z27"/>
    </row>
    <row r="28" spans="1:26" ht="8" customHeight="1" x14ac:dyDescent="0.2">
      <c r="A28" s="313"/>
      <c r="B28" s="467"/>
      <c r="C28" s="355" t="s">
        <v>674</v>
      </c>
      <c r="D28" s="354"/>
      <c r="E28" s="431">
        <v>337.4</v>
      </c>
      <c r="F28" s="431">
        <v>516.6</v>
      </c>
      <c r="G28" s="431">
        <v>511</v>
      </c>
      <c r="H28" s="431">
        <v>569</v>
      </c>
      <c r="I28" s="432">
        <v>671.1</v>
      </c>
      <c r="J28" s="433">
        <v>726.6</v>
      </c>
      <c r="K28" s="433">
        <v>811.7</v>
      </c>
      <c r="L28" s="433">
        <v>909.2</v>
      </c>
      <c r="M28" s="354"/>
      <c r="N28" s="429"/>
      <c r="O28" s="313"/>
      <c r="P28"/>
      <c r="Q28"/>
      <c r="R28"/>
      <c r="S28"/>
      <c r="T28"/>
      <c r="U28"/>
      <c r="V28"/>
      <c r="W28"/>
      <c r="X28"/>
      <c r="Y28"/>
      <c r="Z28"/>
    </row>
    <row r="29" spans="1:26" ht="16" customHeight="1" x14ac:dyDescent="0.2">
      <c r="A29" s="313"/>
      <c r="B29" s="418"/>
      <c r="C29" s="417" t="s">
        <v>685</v>
      </c>
      <c r="D29" s="416"/>
      <c r="E29" s="416"/>
      <c r="F29" s="416"/>
      <c r="G29" s="416"/>
      <c r="H29" s="416"/>
      <c r="I29" s="416"/>
      <c r="J29" s="416"/>
      <c r="K29" s="416"/>
      <c r="L29" s="416"/>
      <c r="M29" s="416"/>
      <c r="N29" s="419"/>
      <c r="O29" s="313"/>
      <c r="P29"/>
      <c r="Q29"/>
      <c r="R29"/>
      <c r="S29"/>
      <c r="T29"/>
      <c r="U29"/>
      <c r="V29"/>
      <c r="W29"/>
      <c r="X29"/>
      <c r="Y29"/>
      <c r="Z29"/>
    </row>
    <row r="30" spans="1:26" ht="18" customHeight="1" x14ac:dyDescent="0.2">
      <c r="A30" s="313"/>
      <c r="B30" s="451"/>
      <c r="C30" s="311"/>
      <c r="D30" s="311"/>
      <c r="E30" s="311"/>
      <c r="F30" s="311"/>
      <c r="G30" s="311"/>
      <c r="H30" s="311"/>
      <c r="I30" s="311"/>
      <c r="J30" s="311"/>
      <c r="K30" s="311"/>
      <c r="L30" s="311"/>
      <c r="M30" s="311"/>
      <c r="N30" s="457"/>
      <c r="O30" s="313"/>
      <c r="P30"/>
      <c r="Q30"/>
      <c r="R30"/>
      <c r="S30"/>
      <c r="T30"/>
      <c r="U30"/>
      <c r="V30"/>
      <c r="W30"/>
      <c r="X30"/>
      <c r="Y30"/>
      <c r="Z30"/>
    </row>
    <row r="31" spans="1:26" ht="18" customHeight="1" x14ac:dyDescent="0.2">
      <c r="A31" s="313"/>
      <c r="B31" s="452" t="s">
        <v>686</v>
      </c>
      <c r="C31" s="434" t="s">
        <v>687</v>
      </c>
      <c r="D31" s="434" t="s">
        <v>688</v>
      </c>
      <c r="E31" s="434" t="s">
        <v>689</v>
      </c>
      <c r="F31" s="311"/>
      <c r="G31" s="434" t="s">
        <v>583</v>
      </c>
      <c r="H31" s="434" t="s">
        <v>548</v>
      </c>
      <c r="I31" s="434" t="s">
        <v>584</v>
      </c>
      <c r="J31" s="434" t="s">
        <v>547</v>
      </c>
      <c r="K31" s="434" t="s">
        <v>690</v>
      </c>
      <c r="L31" s="434" t="s">
        <v>691</v>
      </c>
      <c r="M31" s="311"/>
      <c r="N31" s="457"/>
      <c r="O31" s="313"/>
      <c r="P31"/>
      <c r="Q31"/>
      <c r="R31"/>
      <c r="S31"/>
      <c r="T31"/>
      <c r="U31"/>
      <c r="V31"/>
      <c r="W31"/>
      <c r="X31"/>
      <c r="Y31"/>
      <c r="Z31"/>
    </row>
    <row r="32" spans="1:26" ht="18" customHeight="1" x14ac:dyDescent="0.2">
      <c r="A32" s="313"/>
      <c r="B32" s="453" t="s">
        <v>658</v>
      </c>
      <c r="C32" s="435">
        <v>3501</v>
      </c>
      <c r="D32" s="370">
        <v>1513</v>
      </c>
      <c r="E32" s="436">
        <v>0.39279999999999998</v>
      </c>
      <c r="F32" s="311"/>
      <c r="G32" s="369" t="s">
        <v>692</v>
      </c>
      <c r="H32" s="437">
        <v>18.059999999999999</v>
      </c>
      <c r="I32" s="437">
        <v>21.24</v>
      </c>
      <c r="J32" s="437">
        <v>26.62</v>
      </c>
      <c r="K32" s="437">
        <v>32.43</v>
      </c>
      <c r="L32" s="436">
        <v>-0.34499999999999997</v>
      </c>
      <c r="M32" s="311"/>
      <c r="N32" s="457"/>
      <c r="O32" s="313"/>
      <c r="P32"/>
      <c r="Q32"/>
      <c r="R32"/>
      <c r="S32"/>
      <c r="T32"/>
      <c r="U32"/>
      <c r="V32"/>
      <c r="W32"/>
      <c r="X32"/>
      <c r="Y32"/>
      <c r="Z32"/>
    </row>
    <row r="33" spans="1:26" ht="18" customHeight="1" x14ac:dyDescent="0.2">
      <c r="A33" s="313"/>
      <c r="B33" s="454" t="s">
        <v>659</v>
      </c>
      <c r="C33" s="439">
        <v>3870</v>
      </c>
      <c r="D33" s="440">
        <v>1646</v>
      </c>
      <c r="E33" s="441">
        <v>0.38400000000000001</v>
      </c>
      <c r="F33" s="311"/>
      <c r="G33" s="438" t="s">
        <v>588</v>
      </c>
      <c r="H33" s="442">
        <v>36.28</v>
      </c>
      <c r="I33" s="442">
        <v>44.43</v>
      </c>
      <c r="J33" s="442">
        <v>48.51</v>
      </c>
      <c r="K33" s="442">
        <v>32.43</v>
      </c>
      <c r="L33" s="441">
        <v>0.37</v>
      </c>
      <c r="M33" s="311"/>
      <c r="N33" s="457"/>
      <c r="O33" s="313"/>
      <c r="P33"/>
      <c r="Q33"/>
      <c r="R33"/>
      <c r="S33"/>
      <c r="T33"/>
      <c r="U33"/>
      <c r="V33"/>
      <c r="W33"/>
      <c r="X33"/>
      <c r="Y33"/>
      <c r="Z33"/>
    </row>
    <row r="34" spans="1:26" ht="18" customHeight="1" x14ac:dyDescent="0.2">
      <c r="A34" s="313"/>
      <c r="B34" s="453" t="s">
        <v>660</v>
      </c>
      <c r="C34" s="435">
        <v>4237</v>
      </c>
      <c r="D34" s="370">
        <v>1762</v>
      </c>
      <c r="E34" s="436">
        <v>0.37109999999999999</v>
      </c>
      <c r="F34" s="311"/>
      <c r="G34" s="369" t="s">
        <v>16</v>
      </c>
      <c r="H34" s="437">
        <v>24.84</v>
      </c>
      <c r="I34" s="437">
        <v>43.42</v>
      </c>
      <c r="J34" s="437">
        <v>69.63</v>
      </c>
      <c r="K34" s="437">
        <v>32.43</v>
      </c>
      <c r="L34" s="436">
        <v>0.33900000000000002</v>
      </c>
      <c r="M34" s="311"/>
      <c r="N34" s="457"/>
      <c r="O34" s="313"/>
      <c r="P34"/>
      <c r="Q34"/>
      <c r="R34"/>
      <c r="S34"/>
      <c r="T34"/>
      <c r="U34"/>
      <c r="V34"/>
      <c r="W34"/>
      <c r="X34"/>
      <c r="Y34"/>
      <c r="Z34"/>
    </row>
    <row r="35" spans="1:26" ht="18" customHeight="1" x14ac:dyDescent="0.2">
      <c r="A35" s="313"/>
      <c r="B35" s="454" t="s">
        <v>661</v>
      </c>
      <c r="C35" s="439">
        <v>4647</v>
      </c>
      <c r="D35" s="440">
        <v>1913</v>
      </c>
      <c r="E35" s="441">
        <v>0.36520000000000002</v>
      </c>
      <c r="F35" s="311"/>
      <c r="G35" s="438" t="s">
        <v>693</v>
      </c>
      <c r="H35" s="442"/>
      <c r="I35" s="439">
        <v>36.36</v>
      </c>
      <c r="J35" s="442"/>
      <c r="K35" s="439">
        <v>32.43</v>
      </c>
      <c r="L35" s="441">
        <v>0.121</v>
      </c>
      <c r="M35" s="311"/>
      <c r="N35" s="457"/>
      <c r="O35" s="313"/>
      <c r="P35"/>
      <c r="Q35"/>
      <c r="R35"/>
      <c r="S35"/>
      <c r="T35"/>
      <c r="U35"/>
      <c r="V35"/>
      <c r="W35"/>
      <c r="X35"/>
      <c r="Y35"/>
      <c r="Z35"/>
    </row>
    <row r="36" spans="1:26" ht="8" customHeight="1" x14ac:dyDescent="0.2">
      <c r="A36" s="313"/>
      <c r="B36" s="453" t="s">
        <v>662</v>
      </c>
      <c r="C36" s="435">
        <v>5085</v>
      </c>
      <c r="D36" s="370">
        <v>2079</v>
      </c>
      <c r="E36" s="436">
        <v>0.36259999999999998</v>
      </c>
      <c r="F36" s="311"/>
      <c r="G36" s="311"/>
      <c r="H36" s="311"/>
      <c r="I36" s="311"/>
      <c r="J36" s="311"/>
      <c r="K36" s="311"/>
      <c r="L36" s="311"/>
      <c r="M36" s="311"/>
      <c r="N36" s="457"/>
      <c r="O36" s="313"/>
      <c r="P36"/>
      <c r="Q36"/>
      <c r="R36"/>
      <c r="S36"/>
      <c r="T36"/>
      <c r="U36"/>
      <c r="V36"/>
      <c r="W36"/>
      <c r="X36"/>
      <c r="Y36"/>
      <c r="Z36"/>
    </row>
    <row r="37" spans="1:26" ht="16" customHeight="1" x14ac:dyDescent="0.2">
      <c r="A37" s="313"/>
      <c r="B37" s="455" t="s">
        <v>663</v>
      </c>
      <c r="C37" s="443" t="s">
        <v>694</v>
      </c>
      <c r="D37" s="444">
        <v>2259</v>
      </c>
      <c r="E37" s="445">
        <v>0.36059999999999998</v>
      </c>
      <c r="F37" s="446"/>
      <c r="G37" s="446"/>
      <c r="H37" s="446"/>
      <c r="I37" s="446"/>
      <c r="J37" s="446"/>
      <c r="K37" s="446"/>
      <c r="L37" s="446"/>
      <c r="M37" s="446"/>
      <c r="N37" s="458"/>
      <c r="O37" s="313"/>
      <c r="P37"/>
      <c r="Q37"/>
      <c r="R37"/>
      <c r="S37"/>
      <c r="T37"/>
      <c r="U37"/>
      <c r="V37"/>
      <c r="W37"/>
      <c r="X37"/>
      <c r="Y37"/>
      <c r="Z37"/>
    </row>
    <row r="38" spans="1:26" ht="18" customHeight="1" x14ac:dyDescent="0.2">
      <c r="A38" s="313"/>
      <c r="B38" s="456" t="s">
        <v>664</v>
      </c>
      <c r="C38" s="447" t="s">
        <v>583</v>
      </c>
      <c r="D38" s="448">
        <v>2435</v>
      </c>
      <c r="E38" s="449" t="s">
        <v>548</v>
      </c>
      <c r="F38" s="450" t="s">
        <v>695</v>
      </c>
      <c r="G38" s="450" t="s">
        <v>547</v>
      </c>
      <c r="H38" s="450" t="s">
        <v>638</v>
      </c>
      <c r="I38" s="450" t="s">
        <v>696</v>
      </c>
      <c r="J38" s="450" t="s">
        <v>697</v>
      </c>
      <c r="K38" s="420"/>
      <c r="L38" s="450" t="s">
        <v>631</v>
      </c>
      <c r="M38" s="420"/>
      <c r="N38" s="428"/>
      <c r="O38" s="313"/>
      <c r="P38"/>
      <c r="Q38"/>
      <c r="R38"/>
      <c r="S38"/>
      <c r="T38"/>
      <c r="U38"/>
      <c r="V38"/>
      <c r="W38"/>
      <c r="X38"/>
      <c r="Y38"/>
      <c r="Z38"/>
    </row>
    <row r="39" spans="1:26" ht="18" customHeight="1" x14ac:dyDescent="0.2">
      <c r="A39" s="313"/>
      <c r="B39" s="456" t="s">
        <v>665</v>
      </c>
      <c r="C39" s="350" t="s">
        <v>698</v>
      </c>
      <c r="D39" s="370">
        <v>2634</v>
      </c>
      <c r="E39" s="371">
        <v>18.059999999999999</v>
      </c>
      <c r="F39" s="372">
        <v>21.24</v>
      </c>
      <c r="G39" s="371">
        <v>26.62</v>
      </c>
      <c r="H39" s="373">
        <v>32.43</v>
      </c>
      <c r="I39" s="374">
        <v>-0.34499999999999997</v>
      </c>
      <c r="J39" s="375" t="s">
        <v>699</v>
      </c>
      <c r="K39" s="309"/>
      <c r="L39" s="376" t="s">
        <v>700</v>
      </c>
      <c r="M39" s="309"/>
      <c r="N39" s="345"/>
      <c r="O39" s="313"/>
      <c r="P39"/>
      <c r="Q39"/>
      <c r="R39"/>
      <c r="S39"/>
      <c r="T39"/>
      <c r="U39"/>
      <c r="V39"/>
      <c r="W39"/>
      <c r="X39"/>
      <c r="Y39"/>
      <c r="Z39"/>
    </row>
    <row r="40" spans="1:26" ht="18" customHeight="1" x14ac:dyDescent="0.2">
      <c r="A40" s="313"/>
      <c r="B40" s="468"/>
      <c r="C40" s="377" t="s">
        <v>701</v>
      </c>
      <c r="D40" s="354"/>
      <c r="E40" s="378">
        <v>36.28</v>
      </c>
      <c r="F40" s="379">
        <v>44.43</v>
      </c>
      <c r="G40" s="378">
        <v>48.51</v>
      </c>
      <c r="H40" s="380">
        <v>32.43</v>
      </c>
      <c r="I40" s="381">
        <v>0.37</v>
      </c>
      <c r="J40" s="382" t="s">
        <v>702</v>
      </c>
      <c r="K40" s="354"/>
      <c r="L40" s="383" t="s">
        <v>632</v>
      </c>
      <c r="M40" s="354"/>
      <c r="N40" s="429"/>
      <c r="O40" s="313"/>
      <c r="P40"/>
      <c r="Q40"/>
      <c r="R40"/>
      <c r="S40"/>
      <c r="T40"/>
      <c r="U40"/>
      <c r="V40"/>
      <c r="W40"/>
      <c r="X40"/>
      <c r="Y40"/>
      <c r="Z40"/>
    </row>
    <row r="41" spans="1:26" ht="18" customHeight="1" x14ac:dyDescent="0.2">
      <c r="A41" s="313"/>
      <c r="B41" s="468"/>
      <c r="C41" s="361" t="s">
        <v>703</v>
      </c>
      <c r="D41" s="360"/>
      <c r="E41" s="384">
        <v>27.82</v>
      </c>
      <c r="F41" s="385">
        <v>43.42</v>
      </c>
      <c r="G41" s="384">
        <v>49.41</v>
      </c>
      <c r="H41" s="386">
        <v>32.43</v>
      </c>
      <c r="I41" s="387">
        <v>0.33900000000000002</v>
      </c>
      <c r="J41" s="388" t="s">
        <v>704</v>
      </c>
      <c r="K41" s="360"/>
      <c r="L41" s="389" t="s">
        <v>632</v>
      </c>
      <c r="M41" s="360"/>
      <c r="N41" s="430"/>
      <c r="O41" s="313"/>
      <c r="P41"/>
      <c r="Q41"/>
      <c r="R41"/>
      <c r="S41"/>
      <c r="T41"/>
      <c r="U41"/>
      <c r="V41"/>
      <c r="W41"/>
      <c r="X41"/>
      <c r="Y41"/>
      <c r="Z41"/>
    </row>
    <row r="42" spans="1:26" ht="18" customHeight="1" x14ac:dyDescent="0.2">
      <c r="A42" s="313"/>
      <c r="B42" s="468"/>
      <c r="C42" s="391" t="s">
        <v>705</v>
      </c>
      <c r="D42" s="390"/>
      <c r="E42" s="392" t="s">
        <v>667</v>
      </c>
      <c r="F42" s="393">
        <v>36.36</v>
      </c>
      <c r="G42" s="392" t="s">
        <v>667</v>
      </c>
      <c r="H42" s="394">
        <v>32.43</v>
      </c>
      <c r="I42" s="395">
        <v>0.121</v>
      </c>
      <c r="J42" s="396" t="s">
        <v>706</v>
      </c>
      <c r="K42" s="390"/>
      <c r="L42" s="397" t="s">
        <v>632</v>
      </c>
      <c r="M42" s="390"/>
      <c r="N42" s="459"/>
      <c r="O42" s="313"/>
      <c r="P42"/>
      <c r="Q42"/>
      <c r="R42"/>
      <c r="S42"/>
      <c r="T42"/>
      <c r="U42"/>
      <c r="V42"/>
      <c r="W42"/>
      <c r="X42"/>
      <c r="Y42"/>
      <c r="Z42"/>
    </row>
    <row r="43" spans="1:26" ht="18" customHeight="1" thickBot="1" x14ac:dyDescent="0.25">
      <c r="A43" s="313"/>
      <c r="B43" s="469"/>
      <c r="C43" s="398"/>
      <c r="D43" s="398"/>
      <c r="E43" s="398"/>
      <c r="F43" s="398"/>
      <c r="G43" s="398"/>
      <c r="H43" s="398"/>
      <c r="I43" s="398"/>
      <c r="J43" s="398"/>
      <c r="K43" s="398"/>
      <c r="L43" s="398"/>
      <c r="M43" s="398"/>
      <c r="N43" s="460"/>
      <c r="O43" s="313"/>
      <c r="P43"/>
      <c r="Q43"/>
      <c r="R43"/>
      <c r="S43"/>
      <c r="T43"/>
      <c r="U43"/>
      <c r="V43"/>
      <c r="W43"/>
      <c r="X43"/>
      <c r="Y43"/>
      <c r="Z43"/>
    </row>
    <row r="44" spans="1:26" ht="18" customHeight="1" x14ac:dyDescent="0.2">
      <c r="A44" s="313"/>
      <c r="B44" s="451"/>
      <c r="C44" s="311"/>
      <c r="D44" s="311"/>
      <c r="E44" s="311"/>
      <c r="F44" s="311"/>
      <c r="G44" s="311"/>
      <c r="H44" s="311"/>
      <c r="I44" s="311"/>
      <c r="J44" s="311"/>
      <c r="K44" s="311"/>
      <c r="L44" s="311"/>
      <c r="M44" s="311"/>
      <c r="N44" s="457"/>
      <c r="O44" s="313"/>
      <c r="P44"/>
      <c r="Q44"/>
      <c r="R44"/>
      <c r="S44"/>
      <c r="T44"/>
      <c r="U44"/>
      <c r="V44"/>
      <c r="W44"/>
      <c r="X44"/>
      <c r="Y44"/>
      <c r="Z44"/>
    </row>
    <row r="45" spans="1:26" ht="16" customHeight="1" x14ac:dyDescent="0.2">
      <c r="A45" s="313"/>
      <c r="B45" s="418"/>
      <c r="C45" s="417" t="s">
        <v>707</v>
      </c>
      <c r="D45" s="416"/>
      <c r="E45" s="416"/>
      <c r="F45" s="416"/>
      <c r="G45" s="416"/>
      <c r="H45" s="416"/>
      <c r="I45" s="416"/>
      <c r="J45" s="416"/>
      <c r="K45" s="416"/>
      <c r="L45" s="416"/>
      <c r="M45" s="416"/>
      <c r="N45" s="419"/>
      <c r="O45" s="313"/>
      <c r="P45"/>
      <c r="Q45"/>
      <c r="R45"/>
      <c r="S45"/>
      <c r="T45"/>
      <c r="U45"/>
      <c r="V45"/>
      <c r="W45"/>
      <c r="X45"/>
      <c r="Y45"/>
      <c r="Z45"/>
    </row>
    <row r="46" spans="1:26" ht="6" customHeight="1" thickBot="1" x14ac:dyDescent="0.25">
      <c r="A46" s="313"/>
      <c r="B46" s="451"/>
      <c r="C46" s="311"/>
      <c r="D46" s="311"/>
      <c r="E46" s="311"/>
      <c r="F46" s="311"/>
      <c r="G46" s="311"/>
      <c r="H46" s="311"/>
      <c r="I46" s="311"/>
      <c r="J46" s="311"/>
      <c r="K46" s="311"/>
      <c r="L46" s="311"/>
      <c r="M46" s="311"/>
      <c r="N46" s="457"/>
      <c r="O46" s="313"/>
      <c r="P46"/>
      <c r="Q46"/>
      <c r="R46"/>
      <c r="S46"/>
      <c r="T46"/>
      <c r="U46"/>
      <c r="V46"/>
      <c r="W46"/>
      <c r="X46"/>
      <c r="Y46"/>
      <c r="Z46"/>
    </row>
    <row r="47" spans="1:26" ht="8" customHeight="1" thickTop="1" x14ac:dyDescent="0.2">
      <c r="A47" s="313"/>
      <c r="B47" s="451"/>
      <c r="C47" s="399"/>
      <c r="D47" s="399"/>
      <c r="E47" s="399"/>
      <c r="F47" s="399"/>
      <c r="G47" s="399"/>
      <c r="H47" s="399"/>
      <c r="I47" s="399"/>
      <c r="J47" s="399"/>
      <c r="K47" s="399"/>
      <c r="L47" s="399"/>
      <c r="M47" s="404"/>
      <c r="N47" s="461"/>
      <c r="O47" s="313"/>
      <c r="P47"/>
      <c r="Q47"/>
      <c r="R47"/>
      <c r="S47"/>
      <c r="T47"/>
      <c r="U47"/>
      <c r="V47"/>
      <c r="W47"/>
      <c r="X47"/>
      <c r="Y47"/>
      <c r="Z47"/>
    </row>
    <row r="48" spans="1:26" ht="32" customHeight="1" x14ac:dyDescent="0.2">
      <c r="A48" s="313"/>
      <c r="B48" s="451"/>
      <c r="C48" s="400">
        <v>0.09</v>
      </c>
      <c r="D48" s="309"/>
      <c r="E48" s="400">
        <v>0.41199999999999998</v>
      </c>
      <c r="F48" s="309"/>
      <c r="G48" s="403" t="s">
        <v>712</v>
      </c>
      <c r="H48" s="309"/>
      <c r="I48" s="403" t="s">
        <v>715</v>
      </c>
      <c r="J48" s="309"/>
      <c r="K48" s="400">
        <v>0.188</v>
      </c>
      <c r="L48" s="309"/>
      <c r="M48" s="405" t="s">
        <v>720</v>
      </c>
      <c r="N48" s="345"/>
      <c r="O48" s="313"/>
      <c r="P48"/>
      <c r="Q48"/>
      <c r="R48"/>
      <c r="S48"/>
      <c r="T48"/>
      <c r="U48"/>
      <c r="V48"/>
      <c r="W48"/>
      <c r="X48"/>
      <c r="Y48"/>
      <c r="Z48"/>
    </row>
    <row r="49" spans="1:119" ht="20" customHeight="1" x14ac:dyDescent="0.2">
      <c r="A49" s="313"/>
      <c r="B49" s="451"/>
      <c r="C49" s="401" t="s">
        <v>708</v>
      </c>
      <c r="D49" s="309"/>
      <c r="E49" s="401" t="s">
        <v>710</v>
      </c>
      <c r="F49" s="309"/>
      <c r="G49" s="401" t="s">
        <v>713</v>
      </c>
      <c r="H49" s="309"/>
      <c r="I49" s="401" t="s">
        <v>716</v>
      </c>
      <c r="J49" s="309"/>
      <c r="K49" s="401" t="s">
        <v>718</v>
      </c>
      <c r="L49" s="309"/>
      <c r="M49" s="401" t="s">
        <v>721</v>
      </c>
      <c r="N49" s="345"/>
      <c r="O49" s="313"/>
      <c r="P49"/>
      <c r="Q49"/>
      <c r="R49"/>
      <c r="S49"/>
      <c r="T49"/>
      <c r="U49"/>
      <c r="V49"/>
      <c r="W49"/>
      <c r="X49"/>
      <c r="Y49"/>
      <c r="Z49"/>
    </row>
    <row r="50" spans="1:119" ht="18" customHeight="1" x14ac:dyDescent="0.2">
      <c r="A50" s="313"/>
      <c r="B50" s="451"/>
      <c r="C50" s="402" t="s">
        <v>709</v>
      </c>
      <c r="D50" s="309"/>
      <c r="E50" s="402" t="s">
        <v>711</v>
      </c>
      <c r="F50" s="309"/>
      <c r="G50" s="402" t="s">
        <v>714</v>
      </c>
      <c r="H50" s="309"/>
      <c r="I50" s="402" t="s">
        <v>717</v>
      </c>
      <c r="J50" s="309"/>
      <c r="K50" s="402" t="s">
        <v>719</v>
      </c>
      <c r="L50" s="309"/>
      <c r="M50" s="402" t="s">
        <v>722</v>
      </c>
      <c r="N50" s="345"/>
      <c r="O50" s="313"/>
      <c r="P50"/>
      <c r="Q50"/>
      <c r="R50"/>
      <c r="S50"/>
      <c r="T50"/>
      <c r="U50"/>
      <c r="V50"/>
      <c r="W50"/>
      <c r="X50"/>
      <c r="Y50"/>
      <c r="Z50"/>
    </row>
    <row r="51" spans="1:119" ht="10" customHeight="1" x14ac:dyDescent="0.2">
      <c r="A51" s="313"/>
      <c r="B51" s="451"/>
      <c r="C51" s="309"/>
      <c r="D51" s="309"/>
      <c r="E51" s="309"/>
      <c r="F51" s="309"/>
      <c r="G51" s="309"/>
      <c r="H51" s="309"/>
      <c r="I51" s="309"/>
      <c r="J51" s="309"/>
      <c r="K51" s="309"/>
      <c r="L51" s="309"/>
      <c r="M51" s="309"/>
      <c r="N51" s="345"/>
      <c r="O51" s="313"/>
      <c r="P51"/>
      <c r="Q51"/>
      <c r="R51"/>
      <c r="S51"/>
      <c r="T51"/>
      <c r="U51"/>
      <c r="V51"/>
      <c r="W51"/>
      <c r="X51"/>
      <c r="Y51"/>
      <c r="Z51"/>
    </row>
    <row r="52" spans="1:119" ht="8" customHeight="1" x14ac:dyDescent="0.2">
      <c r="A52" s="313"/>
      <c r="B52" s="451"/>
      <c r="C52" s="311"/>
      <c r="D52" s="311"/>
      <c r="E52" s="311"/>
      <c r="F52" s="311"/>
      <c r="G52" s="311"/>
      <c r="H52" s="311"/>
      <c r="I52" s="311"/>
      <c r="J52" s="311"/>
      <c r="K52" s="311"/>
      <c r="L52" s="311"/>
      <c r="M52" s="311"/>
      <c r="N52" s="457"/>
      <c r="O52" s="313"/>
      <c r="P52"/>
      <c r="Q52"/>
      <c r="R52"/>
      <c r="S52"/>
      <c r="T52"/>
      <c r="U52"/>
      <c r="V52"/>
      <c r="W52"/>
      <c r="X52"/>
      <c r="Y52"/>
      <c r="Z52"/>
    </row>
    <row r="53" spans="1:119" s="349" customFormat="1" ht="16" customHeight="1" x14ac:dyDescent="0.2">
      <c r="A53" s="313"/>
      <c r="B53" s="463" t="s">
        <v>723</v>
      </c>
      <c r="C53" s="464"/>
      <c r="D53" s="464"/>
      <c r="E53" s="464"/>
      <c r="F53" s="464"/>
      <c r="G53" s="464"/>
      <c r="H53" s="464"/>
      <c r="I53" s="465" t="s">
        <v>724</v>
      </c>
      <c r="J53" s="464"/>
      <c r="K53" s="464"/>
      <c r="L53" s="464"/>
      <c r="M53" s="464"/>
      <c r="N53" s="466"/>
      <c r="O53" s="313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</row>
    <row r="54" spans="1:119" ht="15" customHeight="1" x14ac:dyDescent="0.2">
      <c r="A54" s="313"/>
      <c r="B54" s="407"/>
      <c r="C54" s="406"/>
      <c r="D54" s="406"/>
      <c r="E54" s="406"/>
      <c r="F54" s="406"/>
      <c r="G54" s="406"/>
      <c r="H54" s="407"/>
      <c r="I54" s="406"/>
      <c r="J54" s="406"/>
      <c r="K54" s="406"/>
      <c r="L54" s="406"/>
      <c r="M54" s="406"/>
      <c r="N54" s="410"/>
      <c r="O54" s="313"/>
      <c r="P54"/>
      <c r="Q54"/>
      <c r="R54"/>
      <c r="S54"/>
      <c r="T54"/>
      <c r="U54"/>
      <c r="V54"/>
      <c r="W54"/>
      <c r="X54"/>
      <c r="Y54"/>
      <c r="Z54"/>
    </row>
    <row r="55" spans="1:119" ht="15" customHeight="1" x14ac:dyDescent="0.2">
      <c r="A55" s="313"/>
      <c r="B55" s="408"/>
      <c r="C55" s="309"/>
      <c r="D55" s="309"/>
      <c r="E55" s="309"/>
      <c r="F55" s="309"/>
      <c r="G55" s="309"/>
      <c r="H55" s="408"/>
      <c r="I55" s="309"/>
      <c r="J55" s="309"/>
      <c r="K55" s="309"/>
      <c r="L55" s="309"/>
      <c r="M55" s="309"/>
      <c r="N55" s="345"/>
      <c r="O55" s="313"/>
      <c r="P55"/>
      <c r="Q55"/>
      <c r="R55"/>
      <c r="S55"/>
      <c r="T55"/>
      <c r="U55"/>
      <c r="V55"/>
      <c r="W55"/>
      <c r="X55"/>
      <c r="Y55"/>
      <c r="Z55"/>
    </row>
    <row r="56" spans="1:119" ht="15" customHeight="1" x14ac:dyDescent="0.2">
      <c r="A56" s="313"/>
      <c r="B56" s="408"/>
      <c r="C56" s="309"/>
      <c r="D56" s="309"/>
      <c r="E56" s="309"/>
      <c r="F56" s="309"/>
      <c r="G56" s="309"/>
      <c r="H56" s="408"/>
      <c r="I56" s="309"/>
      <c r="J56" s="309"/>
      <c r="K56" s="309"/>
      <c r="L56" s="309"/>
      <c r="M56" s="309"/>
      <c r="N56" s="345"/>
      <c r="O56" s="313"/>
      <c r="P56"/>
      <c r="Q56"/>
      <c r="R56"/>
      <c r="S56"/>
      <c r="T56"/>
      <c r="U56"/>
      <c r="V56"/>
      <c r="W56"/>
      <c r="X56"/>
      <c r="Y56"/>
      <c r="Z56"/>
    </row>
    <row r="57" spans="1:119" ht="15" customHeight="1" x14ac:dyDescent="0.2">
      <c r="A57" s="313"/>
      <c r="B57" s="408"/>
      <c r="C57" s="309"/>
      <c r="D57" s="309"/>
      <c r="E57" s="309"/>
      <c r="F57" s="309"/>
      <c r="G57" s="309"/>
      <c r="H57" s="408"/>
      <c r="I57" s="309"/>
      <c r="J57" s="309"/>
      <c r="K57" s="309"/>
      <c r="L57" s="309"/>
      <c r="M57" s="309"/>
      <c r="N57" s="345"/>
      <c r="O57" s="313"/>
      <c r="P57"/>
      <c r="Q57"/>
      <c r="R57"/>
      <c r="S57"/>
      <c r="T57"/>
      <c r="U57"/>
      <c r="V57"/>
      <c r="W57"/>
      <c r="X57"/>
      <c r="Y57"/>
      <c r="Z57"/>
    </row>
    <row r="58" spans="1:119" ht="15" customHeight="1" x14ac:dyDescent="0.2">
      <c r="A58" s="313"/>
      <c r="B58" s="408"/>
      <c r="C58" s="309"/>
      <c r="D58" s="309"/>
      <c r="E58" s="309"/>
      <c r="F58" s="309"/>
      <c r="G58" s="309"/>
      <c r="H58" s="408"/>
      <c r="I58" s="309"/>
      <c r="J58" s="309"/>
      <c r="K58" s="309"/>
      <c r="L58" s="309"/>
      <c r="M58" s="309"/>
      <c r="N58" s="345"/>
      <c r="O58" s="313"/>
      <c r="P58"/>
      <c r="Q58"/>
      <c r="R58"/>
      <c r="S58"/>
      <c r="T58"/>
      <c r="U58"/>
      <c r="V58"/>
      <c r="W58"/>
      <c r="X58"/>
      <c r="Y58"/>
      <c r="Z58"/>
    </row>
    <row r="59" spans="1:119" ht="15" customHeight="1" x14ac:dyDescent="0.2">
      <c r="A59" s="313"/>
      <c r="B59" s="408"/>
      <c r="C59" s="309"/>
      <c r="D59" s="309"/>
      <c r="E59" s="309"/>
      <c r="F59" s="309"/>
      <c r="G59" s="309"/>
      <c r="H59" s="408"/>
      <c r="I59" s="309"/>
      <c r="J59" s="309"/>
      <c r="K59" s="309"/>
      <c r="L59" s="309"/>
      <c r="M59" s="309"/>
      <c r="N59" s="345"/>
      <c r="O59" s="313"/>
      <c r="P59"/>
      <c r="Q59"/>
      <c r="R59"/>
      <c r="S59"/>
      <c r="T59"/>
      <c r="U59"/>
      <c r="V59"/>
      <c r="W59"/>
      <c r="X59"/>
      <c r="Y59"/>
      <c r="Z59"/>
    </row>
    <row r="60" spans="1:119" ht="15" customHeight="1" x14ac:dyDescent="0.2">
      <c r="A60" s="313"/>
      <c r="B60" s="408"/>
      <c r="C60" s="309"/>
      <c r="D60" s="309"/>
      <c r="E60" s="309"/>
      <c r="F60" s="309"/>
      <c r="G60" s="309"/>
      <c r="H60" s="408"/>
      <c r="I60" s="309"/>
      <c r="J60" s="309"/>
      <c r="K60" s="309"/>
      <c r="L60" s="309"/>
      <c r="M60" s="309"/>
      <c r="N60" s="345"/>
      <c r="O60" s="313"/>
      <c r="P60"/>
      <c r="Q60"/>
      <c r="R60"/>
      <c r="S60"/>
      <c r="T60"/>
      <c r="U60"/>
      <c r="V60"/>
      <c r="W60"/>
      <c r="X60"/>
      <c r="Y60"/>
      <c r="Z60"/>
    </row>
    <row r="61" spans="1:119" ht="15" customHeight="1" x14ac:dyDescent="0.2">
      <c r="A61" s="313"/>
      <c r="B61" s="408"/>
      <c r="C61" s="309"/>
      <c r="D61" s="309"/>
      <c r="E61" s="309"/>
      <c r="F61" s="309"/>
      <c r="G61" s="309"/>
      <c r="H61" s="408"/>
      <c r="I61" s="309"/>
      <c r="J61" s="309"/>
      <c r="K61" s="309"/>
      <c r="L61" s="309"/>
      <c r="M61" s="309"/>
      <c r="N61" s="345"/>
      <c r="O61" s="313"/>
      <c r="P61"/>
      <c r="Q61"/>
      <c r="R61"/>
      <c r="S61"/>
      <c r="T61"/>
      <c r="U61"/>
      <c r="V61"/>
      <c r="W61"/>
      <c r="X61"/>
      <c r="Y61"/>
      <c r="Z61"/>
    </row>
    <row r="62" spans="1:119" ht="15" customHeight="1" x14ac:dyDescent="0.2">
      <c r="A62" s="313"/>
      <c r="B62" s="408"/>
      <c r="C62" s="309"/>
      <c r="D62" s="309"/>
      <c r="E62" s="309"/>
      <c r="F62" s="309"/>
      <c r="G62" s="309"/>
      <c r="H62" s="408"/>
      <c r="I62" s="309"/>
      <c r="J62" s="309"/>
      <c r="K62" s="309"/>
      <c r="L62" s="309"/>
      <c r="M62" s="309"/>
      <c r="N62" s="345"/>
      <c r="O62" s="313"/>
      <c r="P62"/>
      <c r="Q62"/>
      <c r="R62"/>
      <c r="S62"/>
      <c r="T62"/>
      <c r="U62"/>
      <c r="V62"/>
      <c r="W62"/>
      <c r="X62"/>
      <c r="Y62"/>
      <c r="Z62"/>
    </row>
    <row r="63" spans="1:119" ht="15" customHeight="1" x14ac:dyDescent="0.2">
      <c r="A63" s="313"/>
      <c r="B63" s="408"/>
      <c r="C63" s="309"/>
      <c r="D63" s="309"/>
      <c r="E63" s="309"/>
      <c r="F63" s="309"/>
      <c r="G63" s="309"/>
      <c r="H63" s="408"/>
      <c r="I63" s="309"/>
      <c r="J63" s="309"/>
      <c r="K63" s="309"/>
      <c r="L63" s="309"/>
      <c r="M63" s="309"/>
      <c r="N63" s="345"/>
      <c r="O63" s="313"/>
      <c r="P63"/>
      <c r="Q63"/>
      <c r="R63"/>
      <c r="S63"/>
      <c r="T63"/>
      <c r="U63"/>
      <c r="V63"/>
      <c r="W63"/>
      <c r="X63"/>
      <c r="Y63"/>
      <c r="Z63"/>
    </row>
    <row r="64" spans="1:119" ht="15" customHeight="1" x14ac:dyDescent="0.2">
      <c r="A64" s="313"/>
      <c r="B64" s="408"/>
      <c r="C64" s="309"/>
      <c r="D64" s="309"/>
      <c r="E64" s="309"/>
      <c r="F64" s="309"/>
      <c r="G64" s="309"/>
      <c r="H64" s="408"/>
      <c r="I64" s="309"/>
      <c r="J64" s="309"/>
      <c r="K64" s="309"/>
      <c r="L64" s="309"/>
      <c r="M64" s="309"/>
      <c r="N64" s="345"/>
      <c r="O64" s="313"/>
      <c r="P64"/>
      <c r="Q64"/>
      <c r="R64"/>
      <c r="S64"/>
      <c r="T64"/>
      <c r="U64"/>
      <c r="V64"/>
      <c r="W64"/>
      <c r="X64"/>
      <c r="Y64"/>
      <c r="Z64"/>
    </row>
    <row r="65" spans="1:26" ht="15" customHeight="1" x14ac:dyDescent="0.2">
      <c r="A65" s="313"/>
      <c r="B65" s="408"/>
      <c r="C65" s="309"/>
      <c r="D65" s="309"/>
      <c r="E65" s="309"/>
      <c r="F65" s="309"/>
      <c r="G65" s="309"/>
      <c r="H65" s="408"/>
      <c r="I65" s="309"/>
      <c r="J65" s="309"/>
      <c r="K65" s="309"/>
      <c r="L65" s="309"/>
      <c r="M65" s="309"/>
      <c r="N65" s="345"/>
      <c r="O65" s="313"/>
      <c r="P65"/>
      <c r="Q65"/>
      <c r="R65"/>
      <c r="S65"/>
      <c r="T65"/>
      <c r="U65"/>
      <c r="V65"/>
      <c r="W65"/>
      <c r="X65"/>
      <c r="Y65"/>
      <c r="Z65"/>
    </row>
    <row r="66" spans="1:26" ht="15" customHeight="1" x14ac:dyDescent="0.2">
      <c r="A66" s="313"/>
      <c r="B66" s="408"/>
      <c r="C66" s="309"/>
      <c r="D66" s="309"/>
      <c r="E66" s="309"/>
      <c r="F66" s="309"/>
      <c r="G66" s="309"/>
      <c r="H66" s="408"/>
      <c r="I66" s="309"/>
      <c r="J66" s="309"/>
      <c r="K66" s="309"/>
      <c r="L66" s="309"/>
      <c r="M66" s="309"/>
      <c r="N66" s="345"/>
      <c r="O66" s="313"/>
      <c r="P66"/>
      <c r="Q66"/>
      <c r="R66"/>
      <c r="S66"/>
      <c r="T66"/>
      <c r="U66"/>
      <c r="V66"/>
      <c r="W66"/>
      <c r="X66"/>
      <c r="Y66"/>
      <c r="Z66"/>
    </row>
    <row r="67" spans="1:26" ht="15" customHeight="1" x14ac:dyDescent="0.2">
      <c r="A67" s="313"/>
      <c r="B67" s="408"/>
      <c r="C67" s="309"/>
      <c r="D67" s="309"/>
      <c r="E67" s="309"/>
      <c r="F67" s="309"/>
      <c r="G67" s="309"/>
      <c r="H67" s="408"/>
      <c r="I67" s="309"/>
      <c r="J67" s="309"/>
      <c r="K67" s="309"/>
      <c r="L67" s="309"/>
      <c r="M67" s="309"/>
      <c r="N67" s="345"/>
      <c r="O67" s="313"/>
      <c r="P67"/>
      <c r="Q67"/>
      <c r="R67"/>
      <c r="S67"/>
      <c r="T67"/>
      <c r="U67"/>
      <c r="V67"/>
      <c r="W67"/>
      <c r="X67"/>
      <c r="Y67"/>
      <c r="Z67"/>
    </row>
    <row r="68" spans="1:26" ht="15" customHeight="1" x14ac:dyDescent="0.2">
      <c r="A68" s="313"/>
      <c r="B68" s="408"/>
      <c r="C68" s="309"/>
      <c r="D68" s="309"/>
      <c r="E68" s="309"/>
      <c r="F68" s="309"/>
      <c r="G68" s="309"/>
      <c r="H68" s="408"/>
      <c r="I68" s="309"/>
      <c r="J68" s="309"/>
      <c r="K68" s="309"/>
      <c r="L68" s="309"/>
      <c r="M68" s="309"/>
      <c r="N68" s="345"/>
      <c r="O68" s="313"/>
      <c r="P68"/>
      <c r="Q68"/>
      <c r="R68"/>
      <c r="S68"/>
      <c r="T68"/>
      <c r="U68"/>
      <c r="V68"/>
      <c r="W68"/>
      <c r="X68"/>
      <c r="Y68"/>
      <c r="Z68"/>
    </row>
    <row r="69" spans="1:26" ht="15" customHeight="1" x14ac:dyDescent="0.2">
      <c r="A69" s="313"/>
      <c r="B69" s="408"/>
      <c r="C69" s="309"/>
      <c r="D69" s="309"/>
      <c r="E69" s="309"/>
      <c r="F69" s="309"/>
      <c r="G69" s="309"/>
      <c r="H69" s="408"/>
      <c r="I69" s="309"/>
      <c r="J69" s="309"/>
      <c r="K69" s="309"/>
      <c r="L69" s="309"/>
      <c r="M69" s="309"/>
      <c r="N69" s="345"/>
      <c r="O69" s="313"/>
      <c r="P69"/>
      <c r="Q69"/>
      <c r="R69"/>
      <c r="S69"/>
      <c r="T69"/>
      <c r="U69"/>
      <c r="V69"/>
      <c r="W69"/>
      <c r="X69"/>
      <c r="Y69"/>
      <c r="Z69"/>
    </row>
    <row r="70" spans="1:26" ht="15" customHeight="1" x14ac:dyDescent="0.2">
      <c r="A70" s="313"/>
      <c r="B70" s="408"/>
      <c r="C70" s="309"/>
      <c r="D70" s="309"/>
      <c r="E70" s="309"/>
      <c r="F70" s="309"/>
      <c r="G70" s="309"/>
      <c r="H70" s="408"/>
      <c r="I70" s="309"/>
      <c r="J70" s="309"/>
      <c r="K70" s="309"/>
      <c r="L70" s="309"/>
      <c r="M70" s="309"/>
      <c r="N70" s="345"/>
      <c r="O70" s="313"/>
      <c r="P70"/>
      <c r="Q70"/>
      <c r="R70"/>
      <c r="S70"/>
      <c r="T70"/>
      <c r="U70"/>
      <c r="V70"/>
      <c r="W70"/>
      <c r="X70"/>
      <c r="Y70"/>
      <c r="Z70"/>
    </row>
    <row r="71" spans="1:26" ht="4" customHeight="1" x14ac:dyDescent="0.2">
      <c r="A71" s="313"/>
      <c r="B71" s="314"/>
      <c r="C71" s="314"/>
      <c r="D71" s="314"/>
      <c r="E71" s="314"/>
      <c r="F71" s="314"/>
      <c r="G71" s="314"/>
      <c r="H71" s="314"/>
      <c r="I71" s="314"/>
      <c r="J71" s="314"/>
      <c r="K71" s="314"/>
      <c r="L71" s="314"/>
      <c r="M71" s="314"/>
      <c r="N71" s="314"/>
      <c r="O71" s="314"/>
      <c r="P71"/>
      <c r="Q71"/>
      <c r="R71"/>
      <c r="S71"/>
      <c r="T71"/>
      <c r="U71"/>
      <c r="V71"/>
      <c r="W71"/>
      <c r="X71"/>
      <c r="Y71"/>
      <c r="Z71"/>
    </row>
    <row r="72" spans="1:26" ht="20" customHeight="1" x14ac:dyDescent="0.2">
      <c r="A72" s="313"/>
      <c r="B72" s="313"/>
      <c r="C72" s="411" t="s">
        <v>725</v>
      </c>
      <c r="D72" s="313"/>
      <c r="E72" s="313"/>
      <c r="F72" s="313"/>
      <c r="G72" s="313"/>
      <c r="H72" s="313"/>
      <c r="I72" s="313"/>
      <c r="J72" s="313"/>
      <c r="K72" s="313"/>
      <c r="L72" s="313"/>
      <c r="M72" s="412" t="s">
        <v>726</v>
      </c>
      <c r="N72" s="313"/>
      <c r="O72" s="313"/>
      <c r="P72"/>
      <c r="Q72"/>
      <c r="R72"/>
      <c r="S72"/>
      <c r="T72"/>
      <c r="U72"/>
      <c r="V72"/>
      <c r="W72"/>
      <c r="X72"/>
      <c r="Y72"/>
      <c r="Z72"/>
    </row>
    <row r="73" spans="1:26" ht="8" customHeight="1" x14ac:dyDescent="0.2">
      <c r="A73" s="313"/>
      <c r="B73" s="313"/>
      <c r="C73" s="313"/>
      <c r="D73" s="313"/>
      <c r="E73" s="313"/>
      <c r="F73" s="313"/>
      <c r="G73" s="313"/>
      <c r="H73" s="313"/>
      <c r="I73" s="313"/>
      <c r="J73" s="313"/>
      <c r="K73" s="313"/>
      <c r="L73" s="313"/>
      <c r="M73" s="313"/>
      <c r="N73" s="313"/>
      <c r="O73" s="313"/>
      <c r="P73"/>
      <c r="Q73"/>
      <c r="R73"/>
      <c r="S73"/>
      <c r="T73"/>
      <c r="U73"/>
      <c r="V73"/>
      <c r="W73"/>
      <c r="X73"/>
      <c r="Y73"/>
      <c r="Z73"/>
    </row>
    <row r="74" spans="1:26" ht="1" hidden="1" customHeight="1" x14ac:dyDescent="0.2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</row>
    <row r="75" spans="1:26" ht="1" hidden="1" customHeight="1" x14ac:dyDescent="0.2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</row>
    <row r="76" spans="1:26" ht="1" customHeight="1" x14ac:dyDescent="0.2">
      <c r="A76"/>
      <c r="B76" s="470" t="s">
        <v>686</v>
      </c>
      <c r="C76" s="470" t="s">
        <v>687</v>
      </c>
      <c r="D76" s="470" t="s">
        <v>688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</row>
    <row r="77" spans="1:26" ht="1" customHeight="1" x14ac:dyDescent="0.2">
      <c r="A77"/>
      <c r="B77" t="s">
        <v>658</v>
      </c>
      <c r="C77">
        <v>3501</v>
      </c>
      <c r="D77">
        <v>1513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</row>
    <row r="78" spans="1:26" ht="1" customHeight="1" x14ac:dyDescent="0.2">
      <c r="A78"/>
      <c r="B78" t="s">
        <v>659</v>
      </c>
      <c r="C78">
        <v>3870</v>
      </c>
      <c r="D78">
        <v>1646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</row>
    <row r="79" spans="1:26" ht="1" customHeight="1" x14ac:dyDescent="0.2">
      <c r="A79"/>
      <c r="B79" t="s">
        <v>660</v>
      </c>
      <c r="C79">
        <v>4237</v>
      </c>
      <c r="D79">
        <v>1762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</row>
    <row r="80" spans="1:26" ht="1" customHeight="1" x14ac:dyDescent="0.2">
      <c r="A80"/>
      <c r="B80" t="s">
        <v>661</v>
      </c>
      <c r="C80">
        <v>4647</v>
      </c>
      <c r="D80">
        <v>1913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</row>
    <row r="81" spans="1:26" ht="1" customHeight="1" x14ac:dyDescent="0.2">
      <c r="A81"/>
      <c r="B81" t="s">
        <v>662</v>
      </c>
      <c r="C81">
        <v>5085</v>
      </c>
      <c r="D81">
        <v>2079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</row>
    <row r="82" spans="1:26" ht="1" customHeight="1" x14ac:dyDescent="0.2">
      <c r="A82"/>
      <c r="B82" t="s">
        <v>663</v>
      </c>
      <c r="C82">
        <v>5524</v>
      </c>
      <c r="D82">
        <v>2259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</row>
    <row r="83" spans="1:26" ht="1" customHeight="1" x14ac:dyDescent="0.2">
      <c r="A83"/>
      <c r="B83" t="s">
        <v>664</v>
      </c>
      <c r="C83">
        <v>5954</v>
      </c>
      <c r="D83">
        <v>2435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</row>
    <row r="84" spans="1:26" ht="1" customHeight="1" x14ac:dyDescent="0.2">
      <c r="A84"/>
      <c r="B84" t="s">
        <v>665</v>
      </c>
      <c r="C84">
        <v>6442</v>
      </c>
      <c r="D84">
        <v>2634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</row>
    <row r="85" spans="1:26" ht="1" customHeight="1" x14ac:dyDescent="0.2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</row>
    <row r="86" spans="1:26" ht="1" customHeight="1" x14ac:dyDescent="0.2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</row>
    <row r="87" spans="1:26" ht="1" customHeight="1" x14ac:dyDescent="0.2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</row>
    <row r="88" spans="1:26" ht="1" customHeight="1" x14ac:dyDescent="0.2">
      <c r="A88"/>
      <c r="B88" s="470" t="s">
        <v>583</v>
      </c>
      <c r="C88" s="470" t="s">
        <v>548</v>
      </c>
      <c r="D88" s="470" t="s">
        <v>584</v>
      </c>
      <c r="E88" s="470" t="s">
        <v>547</v>
      </c>
      <c r="F88" s="470" t="s">
        <v>727</v>
      </c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</row>
    <row r="89" spans="1:26" ht="1" customHeight="1" x14ac:dyDescent="0.2">
      <c r="A89"/>
      <c r="B89" t="s">
        <v>692</v>
      </c>
      <c r="C89">
        <v>18.059999999999999</v>
      </c>
      <c r="D89">
        <v>21.24</v>
      </c>
      <c r="E89">
        <v>26.62</v>
      </c>
      <c r="F89">
        <v>32.43</v>
      </c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</row>
    <row r="90" spans="1:26" ht="1" customHeight="1" x14ac:dyDescent="0.2">
      <c r="A90"/>
      <c r="B90" t="s">
        <v>588</v>
      </c>
      <c r="C90">
        <v>36.28</v>
      </c>
      <c r="D90">
        <v>44.43</v>
      </c>
      <c r="E90">
        <v>48.51</v>
      </c>
      <c r="F90">
        <v>32.43</v>
      </c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</row>
    <row r="91" spans="1:26" ht="1" customHeight="1" x14ac:dyDescent="0.2">
      <c r="A91"/>
      <c r="B91" t="s">
        <v>16</v>
      </c>
      <c r="C91">
        <v>27.82</v>
      </c>
      <c r="D91">
        <v>43.42</v>
      </c>
      <c r="E91">
        <v>49.41</v>
      </c>
      <c r="F91">
        <v>32.43</v>
      </c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</row>
    <row r="92" spans="1:26" ht="1" customHeight="1" x14ac:dyDescent="0.2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</row>
    <row r="93" spans="1:26" ht="1" customHeight="1" x14ac:dyDescent="0.2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</row>
    <row r="94" spans="1:26" ht="1" customHeight="1" x14ac:dyDescent="0.2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</row>
    <row r="95" spans="1:26" ht="1" customHeight="1" x14ac:dyDescent="0.2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</row>
    <row r="96" spans="1:26" ht="1" customHeight="1" x14ac:dyDescent="0.2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</row>
    <row r="97" spans="1:26" ht="1" customHeight="1" x14ac:dyDescent="0.2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</row>
    <row r="98" spans="1:26" ht="1" customHeight="1" x14ac:dyDescent="0.2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</row>
    <row r="99" spans="1:26" ht="1" customHeight="1" x14ac:dyDescent="0.2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</row>
    <row r="100" spans="1:26" x14ac:dyDescent="0.2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</row>
    <row r="101" spans="1:26" x14ac:dyDescent="0.2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</row>
    <row r="102" spans="1:26" x14ac:dyDescent="0.2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</row>
    <row r="103" spans="1:26" x14ac:dyDescent="0.2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</row>
    <row r="104" spans="1:26" x14ac:dyDescent="0.2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</row>
  </sheetData>
  <mergeCells count="3">
    <mergeCell ref="C9:F11"/>
    <mergeCell ref="G9:J11"/>
    <mergeCell ref="K9:N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F96D3-65A8-E34F-9A14-7C604C280FCC}">
  <sheetPr>
    <tabColor rgb="FF548235"/>
  </sheetPr>
  <dimension ref="B3:M108"/>
  <sheetViews>
    <sheetView zoomScale="139" workbookViewId="0">
      <selection activeCell="F81" sqref="F81:I108"/>
    </sheetView>
  </sheetViews>
  <sheetFormatPr baseColWidth="10" defaultRowHeight="16" x14ac:dyDescent="0.2"/>
  <cols>
    <col min="1" max="1" width="4.1640625" style="1" customWidth="1"/>
    <col min="2" max="16384" width="10.83203125" style="1"/>
  </cols>
  <sheetData>
    <row r="3" spans="2:9" ht="19" x14ac:dyDescent="0.25">
      <c r="B3" s="4" t="s">
        <v>56</v>
      </c>
      <c r="C3" s="4"/>
      <c r="D3" s="4"/>
      <c r="E3" s="4"/>
      <c r="F3" s="4"/>
      <c r="G3" s="4"/>
      <c r="H3" s="4"/>
      <c r="I3" s="4"/>
    </row>
    <row r="6" spans="2:9" x14ac:dyDescent="0.2">
      <c r="F6" s="6" t="s">
        <v>57</v>
      </c>
      <c r="G6" s="6" t="s">
        <v>58</v>
      </c>
      <c r="H6" s="6" t="s">
        <v>308</v>
      </c>
      <c r="I6" s="6" t="s">
        <v>59</v>
      </c>
    </row>
    <row r="9" spans="2:9" x14ac:dyDescent="0.2">
      <c r="B9" s="1" t="s">
        <v>60</v>
      </c>
      <c r="F9" s="29">
        <v>3500.9209999999998</v>
      </c>
      <c r="G9" s="29">
        <v>3869.518</v>
      </c>
      <c r="H9" s="29">
        <v>4236.8230000000003</v>
      </c>
      <c r="I9" s="29">
        <v>4646.9579999999996</v>
      </c>
    </row>
    <row r="10" spans="2:9" x14ac:dyDescent="0.2">
      <c r="B10" s="1" t="s">
        <v>309</v>
      </c>
      <c r="F10" s="29">
        <v>-1776.787</v>
      </c>
      <c r="G10" s="29">
        <v>-1990.43</v>
      </c>
      <c r="H10" s="29">
        <v>-2158.9209999999998</v>
      </c>
      <c r="I10" s="29">
        <v>-2355.54</v>
      </c>
    </row>
    <row r="11" spans="2:9" x14ac:dyDescent="0.2">
      <c r="B11" s="5" t="s">
        <v>310</v>
      </c>
      <c r="F11" s="27">
        <f>SUM(F9:F10)</f>
        <v>1724.1339999999998</v>
      </c>
      <c r="G11" s="27">
        <f t="shared" ref="G11:I11" si="0">SUM(G9:G10)</f>
        <v>1879.088</v>
      </c>
      <c r="H11" s="27">
        <f t="shared" si="0"/>
        <v>2077.9020000000005</v>
      </c>
      <c r="I11" s="27">
        <f t="shared" si="0"/>
        <v>2291.4179999999997</v>
      </c>
    </row>
    <row r="12" spans="2:9" x14ac:dyDescent="0.2">
      <c r="F12" s="26"/>
      <c r="G12" s="26"/>
      <c r="H12" s="26"/>
      <c r="I12" s="26"/>
    </row>
    <row r="13" spans="2:9" x14ac:dyDescent="0.2">
      <c r="B13" s="1" t="s">
        <v>61</v>
      </c>
      <c r="F13" s="29">
        <v>-211.15199999999999</v>
      </c>
      <c r="G13" s="29">
        <v>-233.041</v>
      </c>
      <c r="H13" s="29">
        <v>-316.11799999999999</v>
      </c>
      <c r="I13" s="29">
        <v>-378.85500000000002</v>
      </c>
    </row>
    <row r="14" spans="2:9" x14ac:dyDescent="0.2">
      <c r="B14" s="1" t="s">
        <v>62</v>
      </c>
      <c r="F14" s="29">
        <v>-137.98500000000001</v>
      </c>
      <c r="G14" s="29">
        <v>-159.47800000000001</v>
      </c>
      <c r="H14" s="29">
        <v>-189.761</v>
      </c>
      <c r="I14" s="29">
        <v>-215.84899999999999</v>
      </c>
    </row>
    <row r="15" spans="2:9" x14ac:dyDescent="0.2">
      <c r="B15" s="7" t="s">
        <v>63</v>
      </c>
      <c r="F15" s="27">
        <f>SUM(F11:F14)</f>
        <v>1374.9969999999998</v>
      </c>
      <c r="G15" s="27">
        <f t="shared" ref="G15:I15" si="1">SUM(G11:G14)</f>
        <v>1486.569</v>
      </c>
      <c r="H15" s="27">
        <f t="shared" si="1"/>
        <v>1572.0230000000006</v>
      </c>
      <c r="I15" s="27">
        <f t="shared" si="1"/>
        <v>1696.7139999999997</v>
      </c>
    </row>
    <row r="16" spans="2:9" x14ac:dyDescent="0.2">
      <c r="F16" s="26"/>
      <c r="G16" s="26"/>
      <c r="H16" s="26"/>
      <c r="I16" s="26"/>
    </row>
    <row r="17" spans="2:11" x14ac:dyDescent="0.2">
      <c r="B17" s="1" t="s">
        <v>311</v>
      </c>
      <c r="F17" s="29">
        <v>-16.8</v>
      </c>
      <c r="G17" s="29">
        <v>0</v>
      </c>
      <c r="H17" s="29">
        <v>0</v>
      </c>
      <c r="I17" s="29">
        <v>0</v>
      </c>
    </row>
    <row r="18" spans="2:11" x14ac:dyDescent="0.2">
      <c r="B18" s="1" t="s">
        <v>64</v>
      </c>
      <c r="F18" s="29">
        <v>-16.7</v>
      </c>
      <c r="G18" s="29">
        <v>0</v>
      </c>
      <c r="H18" s="29">
        <v>0</v>
      </c>
      <c r="I18" s="29">
        <v>0</v>
      </c>
    </row>
    <row r="19" spans="2:11" x14ac:dyDescent="0.2">
      <c r="B19" s="1" t="s">
        <v>65</v>
      </c>
      <c r="F19" s="29">
        <v>-0.59599999999999997</v>
      </c>
      <c r="G19" s="29">
        <v>67.759</v>
      </c>
      <c r="H19" s="29">
        <v>142.578</v>
      </c>
      <c r="I19" s="29">
        <v>198.86699999999999</v>
      </c>
    </row>
    <row r="20" spans="2:11" x14ac:dyDescent="0.2">
      <c r="B20" s="7" t="s">
        <v>66</v>
      </c>
      <c r="F20" s="27">
        <f>SUM(F15:F19)</f>
        <v>1340.9009999999998</v>
      </c>
      <c r="G20" s="27">
        <f t="shared" ref="G20:I20" si="2">SUM(G15:G19)</f>
        <v>1554.328</v>
      </c>
      <c r="H20" s="27">
        <f t="shared" si="2"/>
        <v>1714.6010000000006</v>
      </c>
      <c r="I20" s="27">
        <f t="shared" si="2"/>
        <v>1895.5809999999997</v>
      </c>
      <c r="K20" s="54"/>
    </row>
    <row r="21" spans="2:11" x14ac:dyDescent="0.2">
      <c r="F21" s="26"/>
      <c r="G21" s="26"/>
      <c r="H21" s="26"/>
      <c r="I21" s="26"/>
    </row>
    <row r="22" spans="2:11" x14ac:dyDescent="0.2">
      <c r="B22" s="1" t="s">
        <v>67</v>
      </c>
      <c r="F22" s="29">
        <v>-250.82400000000001</v>
      </c>
      <c r="G22" s="29">
        <v>-316.58699999999999</v>
      </c>
      <c r="H22" s="29">
        <v>-352.25400000000002</v>
      </c>
      <c r="I22" s="29">
        <v>-347.21800000000002</v>
      </c>
    </row>
    <row r="23" spans="2:11" x14ac:dyDescent="0.2">
      <c r="B23" s="5" t="s">
        <v>312</v>
      </c>
      <c r="F23" s="27">
        <f>SUM(F20:F22)</f>
        <v>1090.0769999999998</v>
      </c>
      <c r="G23" s="27">
        <f t="shared" ref="G23:I23" si="3">SUM(G20:G22)</f>
        <v>1237.741</v>
      </c>
      <c r="H23" s="27">
        <f t="shared" si="3"/>
        <v>1362.3470000000007</v>
      </c>
      <c r="I23" s="27">
        <f t="shared" si="3"/>
        <v>1548.3629999999996</v>
      </c>
    </row>
    <row r="24" spans="2:11" x14ac:dyDescent="0.2">
      <c r="B24" s="7"/>
      <c r="F24" s="26"/>
      <c r="G24" s="26"/>
      <c r="H24" s="26"/>
      <c r="I24" s="26"/>
    </row>
    <row r="25" spans="2:11" x14ac:dyDescent="0.2">
      <c r="B25" s="28" t="s">
        <v>313</v>
      </c>
      <c r="F25" s="29">
        <v>0</v>
      </c>
      <c r="G25" s="29">
        <v>0</v>
      </c>
      <c r="H25" s="29">
        <v>-0.7</v>
      </c>
      <c r="I25" s="29">
        <v>-4.0999999999999996</v>
      </c>
    </row>
    <row r="26" spans="2:11" x14ac:dyDescent="0.2">
      <c r="B26" s="5" t="s">
        <v>68</v>
      </c>
      <c r="F26" s="27">
        <f>SUM(F23:F25)</f>
        <v>1090.0769999999998</v>
      </c>
      <c r="G26" s="27">
        <f t="shared" ref="G26:I26" si="4">SUM(G23:G25)</f>
        <v>1237.741</v>
      </c>
      <c r="H26" s="27">
        <f t="shared" si="4"/>
        <v>1361.6470000000006</v>
      </c>
      <c r="I26" s="27">
        <f t="shared" si="4"/>
        <v>1544.2629999999997</v>
      </c>
    </row>
    <row r="28" spans="2:11" ht="19" x14ac:dyDescent="0.25">
      <c r="B28" s="4" t="s">
        <v>97</v>
      </c>
      <c r="C28" s="4"/>
      <c r="D28" s="4"/>
      <c r="E28" s="4"/>
      <c r="F28" s="4"/>
      <c r="G28" s="4"/>
      <c r="H28" s="4"/>
      <c r="I28" s="4"/>
    </row>
    <row r="32" spans="2:11" x14ac:dyDescent="0.2">
      <c r="F32" s="6" t="s">
        <v>57</v>
      </c>
      <c r="G32" s="6" t="s">
        <v>58</v>
      </c>
      <c r="H32" s="6" t="s">
        <v>308</v>
      </c>
      <c r="I32" s="6" t="s">
        <v>59</v>
      </c>
    </row>
    <row r="35" spans="2:10" x14ac:dyDescent="0.2">
      <c r="B35" s="8" t="s">
        <v>69</v>
      </c>
    </row>
    <row r="36" spans="2:10" x14ac:dyDescent="0.2">
      <c r="B36" s="1" t="s">
        <v>70</v>
      </c>
      <c r="F36" s="29">
        <v>1384.2360000000001</v>
      </c>
      <c r="G36" s="29">
        <v>2363.9839999999999</v>
      </c>
      <c r="H36" s="29">
        <v>3422.1579999999999</v>
      </c>
      <c r="I36" s="29">
        <v>4789.07</v>
      </c>
      <c r="J36" s="26"/>
    </row>
    <row r="37" spans="2:10" x14ac:dyDescent="0.2">
      <c r="B37" s="1" t="s">
        <v>71</v>
      </c>
      <c r="F37" s="29">
        <v>571.31600000000003</v>
      </c>
      <c r="G37" s="29">
        <v>685.70399999999995</v>
      </c>
      <c r="H37" s="29">
        <v>759.92399999999998</v>
      </c>
      <c r="I37" s="29">
        <v>728.77099999999996</v>
      </c>
      <c r="J37" s="26"/>
    </row>
    <row r="38" spans="2:10" x14ac:dyDescent="0.2">
      <c r="B38" s="1" t="s">
        <v>72</v>
      </c>
      <c r="F38" s="29">
        <v>57.139000000000003</v>
      </c>
      <c r="G38" s="29">
        <v>22.908000000000001</v>
      </c>
      <c r="H38" s="29">
        <v>25.952999999999999</v>
      </c>
      <c r="I38" s="29">
        <v>34.619999999999997</v>
      </c>
      <c r="J38" s="26"/>
    </row>
    <row r="39" spans="2:10" x14ac:dyDescent="0.2">
      <c r="B39" s="1" t="s">
        <v>73</v>
      </c>
      <c r="F39" s="29">
        <v>58.790999999999997</v>
      </c>
      <c r="G39" s="29">
        <v>39.972999999999999</v>
      </c>
      <c r="H39" s="29">
        <v>43.639000000000003</v>
      </c>
      <c r="I39" s="29">
        <v>39.661000000000001</v>
      </c>
      <c r="J39" s="26"/>
    </row>
    <row r="40" spans="2:10" x14ac:dyDescent="0.2">
      <c r="B40" s="1" t="s">
        <v>74</v>
      </c>
      <c r="F40" s="29">
        <v>18.731000000000002</v>
      </c>
      <c r="G40" s="29">
        <v>26.31</v>
      </c>
      <c r="H40" s="29">
        <v>33.872</v>
      </c>
      <c r="I40" s="29">
        <v>46.360999999999997</v>
      </c>
      <c r="J40" s="26"/>
    </row>
    <row r="41" spans="2:10" x14ac:dyDescent="0.2">
      <c r="B41" s="7" t="s">
        <v>75</v>
      </c>
      <c r="F41" s="27">
        <f>SUM(F36:F40)</f>
        <v>2090.2130000000002</v>
      </c>
      <c r="G41" s="27">
        <f t="shared" ref="G41:I41" si="5">SUM(G36:G40)</f>
        <v>3138.8789999999999</v>
      </c>
      <c r="H41" s="27">
        <f t="shared" si="5"/>
        <v>4285.5460000000012</v>
      </c>
      <c r="I41" s="27">
        <f t="shared" si="5"/>
        <v>5638.4829999999993</v>
      </c>
      <c r="J41" s="26"/>
    </row>
    <row r="42" spans="2:10" x14ac:dyDescent="0.2">
      <c r="F42" s="26"/>
      <c r="G42" s="26"/>
      <c r="H42" s="26"/>
      <c r="I42" s="26"/>
      <c r="J42" s="26"/>
    </row>
    <row r="43" spans="2:10" x14ac:dyDescent="0.2">
      <c r="B43" s="1" t="s">
        <v>76</v>
      </c>
      <c r="F43" s="29">
        <v>2602.067</v>
      </c>
      <c r="G43" s="29">
        <v>2952.4780000000001</v>
      </c>
      <c r="H43" s="29">
        <v>3292.1390000000001</v>
      </c>
      <c r="I43" s="29">
        <v>3697.8009999999999</v>
      </c>
      <c r="J43" s="26"/>
    </row>
    <row r="44" spans="2:10" x14ac:dyDescent="0.2">
      <c r="B44" s="1" t="s">
        <v>77</v>
      </c>
      <c r="F44" s="29">
        <v>401.95400000000001</v>
      </c>
      <c r="G44" s="29">
        <v>394.28899999999999</v>
      </c>
      <c r="H44" s="29">
        <v>513.90899999999999</v>
      </c>
      <c r="I44" s="29">
        <v>517.779</v>
      </c>
      <c r="J44" s="26"/>
    </row>
    <row r="45" spans="2:10" x14ac:dyDescent="0.2">
      <c r="B45" s="1" t="s">
        <v>78</v>
      </c>
      <c r="F45" s="29">
        <v>54.68</v>
      </c>
      <c r="G45" s="29">
        <v>62.701999999999998</v>
      </c>
      <c r="H45" s="29">
        <v>74.087999999999994</v>
      </c>
      <c r="I45" s="29">
        <v>62.832000000000001</v>
      </c>
      <c r="J45" s="26"/>
    </row>
    <row r="46" spans="2:10" x14ac:dyDescent="0.2">
      <c r="B46" s="1" t="s">
        <v>79</v>
      </c>
      <c r="F46" s="29">
        <v>159.94999999999999</v>
      </c>
      <c r="G46" s="29">
        <v>189.53100000000001</v>
      </c>
      <c r="H46" s="29">
        <v>262.08199999999999</v>
      </c>
      <c r="I46" s="29">
        <v>174.00700000000001</v>
      </c>
      <c r="J46" s="26"/>
    </row>
    <row r="47" spans="2:10" x14ac:dyDescent="0.2">
      <c r="B47" s="7" t="s">
        <v>80</v>
      </c>
      <c r="F47" s="27">
        <f>SUM(F43:F46)</f>
        <v>3218.6509999999998</v>
      </c>
      <c r="G47" s="27">
        <f t="shared" ref="G47:I47" si="6">SUM(G43:G46)</f>
        <v>3599</v>
      </c>
      <c r="H47" s="27">
        <f t="shared" si="6"/>
        <v>4142.2180000000008</v>
      </c>
      <c r="I47" s="27">
        <f t="shared" si="6"/>
        <v>4452.4189999999999</v>
      </c>
      <c r="J47" s="26"/>
    </row>
    <row r="48" spans="2:10" x14ac:dyDescent="0.2">
      <c r="B48" s="7" t="s">
        <v>81</v>
      </c>
      <c r="F48" s="27">
        <f>F41+F47</f>
        <v>5308.8639999999996</v>
      </c>
      <c r="G48" s="27">
        <f t="shared" ref="G48:I48" si="7">G41+G47</f>
        <v>6737.8789999999999</v>
      </c>
      <c r="H48" s="27">
        <f t="shared" si="7"/>
        <v>8427.7640000000029</v>
      </c>
      <c r="I48" s="27">
        <f t="shared" si="7"/>
        <v>10090.901999999998</v>
      </c>
      <c r="J48" s="26"/>
    </row>
    <row r="49" spans="2:10" x14ac:dyDescent="0.2">
      <c r="F49" s="26"/>
      <c r="G49" s="26"/>
      <c r="H49" s="26"/>
      <c r="I49" s="26"/>
      <c r="J49" s="26"/>
    </row>
    <row r="50" spans="2:10" x14ac:dyDescent="0.2">
      <c r="B50" s="8" t="s">
        <v>82</v>
      </c>
      <c r="F50" s="26"/>
      <c r="G50" s="26"/>
      <c r="H50" s="26"/>
      <c r="I50" s="26"/>
      <c r="J50" s="26"/>
    </row>
    <row r="51" spans="2:10" x14ac:dyDescent="0.2">
      <c r="B51" s="1" t="s">
        <v>83</v>
      </c>
      <c r="F51" s="29">
        <v>187.17</v>
      </c>
      <c r="G51" s="29">
        <v>180.01599999999999</v>
      </c>
      <c r="H51" s="29">
        <v>193.333</v>
      </c>
      <c r="I51" s="29">
        <v>214.40199999999999</v>
      </c>
      <c r="J51" s="26"/>
    </row>
    <row r="52" spans="2:10" x14ac:dyDescent="0.2">
      <c r="B52" s="1" t="s">
        <v>84</v>
      </c>
      <c r="F52" s="29">
        <v>21.794</v>
      </c>
      <c r="G52" s="29">
        <v>21.468</v>
      </c>
      <c r="H52" s="29">
        <v>21.303999999999998</v>
      </c>
      <c r="I52" s="29">
        <v>19.869</v>
      </c>
      <c r="J52" s="26"/>
    </row>
    <row r="53" spans="2:10" x14ac:dyDescent="0.2">
      <c r="B53" s="1" t="s">
        <v>85</v>
      </c>
      <c r="F53" s="29">
        <v>6.9059999999999997</v>
      </c>
      <c r="G53" s="29">
        <v>3.8620000000000001</v>
      </c>
      <c r="H53" s="29">
        <v>69.213999999999999</v>
      </c>
      <c r="I53" s="29">
        <v>53.93</v>
      </c>
      <c r="J53" s="26"/>
    </row>
    <row r="54" spans="2:10" x14ac:dyDescent="0.2">
      <c r="B54" s="1" t="s">
        <v>86</v>
      </c>
      <c r="F54" s="29">
        <v>225.01900000000001</v>
      </c>
      <c r="G54" s="29">
        <v>287.423</v>
      </c>
      <c r="H54" s="29">
        <v>344.71600000000001</v>
      </c>
      <c r="I54" s="29">
        <v>395.08</v>
      </c>
      <c r="J54" s="26"/>
    </row>
    <row r="55" spans="2:10" x14ac:dyDescent="0.2">
      <c r="B55" s="7" t="s">
        <v>87</v>
      </c>
      <c r="F55" s="27">
        <f>SUM(F51:F54)</f>
        <v>440.88900000000001</v>
      </c>
      <c r="G55" s="27">
        <f t="shared" ref="G55:I55" si="8">SUM(G51:G54)</f>
        <v>492.76900000000001</v>
      </c>
      <c r="H55" s="27">
        <f t="shared" si="8"/>
        <v>628.56700000000001</v>
      </c>
      <c r="I55" s="27">
        <f t="shared" si="8"/>
        <v>683.28099999999995</v>
      </c>
      <c r="J55" s="26"/>
    </row>
    <row r="56" spans="2:10" x14ac:dyDescent="0.2">
      <c r="F56" s="26"/>
      <c r="G56" s="26"/>
      <c r="H56" s="26"/>
      <c r="I56" s="26"/>
      <c r="J56" s="26"/>
    </row>
    <row r="57" spans="2:10" x14ac:dyDescent="0.2">
      <c r="B57" s="1" t="s">
        <v>88</v>
      </c>
      <c r="F57" s="29">
        <v>97.679000000000002</v>
      </c>
      <c r="G57" s="29">
        <v>98.984999999999999</v>
      </c>
      <c r="H57" s="29">
        <v>97.429000000000002</v>
      </c>
      <c r="I57" s="29">
        <v>83.87</v>
      </c>
      <c r="J57" s="26"/>
    </row>
    <row r="58" spans="2:10" x14ac:dyDescent="0.2">
      <c r="B58" s="1" t="s">
        <v>89</v>
      </c>
      <c r="F58" s="29">
        <v>80.06</v>
      </c>
      <c r="G58" s="29">
        <v>89.492000000000004</v>
      </c>
      <c r="H58" s="29">
        <v>93.653000000000006</v>
      </c>
      <c r="I58" s="29">
        <v>80.625</v>
      </c>
      <c r="J58" s="26"/>
    </row>
    <row r="59" spans="2:10" x14ac:dyDescent="0.2">
      <c r="B59" s="1" t="s">
        <v>90</v>
      </c>
      <c r="F59" s="29">
        <v>64.637</v>
      </c>
      <c r="G59" s="29">
        <v>69.192999999999998</v>
      </c>
      <c r="H59" s="29">
        <v>59.56</v>
      </c>
      <c r="I59" s="29">
        <v>35.634999999999998</v>
      </c>
      <c r="J59" s="26"/>
    </row>
    <row r="60" spans="2:10" x14ac:dyDescent="0.2">
      <c r="B60" s="7" t="s">
        <v>91</v>
      </c>
      <c r="F60" s="27">
        <f>SUM(F57:F59)</f>
        <v>242.376</v>
      </c>
      <c r="G60" s="27">
        <f t="shared" ref="G60:I60" si="9">SUM(G57:G59)</f>
        <v>257.67</v>
      </c>
      <c r="H60" s="27">
        <f t="shared" si="9"/>
        <v>250.642</v>
      </c>
      <c r="I60" s="27">
        <f t="shared" si="9"/>
        <v>200.13</v>
      </c>
      <c r="J60" s="26"/>
    </row>
    <row r="61" spans="2:10" x14ac:dyDescent="0.2">
      <c r="B61" s="7" t="s">
        <v>92</v>
      </c>
      <c r="F61" s="27">
        <f>F55+F60</f>
        <v>683.26499999999999</v>
      </c>
      <c r="G61" s="27">
        <f t="shared" ref="G61:I61" si="10">G55+G60</f>
        <v>750.43900000000008</v>
      </c>
      <c r="H61" s="27">
        <f t="shared" si="10"/>
        <v>879.20900000000006</v>
      </c>
      <c r="I61" s="27">
        <f t="shared" si="10"/>
        <v>883.41099999999994</v>
      </c>
      <c r="J61" s="26"/>
    </row>
    <row r="62" spans="2:10" x14ac:dyDescent="0.2">
      <c r="F62" s="26"/>
      <c r="G62" s="26"/>
      <c r="H62" s="26"/>
      <c r="I62" s="26"/>
      <c r="J62" s="26"/>
    </row>
    <row r="63" spans="2:10" x14ac:dyDescent="0.2">
      <c r="B63" s="8" t="s">
        <v>93</v>
      </c>
      <c r="F63" s="26"/>
      <c r="G63" s="26"/>
      <c r="H63" s="26"/>
      <c r="I63" s="26"/>
      <c r="J63" s="26"/>
    </row>
    <row r="64" spans="2:10" x14ac:dyDescent="0.2">
      <c r="B64" s="1" t="s">
        <v>314</v>
      </c>
      <c r="F64" s="29">
        <v>838.53200000000004</v>
      </c>
      <c r="G64" s="29">
        <v>938.91</v>
      </c>
      <c r="H64" s="29">
        <v>1120.9849999999999</v>
      </c>
      <c r="I64" s="29">
        <v>1214.1500000000001</v>
      </c>
      <c r="J64" s="26"/>
    </row>
    <row r="65" spans="2:10" x14ac:dyDescent="0.2">
      <c r="B65" s="1" t="s">
        <v>94</v>
      </c>
      <c r="F65" s="29">
        <v>3956.4079999999999</v>
      </c>
      <c r="G65" s="29">
        <v>5189.4399999999996</v>
      </c>
      <c r="H65" s="29">
        <v>6545.902</v>
      </c>
      <c r="I65" s="29">
        <v>8093.0690000000004</v>
      </c>
      <c r="J65" s="26"/>
    </row>
    <row r="66" spans="2:10" x14ac:dyDescent="0.2">
      <c r="B66" s="1" t="s">
        <v>315</v>
      </c>
      <c r="F66" s="29">
        <v>-169.36500000000001</v>
      </c>
      <c r="G66" s="29">
        <v>-141.006</v>
      </c>
      <c r="H66" s="29">
        <v>-142.97200000000001</v>
      </c>
      <c r="I66" s="29">
        <v>-120.283</v>
      </c>
      <c r="J66" s="26"/>
    </row>
    <row r="67" spans="2:10" x14ac:dyDescent="0.2">
      <c r="B67" s="1" t="s">
        <v>316</v>
      </c>
      <c r="F67" s="29">
        <v>0</v>
      </c>
      <c r="G67" s="29">
        <v>0</v>
      </c>
      <c r="H67" s="29">
        <v>24.544</v>
      </c>
      <c r="I67" s="29">
        <v>20.457999999999998</v>
      </c>
      <c r="J67" s="26"/>
    </row>
    <row r="68" spans="2:10" x14ac:dyDescent="0.2">
      <c r="B68" s="7" t="s">
        <v>95</v>
      </c>
      <c r="F68" s="27">
        <f>SUM(F64:F67)</f>
        <v>4625.5749999999998</v>
      </c>
      <c r="G68" s="27">
        <f t="shared" ref="G68:I68" si="11">SUM(G64:G67)</f>
        <v>5987.3439999999991</v>
      </c>
      <c r="H68" s="27">
        <f t="shared" si="11"/>
        <v>7548.4589999999998</v>
      </c>
      <c r="I68" s="27">
        <f t="shared" si="11"/>
        <v>9207.3940000000021</v>
      </c>
      <c r="J68" s="26"/>
    </row>
    <row r="69" spans="2:10" x14ac:dyDescent="0.2">
      <c r="F69" s="26"/>
      <c r="G69" s="26"/>
      <c r="H69" s="26"/>
      <c r="I69" s="26"/>
      <c r="J69" s="26"/>
    </row>
    <row r="70" spans="2:10" x14ac:dyDescent="0.2">
      <c r="B70" s="7" t="s">
        <v>96</v>
      </c>
      <c r="F70" s="27">
        <f>F61+F68</f>
        <v>5308.84</v>
      </c>
      <c r="G70" s="27">
        <f t="shared" ref="G70:I70" si="12">G61+G68</f>
        <v>6737.7829999999994</v>
      </c>
      <c r="H70" s="27">
        <f t="shared" si="12"/>
        <v>8427.6679999999997</v>
      </c>
      <c r="I70" s="27">
        <f t="shared" si="12"/>
        <v>10090.805000000002</v>
      </c>
      <c r="J70" s="26"/>
    </row>
    <row r="73" spans="2:10" ht="19" x14ac:dyDescent="0.25">
      <c r="B73" s="4" t="s">
        <v>98</v>
      </c>
      <c r="C73" s="4"/>
      <c r="D73" s="4"/>
      <c r="E73" s="4"/>
      <c r="F73" s="4"/>
      <c r="G73" s="4"/>
      <c r="H73" s="4"/>
      <c r="I73" s="4"/>
    </row>
    <row r="77" spans="2:10" x14ac:dyDescent="0.2">
      <c r="F77" s="6" t="s">
        <v>57</v>
      </c>
      <c r="G77" s="6" t="s">
        <v>58</v>
      </c>
      <c r="H77" s="6" t="s">
        <v>308</v>
      </c>
      <c r="I77" s="6" t="s">
        <v>59</v>
      </c>
    </row>
    <row r="80" spans="2:10" x14ac:dyDescent="0.2">
      <c r="B80" s="8" t="s">
        <v>99</v>
      </c>
    </row>
    <row r="81" spans="2:9" x14ac:dyDescent="0.2">
      <c r="B81" s="1" t="s">
        <v>68</v>
      </c>
      <c r="F81" s="29">
        <v>1090.1300000000001</v>
      </c>
      <c r="G81" s="29">
        <v>1237.741</v>
      </c>
      <c r="H81" s="29">
        <v>1362.347</v>
      </c>
      <c r="I81" s="29">
        <v>1548.3630000000001</v>
      </c>
    </row>
    <row r="82" spans="2:9" x14ac:dyDescent="0.2">
      <c r="B82" s="1" t="s">
        <v>100</v>
      </c>
      <c r="F82" s="29">
        <v>137.98500000000001</v>
      </c>
      <c r="G82" s="29">
        <v>159.47800000000001</v>
      </c>
      <c r="H82" s="29">
        <v>189.761</v>
      </c>
      <c r="I82" s="29">
        <v>215.84899999999999</v>
      </c>
    </row>
    <row r="83" spans="2:9" x14ac:dyDescent="0.2">
      <c r="B83" s="1" t="s">
        <v>101</v>
      </c>
      <c r="F83" s="29">
        <v>17.016999999999999</v>
      </c>
      <c r="G83" s="29">
        <v>9.9459999999999997</v>
      </c>
      <c r="H83" s="29">
        <v>-0.84699999999999998</v>
      </c>
      <c r="I83" s="29">
        <v>-13.44</v>
      </c>
    </row>
    <row r="84" spans="2:9" x14ac:dyDescent="0.2">
      <c r="B84" s="1" t="s">
        <v>317</v>
      </c>
      <c r="F84" s="29">
        <v>55.826000000000001</v>
      </c>
      <c r="G84" s="29">
        <v>45.326000000000001</v>
      </c>
      <c r="H84" s="29">
        <v>35.44</v>
      </c>
      <c r="I84" s="29">
        <v>26.417999999999999</v>
      </c>
    </row>
    <row r="85" spans="2:9" x14ac:dyDescent="0.2">
      <c r="B85" s="1" t="s">
        <v>102</v>
      </c>
      <c r="F85" s="29"/>
      <c r="G85" s="29"/>
      <c r="H85" s="29"/>
      <c r="I85" s="29"/>
    </row>
    <row r="86" spans="2:9" x14ac:dyDescent="0.2">
      <c r="B86" s="1" t="s">
        <v>103</v>
      </c>
      <c r="F86" s="29">
        <v>-127.634</v>
      </c>
      <c r="G86" s="29">
        <v>-90.013999999999996</v>
      </c>
      <c r="H86" s="29">
        <v>-138.82400000000001</v>
      </c>
      <c r="I86" s="29">
        <v>-34.524999999999999</v>
      </c>
    </row>
    <row r="87" spans="2:9" x14ac:dyDescent="0.2">
      <c r="B87" s="1" t="s">
        <v>104</v>
      </c>
      <c r="F87" s="29">
        <v>-10.851000000000001</v>
      </c>
      <c r="G87" s="29">
        <v>26.548999999999999</v>
      </c>
      <c r="H87" s="29">
        <v>-3.698</v>
      </c>
      <c r="I87" s="29">
        <v>4.6550000000000002</v>
      </c>
    </row>
    <row r="88" spans="2:9" x14ac:dyDescent="0.2">
      <c r="B88" s="1" t="s">
        <v>105</v>
      </c>
      <c r="F88" s="29">
        <v>36.305999999999997</v>
      </c>
      <c r="G88" s="29">
        <v>18.010000000000002</v>
      </c>
      <c r="H88" s="29">
        <v>59.527999999999999</v>
      </c>
      <c r="I88" s="29">
        <v>69.599000000000004</v>
      </c>
    </row>
    <row r="89" spans="2:9" x14ac:dyDescent="0.2">
      <c r="B89" s="1" t="s">
        <v>106</v>
      </c>
      <c r="F89" s="29">
        <v>-23.356999999999999</v>
      </c>
      <c r="G89" s="29">
        <v>-64.691999999999993</v>
      </c>
      <c r="H89" s="29">
        <v>-77.677999999999997</v>
      </c>
      <c r="I89" s="29">
        <v>27.09</v>
      </c>
    </row>
    <row r="90" spans="2:9" x14ac:dyDescent="0.2">
      <c r="B90" s="1" t="s">
        <v>85</v>
      </c>
      <c r="F90" s="29">
        <v>4.9000000000000002E-2</v>
      </c>
      <c r="G90" s="29">
        <v>21.866</v>
      </c>
      <c r="H90" s="29">
        <v>46.534999999999997</v>
      </c>
      <c r="I90" s="29">
        <v>-44.259</v>
      </c>
    </row>
    <row r="91" spans="2:9" x14ac:dyDescent="0.2">
      <c r="B91" s="7" t="s">
        <v>107</v>
      </c>
      <c r="F91" s="27">
        <f>SUM(F81:F90)</f>
        <v>1175.4710000000002</v>
      </c>
      <c r="G91" s="27">
        <f t="shared" ref="G91:I91" si="13">SUM(G81:G90)</f>
        <v>1364.21</v>
      </c>
      <c r="H91" s="27">
        <f t="shared" si="13"/>
        <v>1472.5640000000001</v>
      </c>
      <c r="I91" s="27">
        <f t="shared" si="13"/>
        <v>1799.7499999999995</v>
      </c>
    </row>
    <row r="92" spans="2:9" x14ac:dyDescent="0.2">
      <c r="F92" s="26"/>
      <c r="G92" s="26"/>
      <c r="H92" s="26"/>
      <c r="I92" s="26"/>
    </row>
    <row r="93" spans="2:9" x14ac:dyDescent="0.2">
      <c r="B93" s="8" t="s">
        <v>108</v>
      </c>
      <c r="F93" s="26"/>
      <c r="G93" s="26"/>
      <c r="H93" s="26"/>
      <c r="I93" s="26"/>
    </row>
    <row r="94" spans="2:9" x14ac:dyDescent="0.2">
      <c r="B94" s="1" t="s">
        <v>109</v>
      </c>
      <c r="F94" s="29">
        <v>-337.44799999999998</v>
      </c>
      <c r="G94" s="29">
        <v>-516.63599999999997</v>
      </c>
      <c r="H94" s="29">
        <v>-510.99</v>
      </c>
      <c r="I94" s="29">
        <v>-568.99</v>
      </c>
    </row>
    <row r="95" spans="2:9" x14ac:dyDescent="0.2">
      <c r="B95" s="1" t="s">
        <v>110</v>
      </c>
      <c r="F95" s="29">
        <v>-106.604</v>
      </c>
      <c r="G95" s="29">
        <v>0</v>
      </c>
      <c r="H95" s="29">
        <v>0</v>
      </c>
      <c r="I95" s="29">
        <v>0</v>
      </c>
    </row>
    <row r="96" spans="2:9" x14ac:dyDescent="0.2">
      <c r="B96" s="1" t="s">
        <v>318</v>
      </c>
      <c r="F96" s="29">
        <v>4.3330000000000002</v>
      </c>
      <c r="G96" s="29">
        <v>33.918999999999997</v>
      </c>
      <c r="H96" s="29">
        <v>4.1660000000000004</v>
      </c>
      <c r="I96" s="29">
        <v>31.831</v>
      </c>
    </row>
    <row r="97" spans="2:13" x14ac:dyDescent="0.2">
      <c r="B97" s="1" t="s">
        <v>111</v>
      </c>
      <c r="F97" s="29">
        <v>-2.5910000000000002</v>
      </c>
      <c r="G97" s="29">
        <v>-1409.3320000000001</v>
      </c>
      <c r="H97" s="29">
        <v>-450.91699999999997</v>
      </c>
      <c r="I97" s="29">
        <v>-49.066000000000003</v>
      </c>
    </row>
    <row r="98" spans="2:13" x14ac:dyDescent="0.2">
      <c r="B98" s="1" t="s">
        <v>112</v>
      </c>
      <c r="F98" s="29">
        <v>0</v>
      </c>
      <c r="G98" s="29">
        <v>0</v>
      </c>
      <c r="H98" s="29">
        <v>17.661999999999999</v>
      </c>
      <c r="I98" s="29">
        <v>-1.2230000000000001</v>
      </c>
      <c r="M98"/>
    </row>
    <row r="99" spans="2:13" x14ac:dyDescent="0.2">
      <c r="B99" s="7" t="s">
        <v>113</v>
      </c>
      <c r="F99" s="27">
        <f>SUM(F94:F98)</f>
        <v>-442.30999999999995</v>
      </c>
      <c r="G99" s="27">
        <f t="shared" ref="G99:I99" si="14">SUM(G94:G98)</f>
        <v>-1892.049</v>
      </c>
      <c r="H99" s="27">
        <f t="shared" si="14"/>
        <v>-940.07899999999995</v>
      </c>
      <c r="I99" s="27">
        <f t="shared" si="14"/>
        <v>-587.44799999999998</v>
      </c>
    </row>
    <row r="100" spans="2:13" x14ac:dyDescent="0.2">
      <c r="F100" s="26"/>
      <c r="G100" s="26"/>
      <c r="H100" s="26"/>
      <c r="I100" s="26"/>
    </row>
    <row r="101" spans="2:13" x14ac:dyDescent="0.2">
      <c r="B101" s="8" t="s">
        <v>114</v>
      </c>
      <c r="F101" s="26"/>
      <c r="G101" s="26"/>
      <c r="H101" s="26"/>
      <c r="I101" s="26"/>
    </row>
    <row r="102" spans="2:13" x14ac:dyDescent="0.2">
      <c r="B102" s="1" t="s">
        <v>319</v>
      </c>
      <c r="F102" s="29">
        <v>37.732999999999997</v>
      </c>
      <c r="G102" s="29">
        <v>60.777000000000001</v>
      </c>
      <c r="H102" s="29">
        <v>36.665999999999997</v>
      </c>
      <c r="I102" s="29">
        <v>57.438000000000002</v>
      </c>
    </row>
    <row r="103" spans="2:13" x14ac:dyDescent="0.2">
      <c r="B103" s="1" t="s">
        <v>317</v>
      </c>
      <c r="F103" s="29">
        <v>-1.925</v>
      </c>
      <c r="G103" s="29">
        <v>-4.7089999999999996</v>
      </c>
      <c r="H103" s="29">
        <v>-6.5579999999999998</v>
      </c>
      <c r="I103" s="29">
        <v>-5.282</v>
      </c>
    </row>
    <row r="104" spans="2:13" x14ac:dyDescent="0.2">
      <c r="B104" s="1" t="s">
        <v>115</v>
      </c>
      <c r="F104" s="29">
        <v>-417.28899999999999</v>
      </c>
      <c r="G104" s="29">
        <v>10.547000000000001</v>
      </c>
      <c r="H104" s="29">
        <v>-10.835000000000001</v>
      </c>
      <c r="I104" s="29">
        <v>-4.9000000000000002E-2</v>
      </c>
    </row>
    <row r="105" spans="2:13" x14ac:dyDescent="0.2">
      <c r="B105" s="7" t="s">
        <v>116</v>
      </c>
      <c r="F105" s="27">
        <f>SUM(F102:F104)</f>
        <v>-381.48099999999999</v>
      </c>
      <c r="G105" s="27">
        <f t="shared" ref="G105:I105" si="15">SUM(G102:G104)</f>
        <v>66.614999999999995</v>
      </c>
      <c r="H105" s="27">
        <f t="shared" si="15"/>
        <v>19.272999999999996</v>
      </c>
      <c r="I105" s="27">
        <f t="shared" si="15"/>
        <v>52.107000000000006</v>
      </c>
    </row>
    <row r="106" spans="2:13" x14ac:dyDescent="0.2">
      <c r="F106" s="26"/>
      <c r="G106" s="26"/>
      <c r="H106" s="26"/>
      <c r="I106" s="26"/>
    </row>
    <row r="107" spans="2:13" x14ac:dyDescent="0.2">
      <c r="B107" s="1" t="s">
        <v>117</v>
      </c>
      <c r="F107" s="29">
        <v>-15.704000000000001</v>
      </c>
      <c r="G107" s="29">
        <v>34.383000000000003</v>
      </c>
      <c r="H107" s="29">
        <v>4.9580000000000002</v>
      </c>
      <c r="I107" s="29">
        <v>2.0110000000000001</v>
      </c>
    </row>
    <row r="108" spans="2:13" x14ac:dyDescent="0.2">
      <c r="B108" s="7" t="s">
        <v>118</v>
      </c>
      <c r="F108" s="27">
        <f>F91+F99+F105+F107</f>
        <v>335.97600000000028</v>
      </c>
      <c r="G108" s="27">
        <f t="shared" ref="G108:I108" si="16">G91+G99+G105+G107</f>
        <v>-426.84099999999995</v>
      </c>
      <c r="H108" s="27">
        <f t="shared" si="16"/>
        <v>556.71600000000012</v>
      </c>
      <c r="I108" s="27">
        <f t="shared" si="16"/>
        <v>1266.4199999999996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3E4C3-5A3A-394F-B157-38856A18C342}">
  <sheetPr>
    <tabColor rgb="FF548235"/>
  </sheetPr>
  <dimension ref="B3:K109"/>
  <sheetViews>
    <sheetView zoomScale="164" workbookViewId="0">
      <selection activeCell="F120" sqref="F120"/>
    </sheetView>
  </sheetViews>
  <sheetFormatPr baseColWidth="10" defaultRowHeight="16" x14ac:dyDescent="0.2"/>
  <cols>
    <col min="1" max="1" width="5.83203125" style="1" customWidth="1"/>
    <col min="2" max="16384" width="10.83203125" style="1"/>
  </cols>
  <sheetData>
    <row r="3" spans="2:11" x14ac:dyDescent="0.2">
      <c r="B3" s="30" t="s">
        <v>320</v>
      </c>
      <c r="C3" s="31"/>
      <c r="D3" s="31"/>
      <c r="E3" s="31"/>
      <c r="F3" s="31"/>
      <c r="G3" s="31"/>
      <c r="H3" s="31"/>
      <c r="I3" s="31"/>
      <c r="J3" s="31"/>
      <c r="K3" s="32"/>
    </row>
    <row r="5" spans="2:11" x14ac:dyDescent="0.2">
      <c r="B5" s="33" t="s">
        <v>321</v>
      </c>
    </row>
    <row r="6" spans="2:11" x14ac:dyDescent="0.2">
      <c r="F6" s="34" t="s">
        <v>57</v>
      </c>
      <c r="G6" s="34" t="s">
        <v>58</v>
      </c>
      <c r="H6" s="34" t="s">
        <v>308</v>
      </c>
      <c r="I6" s="34" t="s">
        <v>59</v>
      </c>
      <c r="J6" s="6"/>
      <c r="K6" s="5" t="s">
        <v>322</v>
      </c>
    </row>
    <row r="7" spans="2:11" x14ac:dyDescent="0.2">
      <c r="B7" s="5" t="s">
        <v>323</v>
      </c>
      <c r="F7" s="35">
        <f>'Historical Financials'!F9</f>
        <v>3500.9209999999998</v>
      </c>
      <c r="G7" s="35">
        <f>'Historical Financials'!G9</f>
        <v>3869.518</v>
      </c>
      <c r="H7" s="35">
        <f>'Historical Financials'!H9</f>
        <v>4236.8230000000003</v>
      </c>
      <c r="I7" s="35">
        <f>'Historical Financials'!I9</f>
        <v>4646.9579999999996</v>
      </c>
      <c r="K7" s="299"/>
    </row>
    <row r="8" spans="2:11" x14ac:dyDescent="0.2">
      <c r="B8" s="5" t="s">
        <v>324</v>
      </c>
      <c r="F8" s="37"/>
      <c r="G8" s="37">
        <f>G7/F7-1</f>
        <v>0.10528572338536057</v>
      </c>
      <c r="H8" s="37">
        <f t="shared" ref="H8:I8" si="0">H7/G7-1</f>
        <v>9.492267512387853E-2</v>
      </c>
      <c r="I8" s="37">
        <f t="shared" si="0"/>
        <v>9.6802486202515192E-2</v>
      </c>
      <c r="K8" s="299"/>
    </row>
    <row r="9" spans="2:11" x14ac:dyDescent="0.2">
      <c r="B9" s="5" t="s">
        <v>381</v>
      </c>
      <c r="I9" s="38">
        <f>(I7/F7)^(1/4)-1</f>
        <v>7.3362971610957617E-2</v>
      </c>
      <c r="K9" s="5" t="s">
        <v>325</v>
      </c>
    </row>
    <row r="11" spans="2:11" x14ac:dyDescent="0.2">
      <c r="B11" s="33" t="s">
        <v>326</v>
      </c>
    </row>
    <row r="12" spans="2:11" x14ac:dyDescent="0.2">
      <c r="F12" s="34" t="s">
        <v>57</v>
      </c>
      <c r="G12" s="34" t="s">
        <v>58</v>
      </c>
      <c r="H12" s="34" t="s">
        <v>308</v>
      </c>
      <c r="I12" s="34" t="s">
        <v>59</v>
      </c>
      <c r="K12" s="5" t="s">
        <v>322</v>
      </c>
    </row>
    <row r="13" spans="2:11" x14ac:dyDescent="0.2">
      <c r="B13" s="5" t="s">
        <v>327</v>
      </c>
      <c r="F13" s="26">
        <f>'Historical Financials'!F11</f>
        <v>1724.1339999999998</v>
      </c>
      <c r="G13" s="26">
        <f>'Historical Financials'!G11</f>
        <v>1879.088</v>
      </c>
      <c r="H13" s="26">
        <f>'Historical Financials'!H11</f>
        <v>2077.9020000000005</v>
      </c>
      <c r="I13" s="26">
        <f>'Historical Financials'!I11</f>
        <v>2291.4179999999997</v>
      </c>
    </row>
    <row r="14" spans="2:11" x14ac:dyDescent="0.2">
      <c r="B14" s="5" t="s">
        <v>328</v>
      </c>
      <c r="F14" s="39">
        <f>F13/F7</f>
        <v>0.49248012165941474</v>
      </c>
      <c r="G14" s="39">
        <f t="shared" ref="G14:I14" si="1">G13/G7</f>
        <v>0.48561293680504908</v>
      </c>
      <c r="H14" s="39">
        <f t="shared" si="1"/>
        <v>0.49043870843790272</v>
      </c>
      <c r="I14" s="39">
        <f t="shared" si="1"/>
        <v>0.49310064777861129</v>
      </c>
    </row>
    <row r="15" spans="2:11" x14ac:dyDescent="0.2">
      <c r="B15" s="5"/>
      <c r="F15" s="40"/>
      <c r="G15" s="40"/>
      <c r="H15" s="40"/>
      <c r="I15" s="40"/>
    </row>
    <row r="17" spans="2:11" x14ac:dyDescent="0.2">
      <c r="B17" s="33" t="s">
        <v>329</v>
      </c>
    </row>
    <row r="18" spans="2:11" x14ac:dyDescent="0.2">
      <c r="F18" s="34" t="s">
        <v>57</v>
      </c>
      <c r="G18" s="34" t="s">
        <v>58</v>
      </c>
      <c r="H18" s="34" t="s">
        <v>308</v>
      </c>
      <c r="I18" s="34" t="s">
        <v>59</v>
      </c>
      <c r="K18" s="5" t="s">
        <v>322</v>
      </c>
    </row>
    <row r="19" spans="2:11" x14ac:dyDescent="0.2">
      <c r="B19" s="5" t="s">
        <v>52</v>
      </c>
      <c r="C19" s="28"/>
      <c r="D19" s="28"/>
      <c r="E19" s="28"/>
      <c r="F19" s="41">
        <f>-'Historical Financials'!F13/'Historical Financials'!F9</f>
        <v>6.0313271850464492E-2</v>
      </c>
      <c r="G19" s="41">
        <f>-'Historical Financials'!G13/'Historical Financials'!G9</f>
        <v>6.0224813529747116E-2</v>
      </c>
      <c r="H19" s="41">
        <f>-'Historical Financials'!H13/'Historical Financials'!H9</f>
        <v>7.4612038312669646E-2</v>
      </c>
      <c r="I19" s="41">
        <f>-'Historical Financials'!I13/'Historical Financials'!I9</f>
        <v>8.1527528331437477E-2</v>
      </c>
      <c r="J19" s="28"/>
    </row>
    <row r="20" spans="2:11" ht="17" thickBot="1" x14ac:dyDescent="0.25">
      <c r="B20" s="42" t="s">
        <v>53</v>
      </c>
      <c r="C20" s="43"/>
      <c r="D20" s="43"/>
      <c r="E20" s="43"/>
      <c r="F20" s="44">
        <f>-'Historical Financials'!F14/'Historical Financials'!F9</f>
        <v>3.9413914224285557E-2</v>
      </c>
      <c r="G20" s="44">
        <f>-'Historical Financials'!G14/'Historical Financials'!G9</f>
        <v>4.1213918632759951E-2</v>
      </c>
      <c r="H20" s="44">
        <f>-'Historical Financials'!H14/'Historical Financials'!H9</f>
        <v>4.4788512524596848E-2</v>
      </c>
      <c r="I20" s="44">
        <f>-'Historical Financials'!I14/'Historical Financials'!I9</f>
        <v>4.6449526765681981E-2</v>
      </c>
      <c r="J20" s="43"/>
      <c r="K20" s="45"/>
    </row>
    <row r="21" spans="2:11" x14ac:dyDescent="0.2">
      <c r="B21" s="5" t="s">
        <v>330</v>
      </c>
      <c r="F21" s="39">
        <f>(-'Historical Financials'!F13-'Historical Financials'!F14)/'Historical Financials'!F9</f>
        <v>9.9727186074750049E-2</v>
      </c>
      <c r="G21" s="39">
        <f>(-'Historical Financials'!G13-'Historical Financials'!G14)/'Historical Financials'!G9</f>
        <v>0.10143873216250707</v>
      </c>
      <c r="H21" s="39">
        <f>(-'Historical Financials'!H13-'Historical Financials'!H14)/'Historical Financials'!H9</f>
        <v>0.1194005508372665</v>
      </c>
      <c r="I21" s="39">
        <f>(-'Historical Financials'!I13-'Historical Financials'!I14)/'Historical Financials'!I9</f>
        <v>0.12797705509711946</v>
      </c>
    </row>
    <row r="24" spans="2:11" x14ac:dyDescent="0.2">
      <c r="B24" s="33" t="s">
        <v>331</v>
      </c>
    </row>
    <row r="25" spans="2:11" x14ac:dyDescent="0.2">
      <c r="F25" s="34" t="s">
        <v>57</v>
      </c>
      <c r="G25" s="34" t="s">
        <v>58</v>
      </c>
      <c r="H25" s="34" t="s">
        <v>308</v>
      </c>
      <c r="I25" s="34" t="s">
        <v>59</v>
      </c>
      <c r="K25" s="5" t="s">
        <v>322</v>
      </c>
    </row>
    <row r="26" spans="2:11" x14ac:dyDescent="0.2">
      <c r="B26" s="5" t="s">
        <v>332</v>
      </c>
      <c r="F26" s="39">
        <f>'Historical Financials'!F15/'Historical Financials'!F9</f>
        <v>0.39275293558466468</v>
      </c>
      <c r="G26" s="39">
        <f>'Historical Financials'!G15/'Historical Financials'!G9</f>
        <v>0.38417420464254204</v>
      </c>
      <c r="H26" s="39">
        <f>'Historical Financials'!H15/'Historical Financials'!H9</f>
        <v>0.37103815760063624</v>
      </c>
      <c r="I26" s="39">
        <f>'Historical Financials'!I15/'Historical Financials'!I9</f>
        <v>0.3651235926814918</v>
      </c>
    </row>
    <row r="27" spans="2:11" x14ac:dyDescent="0.2">
      <c r="B27" s="5" t="s">
        <v>333</v>
      </c>
      <c r="F27" s="39">
        <f>('Historical Financials'!F15-'Historical Financials'!F14)/'Historical Financials'!F9</f>
        <v>0.43216684980895026</v>
      </c>
      <c r="G27" s="39">
        <f>('Historical Financials'!G15-'Historical Financials'!G14)/'Historical Financials'!G9</f>
        <v>0.42538812327530201</v>
      </c>
      <c r="H27" s="39">
        <f>('Historical Financials'!H15-'Historical Financials'!H14)/'Historical Financials'!H9</f>
        <v>0.41582667012523311</v>
      </c>
      <c r="I27" s="39">
        <f>('Historical Financials'!I15-'Historical Financials'!I14)/'Historical Financials'!I9</f>
        <v>0.41157311944717379</v>
      </c>
    </row>
    <row r="28" spans="2:11" x14ac:dyDescent="0.2">
      <c r="B28" s="5" t="s">
        <v>334</v>
      </c>
      <c r="F28" s="39">
        <f>'Historical Financials'!F26/'Historical Financials'!F9</f>
        <v>0.31136863699580763</v>
      </c>
      <c r="G28" s="39">
        <f>'Historical Financials'!G26/'Historical Financials'!G9</f>
        <v>0.31986955481276996</v>
      </c>
      <c r="H28" s="39">
        <f>'Historical Financials'!H26/'Historical Financials'!H9</f>
        <v>0.32138397096126048</v>
      </c>
      <c r="I28" s="39">
        <f>'Historical Financials'!I26/'Historical Financials'!I9</f>
        <v>0.33231696950994605</v>
      </c>
    </row>
    <row r="32" spans="2:11" x14ac:dyDescent="0.2">
      <c r="B32" s="30" t="s">
        <v>335</v>
      </c>
      <c r="C32" s="31"/>
      <c r="D32" s="31"/>
      <c r="E32" s="31"/>
      <c r="F32" s="31"/>
      <c r="G32" s="31"/>
      <c r="H32" s="31"/>
      <c r="I32" s="31"/>
      <c r="J32" s="31"/>
      <c r="K32" s="32"/>
    </row>
    <row r="35" spans="2:11" x14ac:dyDescent="0.2">
      <c r="B35" s="33" t="s">
        <v>336</v>
      </c>
    </row>
    <row r="36" spans="2:11" x14ac:dyDescent="0.2">
      <c r="F36" s="34" t="s">
        <v>57</v>
      </c>
      <c r="G36" s="34" t="s">
        <v>58</v>
      </c>
      <c r="H36" s="34" t="s">
        <v>308</v>
      </c>
      <c r="I36" s="34" t="s">
        <v>59</v>
      </c>
      <c r="K36" s="5" t="s">
        <v>337</v>
      </c>
    </row>
    <row r="37" spans="2:11" x14ac:dyDescent="0.2">
      <c r="B37" s="5" t="s">
        <v>338</v>
      </c>
      <c r="F37" s="26">
        <f>'Historical Financials'!F91</f>
        <v>1175.4710000000002</v>
      </c>
      <c r="G37" s="26">
        <f>'Historical Financials'!G91</f>
        <v>1364.21</v>
      </c>
      <c r="H37" s="26">
        <f>'Historical Financials'!H91</f>
        <v>1472.5640000000001</v>
      </c>
      <c r="I37" s="26">
        <f>'Historical Financials'!I91</f>
        <v>1799.7499999999995</v>
      </c>
    </row>
    <row r="38" spans="2:11" x14ac:dyDescent="0.2">
      <c r="B38" s="5" t="s">
        <v>339</v>
      </c>
      <c r="F38" s="26">
        <f>'Historical Financials'!F91-'Historical Financials'!F94</f>
        <v>1512.9190000000003</v>
      </c>
      <c r="G38" s="26">
        <f>'Historical Financials'!G91-'Historical Financials'!G94</f>
        <v>1880.846</v>
      </c>
      <c r="H38" s="26">
        <f>'Historical Financials'!H91-'Historical Financials'!H94</f>
        <v>1983.5540000000001</v>
      </c>
      <c r="I38" s="26">
        <f>'Historical Financials'!I91-'Historical Financials'!I94</f>
        <v>2368.7399999999998</v>
      </c>
    </row>
    <row r="39" spans="2:11" x14ac:dyDescent="0.2">
      <c r="B39" s="46"/>
    </row>
    <row r="41" spans="2:11" x14ac:dyDescent="0.2">
      <c r="B41" s="33" t="s">
        <v>340</v>
      </c>
      <c r="F41" s="53"/>
      <c r="G41" s="53"/>
      <c r="H41" s="53"/>
      <c r="I41" s="53"/>
    </row>
    <row r="42" spans="2:11" x14ac:dyDescent="0.2">
      <c r="F42" s="34" t="s">
        <v>57</v>
      </c>
      <c r="G42" s="34" t="s">
        <v>58</v>
      </c>
      <c r="H42" s="34" t="s">
        <v>308</v>
      </c>
      <c r="I42" s="34" t="s">
        <v>59</v>
      </c>
      <c r="K42" s="5" t="s">
        <v>322</v>
      </c>
    </row>
    <row r="43" spans="2:11" x14ac:dyDescent="0.2">
      <c r="B43" s="5" t="s">
        <v>341</v>
      </c>
    </row>
    <row r="44" spans="2:11" x14ac:dyDescent="0.2">
      <c r="B44" s="46" t="s">
        <v>342</v>
      </c>
      <c r="F44" s="26">
        <f>'Historical Financials'!F86</f>
        <v>-127.634</v>
      </c>
      <c r="G44" s="26">
        <f>'Historical Financials'!G86</f>
        <v>-90.013999999999996</v>
      </c>
      <c r="H44" s="26">
        <f>'Historical Financials'!H86</f>
        <v>-138.82400000000001</v>
      </c>
      <c r="I44" s="26">
        <f>'Historical Financials'!I86</f>
        <v>-34.524999999999999</v>
      </c>
    </row>
    <row r="45" spans="2:11" x14ac:dyDescent="0.2">
      <c r="B45" s="47" t="s">
        <v>343</v>
      </c>
      <c r="F45" s="26">
        <f>'Historical Financials'!F88</f>
        <v>36.305999999999997</v>
      </c>
      <c r="G45" s="26">
        <f>'Historical Financials'!G88</f>
        <v>18.010000000000002</v>
      </c>
      <c r="H45" s="26">
        <f>'Historical Financials'!H88</f>
        <v>59.527999999999999</v>
      </c>
      <c r="I45" s="26">
        <f>'Historical Financials'!I88</f>
        <v>69.599000000000004</v>
      </c>
    </row>
    <row r="46" spans="2:11" x14ac:dyDescent="0.2">
      <c r="B46" s="47" t="s">
        <v>344</v>
      </c>
      <c r="F46" s="26">
        <f>'Historical Financials'!F87</f>
        <v>-10.851000000000001</v>
      </c>
      <c r="G46" s="26">
        <f>'Historical Financials'!G87</f>
        <v>26.548999999999999</v>
      </c>
      <c r="H46" s="26">
        <f>'Historical Financials'!H87</f>
        <v>-3.698</v>
      </c>
      <c r="I46" s="26">
        <f>'Historical Financials'!I87</f>
        <v>4.6550000000000002</v>
      </c>
    </row>
    <row r="47" spans="2:11" x14ac:dyDescent="0.2">
      <c r="B47" s="47" t="s">
        <v>345</v>
      </c>
      <c r="F47" s="26">
        <f>SUM('Historical Financials'!F89:F90)</f>
        <v>-23.308</v>
      </c>
      <c r="G47" s="26">
        <f>SUM('Historical Financials'!G89:G90)</f>
        <v>-42.825999999999993</v>
      </c>
      <c r="H47" s="26">
        <f>SUM('Historical Financials'!H89:H90)</f>
        <v>-31.143000000000001</v>
      </c>
      <c r="I47" s="26">
        <f>SUM('Historical Financials'!I89:I90)</f>
        <v>-17.169</v>
      </c>
    </row>
    <row r="49" spans="2:9" x14ac:dyDescent="0.2">
      <c r="B49" s="5" t="s">
        <v>346</v>
      </c>
      <c r="F49" s="26">
        <f t="shared" ref="F49:I49" si="2">SUM(F44:F47)</f>
        <v>-125.48699999999999</v>
      </c>
      <c r="G49" s="26">
        <f t="shared" si="2"/>
        <v>-88.280999999999977</v>
      </c>
      <c r="H49" s="26">
        <f t="shared" si="2"/>
        <v>-114.13700000000001</v>
      </c>
      <c r="I49" s="26">
        <f t="shared" si="2"/>
        <v>22.560000000000006</v>
      </c>
    </row>
    <row r="51" spans="2:9" x14ac:dyDescent="0.2">
      <c r="B51" s="5" t="s">
        <v>347</v>
      </c>
      <c r="F51" s="48">
        <f>'Historical Financials'!F37/('Historical Financials'!F9/365)</f>
        <v>59.564423190354773</v>
      </c>
      <c r="G51" s="48">
        <f>'Historical Financials'!G37/('Historical Financials'!G9/365)</f>
        <v>64.680396886640651</v>
      </c>
      <c r="H51" s="48">
        <f>'Historical Financials'!H37/('Historical Financials'!H9/365)</f>
        <v>65.467039807893784</v>
      </c>
      <c r="I51" s="48">
        <f>'Historical Financials'!I37/('Historical Financials'!I9/365)</f>
        <v>57.242052757954781</v>
      </c>
    </row>
    <row r="52" spans="2:9" x14ac:dyDescent="0.2">
      <c r="B52" s="5" t="s">
        <v>349</v>
      </c>
      <c r="F52" s="48">
        <f>'Historical Financials'!F39/(-'Historical Financials'!F10/365)</f>
        <v>12.077257994345974</v>
      </c>
      <c r="G52" s="48">
        <f>'Historical Financials'!G39/(-'Historical Financials'!G10/365)</f>
        <v>7.3301472546133235</v>
      </c>
      <c r="H52" s="48">
        <f>'Historical Financials'!H39/(-'Historical Financials'!H10/365)</f>
        <v>7.3778683888850045</v>
      </c>
      <c r="I52" s="48">
        <f>'Historical Financials'!I39/(-'Historical Financials'!I10/365)</f>
        <v>6.1456247824278085</v>
      </c>
    </row>
    <row r="53" spans="2:9" x14ac:dyDescent="0.2">
      <c r="B53" s="5" t="s">
        <v>348</v>
      </c>
      <c r="F53" s="48">
        <f>'Historical Financials'!F51/(-'Historical Financials'!F10/365)</f>
        <v>38.449769161976079</v>
      </c>
      <c r="G53" s="48">
        <f>'Historical Financials'!G51/(-'Historical Financials'!G10/365)</f>
        <v>33.010877046668305</v>
      </c>
      <c r="H53" s="48">
        <f>'Historical Financials'!H51/(-'Historical Financials'!H10/365)</f>
        <v>32.686024639160031</v>
      </c>
      <c r="I53" s="48">
        <f>'Historical Financials'!I51/(-'Historical Financials'!I10/365)</f>
        <v>33.222416091427014</v>
      </c>
    </row>
    <row r="54" spans="2:9" x14ac:dyDescent="0.2">
      <c r="B54" s="5"/>
    </row>
    <row r="55" spans="2:9" x14ac:dyDescent="0.2">
      <c r="B55" s="5" t="s">
        <v>350</v>
      </c>
      <c r="F55" s="48">
        <f t="shared" ref="F55:I55" si="3">F51+F53-F52</f>
        <v>85.936934357984882</v>
      </c>
      <c r="G55" s="48">
        <f t="shared" si="3"/>
        <v>90.361126678695641</v>
      </c>
      <c r="H55" s="48">
        <f t="shared" si="3"/>
        <v>90.775196058168817</v>
      </c>
      <c r="I55" s="48">
        <f t="shared" si="3"/>
        <v>84.318844066954</v>
      </c>
    </row>
    <row r="57" spans="2:9" x14ac:dyDescent="0.2">
      <c r="B57" s="33" t="s">
        <v>351</v>
      </c>
    </row>
    <row r="58" spans="2:9" x14ac:dyDescent="0.2">
      <c r="F58" s="34" t="s">
        <v>57</v>
      </c>
      <c r="G58" s="34" t="s">
        <v>58</v>
      </c>
      <c r="H58" s="34" t="s">
        <v>308</v>
      </c>
      <c r="I58" s="34" t="s">
        <v>59</v>
      </c>
    </row>
    <row r="59" spans="2:9" x14ac:dyDescent="0.2">
      <c r="F59" s="34"/>
      <c r="G59" s="34"/>
      <c r="H59" s="34"/>
      <c r="I59" s="34"/>
    </row>
    <row r="60" spans="2:9" x14ac:dyDescent="0.2">
      <c r="B60" s="5" t="s">
        <v>352</v>
      </c>
      <c r="F60" s="26">
        <f>-'Historical Financials'!F94</f>
        <v>337.44799999999998</v>
      </c>
      <c r="G60" s="26">
        <f>-'Historical Financials'!G94</f>
        <v>516.63599999999997</v>
      </c>
      <c r="H60" s="26">
        <f>-'Historical Financials'!H94</f>
        <v>510.99</v>
      </c>
      <c r="I60" s="26">
        <f>-'Historical Financials'!I94</f>
        <v>568.99</v>
      </c>
    </row>
    <row r="61" spans="2:9" x14ac:dyDescent="0.2">
      <c r="B61" s="46" t="s">
        <v>353</v>
      </c>
      <c r="F61" s="49">
        <f>F60/F7</f>
        <v>9.6388350379800064E-2</v>
      </c>
      <c r="G61" s="49">
        <f t="shared" ref="G61:I61" si="4">G60/G7</f>
        <v>0.13351430333183614</v>
      </c>
      <c r="H61" s="49">
        <f t="shared" si="4"/>
        <v>0.12060687925834994</v>
      </c>
      <c r="I61" s="49">
        <f t="shared" si="4"/>
        <v>0.1224435426358491</v>
      </c>
    </row>
    <row r="63" spans="2:9" x14ac:dyDescent="0.2">
      <c r="B63" s="5" t="s">
        <v>354</v>
      </c>
      <c r="F63" s="40">
        <f>F60/-'Historical Financials'!F14</f>
        <v>2.445541182012537</v>
      </c>
      <c r="G63" s="40">
        <f>G60/-'Historical Financials'!G14</f>
        <v>3.2395440123402599</v>
      </c>
      <c r="H63" s="40">
        <f>H60/-'Historical Financials'!H14</f>
        <v>2.692808322047207</v>
      </c>
      <c r="I63" s="40">
        <f>I60/-'Historical Financials'!I14</f>
        <v>2.6360557612034339</v>
      </c>
    </row>
    <row r="65" spans="2:11" x14ac:dyDescent="0.2">
      <c r="B65" s="30" t="s">
        <v>355</v>
      </c>
      <c r="C65" s="31"/>
      <c r="D65" s="31"/>
      <c r="E65" s="31"/>
      <c r="F65" s="31"/>
      <c r="G65" s="31"/>
      <c r="H65" s="31"/>
      <c r="I65" s="31"/>
      <c r="J65" s="31"/>
      <c r="K65" s="32"/>
    </row>
    <row r="68" spans="2:11" x14ac:dyDescent="0.2">
      <c r="B68" s="33" t="s">
        <v>356</v>
      </c>
    </row>
    <row r="69" spans="2:11" x14ac:dyDescent="0.2">
      <c r="F69" s="34" t="s">
        <v>57</v>
      </c>
      <c r="G69" s="34" t="s">
        <v>58</v>
      </c>
      <c r="H69" s="34" t="s">
        <v>308</v>
      </c>
      <c r="I69" s="34" t="s">
        <v>59</v>
      </c>
      <c r="K69" s="5" t="s">
        <v>322</v>
      </c>
    </row>
    <row r="70" spans="2:11" x14ac:dyDescent="0.2">
      <c r="B70" s="5" t="s">
        <v>357</v>
      </c>
      <c r="F70" s="50">
        <f>'Historical Financials'!F41/'Historical Financials'!F55</f>
        <v>4.7409053072315261</v>
      </c>
      <c r="G70" s="50">
        <f>'Historical Financials'!G41/'Historical Financials'!G55</f>
        <v>6.3698791928875389</v>
      </c>
      <c r="H70" s="50">
        <f>'Historical Financials'!H41/'Historical Financials'!H55</f>
        <v>6.8179621265513477</v>
      </c>
      <c r="I70" s="50">
        <f>'Historical Financials'!I41/'Historical Financials'!I55</f>
        <v>8.2520705244255286</v>
      </c>
      <c r="K70" s="299"/>
    </row>
    <row r="71" spans="2:11" x14ac:dyDescent="0.2">
      <c r="B71" s="5" t="s">
        <v>358</v>
      </c>
      <c r="F71" s="50">
        <f>('Historical Financials'!F41-'Historical Financials'!F39)/'Historical Financials'!F55</f>
        <v>4.6075588186595722</v>
      </c>
      <c r="G71" s="50">
        <f>('Historical Financials'!G41-'Historical Financials'!G39)/'Historical Financials'!G55</f>
        <v>6.2887600478114489</v>
      </c>
      <c r="H71" s="50">
        <f>('Historical Financials'!H41-'Historical Financials'!H39)/'Historical Financials'!H55</f>
        <v>6.7485359555942344</v>
      </c>
      <c r="I71" s="50">
        <f>('Historical Financials'!I41-'Historical Financials'!I39)/'Historical Financials'!I55</f>
        <v>8.1940255912282058</v>
      </c>
      <c r="K71" s="299"/>
    </row>
    <row r="74" spans="2:11" x14ac:dyDescent="0.2">
      <c r="B74" s="33" t="s">
        <v>359</v>
      </c>
    </row>
    <row r="75" spans="2:11" x14ac:dyDescent="0.2">
      <c r="F75" s="34" t="s">
        <v>57</v>
      </c>
      <c r="G75" s="34" t="s">
        <v>58</v>
      </c>
      <c r="H75" s="34" t="s">
        <v>308</v>
      </c>
      <c r="I75" s="34" t="s">
        <v>59</v>
      </c>
    </row>
    <row r="76" spans="2:11" x14ac:dyDescent="0.2">
      <c r="B76" s="1" t="s">
        <v>360</v>
      </c>
      <c r="F76" s="26">
        <f>'Historical Financials'!F52+'Historical Financials'!F57</f>
        <v>119.473</v>
      </c>
      <c r="G76" s="26">
        <f>'Historical Financials'!G52+'Historical Financials'!G57</f>
        <v>120.453</v>
      </c>
      <c r="H76" s="26">
        <f>'Historical Financials'!H52+'Historical Financials'!H57</f>
        <v>118.733</v>
      </c>
      <c r="I76" s="26">
        <f>'Historical Financials'!I52+'Historical Financials'!I57</f>
        <v>103.739</v>
      </c>
    </row>
    <row r="77" spans="2:11" x14ac:dyDescent="0.2">
      <c r="B77" s="1" t="s">
        <v>361</v>
      </c>
      <c r="F77" s="26">
        <f>'Historical Financials'!F64+'Historical Financials'!F65</f>
        <v>4794.9399999999996</v>
      </c>
      <c r="G77" s="26">
        <f>'Historical Financials'!G64+'Historical Financials'!G65</f>
        <v>6128.3499999999995</v>
      </c>
      <c r="H77" s="26">
        <f>'Historical Financials'!H64+'Historical Financials'!H65</f>
        <v>7666.8869999999997</v>
      </c>
      <c r="I77" s="26">
        <f>'Historical Financials'!I64+'Historical Financials'!I65</f>
        <v>9307.219000000001</v>
      </c>
    </row>
    <row r="79" spans="2:11" x14ac:dyDescent="0.2">
      <c r="B79" s="5" t="s">
        <v>362</v>
      </c>
      <c r="F79" s="51">
        <f>F76/F77</f>
        <v>2.4916474450149533E-2</v>
      </c>
      <c r="G79" s="51">
        <f t="shared" ref="G79:I79" si="5">G76/G77</f>
        <v>1.9655045811678512E-2</v>
      </c>
      <c r="H79" s="51">
        <f t="shared" si="5"/>
        <v>1.548646797585513E-2</v>
      </c>
      <c r="I79" s="51">
        <f t="shared" si="5"/>
        <v>1.114607918863841E-2</v>
      </c>
    </row>
    <row r="80" spans="2:11" x14ac:dyDescent="0.2">
      <c r="B80" s="5"/>
      <c r="F80" s="52"/>
      <c r="G80" s="52"/>
      <c r="H80" s="52"/>
      <c r="I80" s="52"/>
    </row>
    <row r="82" spans="2:9" x14ac:dyDescent="0.2">
      <c r="B82" s="33" t="s">
        <v>363</v>
      </c>
    </row>
    <row r="83" spans="2:9" x14ac:dyDescent="0.2">
      <c r="F83" s="34" t="s">
        <v>57</v>
      </c>
      <c r="G83" s="34" t="s">
        <v>58</v>
      </c>
      <c r="H83" s="34" t="s">
        <v>308</v>
      </c>
      <c r="I83" s="34" t="s">
        <v>59</v>
      </c>
    </row>
    <row r="84" spans="2:9" x14ac:dyDescent="0.2">
      <c r="B84" s="5" t="s">
        <v>364</v>
      </c>
      <c r="F84" s="26">
        <f>'Historical Financials'!F68</f>
        <v>4625.5749999999998</v>
      </c>
      <c r="G84" s="26">
        <f>'Historical Financials'!G68</f>
        <v>5987.3439999999991</v>
      </c>
      <c r="H84" s="26">
        <f>'Historical Financials'!H68</f>
        <v>7548.4589999999998</v>
      </c>
      <c r="I84" s="26">
        <f>'Historical Financials'!I68</f>
        <v>9207.3940000000021</v>
      </c>
    </row>
    <row r="85" spans="2:9" x14ac:dyDescent="0.2">
      <c r="B85" s="5"/>
      <c r="F85" s="26"/>
      <c r="G85" s="26"/>
      <c r="H85" s="26"/>
      <c r="I85" s="26"/>
    </row>
    <row r="86" spans="2:9" x14ac:dyDescent="0.2">
      <c r="B86" s="5" t="s">
        <v>365</v>
      </c>
      <c r="F86" s="39"/>
      <c r="G86" s="39">
        <f>G84/F84-1</f>
        <v>0.29439993946698495</v>
      </c>
      <c r="H86" s="39">
        <f t="shared" ref="H86:I86" si="6">H84/G84-1</f>
        <v>0.26073581207293262</v>
      </c>
      <c r="I86" s="39">
        <f t="shared" si="6"/>
        <v>0.21977134670798404</v>
      </c>
    </row>
    <row r="89" spans="2:9" x14ac:dyDescent="0.2">
      <c r="B89" s="33" t="s">
        <v>366</v>
      </c>
    </row>
    <row r="90" spans="2:9" x14ac:dyDescent="0.2">
      <c r="F90" s="34" t="s">
        <v>57</v>
      </c>
      <c r="G90" s="34" t="s">
        <v>58</v>
      </c>
      <c r="H90" s="34" t="s">
        <v>308</v>
      </c>
      <c r="I90" s="34" t="s">
        <v>59</v>
      </c>
    </row>
    <row r="91" spans="2:9" x14ac:dyDescent="0.2">
      <c r="B91" s="5"/>
    </row>
    <row r="92" spans="2:9" x14ac:dyDescent="0.2">
      <c r="B92" s="5" t="s">
        <v>367</v>
      </c>
      <c r="F92" s="39">
        <f>'Historical Financials'!F26/'Historical Financials'!F68</f>
        <v>0.23566302567788866</v>
      </c>
      <c r="G92" s="39">
        <f>'Historical Financials'!G26/'Historical Financials'!G68</f>
        <v>0.20672622117586698</v>
      </c>
      <c r="H92" s="39">
        <f>'Historical Financials'!H26/'Historical Financials'!H68</f>
        <v>0.18038741417287962</v>
      </c>
      <c r="I92" s="39">
        <f>'Historical Financials'!I26/'Historical Financials'!I68</f>
        <v>0.16771987817617007</v>
      </c>
    </row>
    <row r="93" spans="2:9" x14ac:dyDescent="0.2">
      <c r="B93" s="46" t="s">
        <v>368</v>
      </c>
      <c r="F93" s="39"/>
      <c r="G93" s="39"/>
      <c r="H93" s="39"/>
      <c r="I93" s="39"/>
    </row>
    <row r="94" spans="2:9" x14ac:dyDescent="0.2">
      <c r="F94" s="39"/>
      <c r="G94" s="39"/>
      <c r="H94" s="39"/>
      <c r="I94" s="39"/>
    </row>
    <row r="95" spans="2:9" x14ac:dyDescent="0.2">
      <c r="B95" s="5" t="s">
        <v>369</v>
      </c>
      <c r="F95" s="39">
        <f>'Historical Financials'!F26/'Historical Financials'!F48</f>
        <v>0.20533149841472673</v>
      </c>
      <c r="G95" s="39">
        <f>'Historical Financials'!G26/'Historical Financials'!G48</f>
        <v>0.18369890584262497</v>
      </c>
      <c r="H95" s="39">
        <f>'Historical Financials'!H26/'Historical Financials'!H48</f>
        <v>0.16156681653639093</v>
      </c>
      <c r="I95" s="39">
        <f>'Historical Financials'!I26/'Historical Financials'!I48</f>
        <v>0.15303517961030638</v>
      </c>
    </row>
    <row r="96" spans="2:9" x14ac:dyDescent="0.2">
      <c r="B96" s="46" t="s">
        <v>370</v>
      </c>
      <c r="F96" s="39"/>
      <c r="G96" s="39"/>
      <c r="H96" s="39"/>
      <c r="I96" s="39"/>
    </row>
    <row r="98" spans="2:9" x14ac:dyDescent="0.2">
      <c r="B98" s="5" t="s">
        <v>371</v>
      </c>
    </row>
    <row r="99" spans="2:9" x14ac:dyDescent="0.2">
      <c r="B99" s="5" t="s">
        <v>372</v>
      </c>
      <c r="F99" s="26">
        <f>'Historical Financials'!F15</f>
        <v>1374.9969999999998</v>
      </c>
      <c r="G99" s="26">
        <f>'Historical Financials'!G15</f>
        <v>1486.569</v>
      </c>
      <c r="H99" s="26">
        <f>'Historical Financials'!H15</f>
        <v>1572.0230000000006</v>
      </c>
      <c r="I99" s="26">
        <f>'Historical Financials'!I15</f>
        <v>1696.7139999999997</v>
      </c>
    </row>
    <row r="100" spans="2:9" x14ac:dyDescent="0.2">
      <c r="B100" s="5" t="s">
        <v>373</v>
      </c>
      <c r="F100" s="39">
        <f>1-(-'Historical Financials'!I22/'Historical Financials'!I20)</f>
        <v>0.81682766391939987</v>
      </c>
      <c r="G100" s="39">
        <f>F100</f>
        <v>0.81682766391939987</v>
      </c>
      <c r="H100" s="39">
        <f t="shared" ref="H100:I100" si="7">G100</f>
        <v>0.81682766391939987</v>
      </c>
      <c r="I100" s="39">
        <f t="shared" si="7"/>
        <v>0.81682766391939987</v>
      </c>
    </row>
    <row r="101" spans="2:9" x14ac:dyDescent="0.2">
      <c r="B101" s="5" t="s">
        <v>374</v>
      </c>
      <c r="F101" s="26">
        <f>F99*F100</f>
        <v>1123.135587406183</v>
      </c>
      <c r="G101" s="26">
        <f t="shared" ref="G101:I101" si="8">G99*G100</f>
        <v>1214.2706835249983</v>
      </c>
      <c r="H101" s="26">
        <f t="shared" si="8"/>
        <v>1284.0718747175672</v>
      </c>
      <c r="I101" s="26">
        <f t="shared" si="8"/>
        <v>1385.9229329593404</v>
      </c>
    </row>
    <row r="103" spans="2:9" x14ac:dyDescent="0.2">
      <c r="B103" s="5" t="s">
        <v>375</v>
      </c>
    </row>
    <row r="104" spans="2:9" x14ac:dyDescent="0.2">
      <c r="B104" s="5" t="s">
        <v>376</v>
      </c>
      <c r="F104" s="26">
        <f>'Historical Financials'!F64+'Historical Financials'!F65</f>
        <v>4794.9399999999996</v>
      </c>
      <c r="G104" s="26">
        <f>'Historical Financials'!G64+'Historical Financials'!G65</f>
        <v>6128.3499999999995</v>
      </c>
      <c r="H104" s="26">
        <f>'Historical Financials'!H64+'Historical Financials'!H65</f>
        <v>7666.8869999999997</v>
      </c>
      <c r="I104" s="26">
        <f>'Historical Financials'!I64+'Historical Financials'!I65</f>
        <v>9307.219000000001</v>
      </c>
    </row>
    <row r="105" spans="2:9" x14ac:dyDescent="0.2">
      <c r="B105" s="5" t="s">
        <v>377</v>
      </c>
      <c r="F105" s="26">
        <f>F76</f>
        <v>119.473</v>
      </c>
      <c r="G105" s="26">
        <f t="shared" ref="G105:I105" si="9">G76</f>
        <v>120.453</v>
      </c>
      <c r="H105" s="26">
        <f t="shared" si="9"/>
        <v>118.733</v>
      </c>
      <c r="I105" s="26">
        <f t="shared" si="9"/>
        <v>103.739</v>
      </c>
    </row>
    <row r="106" spans="2:9" x14ac:dyDescent="0.2">
      <c r="B106" s="5" t="s">
        <v>378</v>
      </c>
      <c r="F106" s="26">
        <f>'Historical Financials'!F36-2%*'Historical Financials'!F9</f>
        <v>1314.21758</v>
      </c>
      <c r="G106" s="26">
        <f>'Historical Financials'!G36-2%*'Historical Financials'!G9</f>
        <v>2286.5936400000001</v>
      </c>
      <c r="H106" s="26">
        <f>'Historical Financials'!H36-2%*'Historical Financials'!H9</f>
        <v>3337.4215399999998</v>
      </c>
      <c r="I106" s="26">
        <f>'Historical Financials'!I36-2%*'Historical Financials'!I9</f>
        <v>4696.1308399999998</v>
      </c>
    </row>
    <row r="107" spans="2:9" x14ac:dyDescent="0.2">
      <c r="B107" s="5" t="s">
        <v>379</v>
      </c>
      <c r="F107" s="26">
        <f>F104+F105-F106</f>
        <v>3600.1954199999996</v>
      </c>
      <c r="G107" s="26">
        <f t="shared" ref="G107:I107" si="10">G104+G105-G106</f>
        <v>3962.2093599999998</v>
      </c>
      <c r="H107" s="26">
        <f t="shared" si="10"/>
        <v>4448.1984599999996</v>
      </c>
      <c r="I107" s="26">
        <f t="shared" si="10"/>
        <v>4714.8271600000007</v>
      </c>
    </row>
    <row r="109" spans="2:9" x14ac:dyDescent="0.2">
      <c r="B109" s="46" t="s">
        <v>380</v>
      </c>
      <c r="F109" s="39">
        <f>F101/F107</f>
        <v>0.3119651731033487</v>
      </c>
      <c r="G109" s="39">
        <f t="shared" ref="G109:I109" si="11">G101/G107</f>
        <v>0.30646302938545333</v>
      </c>
      <c r="H109" s="39">
        <f t="shared" si="11"/>
        <v>0.28867234370598815</v>
      </c>
      <c r="I109" s="39">
        <f t="shared" si="11"/>
        <v>0.29394989167733143</v>
      </c>
    </row>
  </sheetData>
  <mergeCells count="2">
    <mergeCell ref="K7:K8"/>
    <mergeCell ref="K70:K71"/>
  </mergeCells>
  <pageMargins left="0.7" right="0.7" top="0.75" bottom="0.75" header="0.3" footer="0.3"/>
  <ignoredErrors>
    <ignoredError sqref="F47" formulaRange="1"/>
  </ignoredError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A43181DF-BD8A-2C4D-AA0A-DD051986EAD0}">
          <x14:colorSeries theme="9" tint="-0.249977111117893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Analysis'!F95:I95</xm:f>
              <xm:sqref>K95</xm:sqref>
            </x14:sparkline>
          </x14:sparklines>
        </x14:sparklineGroup>
        <x14:sparklineGroup displayEmptyCellsAs="gap" markers="1" xr2:uid="{67A2D9BB-3E94-764D-9FF2-CFDD943FCFB1}">
          <x14:colorSeries theme="9" tint="-0.249977111117893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Analysis'!F92:I92</xm:f>
              <xm:sqref>K92</xm:sqref>
            </x14:sparkline>
          </x14:sparklines>
        </x14:sparklineGroup>
        <x14:sparklineGroup displayEmptyCellsAs="gap" markers="1" xr2:uid="{EF3F7FBD-638C-9F4A-AE0A-6EB47ACD3DC7}">
          <x14:colorSeries rgb="FFFF0000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Analysis'!F86:I86</xm:f>
              <xm:sqref>K86</xm:sqref>
            </x14:sparkline>
          </x14:sparklines>
        </x14:sparklineGroup>
        <x14:sparklineGroup displayEmptyCellsAs="gap" markers="1" xr2:uid="{44E6A049-CA4E-9746-AE65-C0D7FFB977A0}">
          <x14:colorSeries theme="5" tint="0.39997558519241921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Analysis'!F70:I70</xm:f>
              <xm:sqref>K70</xm:sqref>
            </x14:sparkline>
          </x14:sparklines>
        </x14:sparklineGroup>
        <x14:sparklineGroup displayEmptyCellsAs="gap" markers="1" negative="1" xr2:uid="{E689B8C1-0026-F741-B7EC-BEF7B11EEE1A}">
          <x14:colorSeries theme="9" tint="0.39997558519241921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Analysis'!F93:I93</xm:f>
              <xm:sqref>K93</xm:sqref>
            </x14:sparkline>
          </x14:sparklines>
        </x14:sparklineGroup>
        <x14:sparklineGroup displayEmptyCellsAs="gap" markers="1" negative="1" xr2:uid="{F250381F-680A-7F49-8D17-7DEC32C92E8F}">
          <x14:colorSeries theme="9" tint="0.39997558519241921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Analysis'!F96:I96</xm:f>
              <xm:sqref>K96</xm:sqref>
            </x14:sparkline>
          </x14:sparklines>
        </x14:sparklineGroup>
        <x14:sparklineGroup displayEmptyCellsAs="gap" markers="1" negative="1" xr2:uid="{EE3FF859-809B-0045-B6C8-6EA17BBE90E1}">
          <x14:colorSeries theme="9" tint="-0.249977111117893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Analysis'!F109:I109</xm:f>
              <xm:sqref>K109</xm:sqref>
            </x14:sparkline>
          </x14:sparklines>
        </x14:sparklineGroup>
        <x14:sparklineGroup displayEmptyCellsAs="gap" markers="1" xr2:uid="{5F6478F4-D552-F341-A248-1DB350D9D90D}">
          <x14:colorSeries theme="9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Analysis'!F37:I37</xm:f>
              <xm:sqref>K37</xm:sqref>
            </x14:sparkline>
          </x14:sparklines>
        </x14:sparklineGroup>
        <x14:sparklineGroup displayEmptyCellsAs="gap" markers="1" xr2:uid="{43393098-1519-C44C-B2F4-D24FAF421E92}">
          <x14:colorSeries theme="9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Analysis'!F38:I38</xm:f>
              <xm:sqref>K38</xm:sqref>
            </x14:sparkline>
          </x14:sparklines>
        </x14:sparklineGroup>
        <x14:sparklineGroup type="column" displayEmptyCellsAs="gap" xr2:uid="{21316BA6-2A77-6D4D-83C2-9B84FF1C841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'Historical Analysis'!F49:I49</xm:f>
              <xm:sqref>K49</xm:sqref>
            </x14:sparkline>
          </x14:sparklines>
        </x14:sparklineGroup>
        <x14:sparklineGroup type="column" displayEmptyCellsAs="gap" xr2:uid="{3179751F-C9D7-4B46-9F25-B738F76C5B2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'Historical Analysis'!F55:I55</xm:f>
              <xm:sqref>K55</xm:sqref>
            </x14:sparkline>
          </x14:sparklines>
        </x14:sparklineGroup>
        <x14:sparklineGroup displayEmptyCellsAs="gap" markers="1" xr2:uid="{65C8225E-3BBF-A942-AFFF-3B8347053642}">
          <x14:colorSeries theme="5" tint="0.39997558519241921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Analysis'!F61:I61</xm:f>
              <xm:sqref>K61</xm:sqref>
            </x14:sparkline>
          </x14:sparklines>
        </x14:sparklineGroup>
        <x14:sparklineGroup displayEmptyCellsAs="gap" markers="1" xr2:uid="{F5E710AF-35ED-B642-9888-F41A9B4BF847}">
          <x14:colorSeries theme="5" tint="0.39997558519241921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Analysis'!F63:I63</xm:f>
              <xm:sqref>K63</xm:sqref>
            </x14:sparkline>
          </x14:sparklines>
        </x14:sparklineGroup>
        <x14:sparklineGroup displayEmptyCellsAs="gap" markers="1" first="1" last="1" xr2:uid="{9E999430-8533-644F-B554-0154970CB76D}">
          <x14:colorSeries rgb="FFFF000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'Historical Analysis'!F8:I8</xm:f>
              <xm:sqref>K7</xm:sqref>
            </x14:sparkline>
          </x14:sparklines>
        </x14:sparklineGroup>
        <x14:sparklineGroup displayEmptyCellsAs="gap" xr2:uid="{F6F5881B-63D4-4445-8DC7-E61994A3905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'Historical Analysis'!F14:F14</xm:f>
              <xm:sqref>F14</xm:sqref>
            </x14:sparkline>
            <x14:sparkline>
              <xm:f>'Historical Analysis'!G14:G14</xm:f>
              <xm:sqref>G14</xm:sqref>
            </x14:sparkline>
            <x14:sparkline>
              <xm:f>'Historical Analysis'!H14:H14</xm:f>
              <xm:sqref>H14</xm:sqref>
            </x14:sparkline>
            <x14:sparkline>
              <xm:f>'Historical Analysis'!I14:I14</xm:f>
              <xm:sqref>I14</xm:sqref>
            </x14:sparkline>
          </x14:sparklines>
        </x14:sparklineGroup>
        <x14:sparklineGroup displayEmptyCellsAs="gap" markers="1" xr2:uid="{218715A3-7D33-5D4A-A676-74E3DAB1B84E}">
          <x14:colorSeries theme="9" tint="-0.249977111117893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Analysis'!F14:I14</xm:f>
              <xm:sqref>K14</xm:sqref>
            </x14:sparkline>
          </x14:sparklines>
        </x14:sparklineGroup>
        <x14:sparklineGroup type="column" displayEmptyCellsAs="gap" xr2:uid="{E6F9F00D-2EE9-7841-9F72-AE7F347235AF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'Historical Analysis'!F20:I20</xm:f>
              <xm:sqref>K20</xm:sqref>
            </x14:sparkline>
          </x14:sparklines>
        </x14:sparklineGroup>
        <x14:sparklineGroup displayEmptyCellsAs="gap" markers="1" xr2:uid="{731D9D5A-BF7F-084D-96C2-9A8E23CDA09A}">
          <x14:colorSeries rgb="FFFF0000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Analysis'!F21:I21</xm:f>
              <xm:sqref>K21</xm:sqref>
            </x14:sparkline>
          </x14:sparklines>
        </x14:sparklineGroup>
        <x14:sparklineGroup type="column" displayEmptyCellsAs="gap" xr2:uid="{A72BEBD1-3DEC-414F-A9B0-604AB1815FC7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'Historical Analysis'!F19:I19</xm:f>
              <xm:sqref>K19</xm:sqref>
            </x14:sparkline>
          </x14:sparklines>
        </x14:sparklineGroup>
        <x14:sparklineGroup displayEmptyCellsAs="gap" markers="1" negative="1" xr2:uid="{CA058FAB-DADB-3E4E-B923-04A0AA1295E3}">
          <x14:colorSeries theme="9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Analysis'!F26:I26</xm:f>
              <xm:sqref>K26</xm:sqref>
            </x14:sparkline>
          </x14:sparklines>
        </x14:sparklineGroup>
        <x14:sparklineGroup displayEmptyCellsAs="gap" markers="1" negative="1" xr2:uid="{199022B8-6A7C-9F42-8279-0DDC3B0FC36E}">
          <x14:colorSeries theme="9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Analysis'!F27:I27</xm:f>
              <xm:sqref>K27</xm:sqref>
            </x14:sparkline>
          </x14:sparklines>
        </x14:sparklineGroup>
        <x14:sparklineGroup displayEmptyCellsAs="gap" markers="1" negative="1" xr2:uid="{494DE5CC-DE73-664D-B34B-759FA9F20254}">
          <x14:colorSeries theme="9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Analysis'!F28:I28</xm:f>
              <xm:sqref>K28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2425A-B539-294B-9A37-3B8977317A64}">
  <sheetPr>
    <tabColor rgb="FF2E75B6"/>
  </sheetPr>
  <dimension ref="B2:K79"/>
  <sheetViews>
    <sheetView topLeftCell="A9" zoomScale="150" workbookViewId="0">
      <selection activeCell="J33" sqref="J33"/>
    </sheetView>
  </sheetViews>
  <sheetFormatPr baseColWidth="10" defaultRowHeight="16" x14ac:dyDescent="0.2"/>
  <cols>
    <col min="1" max="1" width="2.5" style="1" customWidth="1"/>
    <col min="2" max="2" width="30.83203125" style="1" customWidth="1"/>
    <col min="3" max="3" width="4.5" style="1" customWidth="1"/>
    <col min="4" max="4" width="4.6640625" style="1" customWidth="1"/>
    <col min="5" max="5" width="1.6640625" style="1" customWidth="1"/>
    <col min="6" max="10" width="14.1640625" style="1" customWidth="1"/>
    <col min="11" max="16384" width="10.83203125" style="1"/>
  </cols>
  <sheetData>
    <row r="2" spans="2:11" ht="28" customHeight="1" x14ac:dyDescent="0.25">
      <c r="B2" s="10" t="s">
        <v>50</v>
      </c>
      <c r="C2" s="55"/>
      <c r="D2" s="55"/>
      <c r="E2" s="55"/>
      <c r="F2" s="55"/>
      <c r="G2" s="55"/>
      <c r="H2" s="55"/>
      <c r="I2" s="55"/>
      <c r="J2" s="55"/>
      <c r="K2" s="55"/>
    </row>
    <row r="3" spans="2:11" x14ac:dyDescent="0.2">
      <c r="B3" s="56" t="s">
        <v>407</v>
      </c>
      <c r="C3" s="57"/>
      <c r="D3" s="57"/>
      <c r="E3" s="57"/>
      <c r="F3" s="57"/>
      <c r="G3" s="57"/>
      <c r="H3" s="57"/>
      <c r="I3" s="57"/>
      <c r="J3" s="57"/>
      <c r="K3" s="57"/>
    </row>
    <row r="5" spans="2:11" x14ac:dyDescent="0.2">
      <c r="B5" s="58" t="s">
        <v>382</v>
      </c>
    </row>
    <row r="6" spans="2:11" ht="19" x14ac:dyDescent="0.25">
      <c r="B6" s="5" t="s">
        <v>383</v>
      </c>
      <c r="C6" s="59" t="s">
        <v>384</v>
      </c>
    </row>
    <row r="7" spans="2:11" x14ac:dyDescent="0.2">
      <c r="B7" s="60" t="s">
        <v>385</v>
      </c>
      <c r="C7" s="61">
        <f>IF(C6="Bull",1,IF(C6="Base",2,3))</f>
        <v>2</v>
      </c>
      <c r="D7" s="62" t="s">
        <v>386</v>
      </c>
    </row>
    <row r="9" spans="2:11" x14ac:dyDescent="0.2">
      <c r="B9" s="17" t="s">
        <v>387</v>
      </c>
      <c r="C9" s="55"/>
      <c r="D9" s="55"/>
      <c r="E9" s="55"/>
      <c r="F9" s="16" t="s">
        <v>388</v>
      </c>
      <c r="G9" s="16" t="s">
        <v>389</v>
      </c>
      <c r="H9" s="16" t="s">
        <v>390</v>
      </c>
      <c r="I9" s="16" t="s">
        <v>391</v>
      </c>
      <c r="J9" s="16" t="s">
        <v>408</v>
      </c>
      <c r="K9" s="16"/>
    </row>
    <row r="10" spans="2:11" x14ac:dyDescent="0.2">
      <c r="B10" s="63" t="s">
        <v>392</v>
      </c>
    </row>
    <row r="11" spans="2:11" x14ac:dyDescent="0.2">
      <c r="B11" s="64" t="s">
        <v>393</v>
      </c>
      <c r="F11" s="65">
        <f>'Supporting Schedules'!C11</f>
        <v>9.4317068978926569E-2</v>
      </c>
      <c r="G11" s="65">
        <f>'Supporting Schedules'!D11</f>
        <v>8.6213776532186731E-2</v>
      </c>
      <c r="H11" s="65">
        <f>'Supporting Schedules'!E11</f>
        <v>7.7964583504426893E-2</v>
      </c>
      <c r="I11" s="65">
        <f>'Supporting Schedules'!F11</f>
        <v>8.1943279437286812E-2</v>
      </c>
      <c r="J11" s="65">
        <f>'Supporting Schedules'!G11</f>
        <v>8.5921975370146716E-2</v>
      </c>
    </row>
    <row r="12" spans="2:11" x14ac:dyDescent="0.2">
      <c r="B12" s="64" t="s">
        <v>51</v>
      </c>
      <c r="F12" s="65">
        <f>'Supporting Schedules'!C35</f>
        <v>0.49040810367024446</v>
      </c>
      <c r="G12" s="65">
        <f>'Supporting Schedules'!D35</f>
        <v>0.49040810367024446</v>
      </c>
      <c r="H12" s="65">
        <f>'Supporting Schedules'!E35</f>
        <v>0.49040810367024446</v>
      </c>
      <c r="I12" s="65">
        <f>'Supporting Schedules'!F35</f>
        <v>0.49040810367024446</v>
      </c>
      <c r="J12" s="65">
        <f>'Supporting Schedules'!G35</f>
        <v>0.49040810367024446</v>
      </c>
    </row>
    <row r="14" spans="2:11" x14ac:dyDescent="0.2">
      <c r="B14" s="63" t="s">
        <v>394</v>
      </c>
    </row>
    <row r="15" spans="2:11" x14ac:dyDescent="0.2">
      <c r="B15" s="64" t="s">
        <v>395</v>
      </c>
      <c r="F15" s="65">
        <f>'Supporting Schedules'!G60</f>
        <v>8.1527528331437477E-2</v>
      </c>
      <c r="G15" s="65">
        <f>F15</f>
        <v>8.1527528331437477E-2</v>
      </c>
      <c r="H15" s="65">
        <f t="shared" ref="H15:J15" si="0">G15</f>
        <v>8.1527528331437477E-2</v>
      </c>
      <c r="I15" s="65">
        <f t="shared" si="0"/>
        <v>8.1527528331437477E-2</v>
      </c>
      <c r="J15" s="65">
        <f t="shared" si="0"/>
        <v>8.1527528331437477E-2</v>
      </c>
    </row>
    <row r="16" spans="2:11" x14ac:dyDescent="0.2">
      <c r="B16" s="64"/>
      <c r="F16" s="65"/>
      <c r="G16" s="65"/>
      <c r="H16" s="65"/>
      <c r="I16" s="65"/>
      <c r="J16" s="65"/>
    </row>
    <row r="17" spans="2:10" x14ac:dyDescent="0.2">
      <c r="B17" s="63" t="s">
        <v>396</v>
      </c>
    </row>
    <row r="18" spans="2:10" x14ac:dyDescent="0.2">
      <c r="B18" s="64" t="s">
        <v>397</v>
      </c>
      <c r="F18" s="66">
        <f>'Supporting Schedules'!G143</f>
        <v>6.3708571196066197E-2</v>
      </c>
      <c r="G18" s="66">
        <f>'Supporting Schedules'!H143</f>
        <v>6.4515105735265796E-2</v>
      </c>
      <c r="H18" s="66">
        <f>'Supporting Schedules'!I143</f>
        <v>6.4596216173237561E-2</v>
      </c>
      <c r="I18" s="66">
        <f>'Supporting Schedules'!J143</f>
        <v>6.427329770152318E-2</v>
      </c>
      <c r="J18" s="66">
        <f>'Supporting Schedules'!K143</f>
        <v>6.4461539870008841E-2</v>
      </c>
    </row>
    <row r="20" spans="2:10" x14ac:dyDescent="0.2">
      <c r="B20" s="63" t="s">
        <v>398</v>
      </c>
    </row>
    <row r="21" spans="2:10" x14ac:dyDescent="0.2">
      <c r="B21" s="64" t="s">
        <v>399</v>
      </c>
      <c r="F21" s="65">
        <f>'Supporting Schedules'!C67</f>
        <v>0.1948383285818529</v>
      </c>
      <c r="G21" s="65">
        <f>F21</f>
        <v>0.1948383285818529</v>
      </c>
      <c r="H21" s="65">
        <f t="shared" ref="H21:J21" si="1">G21</f>
        <v>0.1948383285818529</v>
      </c>
      <c r="I21" s="65">
        <f t="shared" si="1"/>
        <v>0.1948383285818529</v>
      </c>
      <c r="J21" s="65">
        <f t="shared" si="1"/>
        <v>0.1948383285818529</v>
      </c>
    </row>
    <row r="23" spans="2:10" x14ac:dyDescent="0.2">
      <c r="B23" s="63" t="s">
        <v>400</v>
      </c>
    </row>
    <row r="24" spans="2:10" x14ac:dyDescent="0.2">
      <c r="B24" s="64" t="s">
        <v>401</v>
      </c>
      <c r="F24" s="67">
        <f>'Supporting Schedules'!C88</f>
        <v>57.242052757954781</v>
      </c>
      <c r="G24" s="67">
        <f>'Supporting Schedules'!D88</f>
        <v>57.242052757954781</v>
      </c>
      <c r="H24" s="67">
        <f>'Supporting Schedules'!E88</f>
        <v>57.242052757954781</v>
      </c>
      <c r="I24" s="67">
        <f>'Supporting Schedules'!F88</f>
        <v>57.242052757954781</v>
      </c>
      <c r="J24" s="67">
        <f>'Supporting Schedules'!G88</f>
        <v>57.242052757954781</v>
      </c>
    </row>
    <row r="25" spans="2:10" x14ac:dyDescent="0.2">
      <c r="B25" s="64" t="s">
        <v>402</v>
      </c>
      <c r="F25" s="67">
        <f>'Supporting Schedules'!C90</f>
        <v>6.1456247824278085</v>
      </c>
      <c r="G25" s="67">
        <f>'Supporting Schedules'!D90</f>
        <v>6.1456247824278085</v>
      </c>
      <c r="H25" s="67">
        <f>'Supporting Schedules'!E90</f>
        <v>6.1456247824278085</v>
      </c>
      <c r="I25" s="67">
        <f>'Supporting Schedules'!F90</f>
        <v>6.1456247824278085</v>
      </c>
      <c r="J25" s="67">
        <f>'Supporting Schedules'!G90</f>
        <v>6.1456247824278085</v>
      </c>
    </row>
    <row r="26" spans="2:10" x14ac:dyDescent="0.2">
      <c r="B26" s="64" t="s">
        <v>403</v>
      </c>
      <c r="F26" s="67">
        <f>'Supporting Schedules'!C89</f>
        <v>33.222416091427014</v>
      </c>
      <c r="G26" s="67">
        <f>'Supporting Schedules'!D89</f>
        <v>33.222416091427014</v>
      </c>
      <c r="H26" s="67">
        <f>'Supporting Schedules'!E89</f>
        <v>33.222416091427014</v>
      </c>
      <c r="I26" s="67">
        <f>'Supporting Schedules'!F89</f>
        <v>33.222416091427014</v>
      </c>
      <c r="J26" s="67">
        <f>'Supporting Schedules'!G89</f>
        <v>33.222416091427014</v>
      </c>
    </row>
    <row r="27" spans="2:10" x14ac:dyDescent="0.2">
      <c r="B27" s="64" t="s">
        <v>404</v>
      </c>
      <c r="F27" s="68">
        <f>'Supporting Schedules'!E129</f>
        <v>7.5302266520277722E-3</v>
      </c>
      <c r="G27" s="68">
        <f>F27</f>
        <v>7.5302266520277722E-3</v>
      </c>
      <c r="H27" s="68">
        <f t="shared" ref="H27:J27" si="2">G27</f>
        <v>7.5302266520277722E-3</v>
      </c>
      <c r="I27" s="68">
        <f t="shared" si="2"/>
        <v>7.5302266520277722E-3</v>
      </c>
      <c r="J27" s="68">
        <f t="shared" si="2"/>
        <v>7.5302266520277722E-3</v>
      </c>
    </row>
    <row r="28" spans="2:10" x14ac:dyDescent="0.2">
      <c r="B28" s="64" t="s">
        <v>470</v>
      </c>
      <c r="F28" s="68">
        <f>'Supporting Schedules'!G142</f>
        <v>0.18148426602152803</v>
      </c>
      <c r="G28" s="68">
        <f>'Supporting Schedules'!H142</f>
        <v>0.17579625204825725</v>
      </c>
      <c r="H28" s="68">
        <f>'Supporting Schedules'!I142</f>
        <v>0.17670447971949188</v>
      </c>
      <c r="I28" s="68">
        <f>'Supporting Schedules'!J142</f>
        <v>0.1779949992630924</v>
      </c>
      <c r="J28" s="68">
        <f>'Supporting Schedules'!K142</f>
        <v>0.17683191034361381</v>
      </c>
    </row>
    <row r="29" spans="2:10" x14ac:dyDescent="0.2">
      <c r="B29" s="64" t="s">
        <v>471</v>
      </c>
      <c r="F29" s="68">
        <f>AVERAGE('Forecast Model'!F53/'Forecast Model'!F8,'Forecast Model'!G53/'Forecast Model'!G8,'Forecast Model'!H53/'Forecast Model'!H8,'Forecast Model'!I53/'Forecast Model'!I8)</f>
        <v>7.6233489223253334E-2</v>
      </c>
      <c r="G29" s="68">
        <f>F29</f>
        <v>7.6233489223253334E-2</v>
      </c>
      <c r="H29" s="68">
        <f t="shared" ref="H29:J29" si="3">G29</f>
        <v>7.6233489223253334E-2</v>
      </c>
      <c r="I29" s="68">
        <f t="shared" si="3"/>
        <v>7.6233489223253334E-2</v>
      </c>
      <c r="J29" s="68">
        <f t="shared" si="3"/>
        <v>7.6233489223253334E-2</v>
      </c>
    </row>
    <row r="30" spans="2:10" x14ac:dyDescent="0.2">
      <c r="B30" s="64"/>
      <c r="F30" s="68"/>
      <c r="G30" s="68"/>
      <c r="H30" s="68"/>
      <c r="I30" s="68"/>
      <c r="J30" s="68"/>
    </row>
    <row r="31" spans="2:10" x14ac:dyDescent="0.2">
      <c r="B31" s="63" t="s">
        <v>405</v>
      </c>
    </row>
    <row r="32" spans="2:10" x14ac:dyDescent="0.2">
      <c r="B32" s="64" t="s">
        <v>406</v>
      </c>
      <c r="F32" s="65"/>
      <c r="G32" s="65"/>
      <c r="H32" s="65"/>
      <c r="I32" s="65"/>
      <c r="J32" s="65">
        <v>2.5000000000000001E-2</v>
      </c>
    </row>
    <row r="33" spans="2:10" x14ac:dyDescent="0.2">
      <c r="B33" s="64"/>
      <c r="F33" s="69"/>
      <c r="G33" s="69"/>
      <c r="H33" s="69"/>
      <c r="I33" s="69"/>
      <c r="J33" s="69"/>
    </row>
    <row r="36" spans="2:10" ht="28" customHeight="1" x14ac:dyDescent="0.25">
      <c r="B36" s="70"/>
    </row>
    <row r="38" spans="2:10" x14ac:dyDescent="0.2">
      <c r="B38" s="71"/>
    </row>
    <row r="39" spans="2:10" x14ac:dyDescent="0.2">
      <c r="F39" s="72"/>
      <c r="G39" s="72"/>
      <c r="H39" s="72"/>
      <c r="I39" s="72"/>
      <c r="J39" s="72"/>
    </row>
    <row r="40" spans="2:10" x14ac:dyDescent="0.2">
      <c r="B40" s="64"/>
      <c r="F40" s="73"/>
      <c r="G40" s="73"/>
      <c r="H40" s="73"/>
      <c r="I40" s="73"/>
      <c r="J40" s="73"/>
    </row>
    <row r="41" spans="2:10" x14ac:dyDescent="0.2">
      <c r="B41" s="64"/>
      <c r="F41" s="73"/>
      <c r="G41" s="73"/>
      <c r="H41" s="73"/>
      <c r="I41" s="73"/>
      <c r="J41" s="73"/>
    </row>
    <row r="42" spans="2:10" x14ac:dyDescent="0.2">
      <c r="B42" s="64"/>
      <c r="F42" s="73"/>
      <c r="G42" s="73"/>
      <c r="H42" s="73"/>
      <c r="I42" s="73"/>
      <c r="J42" s="73"/>
    </row>
    <row r="43" spans="2:10" x14ac:dyDescent="0.2">
      <c r="B43" s="64"/>
      <c r="F43" s="73"/>
      <c r="G43" s="73"/>
      <c r="H43" s="73"/>
      <c r="I43" s="73"/>
      <c r="J43" s="73"/>
    </row>
    <row r="44" spans="2:10" x14ac:dyDescent="0.2">
      <c r="B44" s="64"/>
      <c r="F44" s="73"/>
      <c r="G44" s="73"/>
      <c r="H44" s="73"/>
      <c r="I44" s="73"/>
      <c r="J44" s="73"/>
    </row>
    <row r="45" spans="2:10" x14ac:dyDescent="0.2">
      <c r="B45" s="64"/>
      <c r="F45" s="73"/>
      <c r="G45" s="73"/>
      <c r="H45" s="73"/>
      <c r="I45" s="73"/>
      <c r="J45" s="73"/>
    </row>
    <row r="46" spans="2:10" x14ac:dyDescent="0.2">
      <c r="B46" s="64"/>
      <c r="F46" s="73"/>
      <c r="G46" s="73"/>
      <c r="H46" s="73"/>
      <c r="I46" s="73"/>
      <c r="J46" s="73"/>
    </row>
    <row r="47" spans="2:10" x14ac:dyDescent="0.2">
      <c r="B47" s="64"/>
      <c r="F47" s="74"/>
      <c r="G47" s="74"/>
      <c r="H47" s="74"/>
      <c r="I47" s="74"/>
      <c r="J47" s="74"/>
    </row>
    <row r="48" spans="2:10" x14ac:dyDescent="0.2">
      <c r="B48" s="64"/>
      <c r="F48" s="74"/>
      <c r="G48" s="74"/>
      <c r="H48" s="74"/>
      <c r="I48" s="74"/>
      <c r="J48" s="74"/>
    </row>
    <row r="49" spans="2:10" x14ac:dyDescent="0.2">
      <c r="B49" s="64"/>
      <c r="F49" s="73"/>
      <c r="G49" s="73"/>
      <c r="H49" s="73"/>
      <c r="I49" s="73"/>
      <c r="J49" s="73"/>
    </row>
    <row r="50" spans="2:10" x14ac:dyDescent="0.2">
      <c r="B50" s="64"/>
      <c r="F50" s="73"/>
      <c r="G50" s="73"/>
      <c r="H50" s="73"/>
      <c r="I50" s="73"/>
      <c r="J50" s="73"/>
    </row>
    <row r="51" spans="2:10" x14ac:dyDescent="0.2">
      <c r="B51" s="64"/>
      <c r="F51" s="75"/>
      <c r="G51" s="75"/>
      <c r="H51" s="75"/>
      <c r="I51" s="75"/>
      <c r="J51" s="75"/>
    </row>
    <row r="52" spans="2:10" x14ac:dyDescent="0.2">
      <c r="B52" s="71"/>
    </row>
    <row r="53" spans="2:10" x14ac:dyDescent="0.2">
      <c r="F53" s="72"/>
      <c r="G53" s="72"/>
      <c r="H53" s="72"/>
      <c r="I53" s="72"/>
      <c r="J53" s="72"/>
    </row>
    <row r="54" spans="2:10" x14ac:dyDescent="0.2">
      <c r="B54" s="64"/>
      <c r="F54" s="73"/>
      <c r="G54" s="73"/>
      <c r="H54" s="73"/>
      <c r="I54" s="73"/>
      <c r="J54" s="73"/>
    </row>
    <row r="55" spans="2:10" x14ac:dyDescent="0.2">
      <c r="B55" s="64"/>
      <c r="F55" s="73"/>
      <c r="G55" s="73"/>
      <c r="H55" s="73"/>
      <c r="I55" s="73"/>
      <c r="J55" s="73"/>
    </row>
    <row r="56" spans="2:10" x14ac:dyDescent="0.2">
      <c r="B56" s="64"/>
      <c r="F56" s="73"/>
      <c r="G56" s="73"/>
      <c r="H56" s="73"/>
      <c r="I56" s="73"/>
      <c r="J56" s="73"/>
    </row>
    <row r="57" spans="2:10" x14ac:dyDescent="0.2">
      <c r="B57" s="64"/>
      <c r="F57" s="73"/>
      <c r="G57" s="73"/>
      <c r="H57" s="73"/>
      <c r="I57" s="73"/>
      <c r="J57" s="73"/>
    </row>
    <row r="58" spans="2:10" x14ac:dyDescent="0.2">
      <c r="B58" s="64"/>
      <c r="F58" s="73"/>
      <c r="G58" s="73"/>
      <c r="H58" s="73"/>
      <c r="I58" s="73"/>
      <c r="J58" s="73"/>
    </row>
    <row r="59" spans="2:10" x14ac:dyDescent="0.2">
      <c r="B59" s="64"/>
      <c r="F59" s="73"/>
      <c r="G59" s="73"/>
      <c r="H59" s="73"/>
      <c r="I59" s="73"/>
      <c r="J59" s="73"/>
    </row>
    <row r="60" spans="2:10" x14ac:dyDescent="0.2">
      <c r="B60" s="64"/>
      <c r="F60" s="73"/>
      <c r="G60" s="73"/>
      <c r="H60" s="73"/>
      <c r="I60" s="73"/>
      <c r="J60" s="73"/>
    </row>
    <row r="61" spans="2:10" x14ac:dyDescent="0.2">
      <c r="B61" s="64"/>
      <c r="F61" s="74"/>
      <c r="G61" s="74"/>
      <c r="H61" s="74"/>
      <c r="I61" s="74"/>
      <c r="J61" s="74"/>
    </row>
    <row r="62" spans="2:10" x14ac:dyDescent="0.2">
      <c r="B62" s="64"/>
      <c r="F62" s="74"/>
      <c r="G62" s="74"/>
      <c r="H62" s="74"/>
      <c r="I62" s="74"/>
      <c r="J62" s="74"/>
    </row>
    <row r="63" spans="2:10" x14ac:dyDescent="0.2">
      <c r="B63" s="64"/>
      <c r="F63" s="73"/>
      <c r="G63" s="73"/>
      <c r="H63" s="73"/>
      <c r="I63" s="73"/>
      <c r="J63" s="73"/>
    </row>
    <row r="64" spans="2:10" x14ac:dyDescent="0.2">
      <c r="B64" s="64"/>
      <c r="F64" s="73"/>
      <c r="G64" s="73"/>
      <c r="H64" s="73"/>
      <c r="I64" s="73"/>
      <c r="J64" s="73"/>
    </row>
    <row r="65" spans="2:10" x14ac:dyDescent="0.2">
      <c r="B65" s="64"/>
      <c r="F65" s="75"/>
      <c r="G65" s="75"/>
      <c r="H65" s="75"/>
      <c r="I65" s="75"/>
      <c r="J65" s="75"/>
    </row>
    <row r="66" spans="2:10" x14ac:dyDescent="0.2">
      <c r="B66" s="71"/>
    </row>
    <row r="67" spans="2:10" x14ac:dyDescent="0.2">
      <c r="F67" s="72"/>
      <c r="G67" s="72"/>
      <c r="H67" s="72"/>
      <c r="I67" s="72"/>
      <c r="J67" s="72"/>
    </row>
    <row r="68" spans="2:10" x14ac:dyDescent="0.2">
      <c r="B68" s="64"/>
      <c r="F68" s="73"/>
      <c r="G68" s="73"/>
      <c r="H68" s="73"/>
      <c r="I68" s="73"/>
      <c r="J68" s="73"/>
    </row>
    <row r="69" spans="2:10" x14ac:dyDescent="0.2">
      <c r="B69" s="64"/>
      <c r="F69" s="73"/>
      <c r="G69" s="73"/>
      <c r="H69" s="73"/>
      <c r="I69" s="73"/>
      <c r="J69" s="73"/>
    </row>
    <row r="70" spans="2:10" x14ac:dyDescent="0.2">
      <c r="B70" s="64"/>
      <c r="F70" s="73"/>
      <c r="G70" s="73"/>
      <c r="H70" s="73"/>
      <c r="I70" s="73"/>
      <c r="J70" s="73"/>
    </row>
    <row r="71" spans="2:10" x14ac:dyDescent="0.2">
      <c r="B71" s="64"/>
      <c r="F71" s="73"/>
      <c r="G71" s="73"/>
      <c r="H71" s="73"/>
      <c r="I71" s="73"/>
      <c r="J71" s="73"/>
    </row>
    <row r="72" spans="2:10" x14ac:dyDescent="0.2">
      <c r="B72" s="64"/>
      <c r="F72" s="73"/>
      <c r="G72" s="73"/>
      <c r="H72" s="73"/>
      <c r="I72" s="73"/>
      <c r="J72" s="73"/>
    </row>
    <row r="73" spans="2:10" x14ac:dyDescent="0.2">
      <c r="B73" s="64"/>
      <c r="F73" s="73"/>
      <c r="G73" s="73"/>
      <c r="H73" s="73"/>
      <c r="I73" s="73"/>
      <c r="J73" s="73"/>
    </row>
    <row r="74" spans="2:10" x14ac:dyDescent="0.2">
      <c r="B74" s="64"/>
      <c r="F74" s="73"/>
      <c r="G74" s="73"/>
      <c r="H74" s="73"/>
      <c r="I74" s="73"/>
      <c r="J74" s="73"/>
    </row>
    <row r="75" spans="2:10" x14ac:dyDescent="0.2">
      <c r="B75" s="64"/>
      <c r="F75" s="74"/>
      <c r="G75" s="74"/>
      <c r="H75" s="74"/>
      <c r="I75" s="74"/>
      <c r="J75" s="74"/>
    </row>
    <row r="76" spans="2:10" x14ac:dyDescent="0.2">
      <c r="B76" s="64"/>
      <c r="F76" s="74"/>
      <c r="G76" s="74"/>
      <c r="H76" s="74"/>
      <c r="I76" s="74"/>
      <c r="J76" s="74"/>
    </row>
    <row r="77" spans="2:10" x14ac:dyDescent="0.2">
      <c r="B77" s="64"/>
      <c r="F77" s="73"/>
      <c r="G77" s="73"/>
      <c r="H77" s="73"/>
      <c r="I77" s="73"/>
      <c r="J77" s="73"/>
    </row>
    <row r="78" spans="2:10" x14ac:dyDescent="0.2">
      <c r="B78" s="64"/>
      <c r="F78" s="73"/>
      <c r="G78" s="73"/>
      <c r="H78" s="73"/>
      <c r="I78" s="73"/>
      <c r="J78" s="73"/>
    </row>
    <row r="79" spans="2:10" x14ac:dyDescent="0.2">
      <c r="B79" s="64"/>
      <c r="F79" s="75"/>
      <c r="G79" s="75"/>
      <c r="H79" s="75"/>
      <c r="I79" s="75"/>
      <c r="J79" s="75"/>
    </row>
  </sheetData>
  <dataValidations count="1">
    <dataValidation type="list" allowBlank="1" showInputMessage="1" showErrorMessage="1" promptTitle="Scenario Selection" prompt="Select Bull, Base, or Bear case" sqref="C6" xr:uid="{95E49485-EB1F-A44C-BE04-909001C717A0}">
      <formula1>"Bull,Base,Bear"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1E9E8-8724-8B49-9587-31710A5CC414}">
  <sheetPr>
    <tabColor rgb="FF2E75B6"/>
  </sheetPr>
  <dimension ref="A2:M144"/>
  <sheetViews>
    <sheetView topLeftCell="A58" zoomScale="150" workbookViewId="0">
      <selection activeCell="E154" sqref="E154"/>
    </sheetView>
  </sheetViews>
  <sheetFormatPr baseColWidth="10" defaultRowHeight="16" x14ac:dyDescent="0.2"/>
  <cols>
    <col min="1" max="1" width="5" style="1" customWidth="1"/>
    <col min="2" max="2" width="21.33203125" style="1" customWidth="1"/>
    <col min="3" max="16384" width="10.83203125" style="1"/>
  </cols>
  <sheetData>
    <row r="2" spans="1:13" ht="19" x14ac:dyDescent="0.25">
      <c r="A2" s="3"/>
      <c r="B2" s="10" t="s">
        <v>414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3" spans="1:13" x14ac:dyDescent="0.2">
      <c r="A3" s="3"/>
      <c r="B3" s="56" t="s">
        <v>416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</row>
    <row r="4" spans="1:13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2">
      <c r="A5" s="3"/>
      <c r="B5" s="85" t="s">
        <v>417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</row>
    <row r="7" spans="1:13" x14ac:dyDescent="0.2">
      <c r="B7" s="86" t="s">
        <v>415</v>
      </c>
      <c r="C7" s="2"/>
      <c r="D7" s="2"/>
      <c r="E7" s="2"/>
      <c r="F7" s="2"/>
      <c r="G7" s="2"/>
    </row>
    <row r="8" spans="1:13" x14ac:dyDescent="0.2">
      <c r="B8" s="87"/>
      <c r="C8" s="88" t="s">
        <v>388</v>
      </c>
      <c r="D8" s="88" t="s">
        <v>389</v>
      </c>
      <c r="E8" s="88" t="s">
        <v>390</v>
      </c>
      <c r="F8" s="88" t="s">
        <v>391</v>
      </c>
      <c r="G8" s="88" t="s">
        <v>408</v>
      </c>
    </row>
    <row r="9" spans="1:13" x14ac:dyDescent="0.2">
      <c r="B9" s="92" t="s">
        <v>424</v>
      </c>
      <c r="C9" s="97">
        <f>G26-0.5%</f>
        <v>0.10957455770850888</v>
      </c>
      <c r="D9" s="97">
        <f>C9-1%</f>
        <v>9.9574557708508885E-2</v>
      </c>
      <c r="E9" s="97">
        <f>D9-1%</f>
        <v>8.957455770850889E-2</v>
      </c>
      <c r="F9" s="97">
        <f>E9+0.5%</f>
        <v>9.4574557708508894E-2</v>
      </c>
      <c r="G9" s="97">
        <f>F9+0.5%</f>
        <v>9.9574557708508898E-2</v>
      </c>
    </row>
    <row r="10" spans="1:13" x14ac:dyDescent="0.2">
      <c r="B10" s="92" t="s">
        <v>425</v>
      </c>
      <c r="C10" s="97">
        <v>5.0000000000000001E-3</v>
      </c>
      <c r="D10" s="97">
        <v>8.0000000000000002E-3</v>
      </c>
      <c r="E10" s="97">
        <v>0.01</v>
      </c>
      <c r="F10" s="97">
        <v>8.0000000000000002E-3</v>
      </c>
      <c r="G10" s="97">
        <v>6.0000000000000001E-3</v>
      </c>
    </row>
    <row r="11" spans="1:13" x14ac:dyDescent="0.2">
      <c r="B11" s="93" t="s">
        <v>426</v>
      </c>
      <c r="C11" s="95">
        <f>C9*$G$18 + $G$21*C10</f>
        <v>9.4317068978926569E-2</v>
      </c>
      <c r="D11" s="95">
        <f t="shared" ref="D11:G11" si="0">D9*$G$18 + $G$21*D10</f>
        <v>8.6213776532186731E-2</v>
      </c>
      <c r="E11" s="95">
        <f t="shared" si="0"/>
        <v>7.7964583504426893E-2</v>
      </c>
      <c r="F11" s="95">
        <f t="shared" si="0"/>
        <v>8.1943279437286812E-2</v>
      </c>
      <c r="G11" s="95">
        <f t="shared" si="0"/>
        <v>8.5921975370146716E-2</v>
      </c>
    </row>
    <row r="12" spans="1:13" x14ac:dyDescent="0.2">
      <c r="B12" s="5" t="s">
        <v>427</v>
      </c>
    </row>
    <row r="13" spans="1:13" x14ac:dyDescent="0.2">
      <c r="B13" s="5"/>
    </row>
    <row r="14" spans="1:13" x14ac:dyDescent="0.2">
      <c r="B14" s="86" t="s">
        <v>418</v>
      </c>
      <c r="C14" s="2"/>
      <c r="D14" s="2"/>
      <c r="E14" s="2"/>
      <c r="F14" s="2"/>
      <c r="G14" s="2"/>
      <c r="H14" s="2"/>
    </row>
    <row r="16" spans="1:13" x14ac:dyDescent="0.2">
      <c r="D16" s="34" t="s">
        <v>57</v>
      </c>
      <c r="E16" s="34" t="s">
        <v>58</v>
      </c>
      <c r="F16" s="34" t="s">
        <v>308</v>
      </c>
      <c r="G16" s="34" t="s">
        <v>59</v>
      </c>
    </row>
    <row r="17" spans="2:13" x14ac:dyDescent="0.2">
      <c r="B17" s="5" t="s">
        <v>419</v>
      </c>
      <c r="D17" s="1">
        <v>2853</v>
      </c>
      <c r="E17" s="1">
        <v>3198</v>
      </c>
      <c r="F17" s="1">
        <v>3561</v>
      </c>
      <c r="G17" s="1">
        <v>3969</v>
      </c>
    </row>
    <row r="18" spans="2:13" x14ac:dyDescent="0.2">
      <c r="B18" s="47" t="s">
        <v>420</v>
      </c>
      <c r="D18" s="39">
        <f>D17/D23</f>
        <v>0.81491002570694082</v>
      </c>
      <c r="E18" s="39">
        <f t="shared" ref="E18:G18" si="1">E17/E23</f>
        <v>0.82657017317136205</v>
      </c>
      <c r="F18" s="39">
        <f t="shared" si="1"/>
        <v>0.84045315081425542</v>
      </c>
      <c r="G18" s="39">
        <f t="shared" si="1"/>
        <v>0.85409941897998709</v>
      </c>
    </row>
    <row r="20" spans="2:13" x14ac:dyDescent="0.2">
      <c r="B20" s="5" t="s">
        <v>421</v>
      </c>
      <c r="D20" s="1">
        <v>648</v>
      </c>
      <c r="E20" s="1">
        <v>671</v>
      </c>
      <c r="F20" s="1">
        <v>676</v>
      </c>
      <c r="G20" s="1">
        <v>678</v>
      </c>
    </row>
    <row r="21" spans="2:13" x14ac:dyDescent="0.2">
      <c r="B21" s="47" t="s">
        <v>420</v>
      </c>
      <c r="D21" s="90">
        <f>1-D18</f>
        <v>0.18508997429305918</v>
      </c>
      <c r="E21" s="90">
        <f t="shared" ref="E21:G21" si="2">1-E18</f>
        <v>0.17342982682863795</v>
      </c>
      <c r="F21" s="90">
        <f t="shared" si="2"/>
        <v>0.15954684918574458</v>
      </c>
      <c r="G21" s="90">
        <f t="shared" si="2"/>
        <v>0.14590058102001291</v>
      </c>
    </row>
    <row r="22" spans="2:13" x14ac:dyDescent="0.2">
      <c r="D22" s="89"/>
      <c r="E22" s="89"/>
      <c r="F22" s="89"/>
      <c r="G22" s="89"/>
    </row>
    <row r="23" spans="2:13" x14ac:dyDescent="0.2">
      <c r="D23" s="5">
        <f>D17+D20</f>
        <v>3501</v>
      </c>
      <c r="E23" s="5">
        <f t="shared" ref="E23:G23" si="3">E17+E20</f>
        <v>3869</v>
      </c>
      <c r="F23" s="5">
        <f t="shared" si="3"/>
        <v>4237</v>
      </c>
      <c r="G23" s="5">
        <f t="shared" si="3"/>
        <v>4647</v>
      </c>
    </row>
    <row r="25" spans="2:13" x14ac:dyDescent="0.2">
      <c r="B25" s="5" t="s">
        <v>422</v>
      </c>
    </row>
    <row r="26" spans="2:13" x14ac:dyDescent="0.2">
      <c r="B26" s="5" t="s">
        <v>419</v>
      </c>
      <c r="E26" s="91">
        <f>E17/D17-1</f>
        <v>0.12092534174553093</v>
      </c>
      <c r="F26" s="91">
        <f t="shared" ref="F26:G26" si="4">F17/E17-1</f>
        <v>0.11350844277673544</v>
      </c>
      <c r="G26" s="91">
        <f t="shared" si="4"/>
        <v>0.11457455770850888</v>
      </c>
    </row>
    <row r="27" spans="2:13" x14ac:dyDescent="0.2">
      <c r="B27" s="5" t="s">
        <v>423</v>
      </c>
      <c r="E27" s="91">
        <f>E20/D20-1</f>
        <v>3.5493827160493874E-2</v>
      </c>
      <c r="F27" s="91">
        <f t="shared" ref="F27:G27" si="5">F20/E20-1</f>
        <v>7.4515648286139768E-3</v>
      </c>
      <c r="G27" s="91">
        <f t="shared" si="5"/>
        <v>2.9585798816567088E-3</v>
      </c>
    </row>
    <row r="28" spans="2:13" x14ac:dyDescent="0.2">
      <c r="B28" s="5"/>
    </row>
    <row r="31" spans="2:13" x14ac:dyDescent="0.2">
      <c r="B31" s="85" t="s">
        <v>428</v>
      </c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</row>
    <row r="33" spans="2:8" x14ac:dyDescent="0.2">
      <c r="B33" s="86" t="s">
        <v>431</v>
      </c>
      <c r="C33" s="2"/>
      <c r="D33" s="2"/>
      <c r="E33" s="2"/>
      <c r="F33" s="2"/>
      <c r="G33" s="2"/>
    </row>
    <row r="34" spans="2:8" x14ac:dyDescent="0.2">
      <c r="B34" s="87"/>
      <c r="C34" s="96" t="s">
        <v>388</v>
      </c>
      <c r="D34" s="96" t="s">
        <v>389</v>
      </c>
      <c r="E34" s="96" t="s">
        <v>390</v>
      </c>
      <c r="F34" s="96" t="s">
        <v>391</v>
      </c>
      <c r="G34" s="96" t="s">
        <v>408</v>
      </c>
    </row>
    <row r="35" spans="2:8" x14ac:dyDescent="0.2">
      <c r="C35" s="94">
        <f>AVERAGE(D46:G46)</f>
        <v>0.49040810367024446</v>
      </c>
      <c r="D35" s="94">
        <f>C35</f>
        <v>0.49040810367024446</v>
      </c>
      <c r="E35" s="94">
        <f t="shared" ref="E35:G35" si="6">D35</f>
        <v>0.49040810367024446</v>
      </c>
      <c r="F35" s="94">
        <f t="shared" si="6"/>
        <v>0.49040810367024446</v>
      </c>
      <c r="G35" s="94">
        <f t="shared" si="6"/>
        <v>0.49040810367024446</v>
      </c>
    </row>
    <row r="38" spans="2:8" x14ac:dyDescent="0.2">
      <c r="B38" s="86" t="s">
        <v>430</v>
      </c>
      <c r="C38" s="2"/>
      <c r="D38" s="2"/>
      <c r="E38" s="2"/>
      <c r="F38" s="2"/>
      <c r="G38" s="2"/>
      <c r="H38" s="2"/>
    </row>
    <row r="41" spans="2:8" x14ac:dyDescent="0.2">
      <c r="D41" s="34" t="s">
        <v>57</v>
      </c>
      <c r="E41" s="34" t="s">
        <v>58</v>
      </c>
      <c r="F41" s="34" t="s">
        <v>308</v>
      </c>
      <c r="G41" s="34" t="s">
        <v>59</v>
      </c>
    </row>
    <row r="43" spans="2:8" x14ac:dyDescent="0.2">
      <c r="B43" s="46" t="s">
        <v>310</v>
      </c>
      <c r="D43" s="26">
        <f>'Forecast Model'!F10</f>
        <v>1724.1339999999998</v>
      </c>
      <c r="E43" s="26">
        <f>'Forecast Model'!G10</f>
        <v>1879.088</v>
      </c>
      <c r="F43" s="26">
        <f>'Forecast Model'!H10</f>
        <v>2077.9020000000005</v>
      </c>
      <c r="G43" s="26">
        <f>'Forecast Model'!I10</f>
        <v>2291.4179999999997</v>
      </c>
    </row>
    <row r="44" spans="2:8" x14ac:dyDescent="0.2">
      <c r="B44" s="46" t="s">
        <v>60</v>
      </c>
      <c r="D44" s="26">
        <f>'Forecast Model'!F8</f>
        <v>3500.9209999999998</v>
      </c>
      <c r="E44" s="26">
        <f>'Forecast Model'!G8</f>
        <v>3869.518</v>
      </c>
      <c r="F44" s="26">
        <f>'Forecast Model'!H8</f>
        <v>4236.8230000000003</v>
      </c>
      <c r="G44" s="26">
        <f>'Forecast Model'!I8</f>
        <v>4646.9579999999996</v>
      </c>
    </row>
    <row r="45" spans="2:8" x14ac:dyDescent="0.2">
      <c r="B45" s="46"/>
    </row>
    <row r="46" spans="2:8" x14ac:dyDescent="0.2">
      <c r="B46" s="46" t="s">
        <v>429</v>
      </c>
      <c r="D46" s="91">
        <f>D43/D44</f>
        <v>0.49248012165941474</v>
      </c>
      <c r="E46" s="91">
        <f t="shared" ref="E46:G46" si="7">E43/E44</f>
        <v>0.48561293680504908</v>
      </c>
      <c r="F46" s="91">
        <f t="shared" si="7"/>
        <v>0.49043870843790272</v>
      </c>
      <c r="G46" s="91">
        <f t="shared" si="7"/>
        <v>0.49310064777861129</v>
      </c>
    </row>
    <row r="49" spans="2:13" x14ac:dyDescent="0.2">
      <c r="B49" s="85" t="s">
        <v>436</v>
      </c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</row>
    <row r="52" spans="2:13" x14ac:dyDescent="0.2">
      <c r="B52" s="86" t="s">
        <v>432</v>
      </c>
      <c r="C52" s="2"/>
      <c r="D52" s="2"/>
      <c r="E52" s="2"/>
      <c r="F52" s="2"/>
      <c r="G52" s="2"/>
      <c r="H52" s="2"/>
    </row>
    <row r="55" spans="2:13" x14ac:dyDescent="0.2">
      <c r="D55" s="34" t="s">
        <v>57</v>
      </c>
      <c r="E55" s="34" t="s">
        <v>58</v>
      </c>
      <c r="F55" s="34" t="s">
        <v>308</v>
      </c>
      <c r="G55" s="34" t="s">
        <v>59</v>
      </c>
    </row>
    <row r="57" spans="2:13" x14ac:dyDescent="0.2">
      <c r="B57" s="46" t="s">
        <v>433</v>
      </c>
      <c r="D57" s="26">
        <f>-'Forecast Model'!F12</f>
        <v>211.15199999999999</v>
      </c>
      <c r="E57" s="26">
        <f>-'Forecast Model'!G12</f>
        <v>233.041</v>
      </c>
      <c r="F57" s="26">
        <f>-'Forecast Model'!H12</f>
        <v>316.11799999999999</v>
      </c>
      <c r="G57" s="26">
        <f>-'Forecast Model'!I12</f>
        <v>378.85500000000002</v>
      </c>
    </row>
    <row r="58" spans="2:13" x14ac:dyDescent="0.2">
      <c r="B58" s="46" t="s">
        <v>60</v>
      </c>
      <c r="D58" s="26">
        <f>'Forecast Model'!F8</f>
        <v>3500.9209999999998</v>
      </c>
      <c r="E58" s="26">
        <f>'Forecast Model'!G8</f>
        <v>3869.518</v>
      </c>
      <c r="F58" s="26">
        <f>'Forecast Model'!H8</f>
        <v>4236.8230000000003</v>
      </c>
      <c r="G58" s="26">
        <f>'Forecast Model'!I8</f>
        <v>4646.9579999999996</v>
      </c>
    </row>
    <row r="59" spans="2:13" x14ac:dyDescent="0.2">
      <c r="B59" s="46"/>
    </row>
    <row r="60" spans="2:13" x14ac:dyDescent="0.2">
      <c r="B60" s="46" t="s">
        <v>434</v>
      </c>
      <c r="D60" s="91">
        <f>D57/D58</f>
        <v>6.0313271850464492E-2</v>
      </c>
      <c r="E60" s="91">
        <f t="shared" ref="E60:G60" si="8">E57/E58</f>
        <v>6.0224813529747116E-2</v>
      </c>
      <c r="F60" s="91">
        <f t="shared" si="8"/>
        <v>7.4612038312669646E-2</v>
      </c>
      <c r="G60" s="98">
        <f t="shared" si="8"/>
        <v>8.1527528331437477E-2</v>
      </c>
    </row>
    <row r="62" spans="2:13" x14ac:dyDescent="0.2">
      <c r="B62" s="47" t="s">
        <v>435</v>
      </c>
    </row>
    <row r="65" spans="2:13" x14ac:dyDescent="0.2">
      <c r="B65" s="85" t="s">
        <v>437</v>
      </c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</row>
    <row r="66" spans="2:13" ht="17" thickBot="1" x14ac:dyDescent="0.25"/>
    <row r="67" spans="2:13" ht="17" thickBot="1" x14ac:dyDescent="0.25">
      <c r="B67" s="99" t="s">
        <v>441</v>
      </c>
      <c r="C67" s="100">
        <f>AVERAGE(D78:G78)</f>
        <v>0.1948383285818529</v>
      </c>
    </row>
    <row r="70" spans="2:13" x14ac:dyDescent="0.2">
      <c r="B70" s="86" t="s">
        <v>438</v>
      </c>
      <c r="C70" s="2"/>
      <c r="D70" s="2"/>
      <c r="E70" s="2"/>
      <c r="F70" s="2"/>
      <c r="G70" s="2"/>
      <c r="H70" s="2"/>
    </row>
    <row r="73" spans="2:13" x14ac:dyDescent="0.2">
      <c r="D73" s="34" t="s">
        <v>57</v>
      </c>
      <c r="E73" s="34" t="s">
        <v>58</v>
      </c>
      <c r="F73" s="34" t="s">
        <v>308</v>
      </c>
      <c r="G73" s="34" t="s">
        <v>59</v>
      </c>
    </row>
    <row r="75" spans="2:13" x14ac:dyDescent="0.2">
      <c r="B75" s="46" t="s">
        <v>439</v>
      </c>
      <c r="D75" s="26">
        <f>-'Forecast Model'!F21</f>
        <v>250.82400000000001</v>
      </c>
      <c r="E75" s="26">
        <f>-'Forecast Model'!G21</f>
        <v>316.58699999999999</v>
      </c>
      <c r="F75" s="26">
        <f>-'Forecast Model'!H21</f>
        <v>352.25400000000002</v>
      </c>
      <c r="G75" s="26">
        <f>-'Forecast Model'!I21</f>
        <v>347.21800000000002</v>
      </c>
    </row>
    <row r="76" spans="2:13" x14ac:dyDescent="0.2">
      <c r="B76" s="46" t="s">
        <v>66</v>
      </c>
      <c r="D76" s="26">
        <f>'Forecast Model'!F19</f>
        <v>1340.9009999999998</v>
      </c>
      <c r="E76" s="26">
        <f>'Forecast Model'!G19</f>
        <v>1554.328</v>
      </c>
      <c r="F76" s="26">
        <f>'Forecast Model'!H19</f>
        <v>1714.6010000000006</v>
      </c>
      <c r="G76" s="26">
        <f>'Forecast Model'!I19</f>
        <v>1895.5809999999997</v>
      </c>
    </row>
    <row r="77" spans="2:13" x14ac:dyDescent="0.2">
      <c r="B77" s="46"/>
    </row>
    <row r="78" spans="2:13" x14ac:dyDescent="0.2">
      <c r="B78" s="46" t="s">
        <v>440</v>
      </c>
      <c r="D78" s="91">
        <f>D75/D76</f>
        <v>0.18705631511946075</v>
      </c>
      <c r="E78" s="91">
        <f t="shared" ref="E78:G78" si="9">E75/E76</f>
        <v>0.20368094765068892</v>
      </c>
      <c r="F78" s="91">
        <f t="shared" si="9"/>
        <v>0.20544371547666185</v>
      </c>
      <c r="G78" s="91">
        <f t="shared" si="9"/>
        <v>0.18317233608060013</v>
      </c>
    </row>
    <row r="82" spans="2:13" x14ac:dyDescent="0.2">
      <c r="B82" s="85" t="s">
        <v>442</v>
      </c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</row>
    <row r="85" spans="2:13" x14ac:dyDescent="0.2">
      <c r="B85" s="86" t="s">
        <v>443</v>
      </c>
      <c r="C85" s="2"/>
      <c r="D85" s="2"/>
      <c r="E85" s="2"/>
      <c r="F85" s="2"/>
      <c r="G85" s="2"/>
    </row>
    <row r="86" spans="2:13" x14ac:dyDescent="0.2">
      <c r="B86" s="87"/>
      <c r="C86" s="88" t="s">
        <v>388</v>
      </c>
      <c r="D86" s="88" t="s">
        <v>389</v>
      </c>
      <c r="E86" s="88" t="s">
        <v>390</v>
      </c>
      <c r="F86" s="88" t="s">
        <v>391</v>
      </c>
      <c r="G86" s="88" t="s">
        <v>408</v>
      </c>
    </row>
    <row r="88" spans="2:13" x14ac:dyDescent="0.2">
      <c r="B88" s="5" t="s">
        <v>347</v>
      </c>
      <c r="C88" s="40">
        <f>H102</f>
        <v>57.242052757954781</v>
      </c>
      <c r="D88" s="40">
        <f t="shared" ref="D88:G88" si="10">I102</f>
        <v>57.242052757954781</v>
      </c>
      <c r="E88" s="40">
        <f t="shared" si="10"/>
        <v>57.242052757954781</v>
      </c>
      <c r="F88" s="40">
        <f t="shared" si="10"/>
        <v>57.242052757954781</v>
      </c>
      <c r="G88" s="40">
        <f t="shared" si="10"/>
        <v>57.242052757954781</v>
      </c>
    </row>
    <row r="89" spans="2:13" x14ac:dyDescent="0.2">
      <c r="B89" s="5" t="s">
        <v>348</v>
      </c>
      <c r="C89" s="54">
        <f>H119</f>
        <v>33.222416091427014</v>
      </c>
      <c r="D89" s="54">
        <f t="shared" ref="D89:G89" si="11">I119</f>
        <v>33.222416091427014</v>
      </c>
      <c r="E89" s="54">
        <f t="shared" si="11"/>
        <v>33.222416091427014</v>
      </c>
      <c r="F89" s="54">
        <f t="shared" si="11"/>
        <v>33.222416091427014</v>
      </c>
      <c r="G89" s="54">
        <f t="shared" si="11"/>
        <v>33.222416091427014</v>
      </c>
    </row>
    <row r="90" spans="2:13" x14ac:dyDescent="0.2">
      <c r="B90" s="5" t="s">
        <v>349</v>
      </c>
      <c r="C90" s="40">
        <f>H111</f>
        <v>6.1456247824278085</v>
      </c>
      <c r="D90" s="40">
        <f t="shared" ref="D90:G90" si="12">I111</f>
        <v>6.1456247824278085</v>
      </c>
      <c r="E90" s="40">
        <f t="shared" si="12"/>
        <v>6.1456247824278085</v>
      </c>
      <c r="F90" s="40">
        <f t="shared" si="12"/>
        <v>6.1456247824278085</v>
      </c>
      <c r="G90" s="40">
        <f t="shared" si="12"/>
        <v>6.1456247824278085</v>
      </c>
    </row>
    <row r="92" spans="2:13" x14ac:dyDescent="0.2">
      <c r="B92" s="101" t="s">
        <v>444</v>
      </c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2:13" x14ac:dyDescent="0.2">
      <c r="B93" s="102"/>
      <c r="C93" s="34"/>
      <c r="D93" s="34" t="s">
        <v>57</v>
      </c>
      <c r="E93" s="34" t="s">
        <v>58</v>
      </c>
      <c r="F93" s="34" t="s">
        <v>308</v>
      </c>
      <c r="G93" s="34" t="s">
        <v>59</v>
      </c>
      <c r="H93" s="103" t="s">
        <v>388</v>
      </c>
      <c r="I93" s="103" t="s">
        <v>389</v>
      </c>
      <c r="J93" s="103" t="s">
        <v>390</v>
      </c>
      <c r="K93" s="103" t="s">
        <v>391</v>
      </c>
      <c r="L93" s="103" t="s">
        <v>408</v>
      </c>
    </row>
    <row r="94" spans="2:13" x14ac:dyDescent="0.2">
      <c r="B94" s="64" t="s">
        <v>445</v>
      </c>
      <c r="C94" s="53"/>
      <c r="D94" s="53">
        <v>365</v>
      </c>
      <c r="E94" s="53">
        <v>365</v>
      </c>
      <c r="F94" s="53">
        <v>365</v>
      </c>
      <c r="G94" s="53">
        <v>365</v>
      </c>
      <c r="H94" s="104">
        <v>365</v>
      </c>
      <c r="I94" s="104">
        <v>365</v>
      </c>
      <c r="J94" s="104">
        <v>365</v>
      </c>
      <c r="K94" s="104">
        <v>365</v>
      </c>
      <c r="L94" s="104">
        <v>365</v>
      </c>
    </row>
    <row r="97" spans="2:12" x14ac:dyDescent="0.2">
      <c r="B97" s="33" t="s">
        <v>446</v>
      </c>
      <c r="F97" s="74"/>
      <c r="G97" s="74"/>
    </row>
    <row r="99" spans="2:12" x14ac:dyDescent="0.2">
      <c r="B99" s="5" t="s">
        <v>447</v>
      </c>
      <c r="C99" s="52"/>
      <c r="D99" s="52">
        <f>'Forecast Model'!F36</f>
        <v>571.31600000000003</v>
      </c>
      <c r="E99" s="52">
        <f>'Forecast Model'!G36</f>
        <v>685.70399999999995</v>
      </c>
      <c r="F99" s="52">
        <f>'Forecast Model'!H36</f>
        <v>759.92399999999998</v>
      </c>
      <c r="G99" s="52">
        <f>'Forecast Model'!I36</f>
        <v>728.77099999999996</v>
      </c>
      <c r="H99" s="83">
        <f>H101*H102</f>
        <v>797.50654467684137</v>
      </c>
      <c r="I99" s="83">
        <f t="shared" ref="I99:L99" si="13">I101*I102</f>
        <v>866.26259570256684</v>
      </c>
      <c r="J99" s="83">
        <f t="shared" si="13"/>
        <v>933.80039818198111</v>
      </c>
      <c r="K99" s="83">
        <f t="shared" si="13"/>
        <v>1010.3190651488569</v>
      </c>
      <c r="L99" s="83">
        <f t="shared" si="13"/>
        <v>1097.1276749805668</v>
      </c>
    </row>
    <row r="100" spans="2:12" x14ac:dyDescent="0.2">
      <c r="B100" s="5" t="s">
        <v>60</v>
      </c>
      <c r="C100" s="52"/>
      <c r="D100" s="52">
        <f>'Forecast Model'!F8</f>
        <v>3500.9209999999998</v>
      </c>
      <c r="E100" s="52">
        <f>'Forecast Model'!G8</f>
        <v>3869.518</v>
      </c>
      <c r="F100" s="52">
        <f>'Forecast Model'!H8</f>
        <v>4236.8230000000003</v>
      </c>
      <c r="G100" s="52">
        <f>'Forecast Model'!I8</f>
        <v>4646.9579999999996</v>
      </c>
      <c r="H100" s="52">
        <f>'Forecast Model'!J8</f>
        <v>5085.2454582281744</v>
      </c>
      <c r="I100" s="52">
        <f>'Forecast Model'!K8</f>
        <v>5523.6636737751751</v>
      </c>
      <c r="J100" s="52">
        <f>'Forecast Model'!L8</f>
        <v>5954.3138115195889</v>
      </c>
      <c r="K100" s="52">
        <f>'Forecast Model'!M8</f>
        <v>6442.2298120342348</v>
      </c>
      <c r="L100" s="52">
        <f>'Forecast Model'!N8</f>
        <v>6995.7589232726659</v>
      </c>
    </row>
    <row r="101" spans="2:12" x14ac:dyDescent="0.2">
      <c r="B101" s="5" t="s">
        <v>448</v>
      </c>
      <c r="C101" s="105"/>
      <c r="D101" s="105">
        <f>D100/D94</f>
        <v>9.5915643835616429</v>
      </c>
      <c r="E101" s="105">
        <f t="shared" ref="E101:G101" si="14">E100/E94</f>
        <v>10.601419178082192</v>
      </c>
      <c r="F101" s="105">
        <f t="shared" si="14"/>
        <v>11.607734246575344</v>
      </c>
      <c r="G101" s="105">
        <f t="shared" si="14"/>
        <v>12.731391780821916</v>
      </c>
      <c r="H101" s="105">
        <f t="shared" ref="H101" si="15">H100/H94</f>
        <v>13.932179337611437</v>
      </c>
      <c r="I101" s="105">
        <f t="shared" ref="I101" si="16">I100/I94</f>
        <v>15.133325133630617</v>
      </c>
      <c r="J101" s="105">
        <f t="shared" ref="J101" si="17">J100/J94</f>
        <v>16.313188524711201</v>
      </c>
      <c r="K101" s="105">
        <f t="shared" ref="K101" si="18">K100/K94</f>
        <v>17.649944690504753</v>
      </c>
      <c r="L101" s="105">
        <f t="shared" ref="L101" si="19">L100/L94</f>
        <v>19.166462803486755</v>
      </c>
    </row>
    <row r="102" spans="2:12" x14ac:dyDescent="0.2">
      <c r="B102" s="5" t="s">
        <v>347</v>
      </c>
      <c r="C102" s="106"/>
      <c r="D102" s="106">
        <f>D99/D101</f>
        <v>59.564423190354773</v>
      </c>
      <c r="E102" s="106">
        <f t="shared" ref="E102:G102" si="20">E99/E101</f>
        <v>64.680396886640651</v>
      </c>
      <c r="F102" s="106">
        <f t="shared" si="20"/>
        <v>65.467039807893784</v>
      </c>
      <c r="G102" s="106">
        <f t="shared" si="20"/>
        <v>57.242052757954781</v>
      </c>
      <c r="H102" s="107">
        <f>G102</f>
        <v>57.242052757954781</v>
      </c>
      <c r="I102" s="107">
        <f>H102</f>
        <v>57.242052757954781</v>
      </c>
      <c r="J102" s="107">
        <f t="shared" ref="J102:L102" si="21">I102</f>
        <v>57.242052757954781</v>
      </c>
      <c r="K102" s="107">
        <f t="shared" si="21"/>
        <v>57.242052757954781</v>
      </c>
      <c r="L102" s="107">
        <f t="shared" si="21"/>
        <v>57.242052757954781</v>
      </c>
    </row>
    <row r="103" spans="2:12" x14ac:dyDescent="0.2">
      <c r="B103" s="108" t="s">
        <v>460</v>
      </c>
    </row>
    <row r="106" spans="2:12" x14ac:dyDescent="0.2">
      <c r="B106" s="33" t="s">
        <v>449</v>
      </c>
    </row>
    <row r="108" spans="2:12" x14ac:dyDescent="0.2">
      <c r="B108" s="5" t="s">
        <v>450</v>
      </c>
      <c r="C108" s="26"/>
      <c r="D108" s="26">
        <f>'Forecast Model'!F38</f>
        <v>58.790999999999997</v>
      </c>
      <c r="E108" s="26">
        <f>'Forecast Model'!G38</f>
        <v>39.972999999999999</v>
      </c>
      <c r="F108" s="26">
        <f>'Forecast Model'!H38</f>
        <v>43.639000000000003</v>
      </c>
      <c r="G108" s="26">
        <f>'Forecast Model'!I38</f>
        <v>39.661000000000001</v>
      </c>
      <c r="H108" s="83">
        <f>H110*H111</f>
        <v>43.632250140666081</v>
      </c>
      <c r="I108" s="83">
        <f t="shared" ref="I108:L108" si="22">I110*I111</f>
        <v>47.393951203889941</v>
      </c>
      <c r="J108" s="83">
        <f t="shared" si="22"/>
        <v>51.089000870130342</v>
      </c>
      <c r="K108" s="83">
        <f t="shared" si="22"/>
        <v>55.275401144603215</v>
      </c>
      <c r="L108" s="83">
        <f t="shared" si="22"/>
        <v>60.024772800324804</v>
      </c>
    </row>
    <row r="109" spans="2:12" x14ac:dyDescent="0.2">
      <c r="B109" s="5" t="s">
        <v>451</v>
      </c>
      <c r="C109" s="26"/>
      <c r="D109" s="26">
        <f>-'Forecast Model'!F9</f>
        <v>1776.787</v>
      </c>
      <c r="E109" s="26">
        <f>-'Forecast Model'!G9</f>
        <v>1990.43</v>
      </c>
      <c r="F109" s="26">
        <f>-'Forecast Model'!H9</f>
        <v>2158.9209999999998</v>
      </c>
      <c r="G109" s="26">
        <f>-'Forecast Model'!I9</f>
        <v>2355.54</v>
      </c>
      <c r="H109" s="26">
        <f>-'Forecast Model'!J9</f>
        <v>2591.3998763607719</v>
      </c>
      <c r="I109" s="26">
        <f>-'Forecast Model'!K9</f>
        <v>2814.8142462068759</v>
      </c>
      <c r="J109" s="26">
        <f>-'Forecast Model'!L9</f>
        <v>3034.2700665547218</v>
      </c>
      <c r="K109" s="26">
        <f>-'Forecast Model'!M9</f>
        <v>3282.9081065066102</v>
      </c>
      <c r="L109" s="26">
        <f>-'Forecast Model'!N9</f>
        <v>3564.9820559763266</v>
      </c>
    </row>
    <row r="110" spans="2:12" x14ac:dyDescent="0.2">
      <c r="B110" s="5" t="s">
        <v>452</v>
      </c>
      <c r="C110" s="54"/>
      <c r="D110" s="54">
        <f>D109/D94</f>
        <v>4.8679095890410959</v>
      </c>
      <c r="E110" s="54">
        <f t="shared" ref="E110:G110" si="23">E109/E94</f>
        <v>5.4532328767123293</v>
      </c>
      <c r="F110" s="54">
        <f t="shared" si="23"/>
        <v>5.9148520547945198</v>
      </c>
      <c r="G110" s="54">
        <f t="shared" si="23"/>
        <v>6.4535342465753427</v>
      </c>
      <c r="H110" s="54">
        <f t="shared" ref="H110" si="24">H109/H94</f>
        <v>7.0997256886596496</v>
      </c>
      <c r="I110" s="54">
        <f t="shared" ref="I110" si="25">I109/I94</f>
        <v>7.711819852621578</v>
      </c>
      <c r="J110" s="54">
        <f t="shared" ref="J110" si="26">J109/J94</f>
        <v>8.3130686754923886</v>
      </c>
      <c r="K110" s="54">
        <f t="shared" ref="K110" si="27">K109/K94</f>
        <v>8.9942687849496163</v>
      </c>
      <c r="L110" s="54">
        <f t="shared" ref="L110" si="28">L109/L94</f>
        <v>9.7670741259625391</v>
      </c>
    </row>
    <row r="111" spans="2:12" x14ac:dyDescent="0.2">
      <c r="B111" s="5" t="s">
        <v>349</v>
      </c>
      <c r="C111" s="40"/>
      <c r="D111" s="40">
        <f>D108/D110</f>
        <v>12.077257994345974</v>
      </c>
      <c r="E111" s="40">
        <f t="shared" ref="E111:G111" si="29">E108/E110</f>
        <v>7.3301472546133235</v>
      </c>
      <c r="F111" s="40">
        <f t="shared" si="29"/>
        <v>7.3778683888850045</v>
      </c>
      <c r="G111" s="40">
        <f t="shared" si="29"/>
        <v>6.1456247824278085</v>
      </c>
      <c r="H111" s="107">
        <f>G111</f>
        <v>6.1456247824278085</v>
      </c>
      <c r="I111" s="107">
        <f>H111</f>
        <v>6.1456247824278085</v>
      </c>
      <c r="J111" s="107">
        <f t="shared" ref="J111:L111" si="30">I111</f>
        <v>6.1456247824278085</v>
      </c>
      <c r="K111" s="107">
        <f t="shared" si="30"/>
        <v>6.1456247824278085</v>
      </c>
      <c r="L111" s="107">
        <f t="shared" si="30"/>
        <v>6.1456247824278085</v>
      </c>
    </row>
    <row r="112" spans="2:12" x14ac:dyDescent="0.2">
      <c r="B112" s="108" t="s">
        <v>460</v>
      </c>
    </row>
    <row r="114" spans="2:12" x14ac:dyDescent="0.2">
      <c r="B114" s="33" t="s">
        <v>453</v>
      </c>
    </row>
    <row r="116" spans="2:12" x14ac:dyDescent="0.2">
      <c r="B116" s="5" t="s">
        <v>454</v>
      </c>
      <c r="C116" s="26"/>
      <c r="D116" s="26">
        <f>'Forecast Model'!F50</f>
        <v>187.17</v>
      </c>
      <c r="E116" s="26">
        <f>'Forecast Model'!G50</f>
        <v>180.01599999999999</v>
      </c>
      <c r="F116" s="26">
        <f>'Forecast Model'!H50</f>
        <v>193.333</v>
      </c>
      <c r="G116" s="26">
        <f>'Forecast Model'!I50</f>
        <v>214.40199999999999</v>
      </c>
      <c r="H116" s="109">
        <f>H118*H119</f>
        <v>235.87004096364407</v>
      </c>
      <c r="I116" s="109">
        <f t="shared" ref="I116:L116" si="31">I118*I119</f>
        <v>256.2052879659214</v>
      </c>
      <c r="J116" s="109">
        <f t="shared" si="31"/>
        <v>276.18022653381621</v>
      </c>
      <c r="K116" s="109">
        <f t="shared" si="31"/>
        <v>298.81134001172984</v>
      </c>
      <c r="L116" s="109">
        <f t="shared" si="31"/>
        <v>324.48580060853828</v>
      </c>
    </row>
    <row r="117" spans="2:12" x14ac:dyDescent="0.2">
      <c r="B117" s="5" t="s">
        <v>455</v>
      </c>
      <c r="D117" s="26">
        <f>-'Forecast Model'!F9</f>
        <v>1776.787</v>
      </c>
      <c r="E117" s="26">
        <f>-'Forecast Model'!G9</f>
        <v>1990.43</v>
      </c>
      <c r="F117" s="26">
        <f>-'Forecast Model'!H9</f>
        <v>2158.9209999999998</v>
      </c>
      <c r="G117" s="26">
        <f>-'Forecast Model'!I9</f>
        <v>2355.54</v>
      </c>
      <c r="H117" s="26">
        <f>-'Forecast Model'!J9</f>
        <v>2591.3998763607719</v>
      </c>
      <c r="I117" s="26">
        <f>-'Forecast Model'!K9</f>
        <v>2814.8142462068759</v>
      </c>
      <c r="J117" s="26">
        <f>-'Forecast Model'!L9</f>
        <v>3034.2700665547218</v>
      </c>
      <c r="K117" s="26">
        <f>-'Forecast Model'!M9</f>
        <v>3282.9081065066102</v>
      </c>
      <c r="L117" s="26">
        <f>-'Forecast Model'!N9</f>
        <v>3564.9820559763266</v>
      </c>
    </row>
    <row r="118" spans="2:12" x14ac:dyDescent="0.2">
      <c r="B118" s="5" t="s">
        <v>456</v>
      </c>
      <c r="D118" s="54">
        <f>D117/D94</f>
        <v>4.8679095890410959</v>
      </c>
      <c r="E118" s="54">
        <f t="shared" ref="E118:G118" si="32">E117/E94</f>
        <v>5.4532328767123293</v>
      </c>
      <c r="F118" s="54">
        <f t="shared" si="32"/>
        <v>5.9148520547945198</v>
      </c>
      <c r="G118" s="54">
        <f t="shared" si="32"/>
        <v>6.4535342465753427</v>
      </c>
      <c r="H118" s="54">
        <f t="shared" ref="H118" si="33">H117/H94</f>
        <v>7.0997256886596496</v>
      </c>
      <c r="I118" s="54">
        <f t="shared" ref="I118" si="34">I117/I94</f>
        <v>7.711819852621578</v>
      </c>
      <c r="J118" s="54">
        <f t="shared" ref="J118" si="35">J117/J94</f>
        <v>8.3130686754923886</v>
      </c>
      <c r="K118" s="54">
        <f t="shared" ref="K118" si="36">K117/K94</f>
        <v>8.9942687849496163</v>
      </c>
      <c r="L118" s="54">
        <f t="shared" ref="L118" si="37">L117/L94</f>
        <v>9.7670741259625391</v>
      </c>
    </row>
    <row r="119" spans="2:12" x14ac:dyDescent="0.2">
      <c r="B119" s="5" t="s">
        <v>348</v>
      </c>
      <c r="D119" s="110">
        <f>D116/D118</f>
        <v>38.449769161976079</v>
      </c>
      <c r="E119" s="110">
        <f t="shared" ref="E119:G119" si="38">E116/E118</f>
        <v>33.010877046668305</v>
      </c>
      <c r="F119" s="110">
        <f t="shared" si="38"/>
        <v>32.686024639160031</v>
      </c>
      <c r="G119" s="110">
        <f t="shared" si="38"/>
        <v>33.222416091427014</v>
      </c>
      <c r="H119" s="111">
        <f>G119</f>
        <v>33.222416091427014</v>
      </c>
      <c r="I119" s="111">
        <f>H119</f>
        <v>33.222416091427014</v>
      </c>
      <c r="J119" s="111">
        <f t="shared" ref="J119:L119" si="39">I119</f>
        <v>33.222416091427014</v>
      </c>
      <c r="K119" s="111">
        <f t="shared" si="39"/>
        <v>33.222416091427014</v>
      </c>
      <c r="L119" s="111">
        <f t="shared" si="39"/>
        <v>33.222416091427014</v>
      </c>
    </row>
    <row r="120" spans="2:12" x14ac:dyDescent="0.2">
      <c r="B120" s="108" t="s">
        <v>460</v>
      </c>
    </row>
    <row r="123" spans="2:12" x14ac:dyDescent="0.2">
      <c r="B123" s="86" t="s">
        <v>74</v>
      </c>
      <c r="C123" s="2"/>
      <c r="D123" s="2"/>
      <c r="E123" s="2"/>
      <c r="F123" s="2"/>
      <c r="G123" s="2"/>
      <c r="H123" s="2"/>
    </row>
    <row r="125" spans="2:12" x14ac:dyDescent="0.2">
      <c r="D125" s="34"/>
      <c r="E125" s="34" t="s">
        <v>57</v>
      </c>
      <c r="F125" s="34" t="s">
        <v>58</v>
      </c>
      <c r="G125" s="34" t="s">
        <v>308</v>
      </c>
      <c r="H125" s="34" t="s">
        <v>59</v>
      </c>
    </row>
    <row r="126" spans="2:12" x14ac:dyDescent="0.2">
      <c r="B126" s="5" t="s">
        <v>457</v>
      </c>
      <c r="D126" s="26"/>
      <c r="E126" s="26">
        <f>'Forecast Model'!F39</f>
        <v>18.731000000000002</v>
      </c>
      <c r="F126" s="26">
        <f>'Forecast Model'!G39</f>
        <v>26.31</v>
      </c>
      <c r="G126" s="26">
        <f>'Forecast Model'!H39</f>
        <v>33.872</v>
      </c>
      <c r="H126" s="26">
        <f>'Forecast Model'!I39</f>
        <v>46.360999999999997</v>
      </c>
    </row>
    <row r="127" spans="2:12" x14ac:dyDescent="0.2">
      <c r="B127" s="5" t="s">
        <v>458</v>
      </c>
      <c r="D127" s="91"/>
      <c r="E127" s="91">
        <f>E126/D100</f>
        <v>5.3503063908040202E-3</v>
      </c>
      <c r="F127" s="91">
        <f t="shared" ref="F127:H127" si="40">F126/E100</f>
        <v>6.7992964498420731E-3</v>
      </c>
      <c r="G127" s="91">
        <f t="shared" si="40"/>
        <v>7.9946695908703277E-3</v>
      </c>
      <c r="H127" s="91">
        <f t="shared" si="40"/>
        <v>9.9766341765946676E-3</v>
      </c>
    </row>
    <row r="128" spans="2:12" ht="17" thickBot="1" x14ac:dyDescent="0.25"/>
    <row r="129" spans="2:13" ht="17" thickBot="1" x14ac:dyDescent="0.25">
      <c r="B129" s="99" t="s">
        <v>459</v>
      </c>
      <c r="C129" s="112"/>
      <c r="D129" s="113"/>
      <c r="E129" s="100">
        <f>AVERAGE(E127:H127)</f>
        <v>7.5302266520277722E-3</v>
      </c>
    </row>
    <row r="132" spans="2:13" x14ac:dyDescent="0.2">
      <c r="B132" s="85" t="s">
        <v>461</v>
      </c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</row>
    <row r="135" spans="2:13" x14ac:dyDescent="0.2">
      <c r="B135" s="86" t="s">
        <v>462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2:13" x14ac:dyDescent="0.2">
      <c r="C136" s="114" t="s">
        <v>57</v>
      </c>
      <c r="D136" s="114" t="s">
        <v>58</v>
      </c>
      <c r="E136" s="114" t="s">
        <v>308</v>
      </c>
      <c r="F136" s="114" t="s">
        <v>59</v>
      </c>
      <c r="G136" s="34" t="s">
        <v>388</v>
      </c>
      <c r="H136" s="34" t="s">
        <v>389</v>
      </c>
      <c r="I136" s="34" t="s">
        <v>390</v>
      </c>
      <c r="J136" s="34" t="s">
        <v>391</v>
      </c>
      <c r="K136" s="34" t="s">
        <v>408</v>
      </c>
    </row>
    <row r="137" spans="2:13" x14ac:dyDescent="0.2">
      <c r="B137" s="5" t="s">
        <v>463</v>
      </c>
      <c r="C137" s="115"/>
      <c r="D137" s="116">
        <f>C140</f>
        <v>2602.067</v>
      </c>
      <c r="E137" s="116">
        <f t="shared" ref="E137:F137" si="41">D140</f>
        <v>2952.4780000000001</v>
      </c>
      <c r="F137" s="116">
        <f t="shared" si="41"/>
        <v>3292.1390000000001</v>
      </c>
      <c r="G137" s="26">
        <f>F140</f>
        <v>3697.8009999999999</v>
      </c>
      <c r="H137" s="26">
        <f>G140</f>
        <v>4133.3120821012872</v>
      </c>
      <c r="I137" s="26">
        <f t="shared" ref="I137:K137" si="42">H140</f>
        <v>4593.2717886668561</v>
      </c>
      <c r="J137" s="26">
        <f t="shared" si="42"/>
        <v>5108.215512890295</v>
      </c>
      <c r="K137" s="26">
        <f t="shared" si="42"/>
        <v>5689.130472959383</v>
      </c>
    </row>
    <row r="138" spans="2:13" x14ac:dyDescent="0.2">
      <c r="B138" s="5" t="s">
        <v>464</v>
      </c>
      <c r="C138" s="115"/>
      <c r="D138" s="116">
        <f>-'Forecast Model'!G93</f>
        <v>516.63599999999997</v>
      </c>
      <c r="E138" s="116">
        <f>-'Forecast Model'!H93</f>
        <v>510.99</v>
      </c>
      <c r="F138" s="116">
        <f>-'Forecast Model'!I93</f>
        <v>568.99</v>
      </c>
      <c r="G138" s="79">
        <f>G142*G137</f>
        <v>671.09270037867236</v>
      </c>
      <c r="H138" s="79">
        <f>H142*H137</f>
        <v>726.62077257918486</v>
      </c>
      <c r="I138" s="79">
        <f t="shared" ref="I138:K138" si="43">I142*I137</f>
        <v>811.65170162659672</v>
      </c>
      <c r="J138" s="79">
        <f t="shared" si="43"/>
        <v>909.23681645262525</v>
      </c>
      <c r="K138" s="79">
        <f t="shared" si="43"/>
        <v>1006.0198097274749</v>
      </c>
    </row>
    <row r="139" spans="2:13" ht="17" thickBot="1" x14ac:dyDescent="0.25">
      <c r="B139" s="5" t="s">
        <v>465</v>
      </c>
      <c r="C139" s="115"/>
      <c r="D139" s="116">
        <f>-'Forecast Model'!G81</f>
        <v>-159.47800000000001</v>
      </c>
      <c r="E139" s="116">
        <f>-'Forecast Model'!H81</f>
        <v>-189.761</v>
      </c>
      <c r="F139" s="116">
        <f>-'Forecast Model'!I81</f>
        <v>-215.84899999999999</v>
      </c>
      <c r="G139" s="79">
        <f>-G143*G137</f>
        <v>-235.58161827738476</v>
      </c>
      <c r="H139" s="79">
        <f>-H143*H137</f>
        <v>-266.66106601361616</v>
      </c>
      <c r="I139" s="79">
        <f t="shared" ref="I139:K139" si="44">-I143*I137</f>
        <v>-296.70797740315777</v>
      </c>
      <c r="J139" s="79">
        <f t="shared" si="44"/>
        <v>-328.32185638353684</v>
      </c>
      <c r="K139" s="79">
        <f t="shared" si="44"/>
        <v>-366.73011080835352</v>
      </c>
    </row>
    <row r="140" spans="2:13" ht="17" thickBot="1" x14ac:dyDescent="0.25">
      <c r="B140" s="5" t="s">
        <v>466</v>
      </c>
      <c r="C140" s="116">
        <f>'Forecast Model'!F42</f>
        <v>2602.067</v>
      </c>
      <c r="D140" s="116">
        <f>'Forecast Model'!G42</f>
        <v>2952.4780000000001</v>
      </c>
      <c r="E140" s="116">
        <f>'Forecast Model'!H42</f>
        <v>3292.1390000000001</v>
      </c>
      <c r="F140" s="116">
        <f>'Forecast Model'!I42</f>
        <v>3697.8009999999999</v>
      </c>
      <c r="G140" s="117">
        <f>SUM(G137:G139)</f>
        <v>4133.3120821012872</v>
      </c>
      <c r="H140" s="118">
        <f>SUM(H137:H139)</f>
        <v>4593.2717886668561</v>
      </c>
      <c r="I140" s="118">
        <f t="shared" ref="I140:K140" si="45">SUM(I137:I139)</f>
        <v>5108.215512890295</v>
      </c>
      <c r="J140" s="118">
        <f t="shared" si="45"/>
        <v>5689.130472959383</v>
      </c>
      <c r="K140" s="119">
        <f t="shared" si="45"/>
        <v>6328.4201718785043</v>
      </c>
    </row>
    <row r="141" spans="2:13" ht="17" thickBot="1" x14ac:dyDescent="0.25"/>
    <row r="142" spans="2:13" x14ac:dyDescent="0.2">
      <c r="B142" s="46" t="s">
        <v>467</v>
      </c>
      <c r="D142" s="91">
        <f>D138/D137</f>
        <v>0.19854830794134046</v>
      </c>
      <c r="E142" s="91">
        <f t="shared" ref="E142:F142" si="46">E138/E137</f>
        <v>0.17307156903455334</v>
      </c>
      <c r="F142" s="91">
        <f t="shared" si="46"/>
        <v>0.17283292108869036</v>
      </c>
      <c r="G142" s="120">
        <f>AVERAGE(D142:F142)</f>
        <v>0.18148426602152803</v>
      </c>
      <c r="H142" s="121">
        <f t="shared" ref="H142:K142" si="47">AVERAGE(E142:G142)</f>
        <v>0.17579625204825725</v>
      </c>
      <c r="I142" s="121">
        <f t="shared" si="47"/>
        <v>0.17670447971949188</v>
      </c>
      <c r="J142" s="121">
        <f t="shared" si="47"/>
        <v>0.1779949992630924</v>
      </c>
      <c r="K142" s="122">
        <f t="shared" si="47"/>
        <v>0.17683191034361381</v>
      </c>
    </row>
    <row r="143" spans="2:13" ht="17" thickBot="1" x14ac:dyDescent="0.25">
      <c r="B143" s="46" t="s">
        <v>468</v>
      </c>
      <c r="D143" s="91">
        <f>-D139/D137</f>
        <v>6.1288967578467426E-2</v>
      </c>
      <c r="E143" s="91">
        <f t="shared" ref="E143:F143" si="48">-E139/E137</f>
        <v>6.4271774421350472E-2</v>
      </c>
      <c r="F143" s="91">
        <f t="shared" si="48"/>
        <v>6.5564971588380677E-2</v>
      </c>
      <c r="G143" s="123">
        <f>AVERAGE(D143:F143)</f>
        <v>6.3708571196066197E-2</v>
      </c>
      <c r="H143" s="124">
        <f t="shared" ref="H143:K143" si="49">AVERAGE(E143:G143)</f>
        <v>6.4515105735265796E-2</v>
      </c>
      <c r="I143" s="124">
        <f t="shared" si="49"/>
        <v>6.4596216173237561E-2</v>
      </c>
      <c r="J143" s="124">
        <f t="shared" si="49"/>
        <v>6.427329770152318E-2</v>
      </c>
      <c r="K143" s="125">
        <f t="shared" si="49"/>
        <v>6.4461539870008841E-2</v>
      </c>
    </row>
    <row r="144" spans="2:13" x14ac:dyDescent="0.2">
      <c r="G144" s="46" t="s">
        <v>469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2E258-AB41-1742-929B-40699BF92EDB}">
  <sheetPr>
    <tabColor rgb="FFBF8F00"/>
  </sheetPr>
  <dimension ref="B3:N107"/>
  <sheetViews>
    <sheetView zoomScale="125" workbookViewId="0">
      <selection activeCell="P87" sqref="P87"/>
    </sheetView>
  </sheetViews>
  <sheetFormatPr baseColWidth="10" defaultRowHeight="16" x14ac:dyDescent="0.2"/>
  <cols>
    <col min="1" max="1" width="3.1640625" style="1" customWidth="1"/>
    <col min="2" max="5" width="10.83203125" style="1"/>
    <col min="6" max="6" width="13" style="1" customWidth="1"/>
    <col min="7" max="16384" width="10.83203125" style="1"/>
  </cols>
  <sheetData>
    <row r="3" spans="2:14" ht="19" x14ac:dyDescent="0.25">
      <c r="B3" s="300" t="s">
        <v>409</v>
      </c>
      <c r="C3" s="300"/>
      <c r="D3" s="300"/>
      <c r="E3" s="300"/>
      <c r="F3" s="300"/>
      <c r="G3" s="300"/>
      <c r="H3" s="300"/>
      <c r="I3" s="300"/>
      <c r="J3" s="300"/>
      <c r="K3" s="300"/>
      <c r="L3" s="300"/>
      <c r="M3" s="300"/>
      <c r="N3" s="300"/>
    </row>
    <row r="4" spans="2:14" x14ac:dyDescent="0.2">
      <c r="J4" s="76"/>
      <c r="K4" s="76"/>
      <c r="L4" s="76"/>
      <c r="M4" s="76"/>
      <c r="N4" s="76"/>
    </row>
    <row r="5" spans="2:14" x14ac:dyDescent="0.2">
      <c r="B5" s="47" t="s">
        <v>410</v>
      </c>
      <c r="F5" s="77" t="s">
        <v>57</v>
      </c>
      <c r="G5" s="78" t="s">
        <v>58</v>
      </c>
      <c r="H5" s="78" t="s">
        <v>308</v>
      </c>
      <c r="I5" s="78" t="s">
        <v>59</v>
      </c>
      <c r="J5" s="78" t="s">
        <v>388</v>
      </c>
      <c r="K5" s="78" t="s">
        <v>389</v>
      </c>
      <c r="L5" s="78" t="s">
        <v>390</v>
      </c>
      <c r="M5" s="78" t="s">
        <v>391</v>
      </c>
      <c r="N5" s="78" t="s">
        <v>408</v>
      </c>
    </row>
    <row r="6" spans="2:14" x14ac:dyDescent="0.2">
      <c r="B6" s="47" t="s">
        <v>411</v>
      </c>
    </row>
    <row r="8" spans="2:14" x14ac:dyDescent="0.2">
      <c r="B8" s="1" t="s">
        <v>60</v>
      </c>
      <c r="F8" s="29">
        <v>3500.9209999999998</v>
      </c>
      <c r="G8" s="29">
        <v>3869.518</v>
      </c>
      <c r="H8" s="29">
        <v>4236.8230000000003</v>
      </c>
      <c r="I8" s="29">
        <v>4646.9579999999996</v>
      </c>
      <c r="J8" s="79">
        <f>I8*(1+'Master Assumptions'!F11)</f>
        <v>5085.2454582281744</v>
      </c>
      <c r="K8" s="79">
        <f>J8*(1+'Master Assumptions'!G11)</f>
        <v>5523.6636737751751</v>
      </c>
      <c r="L8" s="79">
        <f>K8*(1+'Master Assumptions'!H11)</f>
        <v>5954.3138115195889</v>
      </c>
      <c r="M8" s="79">
        <f>L8*(1+'Master Assumptions'!I11)</f>
        <v>6442.2298120342348</v>
      </c>
      <c r="N8" s="79">
        <f>M8*(1+'Master Assumptions'!J11)</f>
        <v>6995.7589232726659</v>
      </c>
    </row>
    <row r="9" spans="2:14" x14ac:dyDescent="0.2">
      <c r="B9" s="1" t="s">
        <v>309</v>
      </c>
      <c r="F9" s="29">
        <v>-1776.787</v>
      </c>
      <c r="G9" s="29">
        <v>-1990.43</v>
      </c>
      <c r="H9" s="29">
        <v>-2158.9209999999998</v>
      </c>
      <c r="I9" s="29">
        <v>-2355.54</v>
      </c>
      <c r="J9" s="79">
        <f>J10-J8</f>
        <v>-2591.3998763607719</v>
      </c>
      <c r="K9" s="79">
        <f t="shared" ref="K9:N9" si="0">K10-K8</f>
        <v>-2814.8142462068759</v>
      </c>
      <c r="L9" s="79">
        <f t="shared" si="0"/>
        <v>-3034.2700665547218</v>
      </c>
      <c r="M9" s="79">
        <f t="shared" si="0"/>
        <v>-3282.9081065066102</v>
      </c>
      <c r="N9" s="79">
        <f t="shared" si="0"/>
        <v>-3564.9820559763266</v>
      </c>
    </row>
    <row r="10" spans="2:14" x14ac:dyDescent="0.2">
      <c r="B10" s="5" t="s">
        <v>310</v>
      </c>
      <c r="F10" s="27">
        <f>SUM(F8:F9)</f>
        <v>1724.1339999999998</v>
      </c>
      <c r="G10" s="27">
        <f t="shared" ref="G10:I10" si="1">SUM(G8:G9)</f>
        <v>1879.088</v>
      </c>
      <c r="H10" s="27">
        <f t="shared" si="1"/>
        <v>2077.9020000000005</v>
      </c>
      <c r="I10" s="27">
        <f t="shared" si="1"/>
        <v>2291.4179999999997</v>
      </c>
      <c r="J10" s="80">
        <f>J8*'Master Assumptions'!F12</f>
        <v>2493.8455818674024</v>
      </c>
      <c r="K10" s="80">
        <f>K8*'Master Assumptions'!G12</f>
        <v>2708.8494275682992</v>
      </c>
      <c r="L10" s="80">
        <f>L8*'Master Assumptions'!H12</f>
        <v>2920.0437449648671</v>
      </c>
      <c r="M10" s="80">
        <f>M8*'Master Assumptions'!I12</f>
        <v>3159.3217055276245</v>
      </c>
      <c r="N10" s="80">
        <f>N8*'Master Assumptions'!J12</f>
        <v>3430.7768672963393</v>
      </c>
    </row>
    <row r="11" spans="2:14" x14ac:dyDescent="0.2">
      <c r="F11" s="26"/>
      <c r="G11" s="26"/>
      <c r="H11" s="26"/>
      <c r="I11" s="26"/>
    </row>
    <row r="12" spans="2:14" x14ac:dyDescent="0.2">
      <c r="B12" s="1" t="s">
        <v>61</v>
      </c>
      <c r="F12" s="29">
        <v>-211.15199999999999</v>
      </c>
      <c r="G12" s="29">
        <v>-233.041</v>
      </c>
      <c r="H12" s="29">
        <v>-316.11799999999999</v>
      </c>
      <c r="I12" s="29">
        <v>-378.85500000000002</v>
      </c>
      <c r="J12" s="79">
        <f>J8*'Master Assumptions'!F15*-1</f>
        <v>-414.58749316801124</v>
      </c>
      <c r="K12" s="79">
        <f>K8*'Master Assumptions'!G15*-1</f>
        <v>-450.33064665703762</v>
      </c>
      <c r="L12" s="79">
        <f>L8*'Master Assumptions'!H15*-1</f>
        <v>-485.44048796293276</v>
      </c>
      <c r="M12" s="79">
        <f>M8*'Master Assumptions'!I15*-1</f>
        <v>-525.21907351825223</v>
      </c>
      <c r="N12" s="79">
        <f>N8*'Master Assumptions'!J15*-1</f>
        <v>-570.34693381701879</v>
      </c>
    </row>
    <row r="13" spans="2:14" x14ac:dyDescent="0.2">
      <c r="B13" s="1" t="s">
        <v>62</v>
      </c>
      <c r="F13" s="29">
        <v>-137.98500000000001</v>
      </c>
      <c r="G13" s="29">
        <v>-159.47800000000001</v>
      </c>
      <c r="H13" s="29">
        <v>-189.761</v>
      </c>
      <c r="I13" s="29">
        <v>-215.84899999999999</v>
      </c>
      <c r="J13" s="126">
        <f>-'Master Assumptions'!F18*'Forecast Model'!I42</f>
        <v>-235.58161827738476</v>
      </c>
      <c r="K13" s="126">
        <f>-'Master Assumptions'!G18*'Forecast Model'!J42</f>
        <v>-266.66106601361616</v>
      </c>
      <c r="L13" s="126">
        <f>-'Master Assumptions'!H18*'Forecast Model'!K42</f>
        <v>-296.70797740315777</v>
      </c>
      <c r="M13" s="126">
        <f>-'Master Assumptions'!I18*'Forecast Model'!L42</f>
        <v>-328.32185638353684</v>
      </c>
      <c r="N13" s="126">
        <f>-'Master Assumptions'!J18*'Forecast Model'!M42</f>
        <v>-366.73011080835352</v>
      </c>
    </row>
    <row r="14" spans="2:14" x14ac:dyDescent="0.2">
      <c r="B14" s="7" t="s">
        <v>63</v>
      </c>
      <c r="F14" s="27">
        <f>SUM(F10:F13)</f>
        <v>1374.9969999999998</v>
      </c>
      <c r="G14" s="27">
        <f t="shared" ref="G14:I14" si="2">SUM(G10:G13)</f>
        <v>1486.569</v>
      </c>
      <c r="H14" s="27">
        <f t="shared" si="2"/>
        <v>1572.0230000000006</v>
      </c>
      <c r="I14" s="27">
        <f t="shared" si="2"/>
        <v>1696.7139999999997</v>
      </c>
      <c r="J14" s="80">
        <f>SUM(J10:J13)</f>
        <v>1843.6764704220063</v>
      </c>
      <c r="K14" s="80">
        <f t="shared" ref="K14:N14" si="3">SUM(K10:K13)</f>
        <v>1991.8577148976456</v>
      </c>
      <c r="L14" s="80">
        <f t="shared" si="3"/>
        <v>2137.8952795987766</v>
      </c>
      <c r="M14" s="80">
        <f t="shared" si="3"/>
        <v>2305.7807756258358</v>
      </c>
      <c r="N14" s="80">
        <f t="shared" si="3"/>
        <v>2493.699822670967</v>
      </c>
    </row>
    <row r="15" spans="2:14" x14ac:dyDescent="0.2">
      <c r="F15" s="26"/>
      <c r="G15" s="26"/>
      <c r="H15" s="26"/>
      <c r="I15" s="26"/>
      <c r="J15" s="80"/>
      <c r="K15" s="80"/>
      <c r="L15" s="80"/>
      <c r="M15" s="80"/>
      <c r="N15" s="80"/>
    </row>
    <row r="16" spans="2:14" x14ac:dyDescent="0.2">
      <c r="B16" s="1" t="s">
        <v>311</v>
      </c>
      <c r="F16" s="29">
        <v>-16.8</v>
      </c>
      <c r="G16" s="29">
        <v>0</v>
      </c>
      <c r="H16" s="29">
        <v>0</v>
      </c>
      <c r="I16" s="29">
        <v>0</v>
      </c>
      <c r="J16" s="54">
        <f>I16</f>
        <v>0</v>
      </c>
      <c r="K16" s="54">
        <f>J16</f>
        <v>0</v>
      </c>
      <c r="L16" s="54">
        <f t="shared" ref="L16:N16" si="4">K16</f>
        <v>0</v>
      </c>
      <c r="M16" s="54">
        <f t="shared" si="4"/>
        <v>0</v>
      </c>
      <c r="N16" s="54">
        <f t="shared" si="4"/>
        <v>0</v>
      </c>
    </row>
    <row r="17" spans="2:14" x14ac:dyDescent="0.2">
      <c r="B17" s="1" t="s">
        <v>64</v>
      </c>
      <c r="F17" s="29">
        <v>-16.7</v>
      </c>
      <c r="G17" s="29">
        <v>0</v>
      </c>
      <c r="H17" s="29">
        <v>0</v>
      </c>
      <c r="I17" s="29">
        <v>0</v>
      </c>
      <c r="J17" s="79">
        <f>I17</f>
        <v>0</v>
      </c>
      <c r="K17" s="79">
        <f>J17</f>
        <v>0</v>
      </c>
      <c r="L17" s="79">
        <f t="shared" ref="L17:N17" si="5">K17</f>
        <v>0</v>
      </c>
      <c r="M17" s="79">
        <f t="shared" si="5"/>
        <v>0</v>
      </c>
      <c r="N17" s="79">
        <f t="shared" si="5"/>
        <v>0</v>
      </c>
    </row>
    <row r="18" spans="2:14" x14ac:dyDescent="0.2">
      <c r="B18" s="1" t="s">
        <v>65</v>
      </c>
      <c r="F18" s="29">
        <v>-0.59599999999999997</v>
      </c>
      <c r="G18" s="29">
        <v>67.759</v>
      </c>
      <c r="H18" s="29">
        <v>142.578</v>
      </c>
      <c r="I18" s="29">
        <v>198.86699999999999</v>
      </c>
      <c r="J18" s="79">
        <f>AVERAGE(H18:I18)</f>
        <v>170.7225</v>
      </c>
      <c r="K18" s="79">
        <f>J18</f>
        <v>170.7225</v>
      </c>
      <c r="L18" s="79">
        <f t="shared" ref="L18:N18" si="6">K18</f>
        <v>170.7225</v>
      </c>
      <c r="M18" s="79">
        <f t="shared" si="6"/>
        <v>170.7225</v>
      </c>
      <c r="N18" s="79">
        <f t="shared" si="6"/>
        <v>170.7225</v>
      </c>
    </row>
    <row r="19" spans="2:14" x14ac:dyDescent="0.2">
      <c r="B19" s="7" t="s">
        <v>66</v>
      </c>
      <c r="F19" s="27">
        <f>SUM(F14:F18)</f>
        <v>1340.9009999999998</v>
      </c>
      <c r="G19" s="27">
        <f t="shared" ref="G19:I19" si="7">SUM(G14:G18)</f>
        <v>1554.328</v>
      </c>
      <c r="H19" s="27">
        <f t="shared" si="7"/>
        <v>1714.6010000000006</v>
      </c>
      <c r="I19" s="27">
        <f t="shared" si="7"/>
        <v>1895.5809999999997</v>
      </c>
      <c r="J19" s="81">
        <f>SUM(J14:J18)</f>
        <v>2014.3989704220064</v>
      </c>
      <c r="K19" s="81">
        <f t="shared" ref="K19:N19" si="8">SUM(K14:K18)</f>
        <v>2162.5802148976454</v>
      </c>
      <c r="L19" s="81">
        <f t="shared" si="8"/>
        <v>2308.6177795987765</v>
      </c>
      <c r="M19" s="81">
        <f t="shared" si="8"/>
        <v>2476.5032756258356</v>
      </c>
      <c r="N19" s="81">
        <f t="shared" si="8"/>
        <v>2664.4223226709669</v>
      </c>
    </row>
    <row r="20" spans="2:14" x14ac:dyDescent="0.2">
      <c r="F20" s="26"/>
      <c r="G20" s="26"/>
      <c r="H20" s="26"/>
      <c r="I20" s="26"/>
      <c r="J20" s="81"/>
      <c r="K20" s="81"/>
      <c r="L20" s="81"/>
      <c r="M20" s="81"/>
      <c r="N20" s="81"/>
    </row>
    <row r="21" spans="2:14" x14ac:dyDescent="0.2">
      <c r="B21" s="1" t="s">
        <v>67</v>
      </c>
      <c r="F21" s="29">
        <v>-250.82400000000001</v>
      </c>
      <c r="G21" s="29">
        <v>-316.58699999999999</v>
      </c>
      <c r="H21" s="29">
        <v>-352.25400000000002</v>
      </c>
      <c r="I21" s="29">
        <v>-347.21800000000002</v>
      </c>
      <c r="J21" s="82">
        <f>J19*-1*'Master Assumptions'!F21</f>
        <v>-392.4821284940291</v>
      </c>
      <c r="K21" s="82">
        <f>K19*-1*'Master Assumptions'!G21</f>
        <v>-421.35351449484148</v>
      </c>
      <c r="L21" s="82">
        <f>L19*-1*'Master Assumptions'!H21</f>
        <v>-449.80722951137409</v>
      </c>
      <c r="M21" s="82">
        <f>M19*-1*'Master Assumptions'!I21</f>
        <v>-482.51775895042158</v>
      </c>
      <c r="N21" s="82">
        <f>N19*-1*'Master Assumptions'!J21</f>
        <v>-519.13159198538949</v>
      </c>
    </row>
    <row r="22" spans="2:14" x14ac:dyDescent="0.2">
      <c r="B22" s="5" t="s">
        <v>312</v>
      </c>
      <c r="F22" s="27">
        <f>SUM(F19:F21)</f>
        <v>1090.0769999999998</v>
      </c>
      <c r="G22" s="27">
        <f t="shared" ref="G22:I22" si="9">SUM(G19:G21)</f>
        <v>1237.741</v>
      </c>
      <c r="H22" s="27">
        <f t="shared" si="9"/>
        <v>1362.3470000000007</v>
      </c>
      <c r="I22" s="27">
        <f t="shared" si="9"/>
        <v>1548.3629999999996</v>
      </c>
      <c r="J22" s="80">
        <f>SUM(J19:J21)</f>
        <v>1621.9168419279772</v>
      </c>
      <c r="K22" s="80">
        <f t="shared" ref="K22:N22" si="10">SUM(K19:K21)</f>
        <v>1741.226700402804</v>
      </c>
      <c r="L22" s="80">
        <f t="shared" si="10"/>
        <v>1858.8105500874024</v>
      </c>
      <c r="M22" s="80">
        <f t="shared" si="10"/>
        <v>1993.9855166754141</v>
      </c>
      <c r="N22" s="80">
        <f t="shared" si="10"/>
        <v>2145.2907306855773</v>
      </c>
    </row>
    <row r="23" spans="2:14" x14ac:dyDescent="0.2">
      <c r="B23" s="7"/>
      <c r="F23" s="26"/>
      <c r="G23" s="26"/>
      <c r="H23" s="26"/>
      <c r="I23" s="26"/>
      <c r="J23" s="79"/>
      <c r="K23" s="79"/>
      <c r="L23" s="79"/>
      <c r="M23" s="79"/>
      <c r="N23" s="79"/>
    </row>
    <row r="24" spans="2:14" x14ac:dyDescent="0.2">
      <c r="B24" s="28" t="s">
        <v>313</v>
      </c>
      <c r="F24" s="29">
        <v>0</v>
      </c>
      <c r="G24" s="29">
        <v>0</v>
      </c>
      <c r="H24" s="29">
        <v>-0.7</v>
      </c>
      <c r="I24" s="29">
        <v>-4.0999999999999996</v>
      </c>
      <c r="J24" s="82">
        <f>I24</f>
        <v>-4.0999999999999996</v>
      </c>
      <c r="K24" s="82">
        <f t="shared" ref="K24:N24" si="11">J24</f>
        <v>-4.0999999999999996</v>
      </c>
      <c r="L24" s="82">
        <f t="shared" si="11"/>
        <v>-4.0999999999999996</v>
      </c>
      <c r="M24" s="82">
        <f t="shared" si="11"/>
        <v>-4.0999999999999996</v>
      </c>
      <c r="N24" s="82">
        <f t="shared" si="11"/>
        <v>-4.0999999999999996</v>
      </c>
    </row>
    <row r="25" spans="2:14" x14ac:dyDescent="0.2">
      <c r="B25" s="5" t="s">
        <v>68</v>
      </c>
      <c r="F25" s="27">
        <f>SUM(F22:F24)</f>
        <v>1090.0769999999998</v>
      </c>
      <c r="G25" s="27">
        <f t="shared" ref="G25:I25" si="12">SUM(G22:G24)</f>
        <v>1237.741</v>
      </c>
      <c r="H25" s="27">
        <f t="shared" si="12"/>
        <v>1361.6470000000006</v>
      </c>
      <c r="I25" s="27">
        <f t="shared" si="12"/>
        <v>1544.2629999999997</v>
      </c>
      <c r="J25" s="80">
        <f>SUM(J22:J24)</f>
        <v>1617.8168419279773</v>
      </c>
      <c r="K25" s="80">
        <f t="shared" ref="K25:N25" si="13">SUM(K22:K24)</f>
        <v>1737.1267004028041</v>
      </c>
      <c r="L25" s="80">
        <f t="shared" si="13"/>
        <v>1854.7105500874025</v>
      </c>
      <c r="M25" s="80">
        <f t="shared" si="13"/>
        <v>1989.8855166754142</v>
      </c>
      <c r="N25" s="80">
        <f t="shared" si="13"/>
        <v>2141.1907306855774</v>
      </c>
    </row>
    <row r="29" spans="2:14" ht="19" x14ac:dyDescent="0.25">
      <c r="B29" s="300" t="s">
        <v>412</v>
      </c>
      <c r="C29" s="300"/>
      <c r="D29" s="300"/>
      <c r="E29" s="300"/>
      <c r="F29" s="300"/>
      <c r="G29" s="300"/>
      <c r="H29" s="300"/>
      <c r="I29" s="300"/>
      <c r="J29" s="300"/>
      <c r="K29" s="300"/>
      <c r="L29" s="300"/>
      <c r="M29" s="300"/>
      <c r="N29" s="300"/>
    </row>
    <row r="30" spans="2:14" x14ac:dyDescent="0.2">
      <c r="J30" s="76"/>
      <c r="K30" s="76"/>
      <c r="L30" s="76"/>
      <c r="M30" s="76"/>
      <c r="N30" s="76"/>
    </row>
    <row r="31" spans="2:14" x14ac:dyDescent="0.2">
      <c r="B31" s="47" t="s">
        <v>410</v>
      </c>
      <c r="F31" s="77" t="s">
        <v>57</v>
      </c>
      <c r="G31" s="78" t="s">
        <v>58</v>
      </c>
      <c r="H31" s="78" t="s">
        <v>308</v>
      </c>
      <c r="I31" s="78" t="s">
        <v>59</v>
      </c>
      <c r="J31" s="78" t="s">
        <v>388</v>
      </c>
      <c r="K31" s="78" t="s">
        <v>389</v>
      </c>
      <c r="L31" s="78" t="s">
        <v>390</v>
      </c>
      <c r="M31" s="78" t="s">
        <v>391</v>
      </c>
      <c r="N31" s="78" t="s">
        <v>408</v>
      </c>
    </row>
    <row r="32" spans="2:14" x14ac:dyDescent="0.2">
      <c r="B32" s="47" t="s">
        <v>411</v>
      </c>
    </row>
    <row r="34" spans="2:14" x14ac:dyDescent="0.2">
      <c r="B34" s="8" t="s">
        <v>69</v>
      </c>
      <c r="J34" s="79"/>
      <c r="K34" s="79"/>
      <c r="L34" s="79"/>
      <c r="M34" s="79"/>
      <c r="N34" s="79"/>
    </row>
    <row r="35" spans="2:14" x14ac:dyDescent="0.2">
      <c r="B35" s="1" t="s">
        <v>70</v>
      </c>
      <c r="F35" s="29">
        <v>1384.2360000000001</v>
      </c>
      <c r="G35" s="29">
        <v>2363.9839999999999</v>
      </c>
      <c r="H35" s="29">
        <v>3422.1579999999999</v>
      </c>
      <c r="I35" s="29">
        <v>4789.07</v>
      </c>
      <c r="J35" s="79">
        <f>I35+J107</f>
        <v>5920.7909599286086</v>
      </c>
      <c r="K35" s="79">
        <f t="shared" ref="K35:N35" si="14">J35+K107</f>
        <v>7175.8962104579059</v>
      </c>
      <c r="L35" s="79">
        <f t="shared" si="14"/>
        <v>8493.9921922338981</v>
      </c>
      <c r="M35" s="79">
        <f t="shared" si="14"/>
        <v>9878.4102161728479</v>
      </c>
      <c r="N35" s="79">
        <f t="shared" si="14"/>
        <v>11352.456982918911</v>
      </c>
    </row>
    <row r="36" spans="2:14" x14ac:dyDescent="0.2">
      <c r="B36" s="1" t="s">
        <v>71</v>
      </c>
      <c r="F36" s="29">
        <v>571.31600000000003</v>
      </c>
      <c r="G36" s="29">
        <v>685.70399999999995</v>
      </c>
      <c r="H36" s="29">
        <v>759.92399999999998</v>
      </c>
      <c r="I36" s="29">
        <v>728.77099999999996</v>
      </c>
      <c r="J36" s="79">
        <f>'Supporting Schedules'!H99</f>
        <v>797.50654467684137</v>
      </c>
      <c r="K36" s="79">
        <f>'Supporting Schedules'!I99</f>
        <v>866.26259570256684</v>
      </c>
      <c r="L36" s="79">
        <f>'Supporting Schedules'!J99</f>
        <v>933.80039818198111</v>
      </c>
      <c r="M36" s="79">
        <f>'Supporting Schedules'!K99</f>
        <v>1010.3190651488569</v>
      </c>
      <c r="N36" s="79">
        <f>'Supporting Schedules'!L99</f>
        <v>1097.1276749805668</v>
      </c>
    </row>
    <row r="37" spans="2:14" x14ac:dyDescent="0.2">
      <c r="B37" s="1" t="s">
        <v>72</v>
      </c>
      <c r="F37" s="29">
        <v>57.139000000000003</v>
      </c>
      <c r="G37" s="29">
        <v>22.908000000000001</v>
      </c>
      <c r="H37" s="29">
        <v>25.952999999999999</v>
      </c>
      <c r="I37" s="29">
        <v>34.619999999999997</v>
      </c>
      <c r="J37" s="79">
        <f>I37</f>
        <v>34.619999999999997</v>
      </c>
      <c r="K37" s="79">
        <f t="shared" ref="K37:N37" si="15">J37</f>
        <v>34.619999999999997</v>
      </c>
      <c r="L37" s="79">
        <f t="shared" si="15"/>
        <v>34.619999999999997</v>
      </c>
      <c r="M37" s="79">
        <f t="shared" si="15"/>
        <v>34.619999999999997</v>
      </c>
      <c r="N37" s="79">
        <f t="shared" si="15"/>
        <v>34.619999999999997</v>
      </c>
    </row>
    <row r="38" spans="2:14" x14ac:dyDescent="0.2">
      <c r="B38" s="1" t="s">
        <v>73</v>
      </c>
      <c r="F38" s="29">
        <v>58.790999999999997</v>
      </c>
      <c r="G38" s="29">
        <v>39.972999999999999</v>
      </c>
      <c r="H38" s="29">
        <v>43.639000000000003</v>
      </c>
      <c r="I38" s="29">
        <v>39.661000000000001</v>
      </c>
      <c r="J38" s="79">
        <f>'Supporting Schedules'!H108</f>
        <v>43.632250140666081</v>
      </c>
      <c r="K38" s="79">
        <f>'Supporting Schedules'!I108</f>
        <v>47.393951203889941</v>
      </c>
      <c r="L38" s="79">
        <f>'Supporting Schedules'!J108</f>
        <v>51.089000870130342</v>
      </c>
      <c r="M38" s="79">
        <f>'Supporting Schedules'!K108</f>
        <v>55.275401144603215</v>
      </c>
      <c r="N38" s="79">
        <f>'Supporting Schedules'!L108</f>
        <v>60.024772800324804</v>
      </c>
    </row>
    <row r="39" spans="2:14" x14ac:dyDescent="0.2">
      <c r="B39" s="1" t="s">
        <v>74</v>
      </c>
      <c r="F39" s="29">
        <v>18.731000000000002</v>
      </c>
      <c r="G39" s="29">
        <v>26.31</v>
      </c>
      <c r="H39" s="29">
        <v>33.872</v>
      </c>
      <c r="I39" s="29">
        <v>46.360999999999997</v>
      </c>
      <c r="J39" s="82">
        <f>'Master Assumptions'!F27*'Forecast Model'!J8</f>
        <v>38.293050881652981</v>
      </c>
      <c r="K39" s="82">
        <f>'Master Assumptions'!G27*'Forecast Model'!K8</f>
        <v>41.594439413099458</v>
      </c>
      <c r="L39" s="82">
        <f>'Master Assumptions'!H27*'Forecast Model'!L8</f>
        <v>44.837332558041879</v>
      </c>
      <c r="M39" s="82">
        <f>'Master Assumptions'!I27*'Forecast Model'!M8</f>
        <v>48.511450629068058</v>
      </c>
      <c r="N39" s="82">
        <f>'Master Assumptions'!J27*'Forecast Model'!N8</f>
        <v>52.679650295188942</v>
      </c>
    </row>
    <row r="40" spans="2:14" x14ac:dyDescent="0.2">
      <c r="B40" s="7" t="s">
        <v>75</v>
      </c>
      <c r="F40" s="27">
        <f>SUM(F35:F39)</f>
        <v>2090.2130000000002</v>
      </c>
      <c r="G40" s="27">
        <f t="shared" ref="G40:I40" si="16">SUM(G35:G39)</f>
        <v>3138.8789999999999</v>
      </c>
      <c r="H40" s="27">
        <f t="shared" si="16"/>
        <v>4285.5460000000012</v>
      </c>
      <c r="I40" s="27">
        <f t="shared" si="16"/>
        <v>5638.4829999999993</v>
      </c>
      <c r="J40" s="80">
        <f>SUM(J35:J39)</f>
        <v>6834.842805627768</v>
      </c>
      <c r="K40" s="80">
        <f t="shared" ref="K40:N40" si="17">SUM(K35:K39)</f>
        <v>8165.7671967774613</v>
      </c>
      <c r="L40" s="80">
        <f t="shared" si="17"/>
        <v>9558.3389238440523</v>
      </c>
      <c r="M40" s="80">
        <f t="shared" si="17"/>
        <v>11027.136133095377</v>
      </c>
      <c r="N40" s="80">
        <f t="shared" si="17"/>
        <v>12596.909080994994</v>
      </c>
    </row>
    <row r="41" spans="2:14" x14ac:dyDescent="0.2">
      <c r="F41" s="26"/>
      <c r="G41" s="26"/>
      <c r="H41" s="26"/>
      <c r="I41" s="26"/>
      <c r="J41" s="79"/>
      <c r="K41" s="79"/>
      <c r="L41" s="79"/>
      <c r="M41" s="79"/>
      <c r="N41" s="79"/>
    </row>
    <row r="42" spans="2:14" x14ac:dyDescent="0.2">
      <c r="B42" s="1" t="s">
        <v>76</v>
      </c>
      <c r="F42" s="29">
        <v>2602.067</v>
      </c>
      <c r="G42" s="29">
        <v>2952.4780000000001</v>
      </c>
      <c r="H42" s="29">
        <v>3292.1390000000001</v>
      </c>
      <c r="I42" s="29">
        <v>3697.8009999999999</v>
      </c>
      <c r="J42" s="79">
        <f>'Supporting Schedules'!G140</f>
        <v>4133.3120821012872</v>
      </c>
      <c r="K42" s="79">
        <f>'Supporting Schedules'!H140</f>
        <v>4593.2717886668561</v>
      </c>
      <c r="L42" s="79">
        <f>'Supporting Schedules'!I140</f>
        <v>5108.215512890295</v>
      </c>
      <c r="M42" s="79">
        <f>'Supporting Schedules'!J140</f>
        <v>5689.130472959383</v>
      </c>
      <c r="N42" s="79">
        <f>'Supporting Schedules'!K140</f>
        <v>6328.4201718785043</v>
      </c>
    </row>
    <row r="43" spans="2:14" x14ac:dyDescent="0.2">
      <c r="B43" s="1" t="s">
        <v>77</v>
      </c>
      <c r="F43" s="29">
        <v>401.95400000000001</v>
      </c>
      <c r="G43" s="29">
        <v>394.28899999999999</v>
      </c>
      <c r="H43" s="29">
        <v>513.90899999999999</v>
      </c>
      <c r="I43" s="29">
        <v>517.779</v>
      </c>
      <c r="J43" s="79">
        <f>I43</f>
        <v>517.779</v>
      </c>
      <c r="K43" s="79">
        <f t="shared" ref="K43:N43" si="18">J43</f>
        <v>517.779</v>
      </c>
      <c r="L43" s="79">
        <f t="shared" si="18"/>
        <v>517.779</v>
      </c>
      <c r="M43" s="79">
        <f t="shared" si="18"/>
        <v>517.779</v>
      </c>
      <c r="N43" s="79">
        <f t="shared" si="18"/>
        <v>517.779</v>
      </c>
    </row>
    <row r="44" spans="2:14" x14ac:dyDescent="0.2">
      <c r="B44" s="1" t="s">
        <v>78</v>
      </c>
      <c r="F44" s="29">
        <v>54.68</v>
      </c>
      <c r="G44" s="29">
        <v>62.701999999999998</v>
      </c>
      <c r="H44" s="29">
        <v>74.087999999999994</v>
      </c>
      <c r="I44" s="29">
        <v>62.832000000000001</v>
      </c>
      <c r="J44" s="79">
        <f>I44</f>
        <v>62.832000000000001</v>
      </c>
      <c r="K44" s="79">
        <f t="shared" ref="K44:N44" si="19">J44</f>
        <v>62.832000000000001</v>
      </c>
      <c r="L44" s="79">
        <f t="shared" si="19"/>
        <v>62.832000000000001</v>
      </c>
      <c r="M44" s="79">
        <f t="shared" si="19"/>
        <v>62.832000000000001</v>
      </c>
      <c r="N44" s="79">
        <f t="shared" si="19"/>
        <v>62.832000000000001</v>
      </c>
    </row>
    <row r="45" spans="2:14" x14ac:dyDescent="0.2">
      <c r="B45" s="1" t="s">
        <v>79</v>
      </c>
      <c r="F45" s="29">
        <v>159.94999999999999</v>
      </c>
      <c r="G45" s="29">
        <v>189.53100000000001</v>
      </c>
      <c r="H45" s="29">
        <v>262.08199999999999</v>
      </c>
      <c r="I45" s="29">
        <v>174.00700000000001</v>
      </c>
      <c r="J45" s="79">
        <f>I45</f>
        <v>174.00700000000001</v>
      </c>
      <c r="K45" s="79">
        <f t="shared" ref="K45:N45" si="20">J45</f>
        <v>174.00700000000001</v>
      </c>
      <c r="L45" s="79">
        <f t="shared" si="20"/>
        <v>174.00700000000001</v>
      </c>
      <c r="M45" s="79">
        <f t="shared" si="20"/>
        <v>174.00700000000001</v>
      </c>
      <c r="N45" s="79">
        <f t="shared" si="20"/>
        <v>174.00700000000001</v>
      </c>
    </row>
    <row r="46" spans="2:14" x14ac:dyDescent="0.2">
      <c r="B46" s="7" t="s">
        <v>80</v>
      </c>
      <c r="F46" s="27">
        <f>SUM(F42:F45)</f>
        <v>3218.6509999999998</v>
      </c>
      <c r="G46" s="27">
        <f t="shared" ref="G46:I46" si="21">SUM(G42:G45)</f>
        <v>3599</v>
      </c>
      <c r="H46" s="27">
        <f t="shared" si="21"/>
        <v>4142.2180000000008</v>
      </c>
      <c r="I46" s="27">
        <f t="shared" si="21"/>
        <v>4452.4189999999999</v>
      </c>
      <c r="J46" s="80">
        <f>SUM(J42:J45)</f>
        <v>4887.9300821012876</v>
      </c>
      <c r="K46" s="80">
        <f t="shared" ref="K46:N46" si="22">SUM(K42:K45)</f>
        <v>5347.8897886668565</v>
      </c>
      <c r="L46" s="80">
        <f t="shared" si="22"/>
        <v>5862.8335128902945</v>
      </c>
      <c r="M46" s="80">
        <f t="shared" si="22"/>
        <v>6443.7484729593834</v>
      </c>
      <c r="N46" s="80">
        <f t="shared" si="22"/>
        <v>7083.0381718785047</v>
      </c>
    </row>
    <row r="47" spans="2:14" x14ac:dyDescent="0.2">
      <c r="B47" s="7" t="s">
        <v>81</v>
      </c>
      <c r="F47" s="27">
        <f>F40+F46</f>
        <v>5308.8639999999996</v>
      </c>
      <c r="G47" s="27">
        <f t="shared" ref="G47:I47" si="23">G40+G46</f>
        <v>6737.8789999999999</v>
      </c>
      <c r="H47" s="27">
        <f t="shared" si="23"/>
        <v>8427.7640000000029</v>
      </c>
      <c r="I47" s="27">
        <f t="shared" si="23"/>
        <v>10090.901999999998</v>
      </c>
      <c r="J47" s="80">
        <f>J40+J46</f>
        <v>11722.772887729056</v>
      </c>
      <c r="K47" s="80">
        <f t="shared" ref="K47:N47" si="24">K40+K46</f>
        <v>13513.656985444319</v>
      </c>
      <c r="L47" s="80">
        <f t="shared" si="24"/>
        <v>15421.172436734347</v>
      </c>
      <c r="M47" s="80">
        <f t="shared" si="24"/>
        <v>17470.884606054758</v>
      </c>
      <c r="N47" s="80">
        <f t="shared" si="24"/>
        <v>19679.947252873499</v>
      </c>
    </row>
    <row r="48" spans="2:14" x14ac:dyDescent="0.2">
      <c r="F48" s="26"/>
      <c r="G48" s="26"/>
      <c r="H48" s="26"/>
      <c r="I48" s="26"/>
      <c r="J48" s="80"/>
      <c r="K48" s="80"/>
      <c r="L48" s="80"/>
      <c r="M48" s="80"/>
      <c r="N48" s="80"/>
    </row>
    <row r="49" spans="2:14" x14ac:dyDescent="0.2">
      <c r="B49" s="8" t="s">
        <v>82</v>
      </c>
      <c r="F49" s="26"/>
      <c r="G49" s="26"/>
      <c r="H49" s="26"/>
      <c r="I49" s="26"/>
      <c r="J49" s="80"/>
      <c r="K49" s="80"/>
      <c r="L49" s="80"/>
      <c r="M49" s="80"/>
      <c r="N49" s="80"/>
    </row>
    <row r="50" spans="2:14" x14ac:dyDescent="0.2">
      <c r="B50" s="1" t="s">
        <v>83</v>
      </c>
      <c r="F50" s="29">
        <v>187.17</v>
      </c>
      <c r="G50" s="29">
        <v>180.01599999999999</v>
      </c>
      <c r="H50" s="29">
        <v>193.333</v>
      </c>
      <c r="I50" s="29">
        <v>214.40199999999999</v>
      </c>
      <c r="J50" s="82">
        <f>'Supporting Schedules'!H116</f>
        <v>235.87004096364407</v>
      </c>
      <c r="K50" s="82">
        <f>'Supporting Schedules'!I116</f>
        <v>256.2052879659214</v>
      </c>
      <c r="L50" s="82">
        <f>'Supporting Schedules'!J116</f>
        <v>276.18022653381621</v>
      </c>
      <c r="M50" s="82">
        <f>'Supporting Schedules'!K116</f>
        <v>298.81134001172984</v>
      </c>
      <c r="N50" s="82">
        <f>'Supporting Schedules'!L116</f>
        <v>324.48580060853828</v>
      </c>
    </row>
    <row r="51" spans="2:14" x14ac:dyDescent="0.2">
      <c r="B51" s="1" t="s">
        <v>84</v>
      </c>
      <c r="F51" s="29">
        <v>21.794</v>
      </c>
      <c r="G51" s="29">
        <v>21.468</v>
      </c>
      <c r="H51" s="29">
        <v>21.303999999999998</v>
      </c>
      <c r="I51" s="29">
        <v>19.869</v>
      </c>
      <c r="J51" s="79">
        <f>I51</f>
        <v>19.869</v>
      </c>
      <c r="K51" s="79">
        <f t="shared" ref="K51:N51" si="25">J51</f>
        <v>19.869</v>
      </c>
      <c r="L51" s="79">
        <f t="shared" si="25"/>
        <v>19.869</v>
      </c>
      <c r="M51" s="79">
        <f t="shared" si="25"/>
        <v>19.869</v>
      </c>
      <c r="N51" s="79">
        <f t="shared" si="25"/>
        <v>19.869</v>
      </c>
    </row>
    <row r="52" spans="2:14" x14ac:dyDescent="0.2">
      <c r="B52" s="1" t="s">
        <v>85</v>
      </c>
      <c r="F52" s="29">
        <v>6.9059999999999997</v>
      </c>
      <c r="G52" s="29">
        <v>3.8620000000000001</v>
      </c>
      <c r="H52" s="29">
        <v>69.213999999999999</v>
      </c>
      <c r="I52" s="29">
        <v>53.93</v>
      </c>
      <c r="J52" s="79">
        <f>I52</f>
        <v>53.93</v>
      </c>
      <c r="K52" s="79">
        <f t="shared" ref="K52:N52" si="26">J52</f>
        <v>53.93</v>
      </c>
      <c r="L52" s="79">
        <f t="shared" si="26"/>
        <v>53.93</v>
      </c>
      <c r="M52" s="79">
        <f t="shared" si="26"/>
        <v>53.93</v>
      </c>
      <c r="N52" s="79">
        <f t="shared" si="26"/>
        <v>53.93</v>
      </c>
    </row>
    <row r="53" spans="2:14" x14ac:dyDescent="0.2">
      <c r="B53" s="1" t="s">
        <v>86</v>
      </c>
      <c r="F53" s="29">
        <v>225.01900000000001</v>
      </c>
      <c r="G53" s="29">
        <v>287.423</v>
      </c>
      <c r="H53" s="29">
        <v>344.71600000000001</v>
      </c>
      <c r="I53" s="29">
        <v>395.08</v>
      </c>
      <c r="J53" s="79">
        <f>J8*'Master Assumptions'!F29</f>
        <v>387.66600483743548</v>
      </c>
      <c r="K53" s="79">
        <f>K8*'Master Assumptions'!G29</f>
        <v>421.08815514761574</v>
      </c>
      <c r="L53" s="79">
        <f>L8*'Master Assumptions'!H29</f>
        <v>453.91811778234705</v>
      </c>
      <c r="M53" s="79">
        <f>M8*'Master Assumptions'!I29</f>
        <v>491.11365694943316</v>
      </c>
      <c r="N53" s="79">
        <f>N8*'Master Assumptions'!J29</f>
        <v>533.31111248578509</v>
      </c>
    </row>
    <row r="54" spans="2:14" x14ac:dyDescent="0.2">
      <c r="B54" s="7" t="s">
        <v>87</v>
      </c>
      <c r="F54" s="27">
        <f>SUM(F50:F53)</f>
        <v>440.88900000000001</v>
      </c>
      <c r="G54" s="27">
        <f t="shared" ref="G54:I54" si="27">SUM(G50:G53)</f>
        <v>492.76900000000001</v>
      </c>
      <c r="H54" s="27">
        <f t="shared" si="27"/>
        <v>628.56700000000001</v>
      </c>
      <c r="I54" s="27">
        <f t="shared" si="27"/>
        <v>683.28099999999995</v>
      </c>
      <c r="J54" s="80">
        <f>SUM(J50:J53)</f>
        <v>697.33504580107956</v>
      </c>
      <c r="K54" s="80">
        <f t="shared" ref="K54:N54" si="28">SUM(K50:K53)</f>
        <v>751.09244311353712</v>
      </c>
      <c r="L54" s="80">
        <f t="shared" si="28"/>
        <v>803.8973443161633</v>
      </c>
      <c r="M54" s="80">
        <f t="shared" si="28"/>
        <v>863.72399696116304</v>
      </c>
      <c r="N54" s="80">
        <f t="shared" si="28"/>
        <v>931.59591309432335</v>
      </c>
    </row>
    <row r="55" spans="2:14" x14ac:dyDescent="0.2">
      <c r="F55" s="26"/>
      <c r="G55" s="26"/>
      <c r="H55" s="26"/>
      <c r="I55" s="26"/>
      <c r="J55" s="79"/>
      <c r="K55" s="79"/>
      <c r="L55" s="79"/>
      <c r="M55" s="79"/>
      <c r="N55" s="79"/>
    </row>
    <row r="56" spans="2:14" x14ac:dyDescent="0.2">
      <c r="B56" s="1" t="s">
        <v>88</v>
      </c>
      <c r="F56" s="29">
        <v>97.679000000000002</v>
      </c>
      <c r="G56" s="29">
        <v>98.984999999999999</v>
      </c>
      <c r="H56" s="29">
        <v>97.429000000000002</v>
      </c>
      <c r="I56" s="29">
        <v>83.87</v>
      </c>
      <c r="J56" s="82">
        <f>I56</f>
        <v>83.87</v>
      </c>
      <c r="K56" s="82">
        <f t="shared" ref="K56:N56" si="29">J56</f>
        <v>83.87</v>
      </c>
      <c r="L56" s="82">
        <f t="shared" si="29"/>
        <v>83.87</v>
      </c>
      <c r="M56" s="82">
        <f t="shared" si="29"/>
        <v>83.87</v>
      </c>
      <c r="N56" s="82">
        <f t="shared" si="29"/>
        <v>83.87</v>
      </c>
    </row>
    <row r="57" spans="2:14" x14ac:dyDescent="0.2">
      <c r="B57" s="1" t="s">
        <v>89</v>
      </c>
      <c r="F57" s="29">
        <v>80.06</v>
      </c>
      <c r="G57" s="29">
        <v>89.492000000000004</v>
      </c>
      <c r="H57" s="29">
        <v>93.653000000000006</v>
      </c>
      <c r="I57" s="29">
        <v>80.625</v>
      </c>
      <c r="J57" s="79">
        <f>I57</f>
        <v>80.625</v>
      </c>
      <c r="K57" s="79">
        <f t="shared" ref="K57:N57" si="30">J57</f>
        <v>80.625</v>
      </c>
      <c r="L57" s="79">
        <f t="shared" si="30"/>
        <v>80.625</v>
      </c>
      <c r="M57" s="79">
        <f t="shared" si="30"/>
        <v>80.625</v>
      </c>
      <c r="N57" s="79">
        <f t="shared" si="30"/>
        <v>80.625</v>
      </c>
    </row>
    <row r="58" spans="2:14" x14ac:dyDescent="0.2">
      <c r="B58" s="1" t="s">
        <v>90</v>
      </c>
      <c r="F58" s="29">
        <v>64.637</v>
      </c>
      <c r="G58" s="29">
        <v>69.192999999999998</v>
      </c>
      <c r="H58" s="29">
        <v>59.56</v>
      </c>
      <c r="I58" s="29">
        <v>35.634999999999998</v>
      </c>
      <c r="J58" s="82">
        <f>I58</f>
        <v>35.634999999999998</v>
      </c>
      <c r="K58" s="82">
        <f t="shared" ref="K58:N58" si="31">J58</f>
        <v>35.634999999999998</v>
      </c>
      <c r="L58" s="82">
        <f t="shared" si="31"/>
        <v>35.634999999999998</v>
      </c>
      <c r="M58" s="82">
        <f t="shared" si="31"/>
        <v>35.634999999999998</v>
      </c>
      <c r="N58" s="82">
        <f t="shared" si="31"/>
        <v>35.634999999999998</v>
      </c>
    </row>
    <row r="59" spans="2:14" x14ac:dyDescent="0.2">
      <c r="B59" s="7" t="s">
        <v>91</v>
      </c>
      <c r="F59" s="27">
        <f>SUM(F56:F58)</f>
        <v>242.376</v>
      </c>
      <c r="G59" s="27">
        <f t="shared" ref="G59:I59" si="32">SUM(G56:G58)</f>
        <v>257.67</v>
      </c>
      <c r="H59" s="27">
        <f t="shared" si="32"/>
        <v>250.642</v>
      </c>
      <c r="I59" s="27">
        <f t="shared" si="32"/>
        <v>200.13</v>
      </c>
      <c r="J59" s="80">
        <f>SUM(J56:J58)</f>
        <v>200.13</v>
      </c>
      <c r="K59" s="80">
        <f t="shared" ref="K59:N59" si="33">SUM(K56:K58)</f>
        <v>200.13</v>
      </c>
      <c r="L59" s="80">
        <f t="shared" si="33"/>
        <v>200.13</v>
      </c>
      <c r="M59" s="80">
        <f t="shared" si="33"/>
        <v>200.13</v>
      </c>
      <c r="N59" s="80">
        <f t="shared" si="33"/>
        <v>200.13</v>
      </c>
    </row>
    <row r="60" spans="2:14" x14ac:dyDescent="0.2">
      <c r="B60" s="7" t="s">
        <v>92</v>
      </c>
      <c r="F60" s="27">
        <f>F54+F59</f>
        <v>683.26499999999999</v>
      </c>
      <c r="G60" s="27">
        <f t="shared" ref="G60:I60" si="34">G54+G59</f>
        <v>750.43900000000008</v>
      </c>
      <c r="H60" s="27">
        <f t="shared" si="34"/>
        <v>879.20900000000006</v>
      </c>
      <c r="I60" s="27">
        <f t="shared" si="34"/>
        <v>883.41099999999994</v>
      </c>
      <c r="J60" s="80">
        <f>J54+J59</f>
        <v>897.46504580107955</v>
      </c>
      <c r="K60" s="80">
        <f t="shared" ref="K60:N60" si="35">K54+K59</f>
        <v>951.22244311353711</v>
      </c>
      <c r="L60" s="80">
        <f t="shared" si="35"/>
        <v>1004.0273443161633</v>
      </c>
      <c r="M60" s="80">
        <f t="shared" si="35"/>
        <v>1063.8539969611629</v>
      </c>
      <c r="N60" s="80">
        <f t="shared" si="35"/>
        <v>1131.7259130943235</v>
      </c>
    </row>
    <row r="61" spans="2:14" x14ac:dyDescent="0.2">
      <c r="F61" s="26"/>
      <c r="G61" s="26"/>
      <c r="H61" s="26"/>
      <c r="I61" s="26"/>
      <c r="J61" s="79"/>
      <c r="K61" s="79"/>
      <c r="L61" s="79"/>
      <c r="M61" s="79"/>
      <c r="N61" s="79"/>
    </row>
    <row r="62" spans="2:14" x14ac:dyDescent="0.2">
      <c r="B62" s="8" t="s">
        <v>93</v>
      </c>
      <c r="F62" s="26"/>
      <c r="G62" s="26"/>
      <c r="H62" s="26"/>
      <c r="I62" s="26"/>
      <c r="J62" s="82"/>
      <c r="K62" s="82"/>
      <c r="L62" s="82"/>
      <c r="M62" s="82"/>
      <c r="N62" s="82"/>
    </row>
    <row r="63" spans="2:14" x14ac:dyDescent="0.2">
      <c r="B63" s="1" t="s">
        <v>314</v>
      </c>
      <c r="F63" s="29">
        <v>838.53200000000004</v>
      </c>
      <c r="G63" s="29">
        <v>938.91</v>
      </c>
      <c r="H63" s="29">
        <v>1120.9849999999999</v>
      </c>
      <c r="I63" s="29">
        <v>1214.1500000000001</v>
      </c>
      <c r="J63" s="127"/>
      <c r="K63" s="127"/>
      <c r="L63" s="127"/>
      <c r="M63" s="127"/>
      <c r="N63" s="127"/>
    </row>
    <row r="64" spans="2:14" x14ac:dyDescent="0.2">
      <c r="B64" s="1" t="s">
        <v>94</v>
      </c>
      <c r="F64" s="29">
        <v>3956.4079999999999</v>
      </c>
      <c r="G64" s="29">
        <v>5189.4399999999996</v>
      </c>
      <c r="H64" s="29">
        <v>6545.902</v>
      </c>
      <c r="I64" s="29">
        <v>8093.0690000000004</v>
      </c>
      <c r="J64" s="128"/>
      <c r="K64" s="128"/>
      <c r="L64" s="128"/>
      <c r="M64" s="128"/>
      <c r="N64" s="128"/>
    </row>
    <row r="65" spans="2:14" x14ac:dyDescent="0.2">
      <c r="B65" s="1" t="s">
        <v>315</v>
      </c>
      <c r="F65" s="29">
        <v>-169.36500000000001</v>
      </c>
      <c r="G65" s="29">
        <v>-141.006</v>
      </c>
      <c r="H65" s="29">
        <v>-142.97200000000001</v>
      </c>
      <c r="I65" s="29">
        <v>-120.283</v>
      </c>
      <c r="J65" s="127"/>
      <c r="K65" s="127"/>
      <c r="L65" s="127"/>
      <c r="M65" s="127"/>
      <c r="N65" s="127"/>
    </row>
    <row r="66" spans="2:14" x14ac:dyDescent="0.2">
      <c r="B66" s="1" t="s">
        <v>316</v>
      </c>
      <c r="F66" s="29">
        <v>0</v>
      </c>
      <c r="G66" s="29">
        <v>0</v>
      </c>
      <c r="H66" s="29">
        <v>24.544</v>
      </c>
      <c r="I66" s="29">
        <v>20.457999999999998</v>
      </c>
      <c r="J66" s="128"/>
      <c r="K66" s="128"/>
      <c r="L66" s="128"/>
      <c r="M66" s="128"/>
      <c r="N66" s="128"/>
    </row>
    <row r="67" spans="2:14" x14ac:dyDescent="0.2">
      <c r="B67" s="7" t="s">
        <v>95</v>
      </c>
      <c r="F67" s="27">
        <f>SUM(F63:F66)</f>
        <v>4625.5749999999998</v>
      </c>
      <c r="G67" s="27">
        <f t="shared" ref="G67:I67" si="36">SUM(G63:G66)</f>
        <v>5987.3439999999991</v>
      </c>
      <c r="H67" s="27">
        <f t="shared" si="36"/>
        <v>7548.4589999999998</v>
      </c>
      <c r="I67" s="27">
        <f t="shared" si="36"/>
        <v>9207.3940000000021</v>
      </c>
      <c r="J67" s="80">
        <f>I67+J25</f>
        <v>10825.210841927979</v>
      </c>
      <c r="K67" s="80">
        <f t="shared" ref="K67:N67" si="37">J67+K25</f>
        <v>12562.337542330784</v>
      </c>
      <c r="L67" s="80">
        <f t="shared" si="37"/>
        <v>14417.048092418187</v>
      </c>
      <c r="M67" s="80">
        <f t="shared" si="37"/>
        <v>16406.933609093601</v>
      </c>
      <c r="N67" s="80">
        <f t="shared" si="37"/>
        <v>18548.124339779177</v>
      </c>
    </row>
    <row r="68" spans="2:14" x14ac:dyDescent="0.2">
      <c r="F68" s="26"/>
      <c r="G68" s="26"/>
      <c r="H68" s="26"/>
      <c r="I68" s="26"/>
      <c r="J68" s="79"/>
      <c r="K68" s="79"/>
      <c r="L68" s="79"/>
      <c r="M68" s="79"/>
      <c r="N68" s="79"/>
    </row>
    <row r="69" spans="2:14" x14ac:dyDescent="0.2">
      <c r="B69" s="7" t="s">
        <v>96</v>
      </c>
      <c r="F69" s="27">
        <f>F60+F67</f>
        <v>5308.84</v>
      </c>
      <c r="G69" s="27">
        <f t="shared" ref="G69:I69" si="38">G60+G67</f>
        <v>6737.7829999999994</v>
      </c>
      <c r="H69" s="27">
        <f t="shared" si="38"/>
        <v>8427.6679999999997</v>
      </c>
      <c r="I69" s="27">
        <f t="shared" si="38"/>
        <v>10090.805000000002</v>
      </c>
      <c r="J69" s="80">
        <f>J60+J67</f>
        <v>11722.675887729059</v>
      </c>
      <c r="K69" s="80">
        <f t="shared" ref="K69:N69" si="39">K60+K67</f>
        <v>13513.559985444321</v>
      </c>
      <c r="L69" s="80">
        <f t="shared" si="39"/>
        <v>15421.075436734351</v>
      </c>
      <c r="M69" s="80">
        <f t="shared" si="39"/>
        <v>17470.787606054764</v>
      </c>
      <c r="N69" s="80">
        <f t="shared" si="39"/>
        <v>19679.850252873501</v>
      </c>
    </row>
    <row r="70" spans="2:14" ht="17" thickBot="1" x14ac:dyDescent="0.25">
      <c r="F70" s="29"/>
      <c r="G70" s="29"/>
      <c r="H70" s="29"/>
      <c r="I70" s="29"/>
      <c r="J70" s="79"/>
      <c r="K70" s="79"/>
      <c r="L70" s="79"/>
      <c r="M70" s="79"/>
      <c r="N70" s="79"/>
    </row>
    <row r="71" spans="2:14" ht="17" thickBot="1" x14ac:dyDescent="0.25">
      <c r="B71" s="5" t="s">
        <v>472</v>
      </c>
      <c r="F71" s="29"/>
      <c r="G71" s="29"/>
      <c r="H71" s="29"/>
      <c r="I71" s="29"/>
      <c r="J71" s="129">
        <f>J69-J47</f>
        <v>-9.6999999996114639E-2</v>
      </c>
      <c r="K71" s="130">
        <f t="shared" ref="K71:N71" si="40">K69-K47</f>
        <v>-9.6999999997933628E-2</v>
      </c>
      <c r="L71" s="130">
        <f t="shared" si="40"/>
        <v>-9.6999999996114639E-2</v>
      </c>
      <c r="M71" s="130">
        <f t="shared" si="40"/>
        <v>-9.6999999994295649E-2</v>
      </c>
      <c r="N71" s="131">
        <f t="shared" si="40"/>
        <v>-9.6999999997933628E-2</v>
      </c>
    </row>
    <row r="73" spans="2:14" ht="19" x14ac:dyDescent="0.25">
      <c r="B73" s="300" t="s">
        <v>413</v>
      </c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</row>
    <row r="74" spans="2:14" x14ac:dyDescent="0.2">
      <c r="J74" s="76"/>
      <c r="K74" s="76"/>
      <c r="L74" s="76"/>
      <c r="M74" s="76"/>
      <c r="N74" s="76"/>
    </row>
    <row r="75" spans="2:14" x14ac:dyDescent="0.2">
      <c r="B75" s="47" t="s">
        <v>410</v>
      </c>
      <c r="F75" s="77" t="s">
        <v>57</v>
      </c>
      <c r="G75" s="78" t="s">
        <v>58</v>
      </c>
      <c r="H75" s="78" t="s">
        <v>308</v>
      </c>
      <c r="I75" s="78" t="s">
        <v>59</v>
      </c>
      <c r="J75" s="78" t="s">
        <v>388</v>
      </c>
      <c r="K75" s="78" t="s">
        <v>389</v>
      </c>
      <c r="L75" s="78" t="s">
        <v>390</v>
      </c>
      <c r="M75" s="78" t="s">
        <v>391</v>
      </c>
      <c r="N75" s="78" t="s">
        <v>408</v>
      </c>
    </row>
    <row r="76" spans="2:14" x14ac:dyDescent="0.2">
      <c r="B76" s="47" t="s">
        <v>411</v>
      </c>
    </row>
    <row r="78" spans="2:14" x14ac:dyDescent="0.2">
      <c r="B78" s="8"/>
    </row>
    <row r="79" spans="2:14" x14ac:dyDescent="0.2">
      <c r="B79" s="8" t="s">
        <v>99</v>
      </c>
      <c r="J79" s="52"/>
      <c r="K79" s="26"/>
      <c r="L79" s="26"/>
      <c r="M79" s="26"/>
      <c r="N79" s="26"/>
    </row>
    <row r="80" spans="2:14" x14ac:dyDescent="0.2">
      <c r="B80" s="1" t="s">
        <v>68</v>
      </c>
      <c r="F80" s="29">
        <v>1090.1300000000001</v>
      </c>
      <c r="G80" s="29">
        <v>1237.741</v>
      </c>
      <c r="H80" s="29">
        <v>1362.347</v>
      </c>
      <c r="I80" s="29">
        <v>1548.3630000000001</v>
      </c>
      <c r="J80" s="52">
        <f>J25</f>
        <v>1617.8168419279773</v>
      </c>
      <c r="K80" s="52">
        <f t="shared" ref="K80:N80" si="41">K25</f>
        <v>1737.1267004028041</v>
      </c>
      <c r="L80" s="52">
        <f t="shared" si="41"/>
        <v>1854.7105500874025</v>
      </c>
      <c r="M80" s="52">
        <f t="shared" si="41"/>
        <v>1989.8855166754142</v>
      </c>
      <c r="N80" s="52">
        <f t="shared" si="41"/>
        <v>2141.1907306855774</v>
      </c>
    </row>
    <row r="81" spans="2:14" x14ac:dyDescent="0.2">
      <c r="B81" s="1" t="s">
        <v>100</v>
      </c>
      <c r="F81" s="29">
        <v>137.98500000000001</v>
      </c>
      <c r="G81" s="29">
        <v>159.47800000000001</v>
      </c>
      <c r="H81" s="29">
        <v>189.761</v>
      </c>
      <c r="I81" s="29">
        <v>215.84899999999999</v>
      </c>
      <c r="J81" s="52">
        <f>-J13</f>
        <v>235.58161827738476</v>
      </c>
      <c r="K81" s="52">
        <f t="shared" ref="K81:N81" si="42">-K13</f>
        <v>266.66106601361616</v>
      </c>
      <c r="L81" s="52">
        <f t="shared" si="42"/>
        <v>296.70797740315777</v>
      </c>
      <c r="M81" s="52">
        <f t="shared" si="42"/>
        <v>328.32185638353684</v>
      </c>
      <c r="N81" s="52">
        <f t="shared" si="42"/>
        <v>366.73011080835352</v>
      </c>
    </row>
    <row r="82" spans="2:14" x14ac:dyDescent="0.2">
      <c r="B82" s="1" t="s">
        <v>101</v>
      </c>
      <c r="F82" s="29">
        <v>17.016999999999999</v>
      </c>
      <c r="G82" s="29">
        <v>9.9459999999999997</v>
      </c>
      <c r="H82" s="29">
        <v>-0.84699999999999998</v>
      </c>
      <c r="I82" s="29">
        <v>-13.44</v>
      </c>
      <c r="J82" s="52">
        <v>0</v>
      </c>
      <c r="K82" s="52">
        <v>0</v>
      </c>
      <c r="L82" s="52">
        <v>0</v>
      </c>
      <c r="M82" s="52">
        <v>0</v>
      </c>
      <c r="N82" s="52">
        <v>0</v>
      </c>
    </row>
    <row r="83" spans="2:14" x14ac:dyDescent="0.2">
      <c r="B83" s="1" t="s">
        <v>317</v>
      </c>
      <c r="F83" s="29">
        <v>55.826000000000001</v>
      </c>
      <c r="G83" s="29">
        <v>45.326000000000001</v>
      </c>
      <c r="H83" s="29">
        <v>35.44</v>
      </c>
      <c r="I83" s="29">
        <v>26.417999999999999</v>
      </c>
      <c r="J83" s="26">
        <f>J82</f>
        <v>0</v>
      </c>
      <c r="K83" s="26">
        <f t="shared" ref="K83:N83" si="43">K82</f>
        <v>0</v>
      </c>
      <c r="L83" s="26">
        <f t="shared" si="43"/>
        <v>0</v>
      </c>
      <c r="M83" s="26">
        <f t="shared" si="43"/>
        <v>0</v>
      </c>
      <c r="N83" s="26">
        <f t="shared" si="43"/>
        <v>0</v>
      </c>
    </row>
    <row r="84" spans="2:14" x14ac:dyDescent="0.2">
      <c r="B84" s="1" t="s">
        <v>102</v>
      </c>
      <c r="F84" s="29"/>
      <c r="G84" s="29"/>
      <c r="H84" s="29"/>
      <c r="I84" s="29"/>
      <c r="J84" s="52"/>
      <c r="K84" s="52"/>
      <c r="L84" s="52"/>
      <c r="M84" s="52"/>
      <c r="N84" s="52"/>
    </row>
    <row r="85" spans="2:14" x14ac:dyDescent="0.2">
      <c r="B85" s="1" t="s">
        <v>103</v>
      </c>
      <c r="F85" s="29">
        <v>-127.634</v>
      </c>
      <c r="G85" s="29">
        <v>-90.013999999999996</v>
      </c>
      <c r="H85" s="29">
        <v>-138.82400000000001</v>
      </c>
      <c r="I85" s="29">
        <v>-34.524999999999999</v>
      </c>
      <c r="J85" s="52">
        <f>-(J36-I36)</f>
        <v>-68.735544676841414</v>
      </c>
      <c r="K85" s="52">
        <f t="shared" ref="K85:N85" si="44">-(K36-J36)</f>
        <v>-68.756051025725469</v>
      </c>
      <c r="L85" s="52">
        <f t="shared" si="44"/>
        <v>-67.537802479414268</v>
      </c>
      <c r="M85" s="52">
        <f t="shared" si="44"/>
        <v>-76.518666966875799</v>
      </c>
      <c r="N85" s="52">
        <f t="shared" si="44"/>
        <v>-86.808609831709873</v>
      </c>
    </row>
    <row r="86" spans="2:14" x14ac:dyDescent="0.2">
      <c r="B86" s="1" t="s">
        <v>104</v>
      </c>
      <c r="F86" s="29">
        <v>-10.851000000000001</v>
      </c>
      <c r="G86" s="29">
        <v>26.548999999999999</v>
      </c>
      <c r="H86" s="29">
        <v>-3.698</v>
      </c>
      <c r="I86" s="29">
        <v>4.6550000000000002</v>
      </c>
      <c r="J86" s="52">
        <f>-(J38-I38)</f>
        <v>-3.9712501406660792</v>
      </c>
      <c r="K86" s="52">
        <f t="shared" ref="K86:N86" si="45">-(K38-J38)</f>
        <v>-3.7617010632238603</v>
      </c>
      <c r="L86" s="52">
        <f t="shared" si="45"/>
        <v>-3.6950496662404007</v>
      </c>
      <c r="M86" s="52">
        <f t="shared" si="45"/>
        <v>-4.1864002744728737</v>
      </c>
      <c r="N86" s="52">
        <f t="shared" si="45"/>
        <v>-4.749371655721589</v>
      </c>
    </row>
    <row r="87" spans="2:14" x14ac:dyDescent="0.2">
      <c r="B87" s="1" t="s">
        <v>105</v>
      </c>
      <c r="F87" s="29">
        <v>36.305999999999997</v>
      </c>
      <c r="G87" s="29">
        <v>18.010000000000002</v>
      </c>
      <c r="H87" s="29">
        <v>59.527999999999999</v>
      </c>
      <c r="I87" s="29">
        <v>69.599000000000004</v>
      </c>
      <c r="J87" s="52">
        <f>J50-I50</f>
        <v>21.468040963644086</v>
      </c>
      <c r="K87" s="52">
        <f t="shared" ref="K87:N87" si="46">K50-J50</f>
        <v>20.335247002277328</v>
      </c>
      <c r="L87" s="52">
        <f t="shared" si="46"/>
        <v>19.97493856789481</v>
      </c>
      <c r="M87" s="52">
        <f t="shared" si="46"/>
        <v>22.63111347791363</v>
      </c>
      <c r="N87" s="52">
        <f t="shared" si="46"/>
        <v>25.674460596808444</v>
      </c>
    </row>
    <row r="88" spans="2:14" x14ac:dyDescent="0.2">
      <c r="B88" s="1" t="s">
        <v>106</v>
      </c>
      <c r="F88" s="29">
        <v>-23.356999999999999</v>
      </c>
      <c r="G88" s="29">
        <v>-64.691999999999993</v>
      </c>
      <c r="H88" s="29">
        <v>-77.677999999999997</v>
      </c>
      <c r="I88" s="29">
        <v>27.09</v>
      </c>
      <c r="J88" s="52">
        <f>-(J39-I39)+(J53-I53)</f>
        <v>0.65395395578251225</v>
      </c>
      <c r="K88" s="52">
        <f t="shared" ref="K88:N88" si="47">-(K39-J39)+(K53-J53)</f>
        <v>30.12076177873378</v>
      </c>
      <c r="L88" s="52">
        <f t="shared" si="47"/>
        <v>29.587069489788895</v>
      </c>
      <c r="M88" s="52">
        <f t="shared" si="47"/>
        <v>33.521421096059932</v>
      </c>
      <c r="N88" s="52">
        <f t="shared" si="47"/>
        <v>38.02925587023104</v>
      </c>
    </row>
    <row r="89" spans="2:14" x14ac:dyDescent="0.2">
      <c r="B89" s="1" t="s">
        <v>85</v>
      </c>
      <c r="F89" s="29">
        <v>4.9000000000000002E-2</v>
      </c>
      <c r="G89" s="29">
        <v>21.866</v>
      </c>
      <c r="H89" s="29">
        <v>46.534999999999997</v>
      </c>
      <c r="I89" s="29">
        <v>-44.259</v>
      </c>
      <c r="J89" s="84">
        <f>J52-I52</f>
        <v>0</v>
      </c>
      <c r="K89" s="84">
        <f t="shared" ref="K89:N89" si="48">K52-J52</f>
        <v>0</v>
      </c>
      <c r="L89" s="84">
        <f t="shared" si="48"/>
        <v>0</v>
      </c>
      <c r="M89" s="84">
        <f t="shared" si="48"/>
        <v>0</v>
      </c>
      <c r="N89" s="84">
        <f t="shared" si="48"/>
        <v>0</v>
      </c>
    </row>
    <row r="90" spans="2:14" x14ac:dyDescent="0.2">
      <c r="B90" s="7" t="s">
        <v>107</v>
      </c>
      <c r="F90" s="27">
        <f>SUM(F80:F89)</f>
        <v>1175.4710000000002</v>
      </c>
      <c r="G90" s="27">
        <f t="shared" ref="G90:I90" si="49">SUM(G80:G89)</f>
        <v>1364.21</v>
      </c>
      <c r="H90" s="27">
        <f t="shared" si="49"/>
        <v>1472.5640000000001</v>
      </c>
      <c r="I90" s="27">
        <f t="shared" si="49"/>
        <v>1799.7499999999995</v>
      </c>
      <c r="J90" s="27">
        <f>SUM(J80:J89)</f>
        <v>1802.813660307281</v>
      </c>
      <c r="K90" s="27">
        <f t="shared" ref="K90:N90" si="50">SUM(K80:K89)</f>
        <v>1981.7260231084822</v>
      </c>
      <c r="L90" s="27">
        <f t="shared" si="50"/>
        <v>2129.7476834025892</v>
      </c>
      <c r="M90" s="27">
        <f t="shared" si="50"/>
        <v>2293.6548403915758</v>
      </c>
      <c r="N90" s="27">
        <f t="shared" si="50"/>
        <v>2480.0665764735386</v>
      </c>
    </row>
    <row r="91" spans="2:14" x14ac:dyDescent="0.2">
      <c r="F91" s="26"/>
      <c r="G91" s="26"/>
      <c r="H91" s="26"/>
      <c r="I91" s="26"/>
    </row>
    <row r="92" spans="2:14" x14ac:dyDescent="0.2">
      <c r="B92" s="8" t="s">
        <v>108</v>
      </c>
      <c r="F92" s="26"/>
      <c r="G92" s="26"/>
      <c r="H92" s="26"/>
      <c r="I92" s="26"/>
      <c r="J92" s="26"/>
      <c r="K92" s="26"/>
      <c r="L92" s="26"/>
      <c r="M92" s="26"/>
      <c r="N92" s="26"/>
    </row>
    <row r="93" spans="2:14" x14ac:dyDescent="0.2">
      <c r="B93" s="1" t="s">
        <v>109</v>
      </c>
      <c r="F93" s="29">
        <v>-337.44799999999998</v>
      </c>
      <c r="G93" s="29">
        <v>-516.63599999999997</v>
      </c>
      <c r="H93" s="29">
        <v>-510.99</v>
      </c>
      <c r="I93" s="29">
        <v>-568.99</v>
      </c>
      <c r="J93" s="26">
        <f>-I42*'Master Assumptions'!F28</f>
        <v>-671.09270037867236</v>
      </c>
      <c r="K93" s="26">
        <f>-J42*'Master Assumptions'!G28</f>
        <v>-726.62077257918486</v>
      </c>
      <c r="L93" s="26">
        <f>-K42*'Master Assumptions'!H28</f>
        <v>-811.65170162659672</v>
      </c>
      <c r="M93" s="26">
        <f>-L42*'Master Assumptions'!I28</f>
        <v>-909.23681645262525</v>
      </c>
      <c r="N93" s="26">
        <f>-M42*'Master Assumptions'!J28</f>
        <v>-1006.0198097274749</v>
      </c>
    </row>
    <row r="94" spans="2:14" x14ac:dyDescent="0.2">
      <c r="B94" s="1" t="s">
        <v>110</v>
      </c>
      <c r="F94" s="29">
        <v>-106.604</v>
      </c>
      <c r="G94" s="29">
        <v>0</v>
      </c>
      <c r="H94" s="29">
        <v>0</v>
      </c>
      <c r="I94" s="29">
        <v>0</v>
      </c>
      <c r="J94" s="26">
        <f>I94</f>
        <v>0</v>
      </c>
      <c r="K94" s="26">
        <f t="shared" ref="K94:N94" si="51">J94</f>
        <v>0</v>
      </c>
      <c r="L94" s="26">
        <f t="shared" si="51"/>
        <v>0</v>
      </c>
      <c r="M94" s="26">
        <f t="shared" si="51"/>
        <v>0</v>
      </c>
      <c r="N94" s="26">
        <f t="shared" si="51"/>
        <v>0</v>
      </c>
    </row>
    <row r="95" spans="2:14" x14ac:dyDescent="0.2">
      <c r="B95" s="1" t="s">
        <v>318</v>
      </c>
      <c r="F95" s="29">
        <v>4.3330000000000002</v>
      </c>
      <c r="G95" s="29">
        <v>33.918999999999997</v>
      </c>
      <c r="H95" s="29">
        <v>4.1660000000000004</v>
      </c>
      <c r="I95" s="29">
        <v>31.831</v>
      </c>
      <c r="J95" s="26">
        <f>0</f>
        <v>0</v>
      </c>
      <c r="K95" s="26">
        <f>0</f>
        <v>0</v>
      </c>
      <c r="L95" s="26">
        <f>0</f>
        <v>0</v>
      </c>
      <c r="M95" s="26">
        <f>0</f>
        <v>0</v>
      </c>
      <c r="N95" s="26">
        <f>0</f>
        <v>0</v>
      </c>
    </row>
    <row r="96" spans="2:14" x14ac:dyDescent="0.2">
      <c r="B96" s="1" t="s">
        <v>111</v>
      </c>
      <c r="F96" s="29">
        <v>-2.5910000000000002</v>
      </c>
      <c r="G96" s="29">
        <v>-1409.3320000000001</v>
      </c>
      <c r="H96" s="29">
        <v>-450.91699999999997</v>
      </c>
      <c r="I96" s="29">
        <v>-49.066000000000003</v>
      </c>
      <c r="J96" s="27">
        <f>0</f>
        <v>0</v>
      </c>
      <c r="K96" s="27">
        <f>0</f>
        <v>0</v>
      </c>
      <c r="L96" s="27">
        <f>0</f>
        <v>0</v>
      </c>
      <c r="M96" s="27">
        <f>0</f>
        <v>0</v>
      </c>
      <c r="N96" s="27">
        <f>0</f>
        <v>0</v>
      </c>
    </row>
    <row r="97" spans="2:14" x14ac:dyDescent="0.2">
      <c r="B97" s="1" t="s">
        <v>112</v>
      </c>
      <c r="F97" s="29">
        <v>0</v>
      </c>
      <c r="G97" s="29">
        <v>0</v>
      </c>
      <c r="H97" s="29">
        <v>17.661999999999999</v>
      </c>
      <c r="I97" s="29">
        <v>-1.2230000000000001</v>
      </c>
      <c r="J97" s="26">
        <f>0</f>
        <v>0</v>
      </c>
      <c r="K97" s="26">
        <f>0</f>
        <v>0</v>
      </c>
      <c r="L97" s="26">
        <f>0</f>
        <v>0</v>
      </c>
      <c r="M97" s="26">
        <f>0</f>
        <v>0</v>
      </c>
      <c r="N97" s="26">
        <f>0</f>
        <v>0</v>
      </c>
    </row>
    <row r="98" spans="2:14" x14ac:dyDescent="0.2">
      <c r="B98" s="7" t="s">
        <v>113</v>
      </c>
      <c r="F98" s="27">
        <f>SUM(F93:F97)</f>
        <v>-442.30999999999995</v>
      </c>
      <c r="G98" s="27">
        <f t="shared" ref="G98:I98" si="52">SUM(G93:G97)</f>
        <v>-1892.049</v>
      </c>
      <c r="H98" s="27">
        <f t="shared" si="52"/>
        <v>-940.07899999999995</v>
      </c>
      <c r="I98" s="27">
        <f t="shared" si="52"/>
        <v>-587.44799999999998</v>
      </c>
      <c r="J98" s="27">
        <f>SUM(J93:J97)</f>
        <v>-671.09270037867236</v>
      </c>
      <c r="K98" s="27">
        <f t="shared" ref="K98:N98" si="53">SUM(K93:K97)</f>
        <v>-726.62077257918486</v>
      </c>
      <c r="L98" s="27">
        <f t="shared" si="53"/>
        <v>-811.65170162659672</v>
      </c>
      <c r="M98" s="27">
        <f t="shared" si="53"/>
        <v>-909.23681645262525</v>
      </c>
      <c r="N98" s="27">
        <f t="shared" si="53"/>
        <v>-1006.0198097274749</v>
      </c>
    </row>
    <row r="99" spans="2:14" x14ac:dyDescent="0.2">
      <c r="F99" s="26"/>
      <c r="G99" s="26"/>
      <c r="H99" s="26"/>
      <c r="I99" s="26"/>
      <c r="J99" s="26"/>
      <c r="K99" s="26"/>
      <c r="L99" s="26"/>
      <c r="M99" s="26"/>
      <c r="N99" s="26"/>
    </row>
    <row r="100" spans="2:14" x14ac:dyDescent="0.2">
      <c r="B100" s="8" t="s">
        <v>114</v>
      </c>
      <c r="F100" s="26"/>
      <c r="G100" s="26"/>
      <c r="H100" s="26"/>
      <c r="I100" s="26"/>
      <c r="J100" s="26"/>
      <c r="K100" s="26"/>
      <c r="L100" s="26"/>
      <c r="M100" s="26"/>
      <c r="N100" s="26"/>
    </row>
    <row r="101" spans="2:14" x14ac:dyDescent="0.2">
      <c r="B101" s="1" t="s">
        <v>319</v>
      </c>
      <c r="F101" s="29">
        <v>37.732999999999997</v>
      </c>
      <c r="G101" s="29">
        <v>60.777000000000001</v>
      </c>
      <c r="H101" s="29">
        <v>36.665999999999997</v>
      </c>
      <c r="I101" s="29">
        <v>57.438000000000002</v>
      </c>
      <c r="J101" s="26">
        <f>0</f>
        <v>0</v>
      </c>
      <c r="K101" s="26">
        <f>0</f>
        <v>0</v>
      </c>
      <c r="L101" s="26">
        <f>0</f>
        <v>0</v>
      </c>
      <c r="M101" s="26">
        <f>0</f>
        <v>0</v>
      </c>
      <c r="N101" s="26">
        <f>0</f>
        <v>0</v>
      </c>
    </row>
    <row r="102" spans="2:14" x14ac:dyDescent="0.2">
      <c r="B102" s="1" t="s">
        <v>317</v>
      </c>
      <c r="F102" s="29">
        <v>-1.925</v>
      </c>
      <c r="G102" s="29">
        <v>-4.7089999999999996</v>
      </c>
      <c r="H102" s="29">
        <v>-6.5579999999999998</v>
      </c>
      <c r="I102" s="29">
        <v>-5.282</v>
      </c>
      <c r="J102" s="26">
        <f>0</f>
        <v>0</v>
      </c>
      <c r="K102" s="26">
        <f>0</f>
        <v>0</v>
      </c>
      <c r="L102" s="26">
        <f>0</f>
        <v>0</v>
      </c>
      <c r="M102" s="26">
        <f>0</f>
        <v>0</v>
      </c>
      <c r="N102" s="26">
        <f>0</f>
        <v>0</v>
      </c>
    </row>
    <row r="103" spans="2:14" x14ac:dyDescent="0.2">
      <c r="B103" s="1" t="s">
        <v>115</v>
      </c>
      <c r="F103" s="29">
        <v>-417.28899999999999</v>
      </c>
      <c r="G103" s="29">
        <v>10.547000000000001</v>
      </c>
      <c r="H103" s="29">
        <v>-10.835000000000001</v>
      </c>
      <c r="I103" s="29">
        <v>-4.9000000000000002E-2</v>
      </c>
      <c r="J103" s="26">
        <f>0</f>
        <v>0</v>
      </c>
      <c r="K103" s="26">
        <f>0</f>
        <v>0</v>
      </c>
      <c r="L103" s="26">
        <f>0</f>
        <v>0</v>
      </c>
      <c r="M103" s="26">
        <f>0</f>
        <v>0</v>
      </c>
      <c r="N103" s="26">
        <f>0</f>
        <v>0</v>
      </c>
    </row>
    <row r="104" spans="2:14" x14ac:dyDescent="0.2">
      <c r="B104" s="7" t="s">
        <v>116</v>
      </c>
      <c r="F104" s="27">
        <f>SUM(F101:F103)</f>
        <v>-381.48099999999999</v>
      </c>
      <c r="G104" s="27">
        <f t="shared" ref="G104:I104" si="54">SUM(G101:G103)</f>
        <v>66.614999999999995</v>
      </c>
      <c r="H104" s="27">
        <f t="shared" si="54"/>
        <v>19.272999999999996</v>
      </c>
      <c r="I104" s="27">
        <f t="shared" si="54"/>
        <v>52.107000000000006</v>
      </c>
      <c r="J104" s="27">
        <f>SUM(J101:J103)</f>
        <v>0</v>
      </c>
      <c r="K104" s="27">
        <f t="shared" ref="K104:N104" si="55">SUM(K101:K103)</f>
        <v>0</v>
      </c>
      <c r="L104" s="27">
        <f t="shared" si="55"/>
        <v>0</v>
      </c>
      <c r="M104" s="27">
        <f t="shared" si="55"/>
        <v>0</v>
      </c>
      <c r="N104" s="27">
        <f t="shared" si="55"/>
        <v>0</v>
      </c>
    </row>
    <row r="105" spans="2:14" x14ac:dyDescent="0.2">
      <c r="F105" s="26"/>
      <c r="G105" s="26"/>
      <c r="H105" s="26"/>
      <c r="I105" s="26"/>
      <c r="J105" s="26"/>
      <c r="K105" s="26"/>
      <c r="L105" s="26"/>
      <c r="M105" s="26"/>
      <c r="N105" s="26"/>
    </row>
    <row r="106" spans="2:14" x14ac:dyDescent="0.2">
      <c r="B106" s="1" t="s">
        <v>117</v>
      </c>
      <c r="F106" s="29">
        <v>-15.704000000000001</v>
      </c>
      <c r="G106" s="29">
        <v>34.383000000000003</v>
      </c>
      <c r="H106" s="29">
        <v>4.9580000000000002</v>
      </c>
      <c r="I106" s="29">
        <v>2.0110000000000001</v>
      </c>
      <c r="J106" s="26">
        <f>0</f>
        <v>0</v>
      </c>
      <c r="K106" s="26">
        <f>0</f>
        <v>0</v>
      </c>
      <c r="L106" s="26">
        <f>0</f>
        <v>0</v>
      </c>
      <c r="M106" s="26">
        <f>0</f>
        <v>0</v>
      </c>
      <c r="N106" s="26">
        <f>0</f>
        <v>0</v>
      </c>
    </row>
    <row r="107" spans="2:14" x14ac:dyDescent="0.2">
      <c r="B107" s="7" t="s">
        <v>118</v>
      </c>
      <c r="F107" s="27">
        <f>F90+F98+F104+F106</f>
        <v>335.97600000000028</v>
      </c>
      <c r="G107" s="27">
        <f t="shared" ref="G107:I107" si="56">G90+G98+G104+G106</f>
        <v>-426.84099999999995</v>
      </c>
      <c r="H107" s="27">
        <f t="shared" si="56"/>
        <v>556.71600000000012</v>
      </c>
      <c r="I107" s="27">
        <f t="shared" si="56"/>
        <v>1266.4199999999996</v>
      </c>
      <c r="J107" s="27">
        <f>J106+J104+J98+J90</f>
        <v>1131.7209599286086</v>
      </c>
      <c r="K107" s="27">
        <f t="shared" ref="K107:N107" si="57">K106+K104+K98+K90</f>
        <v>1255.1052505292973</v>
      </c>
      <c r="L107" s="27">
        <f t="shared" si="57"/>
        <v>1318.0959817759926</v>
      </c>
      <c r="M107" s="27">
        <f t="shared" si="57"/>
        <v>1384.4180239389507</v>
      </c>
      <c r="N107" s="27">
        <f t="shared" si="57"/>
        <v>1474.0467667460637</v>
      </c>
    </row>
  </sheetData>
  <mergeCells count="3">
    <mergeCell ref="B3:N3"/>
    <mergeCell ref="B29:N29"/>
    <mergeCell ref="B73:N73"/>
  </mergeCells>
  <pageMargins left="0.7" right="0.7" top="0.75" bottom="0.75" header="0.3" footer="0.3"/>
  <ignoredErrors>
    <ignoredError sqref="J88:N88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A0706-D37F-CA43-A6F0-EB69BEB4EAEF}">
  <sheetPr>
    <tabColor rgb="FFC00000"/>
  </sheetPr>
  <dimension ref="B3:L84"/>
  <sheetViews>
    <sheetView topLeftCell="A49" zoomScale="125" workbookViewId="0">
      <selection activeCell="I57" sqref="I57"/>
    </sheetView>
  </sheetViews>
  <sheetFormatPr baseColWidth="10" defaultRowHeight="16" x14ac:dyDescent="0.2"/>
  <cols>
    <col min="1" max="1" width="4" style="1" customWidth="1"/>
    <col min="2" max="7" width="10.83203125" style="1"/>
    <col min="8" max="8" width="13.5" style="1" customWidth="1"/>
    <col min="9" max="9" width="11.83203125" style="1" bestFit="1" customWidth="1"/>
    <col min="10" max="10" width="11.5" style="1" bestFit="1" customWidth="1"/>
    <col min="11" max="16384" width="10.83203125" style="1"/>
  </cols>
  <sheetData>
    <row r="3" spans="2:12" ht="19" x14ac:dyDescent="0.25">
      <c r="B3" s="301" t="s">
        <v>473</v>
      </c>
      <c r="C3" s="301"/>
      <c r="D3" s="301"/>
      <c r="E3" s="301"/>
      <c r="F3" s="301"/>
      <c r="G3" s="301"/>
      <c r="H3" s="301"/>
      <c r="I3" s="301"/>
      <c r="J3" s="301"/>
      <c r="K3" s="301"/>
      <c r="L3" s="301"/>
    </row>
    <row r="5" spans="2:12" x14ac:dyDescent="0.2">
      <c r="B5" s="132" t="s">
        <v>474</v>
      </c>
      <c r="C5" s="133"/>
      <c r="D5" s="133"/>
      <c r="E5" s="133"/>
    </row>
    <row r="7" spans="2:12" x14ac:dyDescent="0.2">
      <c r="B7" s="33" t="s">
        <v>475</v>
      </c>
      <c r="H7" s="33" t="s">
        <v>476</v>
      </c>
    </row>
    <row r="9" spans="2:12" x14ac:dyDescent="0.2">
      <c r="B9" s="28" t="s">
        <v>184</v>
      </c>
      <c r="E9" s="134">
        <v>4.4299999999999999E-2</v>
      </c>
      <c r="H9" s="1" t="s">
        <v>477</v>
      </c>
      <c r="J9" s="135">
        <v>0</v>
      </c>
      <c r="K9" s="136"/>
    </row>
    <row r="10" spans="2:12" x14ac:dyDescent="0.2">
      <c r="B10" s="28" t="s">
        <v>478</v>
      </c>
      <c r="E10" s="134">
        <v>4.4600000000000001E-2</v>
      </c>
      <c r="H10" s="1" t="s">
        <v>479</v>
      </c>
      <c r="J10" s="137">
        <v>0</v>
      </c>
      <c r="K10" s="136"/>
    </row>
    <row r="11" spans="2:12" x14ac:dyDescent="0.2">
      <c r="B11" s="28" t="s">
        <v>480</v>
      </c>
      <c r="E11" s="138">
        <v>0.9</v>
      </c>
      <c r="H11" s="5" t="s">
        <v>481</v>
      </c>
      <c r="J11" s="139">
        <v>0</v>
      </c>
      <c r="K11" s="6"/>
    </row>
    <row r="12" spans="2:12" x14ac:dyDescent="0.2">
      <c r="B12" s="5" t="s">
        <v>482</v>
      </c>
      <c r="E12" s="140">
        <f>E9+E10*E11</f>
        <v>8.4440000000000001E-2</v>
      </c>
    </row>
    <row r="15" spans="2:12" x14ac:dyDescent="0.2">
      <c r="B15" s="5" t="s">
        <v>483</v>
      </c>
      <c r="E15" s="141">
        <v>1</v>
      </c>
      <c r="H15" s="5" t="s">
        <v>484</v>
      </c>
      <c r="J15" s="142">
        <f>1-E15</f>
        <v>0</v>
      </c>
      <c r="K15" s="143"/>
    </row>
    <row r="18" spans="2:9" x14ac:dyDescent="0.2">
      <c r="B18" s="144" t="s">
        <v>485</v>
      </c>
      <c r="C18" s="145"/>
      <c r="D18" s="145"/>
      <c r="E18" s="146">
        <f>IF('Sensitivity Tables'!K10="",E12*E15,'Sensitivity Tables'!K10)</f>
        <v>8.4440000000000001E-2</v>
      </c>
    </row>
    <row r="21" spans="2:9" x14ac:dyDescent="0.2">
      <c r="B21" s="132" t="s">
        <v>486</v>
      </c>
      <c r="C21" s="133"/>
      <c r="D21" s="133"/>
      <c r="E21" s="133"/>
    </row>
    <row r="24" spans="2:9" x14ac:dyDescent="0.2">
      <c r="E24" s="34" t="s">
        <v>388</v>
      </c>
      <c r="F24" s="34" t="s">
        <v>389</v>
      </c>
      <c r="G24" s="34" t="s">
        <v>390</v>
      </c>
      <c r="H24" s="34" t="s">
        <v>391</v>
      </c>
      <c r="I24" s="34" t="s">
        <v>408</v>
      </c>
    </row>
    <row r="26" spans="2:9" x14ac:dyDescent="0.2">
      <c r="B26" s="1" t="s">
        <v>488</v>
      </c>
      <c r="E26" s="126">
        <f>'Forecast Model'!J14</f>
        <v>1843.6764704220063</v>
      </c>
      <c r="F26" s="126">
        <f>'Forecast Model'!K14</f>
        <v>1991.8577148976456</v>
      </c>
      <c r="G26" s="126">
        <f>'Forecast Model'!L14</f>
        <v>2137.8952795987766</v>
      </c>
      <c r="H26" s="126">
        <f>'Forecast Model'!M14</f>
        <v>2305.7807756258358</v>
      </c>
      <c r="I26" s="126">
        <f>'Forecast Model'!N14</f>
        <v>2493.699822670967</v>
      </c>
    </row>
    <row r="27" spans="2:9" x14ac:dyDescent="0.2">
      <c r="B27" s="47" t="s">
        <v>489</v>
      </c>
      <c r="E27" s="147">
        <f>E26/'Forecast Model'!J8</f>
        <v>0.36255407640920229</v>
      </c>
      <c r="F27" s="147">
        <f>F26/'Forecast Model'!K8</f>
        <v>0.36060445250394846</v>
      </c>
      <c r="G27" s="147">
        <f>G26/'Forecast Model'!L8</f>
        <v>0.35904981619589321</v>
      </c>
      <c r="H27" s="147">
        <f>H26/'Forecast Model'!M8</f>
        <v>0.35791656660844101</v>
      </c>
      <c r="I27" s="147">
        <f>I26/'Forecast Model'!N8</f>
        <v>0.3564587988267035</v>
      </c>
    </row>
    <row r="28" spans="2:9" x14ac:dyDescent="0.2">
      <c r="B28" s="1" t="s">
        <v>490</v>
      </c>
      <c r="E28" s="79">
        <f>-'Master Assumptions'!F21*'DCF Valuation'!E26</f>
        <v>-359.21884194271365</v>
      </c>
      <c r="F28" s="79">
        <f>-'Master Assumptions'!G21*'DCF Valuation'!F26</f>
        <v>-388.09022794352614</v>
      </c>
      <c r="G28" s="79">
        <f>-'Master Assumptions'!H21*'DCF Valuation'!G26</f>
        <v>-416.5439429600587</v>
      </c>
      <c r="H28" s="79">
        <f>-'Master Assumptions'!I21*'DCF Valuation'!H26</f>
        <v>-449.25447239910625</v>
      </c>
      <c r="I28" s="79">
        <f>-'Master Assumptions'!J21*'DCF Valuation'!I26</f>
        <v>-485.86830543407422</v>
      </c>
    </row>
    <row r="29" spans="2:9" x14ac:dyDescent="0.2">
      <c r="B29" s="5" t="s">
        <v>491</v>
      </c>
      <c r="E29" s="79">
        <f>E26+E28</f>
        <v>1484.4576284792927</v>
      </c>
      <c r="F29" s="79">
        <f t="shared" ref="F29:I29" si="0">F26+F28</f>
        <v>1603.7674869541195</v>
      </c>
      <c r="G29" s="79">
        <f t="shared" si="0"/>
        <v>1721.3513366387178</v>
      </c>
      <c r="H29" s="79">
        <f t="shared" si="0"/>
        <v>1856.5263032267294</v>
      </c>
      <c r="I29" s="79">
        <f t="shared" si="0"/>
        <v>2007.8315172368928</v>
      </c>
    </row>
    <row r="30" spans="2:9" x14ac:dyDescent="0.2">
      <c r="E30" s="79"/>
      <c r="F30" s="79"/>
      <c r="G30" s="79"/>
      <c r="H30" s="79"/>
      <c r="I30" s="79"/>
    </row>
    <row r="31" spans="2:9" x14ac:dyDescent="0.2">
      <c r="E31" s="79"/>
      <c r="F31" s="79"/>
      <c r="G31" s="79"/>
      <c r="H31" s="79"/>
      <c r="I31" s="79"/>
    </row>
    <row r="32" spans="2:9" x14ac:dyDescent="0.2">
      <c r="B32" s="1" t="s">
        <v>492</v>
      </c>
      <c r="E32" s="79">
        <f>-'Forecast Model'!J13</f>
        <v>235.58161827738476</v>
      </c>
      <c r="F32" s="79">
        <f>-'Forecast Model'!K13</f>
        <v>266.66106601361616</v>
      </c>
      <c r="G32" s="79">
        <f>-'Forecast Model'!L13</f>
        <v>296.70797740315777</v>
      </c>
      <c r="H32" s="79">
        <f>-'Forecast Model'!M13</f>
        <v>328.32185638353684</v>
      </c>
      <c r="I32" s="79">
        <f>-'Forecast Model'!N13</f>
        <v>366.73011080835352</v>
      </c>
    </row>
    <row r="33" spans="2:9" x14ac:dyDescent="0.2">
      <c r="B33" s="1" t="s">
        <v>493</v>
      </c>
      <c r="E33" s="79">
        <f>'Forecast Model'!J93</f>
        <v>-671.09270037867236</v>
      </c>
      <c r="F33" s="79">
        <f>'Forecast Model'!K93</f>
        <v>-726.62077257918486</v>
      </c>
      <c r="G33" s="79">
        <f>'Forecast Model'!L93</f>
        <v>-811.65170162659672</v>
      </c>
      <c r="H33" s="79">
        <f>'Forecast Model'!M93</f>
        <v>-909.23681645262525</v>
      </c>
      <c r="I33" s="79">
        <f>'Forecast Model'!N93</f>
        <v>-1006.0198097274749</v>
      </c>
    </row>
    <row r="34" spans="2:9" x14ac:dyDescent="0.2">
      <c r="B34" s="1" t="s">
        <v>494</v>
      </c>
      <c r="E34" s="79">
        <f>SUM('Forecast Model'!J85:J89)</f>
        <v>-50.584799898080902</v>
      </c>
      <c r="F34" s="79">
        <f>SUM('Forecast Model'!K85:K89)</f>
        <v>-22.061743307938215</v>
      </c>
      <c r="G34" s="79">
        <f>SUM('Forecast Model'!L85:L89)</f>
        <v>-21.67084408797097</v>
      </c>
      <c r="H34" s="79">
        <f>SUM('Forecast Model'!M85:M89)</f>
        <v>-24.552532667375111</v>
      </c>
      <c r="I34" s="79">
        <f>SUM('Forecast Model'!N85:N89)</f>
        <v>-27.854265020391978</v>
      </c>
    </row>
    <row r="35" spans="2:9" x14ac:dyDescent="0.2">
      <c r="E35" s="79"/>
      <c r="F35" s="79"/>
      <c r="G35" s="79"/>
      <c r="H35" s="79"/>
      <c r="I35" s="79"/>
    </row>
    <row r="36" spans="2:9" x14ac:dyDescent="0.2">
      <c r="E36" s="79"/>
      <c r="F36" s="79"/>
      <c r="G36" s="79"/>
      <c r="H36" s="79"/>
      <c r="I36" s="79"/>
    </row>
    <row r="37" spans="2:9" x14ac:dyDescent="0.2">
      <c r="B37" s="144" t="s">
        <v>495</v>
      </c>
      <c r="C37" s="145"/>
      <c r="D37" s="145"/>
      <c r="E37" s="148">
        <f>SUM(E29:E34)</f>
        <v>998.36174647992414</v>
      </c>
      <c r="F37" s="148">
        <f t="shared" ref="F37:I37" si="1">SUM(F29:F34)</f>
        <v>1121.7460370806125</v>
      </c>
      <c r="G37" s="148">
        <f t="shared" si="1"/>
        <v>1184.736768327308</v>
      </c>
      <c r="H37" s="148">
        <f t="shared" si="1"/>
        <v>1251.0588104902658</v>
      </c>
      <c r="I37" s="148">
        <f t="shared" si="1"/>
        <v>1340.6875532973795</v>
      </c>
    </row>
    <row r="38" spans="2:9" x14ac:dyDescent="0.2">
      <c r="B38" s="47" t="s">
        <v>496</v>
      </c>
      <c r="E38" s="39">
        <f>E37/E29</f>
        <v>0.67254310754741131</v>
      </c>
      <c r="F38" s="39">
        <f t="shared" ref="F38:I38" si="2">F37/F29</f>
        <v>0.69944430611387209</v>
      </c>
      <c r="G38" s="39">
        <f t="shared" si="2"/>
        <v>0.68825970800402847</v>
      </c>
      <c r="H38" s="39">
        <f t="shared" si="2"/>
        <v>0.67387077054382005</v>
      </c>
      <c r="I38" s="39">
        <f t="shared" si="2"/>
        <v>0.6677291106289569</v>
      </c>
    </row>
    <row r="40" spans="2:9" x14ac:dyDescent="0.2">
      <c r="E40" s="26"/>
    </row>
    <row r="42" spans="2:9" x14ac:dyDescent="0.2">
      <c r="B42" s="132" t="s">
        <v>497</v>
      </c>
      <c r="C42" s="133"/>
      <c r="D42" s="133"/>
      <c r="E42" s="133"/>
    </row>
    <row r="43" spans="2:9" x14ac:dyDescent="0.2">
      <c r="E43" s="34" t="s">
        <v>487</v>
      </c>
      <c r="F43" s="34" t="s">
        <v>388</v>
      </c>
      <c r="G43" s="34" t="s">
        <v>389</v>
      </c>
      <c r="H43" s="34" t="s">
        <v>390</v>
      </c>
      <c r="I43" s="34" t="s">
        <v>391</v>
      </c>
    </row>
    <row r="44" spans="2:9" ht="17" thickBot="1" x14ac:dyDescent="0.25">
      <c r="B44" s="5" t="s">
        <v>498</v>
      </c>
      <c r="E44" s="1">
        <v>0.5</v>
      </c>
      <c r="F44" s="1">
        <f>1+E44</f>
        <v>1.5</v>
      </c>
      <c r="G44" s="1">
        <f t="shared" ref="G44:I44" si="3">1+F44</f>
        <v>2.5</v>
      </c>
      <c r="H44" s="1">
        <f t="shared" si="3"/>
        <v>3.5</v>
      </c>
      <c r="I44" s="1">
        <f t="shared" si="3"/>
        <v>4.5</v>
      </c>
    </row>
    <row r="45" spans="2:9" ht="17" thickBot="1" x14ac:dyDescent="0.25">
      <c r="B45" s="5" t="s">
        <v>499</v>
      </c>
      <c r="E45" s="149">
        <f>1/(1+$E$18)^E44</f>
        <v>0.96027856728268535</v>
      </c>
      <c r="F45" s="150">
        <f t="shared" ref="F45:I45" si="4">1/(1+$E$18)^F44</f>
        <v>0.88550640633201028</v>
      </c>
      <c r="G45" s="150">
        <f t="shared" si="4"/>
        <v>0.81655638516839135</v>
      </c>
      <c r="H45" s="150">
        <f t="shared" si="4"/>
        <v>0.75297516245102658</v>
      </c>
      <c r="I45" s="151">
        <f t="shared" si="4"/>
        <v>0.69434469629580842</v>
      </c>
    </row>
    <row r="47" spans="2:9" x14ac:dyDescent="0.2">
      <c r="B47" s="152" t="s">
        <v>500</v>
      </c>
      <c r="C47" s="153"/>
      <c r="D47" s="153"/>
      <c r="E47" s="154">
        <f>E37*E45</f>
        <v>958.70538753958112</v>
      </c>
      <c r="F47" s="154">
        <f t="shared" ref="F47:I47" si="5">F37*F45</f>
        <v>993.3133021124271</v>
      </c>
      <c r="G47" s="154">
        <f t="shared" si="5"/>
        <v>967.4043729214286</v>
      </c>
      <c r="H47" s="154">
        <f t="shared" si="5"/>
        <v>942.01621106469599</v>
      </c>
      <c r="I47" s="154">
        <f t="shared" si="5"/>
        <v>930.89929202183941</v>
      </c>
    </row>
    <row r="49" spans="2:11" x14ac:dyDescent="0.2">
      <c r="B49" s="152" t="s">
        <v>501</v>
      </c>
      <c r="C49" s="153"/>
      <c r="D49" s="153"/>
      <c r="E49" s="154">
        <f>SUM(E47:I47)</f>
        <v>4792.3385656599721</v>
      </c>
      <c r="F49" s="153"/>
      <c r="G49" s="153"/>
      <c r="H49" s="153"/>
      <c r="I49" s="153"/>
    </row>
    <row r="52" spans="2:11" x14ac:dyDescent="0.2">
      <c r="B52" s="132" t="s">
        <v>502</v>
      </c>
      <c r="C52" s="133"/>
      <c r="D52" s="133"/>
      <c r="E52" s="133"/>
    </row>
    <row r="53" spans="2:11" x14ac:dyDescent="0.2">
      <c r="B53" s="46" t="s">
        <v>503</v>
      </c>
      <c r="G53" s="46" t="s">
        <v>504</v>
      </c>
    </row>
    <row r="55" spans="2:11" x14ac:dyDescent="0.2">
      <c r="B55" s="1" t="s">
        <v>505</v>
      </c>
      <c r="E55" s="79">
        <f>I47</f>
        <v>930.89929202183941</v>
      </c>
      <c r="G55" s="1" t="s">
        <v>506</v>
      </c>
      <c r="I55" s="26">
        <f>'Forecast Model'!N14-'Forecast Model'!N13</f>
        <v>2860.4299334793204</v>
      </c>
      <c r="J55" s="26"/>
    </row>
    <row r="56" spans="2:11" x14ac:dyDescent="0.2">
      <c r="B56" s="1" t="s">
        <v>507</v>
      </c>
      <c r="E56" s="155">
        <f>IF('Sensitivity Tables'!K11="",2.5%,'Sensitivity Tables'!K11)</f>
        <v>2.5000000000000001E-2</v>
      </c>
      <c r="G56" s="1" t="s">
        <v>508</v>
      </c>
      <c r="I56" s="156">
        <f>IF('Sensitivity Tables'!K23="",17,'Sensitivity Tables'!K23)</f>
        <v>17</v>
      </c>
      <c r="J56" s="52"/>
      <c r="K56" s="108"/>
    </row>
    <row r="57" spans="2:11" x14ac:dyDescent="0.2">
      <c r="B57" s="7" t="s">
        <v>509</v>
      </c>
      <c r="E57" s="79">
        <f>E55*(1+E56)/(E18-E56)</f>
        <v>16052.687993310656</v>
      </c>
      <c r="G57" s="7" t="s">
        <v>510</v>
      </c>
      <c r="I57" s="26">
        <f>I55*I56</f>
        <v>48627.308869148445</v>
      </c>
      <c r="J57" s="26"/>
    </row>
    <row r="58" spans="2:11" x14ac:dyDescent="0.2">
      <c r="B58" s="157" t="s">
        <v>511</v>
      </c>
      <c r="C58" s="158"/>
      <c r="D58" s="153"/>
      <c r="E58" s="79">
        <f>E57*I45</f>
        <v>11146.098769446657</v>
      </c>
      <c r="G58" s="157" t="s">
        <v>511</v>
      </c>
      <c r="H58" s="153"/>
      <c r="I58" s="26">
        <f>I57*I45</f>
        <v>33764.114008431345</v>
      </c>
      <c r="J58" s="26"/>
    </row>
    <row r="59" spans="2:11" x14ac:dyDescent="0.2">
      <c r="B59" s="92"/>
      <c r="I59" s="26"/>
      <c r="J59" s="26"/>
    </row>
    <row r="60" spans="2:11" x14ac:dyDescent="0.2">
      <c r="I60" s="26"/>
      <c r="J60" s="26"/>
    </row>
    <row r="61" spans="2:11" x14ac:dyDescent="0.2">
      <c r="B61" s="132" t="s">
        <v>512</v>
      </c>
      <c r="C61" s="133"/>
      <c r="D61" s="133"/>
      <c r="E61" s="133"/>
      <c r="I61" s="26"/>
      <c r="J61" s="26"/>
    </row>
    <row r="62" spans="2:11" x14ac:dyDescent="0.2">
      <c r="I62" s="26"/>
      <c r="J62" s="26"/>
    </row>
    <row r="63" spans="2:11" x14ac:dyDescent="0.2">
      <c r="B63" s="7" t="s">
        <v>513</v>
      </c>
      <c r="G63" s="46" t="s">
        <v>504</v>
      </c>
      <c r="I63" s="26"/>
      <c r="J63" s="26"/>
    </row>
    <row r="64" spans="2:11" x14ac:dyDescent="0.2">
      <c r="B64" s="1" t="s">
        <v>514</v>
      </c>
      <c r="E64" s="79">
        <f>E49</f>
        <v>4792.3385656599721</v>
      </c>
      <c r="G64" s="1" t="s">
        <v>514</v>
      </c>
      <c r="I64" s="26">
        <f>E49</f>
        <v>4792.3385656599721</v>
      </c>
      <c r="J64" s="26"/>
    </row>
    <row r="65" spans="2:10" x14ac:dyDescent="0.2">
      <c r="B65" s="1" t="s">
        <v>511</v>
      </c>
      <c r="E65" s="79">
        <f>E58</f>
        <v>11146.098769446657</v>
      </c>
      <c r="G65" s="1" t="s">
        <v>511</v>
      </c>
      <c r="I65" s="26">
        <f>I58</f>
        <v>33764.114008431345</v>
      </c>
      <c r="J65" s="26"/>
    </row>
    <row r="66" spans="2:10" x14ac:dyDescent="0.2">
      <c r="B66" s="159" t="s">
        <v>515</v>
      </c>
      <c r="C66" s="153"/>
      <c r="D66" s="153"/>
      <c r="E66" s="160">
        <f>E64+E65</f>
        <v>15938.437335106628</v>
      </c>
      <c r="G66" s="159" t="s">
        <v>515</v>
      </c>
      <c r="H66" s="153"/>
      <c r="I66" s="161">
        <f>I64+I65</f>
        <v>38556.452574091316</v>
      </c>
      <c r="J66" s="27"/>
    </row>
    <row r="67" spans="2:10" x14ac:dyDescent="0.2">
      <c r="E67" s="79"/>
      <c r="I67" s="26"/>
      <c r="J67" s="26"/>
    </row>
    <row r="68" spans="2:10" x14ac:dyDescent="0.2">
      <c r="B68" s="1" t="s">
        <v>516</v>
      </c>
      <c r="E68" s="79">
        <v>0</v>
      </c>
      <c r="G68" s="1" t="s">
        <v>516</v>
      </c>
      <c r="I68" s="26">
        <f>0</f>
        <v>0</v>
      </c>
      <c r="J68" s="26"/>
    </row>
    <row r="69" spans="2:10" x14ac:dyDescent="0.2">
      <c r="B69" s="1" t="s">
        <v>517</v>
      </c>
      <c r="E69" s="79">
        <f>'Forecast Model'!I35</f>
        <v>4789.07</v>
      </c>
      <c r="G69" s="1" t="s">
        <v>517</v>
      </c>
      <c r="I69" s="26">
        <f>'Forecast Model'!I35</f>
        <v>4789.07</v>
      </c>
      <c r="J69" s="26"/>
    </row>
    <row r="70" spans="2:10" x14ac:dyDescent="0.2">
      <c r="B70" s="1" t="s">
        <v>518</v>
      </c>
      <c r="E70" s="79">
        <f>-'Forecast Model'!I66</f>
        <v>-20.457999999999998</v>
      </c>
      <c r="G70" s="1" t="s">
        <v>518</v>
      </c>
      <c r="I70" s="26">
        <f>-'Forecast Model'!I66</f>
        <v>-20.457999999999998</v>
      </c>
      <c r="J70" s="26"/>
    </row>
    <row r="71" spans="2:10" x14ac:dyDescent="0.2">
      <c r="B71" s="1" t="s">
        <v>519</v>
      </c>
      <c r="E71" s="79">
        <f>0</f>
        <v>0</v>
      </c>
      <c r="G71" s="1" t="s">
        <v>519</v>
      </c>
      <c r="I71" s="26">
        <f>0</f>
        <v>0</v>
      </c>
      <c r="J71" s="26"/>
    </row>
    <row r="72" spans="2:10" x14ac:dyDescent="0.2">
      <c r="B72" s="1" t="s">
        <v>520</v>
      </c>
      <c r="E72" s="79">
        <f>0</f>
        <v>0</v>
      </c>
      <c r="G72" s="1" t="s">
        <v>520</v>
      </c>
      <c r="I72" s="26">
        <f>0</f>
        <v>0</v>
      </c>
      <c r="J72" s="26"/>
    </row>
    <row r="73" spans="2:10" x14ac:dyDescent="0.2">
      <c r="B73" s="159" t="s">
        <v>521</v>
      </c>
      <c r="C73" s="153"/>
      <c r="D73" s="153"/>
      <c r="E73" s="160">
        <f>SUM(E66:E72)</f>
        <v>20707.049335106629</v>
      </c>
      <c r="G73" s="159" t="s">
        <v>521</v>
      </c>
      <c r="H73" s="153"/>
      <c r="I73" s="161">
        <f>SUM(I66:I72)</f>
        <v>43325.064574091317</v>
      </c>
      <c r="J73" s="27"/>
    </row>
    <row r="74" spans="2:10" x14ac:dyDescent="0.2">
      <c r="E74" s="79"/>
      <c r="I74" s="26"/>
      <c r="J74" s="26"/>
    </row>
    <row r="75" spans="2:10" x14ac:dyDescent="0.2">
      <c r="B75" s="5" t="s">
        <v>522</v>
      </c>
      <c r="E75" s="79">
        <v>965.21</v>
      </c>
      <c r="G75" s="5" t="s">
        <v>522</v>
      </c>
      <c r="I75" s="26">
        <f>E75</f>
        <v>965.21</v>
      </c>
      <c r="J75" s="26"/>
    </row>
    <row r="76" spans="2:10" x14ac:dyDescent="0.2">
      <c r="B76" s="162" t="s">
        <v>523</v>
      </c>
      <c r="C76" s="153"/>
      <c r="D76" s="153"/>
      <c r="E76" s="160">
        <f>E73/E75</f>
        <v>21.453413594043397</v>
      </c>
      <c r="G76" s="162" t="s">
        <v>523</v>
      </c>
      <c r="H76" s="153"/>
      <c r="I76" s="161">
        <f>I73/I75</f>
        <v>44.886671889113579</v>
      </c>
      <c r="J76" s="27"/>
    </row>
    <row r="77" spans="2:10" x14ac:dyDescent="0.2">
      <c r="B77" s="8"/>
      <c r="G77" s="8"/>
      <c r="I77" s="26"/>
      <c r="J77" s="26"/>
    </row>
    <row r="78" spans="2:10" x14ac:dyDescent="0.2">
      <c r="B78" s="7" t="s">
        <v>524</v>
      </c>
      <c r="E78" s="79">
        <v>975.09</v>
      </c>
      <c r="G78" s="7" t="s">
        <v>524</v>
      </c>
      <c r="I78" s="26">
        <f>E78</f>
        <v>975.09</v>
      </c>
      <c r="J78" s="26"/>
    </row>
    <row r="79" spans="2:10" x14ac:dyDescent="0.2">
      <c r="B79" s="162" t="s">
        <v>525</v>
      </c>
      <c r="C79" s="153"/>
      <c r="D79" s="153"/>
      <c r="E79" s="160">
        <f>E73/E78</f>
        <v>21.236039068297931</v>
      </c>
      <c r="G79" s="162" t="s">
        <v>525</v>
      </c>
      <c r="H79" s="153"/>
      <c r="I79" s="161">
        <f>I73/I78</f>
        <v>44.431862263064247</v>
      </c>
      <c r="J79" s="27"/>
    </row>
    <row r="80" spans="2:10" x14ac:dyDescent="0.2">
      <c r="B80" s="7"/>
    </row>
    <row r="81" spans="2:3" x14ac:dyDescent="0.2">
      <c r="B81" s="7"/>
    </row>
    <row r="82" spans="2:3" x14ac:dyDescent="0.2">
      <c r="B82" s="7"/>
    </row>
    <row r="84" spans="2:3" x14ac:dyDescent="0.2">
      <c r="C84"/>
    </row>
  </sheetData>
  <mergeCells count="1">
    <mergeCell ref="B3:L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D2FC3-075A-2844-A387-1BFB3F87E1D5}">
  <sheetPr>
    <tabColor rgb="FFC00000"/>
  </sheetPr>
  <dimension ref="A3:R48"/>
  <sheetViews>
    <sheetView topLeftCell="D5" workbookViewId="0">
      <selection activeCell="K45" sqref="K45"/>
    </sheetView>
  </sheetViews>
  <sheetFormatPr baseColWidth="10" defaultRowHeight="16" x14ac:dyDescent="0.2"/>
  <cols>
    <col min="1" max="1" width="10.83203125" style="1"/>
    <col min="2" max="2" width="20.1640625" style="1" customWidth="1"/>
    <col min="3" max="3" width="13.33203125" style="1" customWidth="1"/>
    <col min="4" max="4" width="17.6640625" style="1" customWidth="1"/>
    <col min="5" max="5" width="15.33203125" style="1" customWidth="1"/>
    <col min="6" max="6" width="16" style="1" customWidth="1"/>
    <col min="7" max="7" width="17.5" style="1" customWidth="1"/>
    <col min="8" max="8" width="17.6640625" style="1" customWidth="1"/>
    <col min="9" max="9" width="23" style="1" customWidth="1"/>
    <col min="10" max="10" width="16.6640625" style="1" customWidth="1"/>
    <col min="11" max="11" width="40.1640625" style="1" customWidth="1"/>
    <col min="12" max="12" width="22.1640625" style="1" customWidth="1"/>
    <col min="13" max="13" width="15.6640625" style="1" customWidth="1"/>
    <col min="14" max="14" width="22" style="1" customWidth="1"/>
    <col min="15" max="15" width="13.83203125" style="1" customWidth="1"/>
    <col min="16" max="16" width="15.83203125" style="1" customWidth="1"/>
    <col min="17" max="17" width="15.1640625" style="1" customWidth="1"/>
    <col min="18" max="16384" width="10.83203125" style="1"/>
  </cols>
  <sheetData>
    <row r="3" spans="1:18" ht="19" x14ac:dyDescent="0.25">
      <c r="A3" s="163" t="s">
        <v>526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</row>
    <row r="5" spans="1:18" x14ac:dyDescent="0.2">
      <c r="A5" s="165" t="s">
        <v>527</v>
      </c>
    </row>
    <row r="8" spans="1:18" x14ac:dyDescent="0.2">
      <c r="A8" s="166" t="s">
        <v>528</v>
      </c>
      <c r="B8" s="164"/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164"/>
    </row>
    <row r="9" spans="1:18" x14ac:dyDescent="0.2">
      <c r="B9" s="167" t="s">
        <v>529</v>
      </c>
      <c r="C9" s="167" t="s">
        <v>530</v>
      </c>
      <c r="D9" s="167" t="s">
        <v>531</v>
      </c>
      <c r="E9" s="167" t="s">
        <v>532</v>
      </c>
      <c r="F9" s="167" t="s">
        <v>565</v>
      </c>
      <c r="G9" s="167" t="s">
        <v>533</v>
      </c>
      <c r="H9" s="167" t="s">
        <v>566</v>
      </c>
      <c r="I9" s="167" t="s">
        <v>567</v>
      </c>
      <c r="J9" s="167" t="s">
        <v>568</v>
      </c>
      <c r="K9" s="167" t="s">
        <v>569</v>
      </c>
      <c r="L9" s="167" t="s">
        <v>570</v>
      </c>
    </row>
    <row r="10" spans="1:18" x14ac:dyDescent="0.2">
      <c r="B10" s="167"/>
      <c r="C10" s="167"/>
      <c r="D10" s="167"/>
      <c r="E10" s="167"/>
      <c r="F10" s="167"/>
      <c r="G10" s="167"/>
      <c r="H10" s="167"/>
      <c r="I10" s="167"/>
      <c r="J10" s="167"/>
      <c r="K10" s="167"/>
    </row>
    <row r="11" spans="1:18" x14ac:dyDescent="0.2">
      <c r="B11" s="167" t="s">
        <v>555</v>
      </c>
      <c r="C11" s="136" t="s">
        <v>559</v>
      </c>
      <c r="D11" s="168" t="s">
        <v>534</v>
      </c>
      <c r="E11" s="168" t="s">
        <v>535</v>
      </c>
      <c r="F11" s="169">
        <v>32.43</v>
      </c>
      <c r="G11" s="170">
        <v>975.1</v>
      </c>
      <c r="H11" s="171">
        <f>F11*G11</f>
        <v>31622.493000000002</v>
      </c>
      <c r="I11" s="172">
        <v>0</v>
      </c>
      <c r="J11" s="172">
        <f>'DCF Valuation'!E69</f>
        <v>4789.07</v>
      </c>
      <c r="K11" s="172">
        <v>0</v>
      </c>
      <c r="L11" s="173">
        <f>H11+I11-J11</f>
        <v>26833.423000000003</v>
      </c>
    </row>
    <row r="12" spans="1:18" x14ac:dyDescent="0.2">
      <c r="B12" s="167" t="s">
        <v>556</v>
      </c>
      <c r="C12" s="136" t="s">
        <v>560</v>
      </c>
      <c r="D12" s="168" t="s">
        <v>563</v>
      </c>
      <c r="E12" s="168" t="s">
        <v>564</v>
      </c>
      <c r="F12" s="169">
        <v>94.7</v>
      </c>
      <c r="G12" s="170">
        <v>186.9</v>
      </c>
      <c r="H12" s="171">
        <f t="shared" ref="H12:H14" si="0">F12*G12</f>
        <v>17699.43</v>
      </c>
      <c r="I12" s="172">
        <v>2471.5</v>
      </c>
      <c r="J12" s="172">
        <v>694.8</v>
      </c>
      <c r="K12" s="172">
        <v>0</v>
      </c>
      <c r="L12" s="173">
        <f>H12+I12-J12</f>
        <v>19476.13</v>
      </c>
    </row>
    <row r="13" spans="1:18" x14ac:dyDescent="0.2">
      <c r="B13" s="167" t="s">
        <v>557</v>
      </c>
      <c r="C13" s="136" t="s">
        <v>561</v>
      </c>
      <c r="D13" s="168" t="s">
        <v>534</v>
      </c>
      <c r="E13" s="168" t="s">
        <v>535</v>
      </c>
      <c r="F13" s="169">
        <v>40.86</v>
      </c>
      <c r="G13" s="170">
        <v>145.9</v>
      </c>
      <c r="H13" s="171">
        <f t="shared" si="0"/>
        <v>5961.4740000000002</v>
      </c>
      <c r="I13" s="172">
        <v>16838.61</v>
      </c>
      <c r="J13" s="172">
        <v>772.34</v>
      </c>
      <c r="K13" s="172">
        <v>0</v>
      </c>
      <c r="L13" s="173">
        <f>H13+I13-J13</f>
        <v>22027.744000000002</v>
      </c>
    </row>
    <row r="14" spans="1:18" x14ac:dyDescent="0.2">
      <c r="B14" s="6" t="s">
        <v>558</v>
      </c>
      <c r="C14" s="188" t="s">
        <v>562</v>
      </c>
      <c r="D14" s="36" t="s">
        <v>534</v>
      </c>
      <c r="E14" s="36" t="s">
        <v>535</v>
      </c>
      <c r="F14" s="188">
        <v>302.04000000000002</v>
      </c>
      <c r="G14" s="188">
        <v>224.3</v>
      </c>
      <c r="H14" s="171">
        <f t="shared" si="0"/>
        <v>67747.572000000015</v>
      </c>
      <c r="I14" s="172">
        <v>4450</v>
      </c>
      <c r="J14" s="172">
        <v>2915</v>
      </c>
      <c r="K14" s="188">
        <v>0</v>
      </c>
      <c r="L14" s="189">
        <f>H14+I14-J14</f>
        <v>69282.572000000015</v>
      </c>
    </row>
    <row r="16" spans="1:18" x14ac:dyDescent="0.2">
      <c r="A16" s="166" t="s">
        <v>581</v>
      </c>
      <c r="B16" s="164"/>
      <c r="C16" s="164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</row>
    <row r="17" spans="1:18" x14ac:dyDescent="0.2">
      <c r="B17" s="167" t="s">
        <v>529</v>
      </c>
      <c r="D17" s="302" t="s">
        <v>571</v>
      </c>
      <c r="E17" s="302"/>
      <c r="F17" s="302" t="s">
        <v>572</v>
      </c>
      <c r="G17" s="302"/>
      <c r="H17" s="302" t="s">
        <v>536</v>
      </c>
      <c r="I17" s="302"/>
      <c r="J17" s="302" t="s">
        <v>573</v>
      </c>
      <c r="K17" s="302"/>
      <c r="L17" s="302" t="s">
        <v>537</v>
      </c>
      <c r="M17" s="302"/>
      <c r="N17" s="302" t="s">
        <v>574</v>
      </c>
      <c r="O17" s="302"/>
      <c r="P17" s="302" t="s">
        <v>575</v>
      </c>
      <c r="Q17" s="302"/>
    </row>
    <row r="18" spans="1:18" x14ac:dyDescent="0.2">
      <c r="D18" s="174" t="s">
        <v>538</v>
      </c>
      <c r="E18" s="174" t="s">
        <v>388</v>
      </c>
      <c r="F18" s="174" t="s">
        <v>538</v>
      </c>
      <c r="G18" s="174" t="s">
        <v>388</v>
      </c>
      <c r="H18" s="174" t="s">
        <v>538</v>
      </c>
      <c r="I18" s="174" t="s">
        <v>388</v>
      </c>
      <c r="J18" s="174" t="s">
        <v>538</v>
      </c>
      <c r="K18" s="174" t="s">
        <v>388</v>
      </c>
      <c r="L18" s="174" t="s">
        <v>538</v>
      </c>
      <c r="M18" s="174" t="s">
        <v>388</v>
      </c>
      <c r="N18" s="174" t="s">
        <v>538</v>
      </c>
      <c r="O18" s="174" t="s">
        <v>388</v>
      </c>
      <c r="P18" s="174" t="s">
        <v>538</v>
      </c>
      <c r="Q18" s="174" t="s">
        <v>388</v>
      </c>
    </row>
    <row r="19" spans="1:18" x14ac:dyDescent="0.2">
      <c r="B19" s="167" t="s">
        <v>555</v>
      </c>
      <c r="D19" s="172">
        <v>4747.41</v>
      </c>
      <c r="E19" s="172">
        <f>'Forecast Model'!J8</f>
        <v>5085.2454582281744</v>
      </c>
      <c r="F19" s="172">
        <v>1973.57</v>
      </c>
      <c r="G19" s="172">
        <f>'Forecast Model'!J14-'Forecast Model'!J13</f>
        <v>2079.258088699391</v>
      </c>
      <c r="H19" s="175">
        <f t="shared" ref="H19:I22" si="1">F19/D19</f>
        <v>0.41571509517821298</v>
      </c>
      <c r="I19" s="175">
        <f t="shared" si="1"/>
        <v>0.40888057533880695</v>
      </c>
      <c r="J19" s="172">
        <f>1736.91</f>
        <v>1736.91</v>
      </c>
      <c r="K19" s="172">
        <f>'Forecast Model'!J14</f>
        <v>1843.6764704220063</v>
      </c>
      <c r="L19" s="175">
        <f t="shared" ref="L19:M22" si="2">J19/D19</f>
        <v>0.36586475572996646</v>
      </c>
      <c r="M19" s="175">
        <f t="shared" si="2"/>
        <v>0.36255407640920229</v>
      </c>
      <c r="N19" s="172">
        <f>1573.64</f>
        <v>1573.64</v>
      </c>
      <c r="O19" s="172">
        <f>'Forecast Model'!J25</f>
        <v>1617.8168419279773</v>
      </c>
      <c r="P19" s="176">
        <f>N19/G11</f>
        <v>1.6138242231565993</v>
      </c>
      <c r="Q19" s="176">
        <f>O19/G11</f>
        <v>1.6591291579612115</v>
      </c>
    </row>
    <row r="20" spans="1:18" x14ac:dyDescent="0.2">
      <c r="B20" s="167" t="s">
        <v>556</v>
      </c>
      <c r="D20" s="172">
        <v>4754.58</v>
      </c>
      <c r="E20" s="172">
        <v>4687.1899999999996</v>
      </c>
      <c r="F20" s="172">
        <v>1484.38</v>
      </c>
      <c r="G20" s="172">
        <v>1455.79</v>
      </c>
      <c r="H20" s="175">
        <f t="shared" si="1"/>
        <v>0.31220002608011649</v>
      </c>
      <c r="I20" s="175">
        <f t="shared" si="1"/>
        <v>0.31058907362406901</v>
      </c>
      <c r="J20" s="172">
        <f>985.13</f>
        <v>985.13</v>
      </c>
      <c r="K20" s="172">
        <f>960.88</f>
        <v>960.88</v>
      </c>
      <c r="L20" s="175">
        <f t="shared" si="2"/>
        <v>0.20719600890089135</v>
      </c>
      <c r="M20" s="175">
        <f t="shared" si="2"/>
        <v>0.20500129075202841</v>
      </c>
      <c r="N20" s="172">
        <f>844.29</f>
        <v>844.29</v>
      </c>
      <c r="O20" s="172">
        <v>820.84</v>
      </c>
      <c r="P20" s="176">
        <f>N20/G12</f>
        <v>4.5173354735152484</v>
      </c>
      <c r="Q20" s="176">
        <f>O20/G12</f>
        <v>4.391867308721241</v>
      </c>
    </row>
    <row r="21" spans="1:18" x14ac:dyDescent="0.2">
      <c r="B21" s="167" t="s">
        <v>557</v>
      </c>
      <c r="D21" s="172">
        <v>25718.01</v>
      </c>
      <c r="E21" s="172">
        <v>25593.47</v>
      </c>
      <c r="F21" s="172">
        <v>911.53</v>
      </c>
      <c r="G21" s="172">
        <v>973.06</v>
      </c>
      <c r="H21" s="175">
        <f t="shared" si="1"/>
        <v>3.544325552404716E-2</v>
      </c>
      <c r="I21" s="175">
        <f t="shared" si="1"/>
        <v>3.8019854283143313E-2</v>
      </c>
      <c r="J21" s="172">
        <f>567.5</f>
        <v>567.5</v>
      </c>
      <c r="K21" s="172">
        <f>639.02</f>
        <v>639.02</v>
      </c>
      <c r="L21" s="175">
        <f t="shared" si="2"/>
        <v>2.2066248516117694E-2</v>
      </c>
      <c r="M21" s="175">
        <f t="shared" si="2"/>
        <v>2.4968087562960393E-2</v>
      </c>
      <c r="N21" s="172">
        <f>358.62</f>
        <v>358.62</v>
      </c>
      <c r="O21" s="172">
        <f>398.14</f>
        <v>398.14</v>
      </c>
      <c r="P21" s="176">
        <f>N21/G13</f>
        <v>2.4579849211788898</v>
      </c>
      <c r="Q21" s="176">
        <f>O21/G13</f>
        <v>2.7288553803975324</v>
      </c>
    </row>
    <row r="22" spans="1:18" x14ac:dyDescent="0.2">
      <c r="B22" s="167" t="str">
        <f>B14</f>
        <v>Carvana A</v>
      </c>
      <c r="D22" s="172">
        <f>28200.97</f>
        <v>28200.97</v>
      </c>
      <c r="E22" s="172">
        <f>26744.28</f>
        <v>26744.28</v>
      </c>
      <c r="F22" s="172">
        <v>3118.27</v>
      </c>
      <c r="G22" s="172">
        <v>2915.71</v>
      </c>
      <c r="H22" s="175">
        <f t="shared" si="1"/>
        <v>0.11057314695203746</v>
      </c>
      <c r="I22" s="175">
        <f t="shared" si="1"/>
        <v>0.1090218170016168</v>
      </c>
      <c r="J22" s="172">
        <f>2687.81</f>
        <v>2687.81</v>
      </c>
      <c r="K22" s="172">
        <f>2497.15</f>
        <v>2497.15</v>
      </c>
      <c r="L22" s="175">
        <f t="shared" si="2"/>
        <v>9.5309132983723607E-2</v>
      </c>
      <c r="M22" s="175">
        <f t="shared" si="2"/>
        <v>9.3371367634499797E-2</v>
      </c>
      <c r="N22" s="172">
        <v>1777.47</v>
      </c>
      <c r="O22" s="172">
        <f>1614.24</f>
        <v>1614.24</v>
      </c>
      <c r="P22" s="176">
        <f>N22/G14</f>
        <v>7.9245207311636197</v>
      </c>
      <c r="Q22" s="176">
        <f>O22/G14</f>
        <v>7.1967900133749438</v>
      </c>
    </row>
    <row r="24" spans="1:18" x14ac:dyDescent="0.2">
      <c r="A24" s="166" t="s">
        <v>539</v>
      </c>
      <c r="B24" s="164"/>
      <c r="C24" s="164"/>
      <c r="D24" s="164"/>
      <c r="E24" s="164"/>
      <c r="F24" s="164"/>
      <c r="G24" s="164"/>
      <c r="H24" s="164"/>
      <c r="I24" s="164"/>
      <c r="J24" s="164"/>
      <c r="K24" s="164"/>
      <c r="L24" s="164"/>
      <c r="M24" s="164"/>
      <c r="N24" s="164"/>
      <c r="O24" s="164"/>
      <c r="P24" s="164"/>
      <c r="Q24" s="164"/>
      <c r="R24" s="164"/>
    </row>
    <row r="25" spans="1:18" x14ac:dyDescent="0.2">
      <c r="B25" s="167" t="s">
        <v>529</v>
      </c>
      <c r="D25" s="167" t="s">
        <v>540</v>
      </c>
      <c r="F25" s="167" t="s">
        <v>541</v>
      </c>
      <c r="H25" s="167" t="s">
        <v>542</v>
      </c>
      <c r="J25" s="167" t="s">
        <v>543</v>
      </c>
    </row>
    <row r="26" spans="1:18" x14ac:dyDescent="0.2">
      <c r="D26" s="174" t="s">
        <v>538</v>
      </c>
      <c r="E26" s="174" t="s">
        <v>388</v>
      </c>
      <c r="F26" s="174" t="s">
        <v>538</v>
      </c>
      <c r="G26" s="174" t="s">
        <v>388</v>
      </c>
      <c r="H26" s="174" t="s">
        <v>538</v>
      </c>
      <c r="I26" s="174" t="s">
        <v>388</v>
      </c>
      <c r="J26" s="174" t="s">
        <v>538</v>
      </c>
      <c r="K26" s="174" t="s">
        <v>388</v>
      </c>
    </row>
    <row r="27" spans="1:18" x14ac:dyDescent="0.2">
      <c r="B27" s="167" t="s">
        <v>555</v>
      </c>
      <c r="D27" s="177">
        <f>L11/D19</f>
        <v>5.6522236335180667</v>
      </c>
      <c r="E27" s="177">
        <f>L11/E19</f>
        <v>5.2767212950521829</v>
      </c>
      <c r="F27" s="177">
        <f>L11/F19</f>
        <v>13.596387764305296</v>
      </c>
      <c r="G27" s="177">
        <f>L11/G19</f>
        <v>12.905287297347842</v>
      </c>
      <c r="H27" s="177">
        <f>L11/J19</f>
        <v>15.448942662544404</v>
      </c>
      <c r="I27" s="177">
        <f>L11/K19</f>
        <v>14.554301381227692</v>
      </c>
      <c r="J27" s="177">
        <f>F11/P19</f>
        <v>20.095125314557333</v>
      </c>
      <c r="K27" s="177">
        <f>F11/Q19</f>
        <v>19.546398690172484</v>
      </c>
    </row>
    <row r="28" spans="1:18" x14ac:dyDescent="0.2">
      <c r="B28" s="167" t="s">
        <v>556</v>
      </c>
      <c r="D28" s="177">
        <f>L12/D20</f>
        <v>4.0962882105254304</v>
      </c>
      <c r="E28" s="177">
        <f>L12/E20</f>
        <v>4.1551825294046116</v>
      </c>
      <c r="F28" s="177">
        <f>L12/F20</f>
        <v>13.120717067058299</v>
      </c>
      <c r="G28" s="177">
        <f>L12/G20</f>
        <v>13.378392487927519</v>
      </c>
      <c r="H28" s="177">
        <f>L12/J20</f>
        <v>19.770111558880554</v>
      </c>
      <c r="I28" s="177">
        <f>L12/K20</f>
        <v>20.269055449171592</v>
      </c>
      <c r="J28" s="177">
        <f>F12/P20</f>
        <v>20.963685463525568</v>
      </c>
      <c r="K28" s="177">
        <f>F12/Q20</f>
        <v>21.562582232834661</v>
      </c>
    </row>
    <row r="29" spans="1:18" x14ac:dyDescent="0.2">
      <c r="B29" s="167" t="s">
        <v>557</v>
      </c>
      <c r="D29" s="177">
        <f>L13/D21</f>
        <v>0.85651043762717272</v>
      </c>
      <c r="E29" s="177">
        <f>L13/E21</f>
        <v>0.8606782902044936</v>
      </c>
      <c r="F29" s="177">
        <f>L13/F21</f>
        <v>24.165681875527962</v>
      </c>
      <c r="G29" s="177">
        <f>L13/G21</f>
        <v>22.637600970135452</v>
      </c>
      <c r="H29" s="177">
        <f>L13/J21</f>
        <v>38.815407929515423</v>
      </c>
      <c r="I29" s="177">
        <f>L13/K21</f>
        <v>34.471133923820858</v>
      </c>
      <c r="J29" s="177">
        <f>F13/P21</f>
        <v>16.623372929563324</v>
      </c>
      <c r="K29" s="177">
        <f>F13/Q21</f>
        <v>14.973310895664842</v>
      </c>
    </row>
    <row r="30" spans="1:18" x14ac:dyDescent="0.2">
      <c r="B30" s="6" t="s">
        <v>558</v>
      </c>
      <c r="D30" s="177">
        <f>L14/D22</f>
        <v>2.4567442892921774</v>
      </c>
      <c r="E30" s="177">
        <f>L14/E22</f>
        <v>2.5905566349140834</v>
      </c>
      <c r="F30" s="177">
        <f>L14/F22</f>
        <v>22.21827231124951</v>
      </c>
      <c r="G30" s="177">
        <f>L14/G22</f>
        <v>23.761818562202691</v>
      </c>
      <c r="H30" s="177">
        <f>L14/J22</f>
        <v>25.776588374922341</v>
      </c>
      <c r="I30" s="177">
        <f>L14/K22</f>
        <v>27.744657709789166</v>
      </c>
      <c r="J30" s="177">
        <f>F14/P22</f>
        <v>38.11460784148256</v>
      </c>
      <c r="K30" s="177">
        <f>F14/Q22</f>
        <v>41.968710972346123</v>
      </c>
    </row>
    <row r="31" spans="1:18" x14ac:dyDescent="0.2">
      <c r="B31" s="6"/>
    </row>
    <row r="32" spans="1:18" x14ac:dyDescent="0.2">
      <c r="A32" s="165" t="s">
        <v>544</v>
      </c>
    </row>
    <row r="33" spans="1:18" x14ac:dyDescent="0.2">
      <c r="B33" s="178" t="s">
        <v>545</v>
      </c>
      <c r="D33" s="179">
        <f t="shared" ref="D33:K33" si="3">IFERROR(AVERAGE(D28:D30),"-")</f>
        <v>2.469847645814927</v>
      </c>
      <c r="E33" s="179">
        <f t="shared" si="3"/>
        <v>2.5354724848410628</v>
      </c>
      <c r="F33" s="179">
        <f t="shared" si="3"/>
        <v>19.834890417945257</v>
      </c>
      <c r="G33" s="179">
        <f t="shared" si="3"/>
        <v>19.925937340088556</v>
      </c>
      <c r="H33" s="179">
        <f t="shared" si="3"/>
        <v>28.120702621106105</v>
      </c>
      <c r="I33" s="179">
        <f t="shared" si="3"/>
        <v>27.494949027593872</v>
      </c>
      <c r="J33" s="180">
        <f t="shared" si="3"/>
        <v>25.233888744857154</v>
      </c>
      <c r="K33" s="191">
        <f t="shared" si="3"/>
        <v>26.168201366948541</v>
      </c>
    </row>
    <row r="34" spans="1:18" x14ac:dyDescent="0.2">
      <c r="B34" s="178" t="s">
        <v>546</v>
      </c>
      <c r="D34" s="179">
        <f t="shared" ref="D34:K34" si="4">IFERROR(MEDIAN(D28:D30),"-")</f>
        <v>2.4567442892921774</v>
      </c>
      <c r="E34" s="179">
        <f t="shared" si="4"/>
        <v>2.5905566349140834</v>
      </c>
      <c r="F34" s="179">
        <f t="shared" si="4"/>
        <v>22.21827231124951</v>
      </c>
      <c r="G34" s="179">
        <f t="shared" si="4"/>
        <v>22.637600970135452</v>
      </c>
      <c r="H34" s="179">
        <f t="shared" si="4"/>
        <v>25.776588374922341</v>
      </c>
      <c r="I34" s="179">
        <f t="shared" si="4"/>
        <v>27.744657709789166</v>
      </c>
      <c r="J34" s="180">
        <f t="shared" si="4"/>
        <v>20.963685463525568</v>
      </c>
      <c r="K34" s="191">
        <f t="shared" si="4"/>
        <v>21.562582232834661</v>
      </c>
    </row>
    <row r="35" spans="1:18" x14ac:dyDescent="0.2">
      <c r="B35" s="181" t="s">
        <v>547</v>
      </c>
      <c r="D35" s="182">
        <f t="shared" ref="D35:K35" si="5">IFERROR(MAX(D28:D30),"-")</f>
        <v>4.0962882105254304</v>
      </c>
      <c r="E35" s="182">
        <f t="shared" si="5"/>
        <v>4.1551825294046116</v>
      </c>
      <c r="F35" s="182">
        <f t="shared" si="5"/>
        <v>24.165681875527962</v>
      </c>
      <c r="G35" s="182">
        <f t="shared" si="5"/>
        <v>23.761818562202691</v>
      </c>
      <c r="H35" s="182">
        <f t="shared" si="5"/>
        <v>38.815407929515423</v>
      </c>
      <c r="I35" s="182">
        <f t="shared" si="5"/>
        <v>34.471133923820858</v>
      </c>
      <c r="J35" s="182">
        <f t="shared" si="5"/>
        <v>38.11460784148256</v>
      </c>
      <c r="K35" s="182">
        <f t="shared" si="5"/>
        <v>41.968710972346123</v>
      </c>
    </row>
    <row r="36" spans="1:18" x14ac:dyDescent="0.2">
      <c r="B36" s="181" t="s">
        <v>548</v>
      </c>
      <c r="D36" s="182">
        <f t="shared" ref="D36:K36" si="6">IFERROR(MIN(D28:D30),"-")</f>
        <v>0.85651043762717272</v>
      </c>
      <c r="E36" s="182">
        <f t="shared" si="6"/>
        <v>0.8606782902044936</v>
      </c>
      <c r="F36" s="182">
        <f t="shared" si="6"/>
        <v>13.120717067058299</v>
      </c>
      <c r="G36" s="182">
        <f t="shared" si="6"/>
        <v>13.378392487927519</v>
      </c>
      <c r="H36" s="182">
        <f t="shared" si="6"/>
        <v>19.770111558880554</v>
      </c>
      <c r="I36" s="182">
        <f t="shared" si="6"/>
        <v>20.269055449171592</v>
      </c>
      <c r="J36" s="182">
        <f t="shared" si="6"/>
        <v>16.623372929563324</v>
      </c>
      <c r="K36" s="182">
        <f t="shared" si="6"/>
        <v>14.973310895664842</v>
      </c>
    </row>
    <row r="39" spans="1:18" x14ac:dyDescent="0.2">
      <c r="A39" s="166" t="s">
        <v>582</v>
      </c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</row>
    <row r="40" spans="1:18" x14ac:dyDescent="0.2">
      <c r="B40" s="167" t="s">
        <v>549</v>
      </c>
      <c r="D40" s="167" t="s">
        <v>550</v>
      </c>
      <c r="E40" s="167" t="s">
        <v>577</v>
      </c>
      <c r="F40" s="167" t="s">
        <v>551</v>
      </c>
      <c r="G40" s="167" t="s">
        <v>578</v>
      </c>
      <c r="H40" s="167" t="s">
        <v>552</v>
      </c>
      <c r="I40" s="167" t="s">
        <v>579</v>
      </c>
      <c r="J40" s="167" t="s">
        <v>553</v>
      </c>
      <c r="K40" s="167" t="s">
        <v>580</v>
      </c>
    </row>
    <row r="41" spans="1:18" x14ac:dyDescent="0.2">
      <c r="B41" s="183" t="s">
        <v>576</v>
      </c>
      <c r="D41" s="182">
        <f>D33</f>
        <v>2.469847645814927</v>
      </c>
      <c r="E41" s="182">
        <f t="shared" ref="E41:K41" si="7">E33</f>
        <v>2.5354724848410628</v>
      </c>
      <c r="F41" s="182">
        <f t="shared" si="7"/>
        <v>19.834890417945257</v>
      </c>
      <c r="G41" s="182">
        <f t="shared" si="7"/>
        <v>19.925937340088556</v>
      </c>
      <c r="H41" s="182">
        <f t="shared" si="7"/>
        <v>28.120702621106105</v>
      </c>
      <c r="I41" s="182">
        <f t="shared" si="7"/>
        <v>27.494949027593872</v>
      </c>
      <c r="J41" s="182">
        <f t="shared" si="7"/>
        <v>25.233888744857154</v>
      </c>
      <c r="K41" s="182">
        <f t="shared" si="7"/>
        <v>26.168201366948541</v>
      </c>
    </row>
    <row r="42" spans="1:18" x14ac:dyDescent="0.2">
      <c r="B42" s="183" t="s">
        <v>601</v>
      </c>
      <c r="D42" s="171">
        <f>D19</f>
        <v>4747.41</v>
      </c>
      <c r="E42" s="171">
        <f t="shared" ref="E42:G42" si="8">E19</f>
        <v>5085.2454582281744</v>
      </c>
      <c r="F42" s="171">
        <f t="shared" si="8"/>
        <v>1973.57</v>
      </c>
      <c r="G42" s="171">
        <f t="shared" si="8"/>
        <v>2079.258088699391</v>
      </c>
      <c r="H42" s="171">
        <f>J19</f>
        <v>1736.91</v>
      </c>
      <c r="I42" s="171">
        <f>K19</f>
        <v>1843.6764704220063</v>
      </c>
      <c r="J42" s="190">
        <f>P19</f>
        <v>1.6138242231565993</v>
      </c>
      <c r="K42" s="190">
        <f>Q19</f>
        <v>1.6591291579612115</v>
      </c>
    </row>
    <row r="43" spans="1:18" x14ac:dyDescent="0.2">
      <c r="B43" s="184" t="s">
        <v>602</v>
      </c>
      <c r="D43" s="185">
        <f>IFERROR(D41*D42,"-")</f>
        <v>11725.379412218243</v>
      </c>
      <c r="E43" s="185">
        <f t="shared" ref="E43:I43" si="9">IFERROR(E41*E42,"-")</f>
        <v>12893.499938000517</v>
      </c>
      <c r="F43" s="185">
        <f t="shared" si="9"/>
        <v>39145.544682144216</v>
      </c>
      <c r="G43" s="185">
        <f t="shared" si="9"/>
        <v>41431.166389296355</v>
      </c>
      <c r="H43" s="185">
        <f t="shared" si="9"/>
        <v>48843.129589625409</v>
      </c>
      <c r="I43" s="185">
        <f t="shared" si="9"/>
        <v>50691.790577627246</v>
      </c>
      <c r="J43" s="186"/>
      <c r="K43" s="153"/>
    </row>
    <row r="44" spans="1:18" x14ac:dyDescent="0.2">
      <c r="B44" s="184" t="s">
        <v>603</v>
      </c>
      <c r="D44" s="185">
        <f>IFERROR(D43-I11+J11+$K$11,"-")</f>
        <v>16514.449412218244</v>
      </c>
      <c r="E44" s="185">
        <f>IFERROR(E43-I11+J11+K11,"-")</f>
        <v>17682.569938000517</v>
      </c>
      <c r="F44" s="185">
        <f>IFERROR(F43-I11+J11+K11,"-")</f>
        <v>43934.614682144216</v>
      </c>
      <c r="G44" s="185">
        <f>IFERROR(G43-I11+J11+K11,"-")</f>
        <v>46220.236389296355</v>
      </c>
      <c r="H44" s="185">
        <f>IFERROR(H43-I11+J11+K11,"-")</f>
        <v>53632.199589625408</v>
      </c>
      <c r="I44" s="185">
        <f>IFERROR(I43-I11+J11+K11,"-")</f>
        <v>55480.860577627245</v>
      </c>
      <c r="J44" s="186"/>
      <c r="K44" s="153"/>
    </row>
    <row r="45" spans="1:18" x14ac:dyDescent="0.2">
      <c r="B45" s="184" t="s">
        <v>523</v>
      </c>
      <c r="D45" s="192">
        <f>IFERROR(D44/G11,"-")</f>
        <v>16.936159791014504</v>
      </c>
      <c r="E45" s="192">
        <f>IFERROR(E44/G11,"-")</f>
        <v>18.134109258538114</v>
      </c>
      <c r="F45" s="192">
        <f>IFERROR(F44/G11,"-")</f>
        <v>45.056522081985655</v>
      </c>
      <c r="G45" s="192">
        <f>IFERROR(G44/G11,"-")</f>
        <v>47.400509065015235</v>
      </c>
      <c r="H45" s="192">
        <f>IFERROR(H44/G11,"-")</f>
        <v>55.001742990078355</v>
      </c>
      <c r="I45" s="192">
        <f>IFERROR(I44/G11,"-")</f>
        <v>56.897611093864469</v>
      </c>
      <c r="J45" s="193">
        <f>J42*J41</f>
        <v>40.723060900889152</v>
      </c>
      <c r="K45" s="194">
        <f>K42*K41</f>
        <v>43.416425899304755</v>
      </c>
    </row>
    <row r="48" spans="1:18" x14ac:dyDescent="0.2">
      <c r="A48" s="187" t="s">
        <v>554</v>
      </c>
    </row>
  </sheetData>
  <mergeCells count="7">
    <mergeCell ref="P17:Q17"/>
    <mergeCell ref="D17:E17"/>
    <mergeCell ref="F17:G17"/>
    <mergeCell ref="H17:I17"/>
    <mergeCell ref="J17:K17"/>
    <mergeCell ref="L17:M17"/>
    <mergeCell ref="N17:O1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7EF0-1099-6A4D-B1BC-E61E93C8F669}">
  <sheetPr>
    <tabColor rgb="FFC00000"/>
  </sheetPr>
  <dimension ref="B7:F45"/>
  <sheetViews>
    <sheetView topLeftCell="A25" zoomScale="125" workbookViewId="0">
      <selection activeCell="G39" sqref="G39"/>
    </sheetView>
  </sheetViews>
  <sheetFormatPr baseColWidth="10" defaultRowHeight="16" x14ac:dyDescent="0.2"/>
  <cols>
    <col min="1" max="1" width="5.1640625" style="1" customWidth="1"/>
    <col min="2" max="2" width="29.6640625" style="1" customWidth="1"/>
    <col min="3" max="3" width="16.6640625" style="1" customWidth="1"/>
    <col min="4" max="4" width="17.33203125" style="1" customWidth="1"/>
    <col min="5" max="5" width="18.6640625" style="1" customWidth="1"/>
    <col min="6" max="6" width="25.1640625" style="1" customWidth="1"/>
    <col min="7" max="16384" width="10.83203125" style="1"/>
  </cols>
  <sheetData>
    <row r="7" spans="2:6" x14ac:dyDescent="0.2">
      <c r="B7" s="195" t="s">
        <v>596</v>
      </c>
    </row>
    <row r="8" spans="2:6" x14ac:dyDescent="0.2">
      <c r="B8" s="196" t="s">
        <v>583</v>
      </c>
      <c r="C8" s="196" t="s">
        <v>548</v>
      </c>
      <c r="D8" s="196" t="s">
        <v>584</v>
      </c>
      <c r="E8" s="196" t="s">
        <v>547</v>
      </c>
      <c r="F8" s="196" t="s">
        <v>585</v>
      </c>
    </row>
    <row r="9" spans="2:6" x14ac:dyDescent="0.2">
      <c r="B9" s="197" t="s">
        <v>586</v>
      </c>
      <c r="C9" s="198">
        <v>12839.400468406366</v>
      </c>
      <c r="D9" s="199">
        <v>15938.437335106628</v>
      </c>
      <c r="E9" s="198">
        <v>21187.659720950931</v>
      </c>
      <c r="F9" s="197" t="s">
        <v>587</v>
      </c>
    </row>
    <row r="10" spans="2:6" x14ac:dyDescent="0.2">
      <c r="B10" s="200" t="s">
        <v>588</v>
      </c>
      <c r="C10" s="201">
        <v>30611.955160342768</v>
      </c>
      <c r="D10" s="202">
        <v>38556.452574091316</v>
      </c>
      <c r="E10" s="201">
        <v>42528.701280965593</v>
      </c>
      <c r="F10" s="200" t="s">
        <v>605</v>
      </c>
    </row>
    <row r="11" spans="2:6" x14ac:dyDescent="0.2">
      <c r="B11" s="203" t="s">
        <v>600</v>
      </c>
      <c r="C11" s="204">
        <f>'Trading Comps'!G36*'Trading Comps'!G42</f>
        <v>27817.130794318462</v>
      </c>
      <c r="D11" s="205">
        <f>'Trading Comps'!G43</f>
        <v>41431.166389296355</v>
      </c>
      <c r="E11" s="204">
        <f>'Trading Comps'!G35*'Trading Comps'!G42</f>
        <v>49406.953447667278</v>
      </c>
      <c r="F11" s="203" t="s">
        <v>604</v>
      </c>
    </row>
    <row r="12" spans="2:6" x14ac:dyDescent="0.2">
      <c r="B12" s="206" t="s">
        <v>589</v>
      </c>
      <c r="C12" s="207"/>
      <c r="D12" s="208">
        <f>'Trading Comps'!L11</f>
        <v>26833.423000000003</v>
      </c>
      <c r="E12" s="207"/>
      <c r="F12" s="207" t="s">
        <v>590</v>
      </c>
    </row>
    <row r="25" spans="2:6" x14ac:dyDescent="0.2">
      <c r="B25" s="195" t="s">
        <v>597</v>
      </c>
    </row>
    <row r="26" spans="2:6" x14ac:dyDescent="0.2">
      <c r="B26" s="196" t="s">
        <v>583</v>
      </c>
      <c r="C26" s="196" t="s">
        <v>548</v>
      </c>
      <c r="D26" s="196" t="s">
        <v>584</v>
      </c>
      <c r="E26" s="196" t="s">
        <v>547</v>
      </c>
      <c r="F26" s="196" t="s">
        <v>585</v>
      </c>
    </row>
    <row r="27" spans="2:6" x14ac:dyDescent="0.2">
      <c r="B27" s="197" t="s">
        <v>586</v>
      </c>
      <c r="C27" s="219">
        <v>18.057833090695592</v>
      </c>
      <c r="D27" s="216">
        <v>21.236039068297931</v>
      </c>
      <c r="E27" s="219">
        <v>26.619359978002986</v>
      </c>
      <c r="F27" s="197" t="s">
        <v>587</v>
      </c>
    </row>
    <row r="28" spans="2:6" x14ac:dyDescent="0.2">
      <c r="B28" s="200" t="s">
        <v>588</v>
      </c>
      <c r="C28" s="217">
        <v>36.284411859769627</v>
      </c>
      <c r="D28" s="218">
        <v>44.431862263064247</v>
      </c>
      <c r="E28" s="217">
        <v>48.50558746471156</v>
      </c>
      <c r="F28" s="200" t="s">
        <v>605</v>
      </c>
    </row>
    <row r="29" spans="2:6" x14ac:dyDescent="0.2">
      <c r="B29" s="203" t="s">
        <v>606</v>
      </c>
      <c r="C29" s="221">
        <f>'Trading Comps'!Q19*'Trading Comps'!K36</f>
        <v>24.842656698215844</v>
      </c>
      <c r="D29" s="220">
        <v>43.416425899304755</v>
      </c>
      <c r="E29" s="221">
        <f>'Trading Comps'!K35*'Trading Comps'!Q19</f>
        <v>69.631512096266079</v>
      </c>
      <c r="F29" s="203" t="s">
        <v>604</v>
      </c>
    </row>
    <row r="30" spans="2:6" x14ac:dyDescent="0.2">
      <c r="B30" s="206" t="s">
        <v>591</v>
      </c>
      <c r="C30" s="207"/>
      <c r="D30" s="222">
        <f>'Trading Comps'!F11</f>
        <v>32.43</v>
      </c>
      <c r="E30" s="207"/>
      <c r="F30" s="207" t="s">
        <v>590</v>
      </c>
    </row>
    <row r="39" spans="2:5" x14ac:dyDescent="0.2">
      <c r="B39" s="195" t="s">
        <v>592</v>
      </c>
    </row>
    <row r="40" spans="2:5" x14ac:dyDescent="0.2">
      <c r="B40" s="209" t="s">
        <v>583</v>
      </c>
      <c r="C40" s="209" t="s">
        <v>598</v>
      </c>
      <c r="D40" s="209" t="s">
        <v>599</v>
      </c>
      <c r="E40" s="209" t="s">
        <v>593</v>
      </c>
    </row>
    <row r="41" spans="2:5" x14ac:dyDescent="0.2">
      <c r="B41" s="210" t="s">
        <v>586</v>
      </c>
      <c r="C41" s="223">
        <f>D9</f>
        <v>15938.437335106628</v>
      </c>
      <c r="D41" s="224">
        <f>D27</f>
        <v>21.236039068297931</v>
      </c>
      <c r="E41" s="211">
        <f>D41/D30-1</f>
        <v>-0.34517301670373324</v>
      </c>
    </row>
    <row r="42" spans="2:5" x14ac:dyDescent="0.2">
      <c r="B42" s="210" t="s">
        <v>588</v>
      </c>
      <c r="C42" s="223">
        <f t="shared" ref="C42:C43" si="0">D10</f>
        <v>38556.452574091316</v>
      </c>
      <c r="D42" s="224">
        <f t="shared" ref="D42:D43" si="1">D28</f>
        <v>44.431862263064247</v>
      </c>
      <c r="E42" s="225">
        <f>D42/D30-1</f>
        <v>0.37008517616602665</v>
      </c>
    </row>
    <row r="43" spans="2:5" x14ac:dyDescent="0.2">
      <c r="B43" s="210" t="s">
        <v>594</v>
      </c>
      <c r="C43" s="223">
        <f t="shared" si="0"/>
        <v>41431.166389296355</v>
      </c>
      <c r="D43" s="224">
        <f t="shared" si="1"/>
        <v>43.416425899304755</v>
      </c>
      <c r="E43" s="212">
        <f>D43/D30-1</f>
        <v>0.33877353991072323</v>
      </c>
    </row>
    <row r="45" spans="2:5" x14ac:dyDescent="0.2">
      <c r="B45" s="213" t="s">
        <v>595</v>
      </c>
      <c r="C45" s="214">
        <f>AVERAGE(C41:C43)</f>
        <v>31975.352099498097</v>
      </c>
      <c r="D45" s="226">
        <f>AVERAGE(D41:D43)</f>
        <v>36.36144241022231</v>
      </c>
      <c r="E45" s="215">
        <f>D45/D30-1</f>
        <v>0.12122856645767222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E4B6A-E00C-EF4B-9B35-66203C831086}">
  <sheetPr>
    <tabColor rgb="FF7030A0"/>
  </sheetPr>
  <dimension ref="B3:L28"/>
  <sheetViews>
    <sheetView workbookViewId="0">
      <selection activeCell="L28" sqref="L28"/>
    </sheetView>
  </sheetViews>
  <sheetFormatPr baseColWidth="10" defaultColWidth="11" defaultRowHeight="16" x14ac:dyDescent="0.2"/>
  <cols>
    <col min="1" max="1" width="4.33203125" style="1" customWidth="1"/>
    <col min="2" max="4" width="11" style="1"/>
    <col min="5" max="5" width="19.6640625" style="1" customWidth="1"/>
    <col min="6" max="16384" width="11" style="1"/>
  </cols>
  <sheetData>
    <row r="3" spans="2:12" ht="19" x14ac:dyDescent="0.25">
      <c r="B3" s="303" t="s">
        <v>607</v>
      </c>
      <c r="C3" s="303"/>
      <c r="D3" s="303"/>
      <c r="E3" s="303"/>
      <c r="F3" s="303"/>
      <c r="G3" s="303"/>
      <c r="H3" s="303"/>
      <c r="I3" s="303"/>
      <c r="J3" s="303"/>
      <c r="K3" s="303"/>
      <c r="L3" s="303"/>
    </row>
    <row r="5" spans="2:12" x14ac:dyDescent="0.2">
      <c r="B5" s="227" t="s">
        <v>608</v>
      </c>
      <c r="C5" s="228"/>
      <c r="D5" s="228"/>
      <c r="E5" s="228"/>
      <c r="F5" s="228"/>
      <c r="G5" s="228"/>
      <c r="H5" s="228"/>
      <c r="I5" s="228"/>
      <c r="J5" s="228"/>
      <c r="K5" s="228"/>
      <c r="L5" s="228"/>
    </row>
    <row r="7" spans="2:12" ht="17" thickBot="1" x14ac:dyDescent="0.25"/>
    <row r="8" spans="2:12" ht="17" thickTop="1" x14ac:dyDescent="0.2">
      <c r="D8" s="228"/>
      <c r="E8" s="229" t="s">
        <v>609</v>
      </c>
      <c r="F8" s="304" t="s">
        <v>610</v>
      </c>
      <c r="G8" s="305"/>
      <c r="H8" s="304"/>
      <c r="I8" s="304"/>
      <c r="J8" s="306"/>
    </row>
    <row r="9" spans="2:12" ht="17" thickBot="1" x14ac:dyDescent="0.25">
      <c r="D9" s="228"/>
      <c r="E9" s="242">
        <f>'DCF Valuation'!E79</f>
        <v>21.236039068297931</v>
      </c>
      <c r="F9" s="230">
        <v>1.4999999999999999E-2</v>
      </c>
      <c r="G9" s="230">
        <v>0.02</v>
      </c>
      <c r="H9" s="230">
        <v>2.5000000000000001E-2</v>
      </c>
      <c r="I9" s="230">
        <v>0.03</v>
      </c>
      <c r="J9" s="231">
        <v>3.5000000000000003E-2</v>
      </c>
    </row>
    <row r="10" spans="2:12" x14ac:dyDescent="0.2">
      <c r="D10" s="307" t="s">
        <v>611</v>
      </c>
      <c r="E10" s="232">
        <v>6.4399999999999999E-2</v>
      </c>
      <c r="F10" s="243">
        <f t="dataTable" ref="F10:J14" dt2D="1" dtr="1" r1="K11" r2="K10"/>
        <v>26.148794371401401</v>
      </c>
      <c r="G10" s="233">
        <v>28.051203990452183</v>
      </c>
      <c r="H10" s="244">
        <v>30.436458690480308</v>
      </c>
      <c r="I10" s="244">
        <v>33.51510138470266</v>
      </c>
      <c r="J10" s="245">
        <v>37.640901457912221</v>
      </c>
      <c r="K10" s="234"/>
    </row>
    <row r="11" spans="2:12" ht="17" thickBot="1" x14ac:dyDescent="0.25">
      <c r="D11" s="307"/>
      <c r="E11" s="232">
        <v>7.4399999999999994E-2</v>
      </c>
      <c r="F11" s="246">
        <v>22.236175232349083</v>
      </c>
      <c r="G11" s="235">
        <v>23.434403434837748</v>
      </c>
      <c r="H11" s="247">
        <v>24.875187953619655</v>
      </c>
      <c r="I11" s="248">
        <v>26.640473490145247</v>
      </c>
      <c r="J11" s="249">
        <v>28.853801041017419</v>
      </c>
      <c r="K11" s="234"/>
    </row>
    <row r="12" spans="2:12" ht="18" thickTop="1" thickBot="1" x14ac:dyDescent="0.25">
      <c r="D12" s="308"/>
      <c r="E12" s="232">
        <v>8.4400000000000003E-2</v>
      </c>
      <c r="F12" s="250">
        <v>19.503684914166644</v>
      </c>
      <c r="G12" s="236">
        <v>20.308120862912386</v>
      </c>
      <c r="H12" s="251">
        <v>21.247983739056398</v>
      </c>
      <c r="I12" s="250">
        <v>22.360615526256296</v>
      </c>
      <c r="J12" s="252">
        <v>23.698476420176817</v>
      </c>
    </row>
    <row r="13" spans="2:12" ht="17" thickTop="1" x14ac:dyDescent="0.2">
      <c r="D13" s="307"/>
      <c r="E13" s="232">
        <v>9.4399999999999998E-2</v>
      </c>
      <c r="F13" s="253">
        <v>17.499990265138692</v>
      </c>
      <c r="G13" s="237">
        <v>18.065513908091361</v>
      </c>
      <c r="H13" s="254">
        <v>18.712525107665449</v>
      </c>
      <c r="I13" s="255">
        <v>19.460003884813155</v>
      </c>
      <c r="J13" s="256">
        <v>20.333320839931851</v>
      </c>
    </row>
    <row r="14" spans="2:12" ht="17" thickBot="1" x14ac:dyDescent="0.25">
      <c r="D14" s="307"/>
      <c r="E14" s="232">
        <v>0.10440000000000001</v>
      </c>
      <c r="F14" s="257">
        <v>15.97625405077382</v>
      </c>
      <c r="G14" s="238">
        <v>16.387935909880721</v>
      </c>
      <c r="H14" s="258">
        <v>16.851466869630809</v>
      </c>
      <c r="I14" s="258">
        <v>17.3773003777344</v>
      </c>
      <c r="J14" s="259">
        <v>17.978902402855798</v>
      </c>
    </row>
    <row r="15" spans="2:12" ht="17" thickTop="1" x14ac:dyDescent="0.2"/>
    <row r="18" spans="2:12" x14ac:dyDescent="0.2">
      <c r="B18" s="227" t="s">
        <v>612</v>
      </c>
      <c r="C18" s="228"/>
      <c r="D18" s="228"/>
      <c r="E18" s="228"/>
      <c r="F18" s="228"/>
      <c r="G18" s="228"/>
      <c r="H18" s="228"/>
      <c r="I18" s="228"/>
      <c r="J18" s="228"/>
      <c r="K18" s="228"/>
      <c r="L18" s="228"/>
    </row>
    <row r="20" spans="2:12" ht="17" thickBot="1" x14ac:dyDescent="0.25"/>
    <row r="21" spans="2:12" ht="17" thickTop="1" x14ac:dyDescent="0.2">
      <c r="D21" s="228"/>
      <c r="E21" s="229" t="s">
        <v>609</v>
      </c>
      <c r="F21" s="304" t="s">
        <v>613</v>
      </c>
      <c r="G21" s="305"/>
      <c r="H21" s="304"/>
      <c r="I21" s="304"/>
      <c r="J21" s="306"/>
    </row>
    <row r="22" spans="2:12" ht="17" thickBot="1" x14ac:dyDescent="0.25">
      <c r="D22" s="228"/>
      <c r="E22" s="242">
        <f>'DCF Valuation'!I79</f>
        <v>44.431862263064247</v>
      </c>
      <c r="F22" s="239">
        <v>15</v>
      </c>
      <c r="G22" s="239">
        <v>16</v>
      </c>
      <c r="H22" s="239">
        <v>17</v>
      </c>
      <c r="I22" s="239">
        <v>18</v>
      </c>
      <c r="J22" s="240">
        <v>19</v>
      </c>
    </row>
    <row r="23" spans="2:12" x14ac:dyDescent="0.2">
      <c r="D23" s="307" t="s">
        <v>611</v>
      </c>
      <c r="E23" s="232">
        <v>6.4399999999999999E-2</v>
      </c>
      <c r="F23" s="243">
        <f t="dataTable" ref="F23:J27" dt2D="1" dtr="1" r1="K23" r2="K10" ca="1"/>
        <v>43.267574116039761</v>
      </c>
      <c r="G23" s="233">
        <v>45.482783156414399</v>
      </c>
      <c r="H23" s="244">
        <v>47.697992196789038</v>
      </c>
      <c r="I23" s="244">
        <v>49.913201237163683</v>
      </c>
      <c r="J23" s="245">
        <v>52.128410277538322</v>
      </c>
      <c r="K23" s="40"/>
    </row>
    <row r="24" spans="2:12" ht="17" thickBot="1" x14ac:dyDescent="0.25">
      <c r="D24" s="307"/>
      <c r="E24" s="232">
        <v>7.4399999999999994E-2</v>
      </c>
      <c r="F24" s="246">
        <v>41.779116404407944</v>
      </c>
      <c r="G24" s="235">
        <v>43.903043537752616</v>
      </c>
      <c r="H24" s="247">
        <v>46.026970671097295</v>
      </c>
      <c r="I24" s="248">
        <v>48.150897804441975</v>
      </c>
      <c r="J24" s="249">
        <v>50.274824937786647</v>
      </c>
      <c r="K24" s="241"/>
    </row>
    <row r="25" spans="2:12" ht="18" thickTop="1" thickBot="1" x14ac:dyDescent="0.25">
      <c r="D25" s="308"/>
      <c r="E25" s="232">
        <v>8.4400000000000003E-2</v>
      </c>
      <c r="F25" s="250">
        <v>40.363658082640058</v>
      </c>
      <c r="G25" s="236">
        <v>42.400858804946424</v>
      </c>
      <c r="H25" s="251">
        <v>44.438059527252783</v>
      </c>
      <c r="I25" s="250">
        <v>46.475260249559156</v>
      </c>
      <c r="J25" s="252">
        <v>48.512460971865522</v>
      </c>
    </row>
    <row r="26" spans="2:12" ht="17" thickTop="1" x14ac:dyDescent="0.2">
      <c r="D26" s="307"/>
      <c r="E26" s="232">
        <v>9.4399999999999998E-2</v>
      </c>
      <c r="F26" s="253">
        <v>39.016969181031804</v>
      </c>
      <c r="G26" s="237">
        <v>40.971732729386829</v>
      </c>
      <c r="H26" s="254">
        <v>42.926496277741862</v>
      </c>
      <c r="I26" s="255">
        <v>44.88125982609688</v>
      </c>
      <c r="J26" s="256">
        <v>46.836023374451912</v>
      </c>
    </row>
    <row r="27" spans="2:12" ht="17" thickBot="1" x14ac:dyDescent="0.25">
      <c r="D27" s="307"/>
      <c r="E27" s="232">
        <v>0.10440000000000001</v>
      </c>
      <c r="F27" s="257">
        <v>37.735100986002877</v>
      </c>
      <c r="G27" s="238">
        <v>39.611468134603456</v>
      </c>
      <c r="H27" s="258">
        <v>41.487835283204042</v>
      </c>
      <c r="I27" s="258">
        <v>43.364202431804621</v>
      </c>
      <c r="J27" s="259">
        <v>45.240569580405214</v>
      </c>
    </row>
    <row r="28" spans="2:12" ht="17" thickTop="1" x14ac:dyDescent="0.2"/>
  </sheetData>
  <mergeCells count="5">
    <mergeCell ref="B3:L3"/>
    <mergeCell ref="F8:J8"/>
    <mergeCell ref="D10:D14"/>
    <mergeCell ref="F21:J21"/>
    <mergeCell ref="D23:D2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6E4D-8F9D-BF49-BCC5-81F2904B09DC}">
  <sheetPr>
    <tabColor rgb="FF404040"/>
  </sheetPr>
  <dimension ref="A1:K100"/>
  <sheetViews>
    <sheetView workbookViewId="0">
      <selection activeCell="D17" sqref="D17"/>
    </sheetView>
  </sheetViews>
  <sheetFormatPr baseColWidth="10" defaultRowHeight="16" x14ac:dyDescent="0.2"/>
  <cols>
    <col min="1" max="1" width="2.5" style="1" customWidth="1"/>
    <col min="2" max="3" width="31.6640625" style="1" customWidth="1"/>
    <col min="4" max="4" width="15.83203125" style="1" customWidth="1"/>
    <col min="5" max="5" width="50" style="1" customWidth="1"/>
    <col min="6" max="6" width="26.6640625" style="1" customWidth="1"/>
    <col min="7" max="7" width="15.83203125" style="1" customWidth="1"/>
    <col min="8" max="8" width="35" style="1" customWidth="1"/>
    <col min="9" max="16384" width="10.83203125" style="1"/>
  </cols>
  <sheetData>
    <row r="1" spans="1:11" x14ac:dyDescent="0.2">
      <c r="A1" s="9"/>
      <c r="B1" s="9"/>
      <c r="C1" s="9"/>
      <c r="D1" s="9"/>
      <c r="E1" s="9"/>
      <c r="F1" s="9"/>
      <c r="G1" s="9"/>
      <c r="H1" s="9"/>
      <c r="I1" s="9"/>
      <c r="J1" s="9"/>
      <c r="K1"/>
    </row>
    <row r="2" spans="1:11" ht="19" x14ac:dyDescent="0.25">
      <c r="A2" s="9"/>
      <c r="B2" s="10" t="s">
        <v>119</v>
      </c>
      <c r="C2" s="11"/>
      <c r="D2" s="11"/>
      <c r="E2" s="11"/>
      <c r="F2" s="11"/>
      <c r="G2" s="11"/>
      <c r="H2" s="11"/>
      <c r="I2" s="9"/>
      <c r="J2" s="9"/>
      <c r="K2"/>
    </row>
    <row r="3" spans="1:11" x14ac:dyDescent="0.2">
      <c r="A3" s="9"/>
      <c r="B3" s="12" t="s">
        <v>645</v>
      </c>
      <c r="C3" s="13"/>
      <c r="D3" s="13"/>
      <c r="E3" s="13"/>
      <c r="F3" s="13"/>
      <c r="G3" s="13"/>
      <c r="H3" s="13"/>
      <c r="I3" s="9"/>
      <c r="J3" s="9"/>
      <c r="K3"/>
    </row>
    <row r="4" spans="1:11" x14ac:dyDescent="0.2">
      <c r="A4" s="9"/>
      <c r="B4" s="9"/>
      <c r="C4" s="9"/>
      <c r="D4" s="9"/>
      <c r="E4" s="9"/>
      <c r="F4" s="9"/>
      <c r="G4" s="9"/>
      <c r="H4" s="9"/>
      <c r="I4" s="9"/>
      <c r="J4" s="9"/>
      <c r="K4"/>
    </row>
    <row r="5" spans="1:11" x14ac:dyDescent="0.2">
      <c r="A5" s="9"/>
      <c r="B5" s="14" t="s">
        <v>120</v>
      </c>
      <c r="C5" s="15"/>
      <c r="D5" s="15"/>
      <c r="E5" s="15"/>
      <c r="F5" s="15"/>
      <c r="G5" s="15"/>
      <c r="H5" s="15"/>
      <c r="I5" s="9"/>
      <c r="J5" s="9"/>
      <c r="K5"/>
    </row>
    <row r="6" spans="1:11" x14ac:dyDescent="0.2">
      <c r="A6" s="9"/>
      <c r="B6" s="16" t="s">
        <v>121</v>
      </c>
      <c r="C6" s="17" t="s">
        <v>122</v>
      </c>
      <c r="D6" s="16" t="s">
        <v>123</v>
      </c>
      <c r="E6" s="17" t="s">
        <v>124</v>
      </c>
      <c r="F6" s="17" t="s">
        <v>125</v>
      </c>
      <c r="G6" s="16" t="s">
        <v>126</v>
      </c>
      <c r="H6" s="17" t="s">
        <v>127</v>
      </c>
      <c r="I6" s="9"/>
      <c r="J6" s="9"/>
      <c r="K6"/>
    </row>
    <row r="7" spans="1:11" x14ac:dyDescent="0.2">
      <c r="A7" s="9"/>
      <c r="B7" s="18" t="s">
        <v>128</v>
      </c>
      <c r="C7" s="19" t="s">
        <v>129</v>
      </c>
      <c r="D7" s="20" t="s">
        <v>130</v>
      </c>
      <c r="E7" s="19" t="s">
        <v>131</v>
      </c>
      <c r="F7" s="19" t="s">
        <v>132</v>
      </c>
      <c r="G7" s="20" t="s">
        <v>133</v>
      </c>
      <c r="H7" s="19" t="s">
        <v>134</v>
      </c>
      <c r="I7" s="9"/>
      <c r="J7" s="9"/>
      <c r="K7"/>
    </row>
    <row r="8" spans="1:11" x14ac:dyDescent="0.2">
      <c r="A8" s="9"/>
      <c r="B8" s="18" t="s">
        <v>135</v>
      </c>
      <c r="C8" s="19" t="s">
        <v>136</v>
      </c>
      <c r="D8" s="20" t="s">
        <v>130</v>
      </c>
      <c r="E8" s="19" t="s">
        <v>137</v>
      </c>
      <c r="F8" s="19" t="s">
        <v>132</v>
      </c>
      <c r="G8" s="20" t="s">
        <v>133</v>
      </c>
      <c r="H8" s="19" t="s">
        <v>134</v>
      </c>
      <c r="I8" s="9"/>
      <c r="J8" s="9"/>
      <c r="K8"/>
    </row>
    <row r="9" spans="1:11" x14ac:dyDescent="0.2">
      <c r="A9" s="9"/>
      <c r="B9" s="18" t="s">
        <v>138</v>
      </c>
      <c r="C9" s="19" t="s">
        <v>139</v>
      </c>
      <c r="D9" s="20" t="s">
        <v>140</v>
      </c>
      <c r="E9" s="19" t="s">
        <v>141</v>
      </c>
      <c r="F9" s="19" t="s">
        <v>142</v>
      </c>
      <c r="G9" s="20" t="s">
        <v>133</v>
      </c>
      <c r="H9" s="19" t="s">
        <v>143</v>
      </c>
      <c r="I9" s="9"/>
      <c r="J9" s="9"/>
      <c r="K9"/>
    </row>
    <row r="10" spans="1:11" x14ac:dyDescent="0.2">
      <c r="A10" s="9"/>
      <c r="B10" s="18" t="s">
        <v>144</v>
      </c>
      <c r="C10" s="19" t="s">
        <v>145</v>
      </c>
      <c r="D10" s="20" t="s">
        <v>146</v>
      </c>
      <c r="E10" s="19" t="s">
        <v>147</v>
      </c>
      <c r="F10" s="19" t="s">
        <v>148</v>
      </c>
      <c r="G10" s="20" t="s">
        <v>133</v>
      </c>
      <c r="H10" s="19" t="s">
        <v>149</v>
      </c>
      <c r="I10" s="9"/>
      <c r="J10" s="9"/>
      <c r="K10"/>
    </row>
    <row r="11" spans="1:11" x14ac:dyDescent="0.2">
      <c r="A11" s="9"/>
      <c r="B11" s="18" t="s">
        <v>150</v>
      </c>
      <c r="C11" s="19" t="s">
        <v>151</v>
      </c>
      <c r="D11" s="20" t="s">
        <v>152</v>
      </c>
      <c r="E11" s="19" t="s">
        <v>153</v>
      </c>
      <c r="F11" s="19" t="s">
        <v>148</v>
      </c>
      <c r="G11" s="20" t="s">
        <v>133</v>
      </c>
      <c r="H11" s="19" t="s">
        <v>154</v>
      </c>
      <c r="I11" s="9"/>
      <c r="J11" s="9"/>
      <c r="K11"/>
    </row>
    <row r="12" spans="1:11" x14ac:dyDescent="0.2">
      <c r="A12" s="9"/>
      <c r="B12" s="18" t="s">
        <v>155</v>
      </c>
      <c r="C12" s="19" t="s">
        <v>156</v>
      </c>
      <c r="D12" s="20" t="s">
        <v>157</v>
      </c>
      <c r="E12" s="19" t="s">
        <v>158</v>
      </c>
      <c r="F12" s="19" t="s">
        <v>148</v>
      </c>
      <c r="G12" s="20" t="s">
        <v>133</v>
      </c>
      <c r="H12" s="19" t="s">
        <v>159</v>
      </c>
      <c r="I12" s="9"/>
      <c r="J12" s="9"/>
      <c r="K12"/>
    </row>
    <row r="13" spans="1:11" x14ac:dyDescent="0.2">
      <c r="A13" s="9"/>
      <c r="B13" s="18" t="s">
        <v>160</v>
      </c>
      <c r="C13" s="19" t="s">
        <v>161</v>
      </c>
      <c r="D13" s="20" t="s">
        <v>162</v>
      </c>
      <c r="E13" s="19" t="s">
        <v>163</v>
      </c>
      <c r="F13" s="19" t="s">
        <v>164</v>
      </c>
      <c r="G13" s="20" t="s">
        <v>133</v>
      </c>
      <c r="H13" s="19" t="s">
        <v>165</v>
      </c>
      <c r="I13" s="9"/>
      <c r="J13" s="9"/>
      <c r="K13"/>
    </row>
    <row r="14" spans="1:11" x14ac:dyDescent="0.2">
      <c r="A14" s="9"/>
      <c r="B14" s="18" t="s">
        <v>166</v>
      </c>
      <c r="C14" s="19" t="s">
        <v>167</v>
      </c>
      <c r="D14" s="20" t="s">
        <v>146</v>
      </c>
      <c r="E14" s="19" t="s">
        <v>168</v>
      </c>
      <c r="F14" s="19" t="s">
        <v>169</v>
      </c>
      <c r="G14" s="20" t="s">
        <v>133</v>
      </c>
      <c r="H14" s="19" t="s">
        <v>170</v>
      </c>
      <c r="I14" s="9"/>
      <c r="J14" s="9"/>
      <c r="K14"/>
    </row>
    <row r="15" spans="1:11" x14ac:dyDescent="0.2">
      <c r="A15" s="9"/>
      <c r="B15" s="18" t="s">
        <v>171</v>
      </c>
      <c r="C15" s="19" t="s">
        <v>172</v>
      </c>
      <c r="D15" s="20" t="s">
        <v>152</v>
      </c>
      <c r="E15" s="19" t="s">
        <v>173</v>
      </c>
      <c r="F15" s="19" t="s">
        <v>148</v>
      </c>
      <c r="G15" s="20" t="s">
        <v>133</v>
      </c>
      <c r="H15" s="19" t="s">
        <v>174</v>
      </c>
      <c r="I15" s="9"/>
      <c r="J15" s="9"/>
      <c r="K15"/>
    </row>
    <row r="16" spans="1:11" x14ac:dyDescent="0.2">
      <c r="A16" s="9"/>
      <c r="B16" s="18" t="s">
        <v>175</v>
      </c>
      <c r="C16" s="19" t="s">
        <v>176</v>
      </c>
      <c r="D16" s="9"/>
      <c r="E16" s="9"/>
      <c r="F16" s="9"/>
      <c r="G16" s="9"/>
      <c r="H16" s="9"/>
      <c r="I16" s="9"/>
      <c r="J16" s="9"/>
      <c r="K16"/>
    </row>
    <row r="17" spans="1:11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/>
    </row>
    <row r="18" spans="1:11" x14ac:dyDescent="0.2">
      <c r="A18" s="9"/>
      <c r="B18" s="14" t="s">
        <v>177</v>
      </c>
      <c r="C18" s="15"/>
      <c r="D18" s="15"/>
      <c r="E18" s="15"/>
      <c r="F18" s="15"/>
      <c r="G18" s="15"/>
      <c r="H18" s="15"/>
      <c r="I18" s="9"/>
      <c r="J18" s="9"/>
      <c r="K18"/>
    </row>
    <row r="19" spans="1:11" x14ac:dyDescent="0.2">
      <c r="A19" s="9"/>
      <c r="B19" s="17" t="s">
        <v>178</v>
      </c>
      <c r="C19" s="9"/>
      <c r="D19" s="16" t="s">
        <v>179</v>
      </c>
      <c r="E19" s="17" t="s">
        <v>180</v>
      </c>
      <c r="F19" s="17" t="s">
        <v>181</v>
      </c>
      <c r="G19" s="16" t="s">
        <v>182</v>
      </c>
      <c r="H19" s="16" t="s">
        <v>183</v>
      </c>
      <c r="I19" s="9"/>
      <c r="J19" s="9"/>
      <c r="K19"/>
    </row>
    <row r="20" spans="1:11" x14ac:dyDescent="0.2">
      <c r="A20" s="9"/>
      <c r="B20" s="21" t="s">
        <v>184</v>
      </c>
      <c r="C20" s="9"/>
      <c r="D20" s="22" t="s">
        <v>185</v>
      </c>
      <c r="E20" s="19" t="s">
        <v>186</v>
      </c>
      <c r="F20" s="19" t="s">
        <v>187</v>
      </c>
      <c r="G20" s="20" t="s">
        <v>133</v>
      </c>
      <c r="H20" s="20" t="s">
        <v>188</v>
      </c>
      <c r="I20" s="9"/>
      <c r="J20" s="9"/>
      <c r="K20"/>
    </row>
    <row r="21" spans="1:11" x14ac:dyDescent="0.2">
      <c r="A21" s="9"/>
      <c r="B21" s="21" t="s">
        <v>189</v>
      </c>
      <c r="C21" s="9"/>
      <c r="D21" s="22" t="s">
        <v>185</v>
      </c>
      <c r="E21" s="19" t="s">
        <v>190</v>
      </c>
      <c r="F21" s="19" t="s">
        <v>187</v>
      </c>
      <c r="G21" s="20" t="s">
        <v>133</v>
      </c>
      <c r="H21" s="20" t="s">
        <v>191</v>
      </c>
      <c r="I21" s="9"/>
      <c r="J21" s="9"/>
    </row>
    <row r="22" spans="1:11" x14ac:dyDescent="0.2">
      <c r="A22" s="9"/>
      <c r="B22" s="21" t="s">
        <v>192</v>
      </c>
      <c r="C22" s="9"/>
      <c r="D22" s="22" t="s">
        <v>185</v>
      </c>
      <c r="E22" s="19" t="s">
        <v>193</v>
      </c>
      <c r="F22" s="19" t="s">
        <v>187</v>
      </c>
      <c r="G22" s="20" t="s">
        <v>133</v>
      </c>
      <c r="H22" s="20" t="s">
        <v>194</v>
      </c>
      <c r="I22" s="9"/>
      <c r="J22" s="9"/>
    </row>
    <row r="23" spans="1:11" x14ac:dyDescent="0.2">
      <c r="A23" s="9"/>
      <c r="B23" s="21" t="s">
        <v>195</v>
      </c>
      <c r="C23" s="9"/>
      <c r="D23" s="22" t="s">
        <v>185</v>
      </c>
      <c r="E23" s="19" t="s">
        <v>196</v>
      </c>
      <c r="F23" s="19" t="s">
        <v>197</v>
      </c>
      <c r="G23" s="20" t="s">
        <v>133</v>
      </c>
      <c r="H23" s="20" t="s">
        <v>188</v>
      </c>
      <c r="I23" s="9"/>
      <c r="J23" s="9"/>
    </row>
    <row r="24" spans="1:11" x14ac:dyDescent="0.2">
      <c r="A24" s="9"/>
      <c r="B24" s="21" t="s">
        <v>198</v>
      </c>
      <c r="C24" s="9"/>
      <c r="D24" s="22" t="s">
        <v>185</v>
      </c>
      <c r="E24" s="19" t="s">
        <v>199</v>
      </c>
      <c r="F24" s="19" t="s">
        <v>200</v>
      </c>
      <c r="G24" s="9"/>
      <c r="H24" s="20" t="s">
        <v>201</v>
      </c>
      <c r="I24" s="9"/>
      <c r="J24" s="9"/>
    </row>
    <row r="25" spans="1:11" x14ac:dyDescent="0.2">
      <c r="A25" s="9"/>
      <c r="B25" s="21" t="s">
        <v>202</v>
      </c>
      <c r="C25" s="9"/>
      <c r="D25" s="22" t="s">
        <v>185</v>
      </c>
      <c r="E25" s="19" t="s">
        <v>203</v>
      </c>
      <c r="F25" s="19" t="s">
        <v>204</v>
      </c>
      <c r="G25" s="20" t="s">
        <v>133</v>
      </c>
      <c r="H25" s="20" t="s">
        <v>205</v>
      </c>
      <c r="I25" s="9"/>
      <c r="J25" s="9"/>
    </row>
    <row r="26" spans="1:11" x14ac:dyDescent="0.2">
      <c r="A26" s="9"/>
      <c r="B26" s="21" t="s">
        <v>206</v>
      </c>
      <c r="C26" s="9"/>
      <c r="D26" s="22" t="s">
        <v>185</v>
      </c>
      <c r="E26" s="19" t="s">
        <v>207</v>
      </c>
      <c r="F26" s="19" t="s">
        <v>208</v>
      </c>
      <c r="G26" s="20" t="s">
        <v>133</v>
      </c>
      <c r="H26" s="20" t="s">
        <v>209</v>
      </c>
      <c r="I26" s="9"/>
      <c r="J26" s="9"/>
    </row>
    <row r="27" spans="1:11" x14ac:dyDescent="0.2">
      <c r="A27" s="9"/>
      <c r="B27" s="21" t="s">
        <v>210</v>
      </c>
      <c r="C27" s="9"/>
      <c r="D27" s="22" t="s">
        <v>185</v>
      </c>
      <c r="E27" s="19" t="s">
        <v>207</v>
      </c>
      <c r="F27" s="19" t="s">
        <v>208</v>
      </c>
      <c r="G27" s="20" t="s">
        <v>133</v>
      </c>
      <c r="H27" s="20" t="s">
        <v>209</v>
      </c>
      <c r="I27" s="9"/>
      <c r="J27" s="9"/>
    </row>
    <row r="28" spans="1:11" x14ac:dyDescent="0.2">
      <c r="A28" s="9"/>
      <c r="B28" s="19" t="s">
        <v>211</v>
      </c>
      <c r="C28" s="9"/>
      <c r="D28" s="9"/>
      <c r="E28" s="9"/>
      <c r="F28" s="9"/>
      <c r="G28" s="9"/>
      <c r="H28" s="9"/>
      <c r="I28" s="9"/>
      <c r="J28" s="9"/>
    </row>
    <row r="29" spans="1:11" x14ac:dyDescent="0.2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spans="1:11" x14ac:dyDescent="0.2">
      <c r="A30" s="9"/>
      <c r="B30" s="14" t="s">
        <v>212</v>
      </c>
      <c r="C30" s="15"/>
      <c r="D30" s="15"/>
      <c r="E30" s="15"/>
      <c r="F30" s="15"/>
      <c r="G30" s="15"/>
      <c r="H30" s="15"/>
      <c r="I30" s="9"/>
      <c r="J30" s="9"/>
    </row>
    <row r="31" spans="1:11" x14ac:dyDescent="0.2">
      <c r="A31" s="9"/>
      <c r="B31" s="16" t="s">
        <v>213</v>
      </c>
      <c r="C31" s="17" t="s">
        <v>214</v>
      </c>
      <c r="D31" s="17" t="s">
        <v>215</v>
      </c>
      <c r="E31" s="16" t="s">
        <v>183</v>
      </c>
      <c r="F31" s="17" t="s">
        <v>216</v>
      </c>
      <c r="G31" s="9"/>
      <c r="H31" s="9"/>
      <c r="I31" s="9"/>
      <c r="J31" s="9"/>
    </row>
    <row r="32" spans="1:11" x14ac:dyDescent="0.2">
      <c r="A32" s="9"/>
      <c r="B32" s="18" t="s">
        <v>217</v>
      </c>
      <c r="C32" s="19" t="s">
        <v>218</v>
      </c>
      <c r="D32" s="19" t="s">
        <v>219</v>
      </c>
      <c r="E32" s="20" t="s">
        <v>201</v>
      </c>
      <c r="F32" s="19" t="s">
        <v>220</v>
      </c>
      <c r="G32" s="9"/>
      <c r="H32" s="9"/>
      <c r="I32" s="9"/>
      <c r="J32" s="9"/>
    </row>
    <row r="33" spans="1:10" x14ac:dyDescent="0.2">
      <c r="A33" s="9"/>
      <c r="B33" s="18" t="s">
        <v>221</v>
      </c>
      <c r="C33" s="19" t="s">
        <v>222</v>
      </c>
      <c r="D33" s="19" t="s">
        <v>223</v>
      </c>
      <c r="E33" s="20" t="s">
        <v>194</v>
      </c>
      <c r="F33" s="19" t="s">
        <v>224</v>
      </c>
      <c r="G33" s="9"/>
      <c r="H33" s="9"/>
      <c r="I33" s="9"/>
      <c r="J33" s="9"/>
    </row>
    <row r="34" spans="1:10" x14ac:dyDescent="0.2">
      <c r="A34" s="9"/>
      <c r="B34" s="18" t="s">
        <v>225</v>
      </c>
      <c r="C34" s="19" t="s">
        <v>226</v>
      </c>
      <c r="D34" s="19" t="s">
        <v>227</v>
      </c>
      <c r="E34" s="20" t="s">
        <v>201</v>
      </c>
      <c r="F34" s="19" t="s">
        <v>228</v>
      </c>
      <c r="G34" s="9"/>
      <c r="H34" s="9"/>
      <c r="I34" s="9"/>
      <c r="J34" s="9"/>
    </row>
    <row r="35" spans="1:10" x14ac:dyDescent="0.2">
      <c r="A35" s="9"/>
      <c r="B35" s="18" t="s">
        <v>229</v>
      </c>
      <c r="C35" s="19" t="s">
        <v>230</v>
      </c>
      <c r="D35" s="19" t="s">
        <v>231</v>
      </c>
      <c r="E35" s="20" t="s">
        <v>201</v>
      </c>
      <c r="F35" s="19" t="s">
        <v>232</v>
      </c>
      <c r="G35" s="9"/>
      <c r="H35" s="9"/>
      <c r="I35" s="9"/>
      <c r="J35" s="9"/>
    </row>
    <row r="36" spans="1:10" x14ac:dyDescent="0.2">
      <c r="A36" s="9"/>
      <c r="B36" s="18" t="s">
        <v>233</v>
      </c>
      <c r="C36" s="19" t="s">
        <v>234</v>
      </c>
      <c r="D36" s="19" t="s">
        <v>235</v>
      </c>
      <c r="E36" s="20" t="s">
        <v>236</v>
      </c>
      <c r="F36" s="19" t="s">
        <v>237</v>
      </c>
      <c r="G36" s="9"/>
      <c r="H36" s="9"/>
      <c r="I36" s="9"/>
      <c r="J36" s="9"/>
    </row>
    <row r="37" spans="1:10" x14ac:dyDescent="0.2">
      <c r="A37" s="9"/>
      <c r="B37" s="18" t="s">
        <v>238</v>
      </c>
      <c r="C37" s="19" t="s">
        <v>239</v>
      </c>
      <c r="D37" s="19" t="s">
        <v>240</v>
      </c>
      <c r="E37" s="20" t="s">
        <v>241</v>
      </c>
      <c r="F37" s="19" t="s">
        <v>242</v>
      </c>
      <c r="G37" s="9"/>
      <c r="H37" s="9"/>
      <c r="I37" s="9"/>
      <c r="J37" s="9"/>
    </row>
    <row r="38" spans="1:10" x14ac:dyDescent="0.2">
      <c r="A38" s="9"/>
      <c r="B38" s="18" t="s">
        <v>243</v>
      </c>
      <c r="C38" s="19" t="s">
        <v>239</v>
      </c>
      <c r="D38" s="19" t="s">
        <v>240</v>
      </c>
      <c r="E38" s="20" t="s">
        <v>241</v>
      </c>
      <c r="F38" s="19" t="s">
        <v>242</v>
      </c>
      <c r="G38" s="9"/>
      <c r="H38" s="9"/>
      <c r="I38" s="9"/>
      <c r="J38" s="9"/>
    </row>
    <row r="39" spans="1:10" x14ac:dyDescent="0.2">
      <c r="A39" s="9"/>
      <c r="B39" s="18" t="s">
        <v>244</v>
      </c>
      <c r="C39" s="19" t="s">
        <v>239</v>
      </c>
      <c r="D39" s="19" t="s">
        <v>240</v>
      </c>
      <c r="E39" s="20" t="s">
        <v>241</v>
      </c>
      <c r="F39" s="19" t="s">
        <v>242</v>
      </c>
      <c r="G39" s="9"/>
      <c r="H39" s="9"/>
      <c r="I39" s="9"/>
      <c r="J39" s="9"/>
    </row>
    <row r="40" spans="1:10" x14ac:dyDescent="0.2">
      <c r="A40" s="9"/>
      <c r="B40" s="18" t="s">
        <v>245</v>
      </c>
      <c r="C40" s="19" t="s">
        <v>239</v>
      </c>
      <c r="D40" s="19" t="s">
        <v>240</v>
      </c>
      <c r="E40" s="20" t="s">
        <v>241</v>
      </c>
      <c r="F40" s="19" t="s">
        <v>242</v>
      </c>
      <c r="G40" s="9"/>
      <c r="H40" s="9"/>
      <c r="I40" s="9"/>
      <c r="J40" s="9"/>
    </row>
    <row r="41" spans="1:10" x14ac:dyDescent="0.2">
      <c r="A41" s="9"/>
      <c r="B41" s="18" t="s">
        <v>246</v>
      </c>
      <c r="C41" s="19" t="s">
        <v>211</v>
      </c>
      <c r="D41" s="9"/>
      <c r="E41" s="9"/>
      <c r="F41" s="9"/>
      <c r="G41" s="9"/>
      <c r="H41" s="9"/>
      <c r="I41" s="9"/>
      <c r="J41" s="9"/>
    </row>
    <row r="42" spans="1:10" x14ac:dyDescent="0.2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spans="1:10" x14ac:dyDescent="0.2">
      <c r="A43" s="9"/>
      <c r="B43" s="14" t="s">
        <v>247</v>
      </c>
      <c r="C43" s="15"/>
      <c r="D43" s="15"/>
      <c r="E43" s="15"/>
      <c r="F43" s="15"/>
      <c r="G43" s="15"/>
      <c r="H43" s="15"/>
      <c r="I43" s="9"/>
      <c r="J43" s="9"/>
    </row>
    <row r="44" spans="1:10" x14ac:dyDescent="0.2">
      <c r="A44" s="9"/>
      <c r="B44" s="17" t="s">
        <v>248</v>
      </c>
      <c r="C44" s="17" t="s">
        <v>249</v>
      </c>
      <c r="D44" s="17" t="s">
        <v>250</v>
      </c>
      <c r="E44" s="9"/>
      <c r="F44" s="9"/>
      <c r="G44" s="9"/>
      <c r="H44" s="9"/>
      <c r="I44" s="9"/>
      <c r="J44" s="9"/>
    </row>
    <row r="45" spans="1:10" x14ac:dyDescent="0.2">
      <c r="A45" s="9"/>
      <c r="B45" s="23" t="s">
        <v>251</v>
      </c>
      <c r="C45" s="19" t="s">
        <v>252</v>
      </c>
      <c r="D45" s="19" t="s">
        <v>148</v>
      </c>
      <c r="E45" s="9"/>
      <c r="F45" s="9"/>
      <c r="G45" s="9"/>
      <c r="H45" s="9"/>
      <c r="I45" s="9"/>
      <c r="J45" s="9"/>
    </row>
    <row r="46" spans="1:10" x14ac:dyDescent="0.2">
      <c r="A46" s="9"/>
      <c r="B46" s="23" t="s">
        <v>253</v>
      </c>
      <c r="C46" s="19" t="s">
        <v>254</v>
      </c>
      <c r="D46" s="19" t="s">
        <v>148</v>
      </c>
      <c r="E46" s="9"/>
      <c r="F46" s="9"/>
      <c r="G46" s="9"/>
      <c r="H46" s="9"/>
      <c r="I46" s="9"/>
      <c r="J46" s="9"/>
    </row>
    <row r="47" spans="1:10" x14ac:dyDescent="0.2">
      <c r="A47" s="9"/>
      <c r="B47" s="23" t="s">
        <v>255</v>
      </c>
      <c r="C47" s="19" t="s">
        <v>256</v>
      </c>
      <c r="D47" s="19" t="s">
        <v>257</v>
      </c>
      <c r="E47" s="9"/>
      <c r="F47" s="9"/>
      <c r="G47" s="9"/>
      <c r="H47" s="9"/>
      <c r="I47" s="9"/>
      <c r="J47" s="9"/>
    </row>
    <row r="48" spans="1:10" x14ac:dyDescent="0.2">
      <c r="A48" s="9"/>
      <c r="B48" s="23" t="s">
        <v>258</v>
      </c>
      <c r="C48" s="19" t="s">
        <v>259</v>
      </c>
      <c r="D48" s="19" t="s">
        <v>260</v>
      </c>
      <c r="E48" s="9"/>
      <c r="F48" s="9"/>
      <c r="G48" s="9"/>
      <c r="H48" s="9"/>
      <c r="I48" s="9"/>
      <c r="J48" s="9"/>
    </row>
    <row r="49" spans="1:10" x14ac:dyDescent="0.2">
      <c r="A49" s="9"/>
      <c r="B49" s="23" t="s">
        <v>261</v>
      </c>
      <c r="C49" s="19" t="s">
        <v>262</v>
      </c>
      <c r="D49" s="19" t="s">
        <v>263</v>
      </c>
      <c r="E49" s="9"/>
      <c r="F49" s="9"/>
      <c r="G49" s="9"/>
      <c r="H49" s="9"/>
      <c r="I49" s="9"/>
      <c r="J49" s="9"/>
    </row>
    <row r="50" spans="1:10" x14ac:dyDescent="0.2">
      <c r="A50" s="9"/>
      <c r="B50" s="23" t="s">
        <v>264</v>
      </c>
      <c r="C50" s="19" t="s">
        <v>265</v>
      </c>
      <c r="D50" s="19" t="s">
        <v>263</v>
      </c>
      <c r="E50" s="9"/>
      <c r="F50" s="9"/>
      <c r="G50" s="9"/>
      <c r="H50" s="9"/>
      <c r="I50" s="9"/>
      <c r="J50" s="9"/>
    </row>
    <row r="51" spans="1:10" x14ac:dyDescent="0.2">
      <c r="A51" s="9"/>
      <c r="B51" s="23" t="s">
        <v>266</v>
      </c>
      <c r="C51" s="19" t="s">
        <v>267</v>
      </c>
      <c r="D51" s="19" t="s">
        <v>148</v>
      </c>
      <c r="E51" s="9"/>
      <c r="F51" s="9"/>
      <c r="G51" s="9"/>
      <c r="H51" s="9"/>
      <c r="I51" s="9"/>
      <c r="J51" s="9"/>
    </row>
    <row r="52" spans="1:10" x14ac:dyDescent="0.2">
      <c r="A52" s="9"/>
      <c r="B52" s="23" t="s">
        <v>268</v>
      </c>
      <c r="C52" s="19" t="s">
        <v>269</v>
      </c>
      <c r="D52" s="19" t="s">
        <v>260</v>
      </c>
      <c r="E52" s="9"/>
      <c r="F52" s="9"/>
      <c r="G52" s="9"/>
      <c r="H52" s="9"/>
      <c r="I52" s="9"/>
      <c r="J52" s="9"/>
    </row>
    <row r="53" spans="1:10" x14ac:dyDescent="0.2">
      <c r="A53" s="9"/>
      <c r="B53" s="23" t="s">
        <v>270</v>
      </c>
      <c r="C53" s="19" t="s">
        <v>271</v>
      </c>
      <c r="D53" s="19" t="s">
        <v>272</v>
      </c>
      <c r="E53" s="9"/>
      <c r="F53" s="9"/>
      <c r="G53" s="9"/>
      <c r="H53" s="9"/>
      <c r="I53" s="9"/>
      <c r="J53" s="9"/>
    </row>
    <row r="54" spans="1:10" x14ac:dyDescent="0.2">
      <c r="A54" s="9"/>
      <c r="B54" s="23" t="s">
        <v>273</v>
      </c>
      <c r="C54" s="19" t="s">
        <v>274</v>
      </c>
      <c r="D54" s="19" t="s">
        <v>275</v>
      </c>
      <c r="E54" s="9"/>
      <c r="F54" s="9"/>
      <c r="G54" s="9"/>
      <c r="H54" s="9"/>
      <c r="I54" s="9"/>
      <c r="J54" s="9"/>
    </row>
    <row r="55" spans="1:10" x14ac:dyDescent="0.2">
      <c r="A55" s="9"/>
      <c r="B55" s="9"/>
      <c r="C55" s="9"/>
      <c r="D55" s="9"/>
      <c r="E55" s="9"/>
      <c r="F55" s="9"/>
      <c r="G55" s="9"/>
      <c r="H55" s="9"/>
      <c r="I55" s="9"/>
      <c r="J55" s="9"/>
    </row>
    <row r="56" spans="1:10" x14ac:dyDescent="0.2">
      <c r="A56" s="9"/>
      <c r="B56" s="14" t="s">
        <v>276</v>
      </c>
      <c r="C56" s="15"/>
      <c r="D56" s="15"/>
      <c r="E56" s="15"/>
      <c r="F56" s="15"/>
      <c r="G56" s="15"/>
      <c r="H56" s="15"/>
      <c r="I56" s="9"/>
      <c r="J56" s="9"/>
    </row>
    <row r="57" spans="1:10" x14ac:dyDescent="0.2">
      <c r="A57" s="9"/>
      <c r="B57" s="16" t="s">
        <v>277</v>
      </c>
      <c r="C57" s="16" t="s">
        <v>278</v>
      </c>
      <c r="D57" s="16" t="s">
        <v>279</v>
      </c>
      <c r="E57" s="17" t="s">
        <v>280</v>
      </c>
      <c r="F57" s="17" t="s">
        <v>281</v>
      </c>
      <c r="G57" s="9"/>
      <c r="H57" s="9"/>
      <c r="I57" s="9"/>
      <c r="J57" s="9"/>
    </row>
    <row r="58" spans="1:10" x14ac:dyDescent="0.2">
      <c r="A58" s="9"/>
      <c r="B58" s="18" t="s">
        <v>282</v>
      </c>
      <c r="C58" s="20" t="s">
        <v>133</v>
      </c>
      <c r="D58" s="20" t="s">
        <v>283</v>
      </c>
      <c r="E58" s="19" t="s">
        <v>284</v>
      </c>
      <c r="F58" s="19" t="s">
        <v>285</v>
      </c>
      <c r="G58" s="9"/>
      <c r="H58" s="9"/>
      <c r="I58" s="9"/>
      <c r="J58" s="9"/>
    </row>
    <row r="59" spans="1:10" x14ac:dyDescent="0.2">
      <c r="A59" s="9"/>
      <c r="B59" s="18" t="s">
        <v>286</v>
      </c>
      <c r="C59" s="20" t="s">
        <v>133</v>
      </c>
      <c r="D59" s="20" t="s">
        <v>283</v>
      </c>
      <c r="E59" s="19" t="s">
        <v>287</v>
      </c>
      <c r="F59" s="19" t="s">
        <v>272</v>
      </c>
      <c r="G59" s="9"/>
      <c r="H59" s="9"/>
      <c r="I59" s="9"/>
      <c r="J59" s="9"/>
    </row>
    <row r="60" spans="1:10" x14ac:dyDescent="0.2">
      <c r="A60" s="9"/>
      <c r="B60" s="18" t="s">
        <v>288</v>
      </c>
      <c r="C60" s="20" t="s">
        <v>133</v>
      </c>
      <c r="D60" s="20" t="s">
        <v>283</v>
      </c>
      <c r="E60" s="19" t="s">
        <v>289</v>
      </c>
      <c r="F60" s="19" t="s">
        <v>290</v>
      </c>
      <c r="G60" s="9"/>
      <c r="H60" s="9"/>
      <c r="I60" s="9"/>
      <c r="J60" s="9"/>
    </row>
    <row r="61" spans="1:10" x14ac:dyDescent="0.2">
      <c r="A61" s="9"/>
      <c r="B61" s="18" t="s">
        <v>291</v>
      </c>
      <c r="C61" s="20" t="s">
        <v>133</v>
      </c>
      <c r="D61" s="20" t="s">
        <v>283</v>
      </c>
      <c r="E61" s="19" t="s">
        <v>292</v>
      </c>
      <c r="F61" s="19" t="s">
        <v>293</v>
      </c>
      <c r="G61" s="9"/>
      <c r="H61" s="9"/>
      <c r="I61" s="9"/>
      <c r="J61" s="9"/>
    </row>
    <row r="62" spans="1:10" x14ac:dyDescent="0.2">
      <c r="A62" s="9"/>
      <c r="B62" s="18" t="s">
        <v>294</v>
      </c>
      <c r="C62" s="20" t="s">
        <v>133</v>
      </c>
      <c r="D62" s="20" t="s">
        <v>283</v>
      </c>
      <c r="E62" s="19" t="s">
        <v>295</v>
      </c>
      <c r="F62" s="19" t="s">
        <v>296</v>
      </c>
      <c r="G62" s="9"/>
      <c r="H62" s="9"/>
      <c r="I62" s="9"/>
      <c r="J62" s="9"/>
    </row>
    <row r="63" spans="1:10" x14ac:dyDescent="0.2">
      <c r="A63" s="9"/>
      <c r="B63" s="18" t="s">
        <v>297</v>
      </c>
      <c r="C63" s="20" t="s">
        <v>133</v>
      </c>
      <c r="D63" s="20" t="s">
        <v>283</v>
      </c>
      <c r="E63" s="19" t="s">
        <v>295</v>
      </c>
      <c r="F63" s="19" t="s">
        <v>296</v>
      </c>
      <c r="G63" s="9"/>
      <c r="H63" s="9"/>
      <c r="I63" s="9"/>
      <c r="J63" s="9"/>
    </row>
    <row r="64" spans="1:10" x14ac:dyDescent="0.2">
      <c r="A64" s="9"/>
      <c r="B64" s="20" t="s">
        <v>298</v>
      </c>
      <c r="C64" s="9"/>
      <c r="D64" s="9"/>
      <c r="E64" s="9"/>
      <c r="F64" s="9"/>
      <c r="G64" s="9"/>
      <c r="H64" s="9"/>
      <c r="I64" s="9"/>
      <c r="J64" s="9"/>
    </row>
    <row r="65" spans="1:10" x14ac:dyDescent="0.2">
      <c r="A65" s="9"/>
      <c r="B65" s="9"/>
      <c r="C65" s="9"/>
      <c r="D65" s="9"/>
      <c r="E65" s="9"/>
      <c r="F65" s="9"/>
      <c r="G65" s="9"/>
      <c r="H65" s="9"/>
      <c r="I65" s="9"/>
      <c r="J65" s="9"/>
    </row>
    <row r="66" spans="1:10" x14ac:dyDescent="0.2">
      <c r="A66" s="9"/>
      <c r="B66" s="14" t="s">
        <v>299</v>
      </c>
      <c r="C66" s="15"/>
      <c r="D66" s="15"/>
      <c r="E66" s="15"/>
      <c r="F66" s="15"/>
      <c r="G66" s="15"/>
      <c r="H66" s="15"/>
      <c r="I66" s="9"/>
      <c r="J66" s="9"/>
    </row>
    <row r="67" spans="1:10" x14ac:dyDescent="0.2">
      <c r="A67" s="9"/>
      <c r="B67" s="24" t="s">
        <v>300</v>
      </c>
      <c r="C67" s="9"/>
      <c r="D67" s="9"/>
      <c r="E67" s="9"/>
      <c r="F67" s="9"/>
      <c r="G67" s="9"/>
      <c r="H67" s="9"/>
      <c r="I67" s="9"/>
      <c r="J67" s="9"/>
    </row>
    <row r="68" spans="1:10" x14ac:dyDescent="0.2">
      <c r="A68" s="9"/>
      <c r="B68" s="25" t="s">
        <v>301</v>
      </c>
      <c r="C68" s="9"/>
      <c r="D68" s="9"/>
      <c r="E68" s="9"/>
      <c r="F68" s="9"/>
      <c r="G68" s="9"/>
      <c r="H68" s="9"/>
      <c r="I68" s="9"/>
      <c r="J68" s="9"/>
    </row>
    <row r="69" spans="1:10" x14ac:dyDescent="0.2">
      <c r="A69" s="9"/>
      <c r="B69" s="25" t="s">
        <v>302</v>
      </c>
      <c r="C69" s="9"/>
      <c r="D69" s="9"/>
      <c r="E69" s="9"/>
      <c r="F69" s="9"/>
      <c r="G69" s="9"/>
      <c r="H69" s="9"/>
      <c r="I69" s="9"/>
      <c r="J69" s="9"/>
    </row>
    <row r="70" spans="1:10" x14ac:dyDescent="0.2">
      <c r="A70" s="9"/>
      <c r="B70" s="25" t="s">
        <v>303</v>
      </c>
      <c r="C70" s="9"/>
      <c r="D70" s="9"/>
      <c r="E70" s="9"/>
      <c r="F70" s="9"/>
      <c r="G70" s="9"/>
      <c r="H70" s="9"/>
      <c r="I70" s="9"/>
      <c r="J70" s="9"/>
    </row>
    <row r="71" spans="1:10" x14ac:dyDescent="0.2">
      <c r="A71" s="9"/>
      <c r="B71" s="25" t="s">
        <v>304</v>
      </c>
      <c r="C71" s="9"/>
      <c r="D71" s="9"/>
      <c r="E71" s="9"/>
      <c r="F71" s="9"/>
      <c r="G71" s="9"/>
      <c r="H71" s="9"/>
      <c r="I71" s="9"/>
      <c r="J71" s="9"/>
    </row>
    <row r="72" spans="1:10" x14ac:dyDescent="0.2">
      <c r="A72" s="9"/>
      <c r="B72" s="25" t="s">
        <v>305</v>
      </c>
      <c r="C72" s="9"/>
      <c r="D72" s="9"/>
      <c r="E72" s="9"/>
      <c r="F72" s="9"/>
      <c r="G72" s="9"/>
      <c r="H72" s="9"/>
      <c r="I72" s="9"/>
      <c r="J72" s="9"/>
    </row>
    <row r="73" spans="1:10" x14ac:dyDescent="0.2">
      <c r="A73" s="9"/>
      <c r="B73" s="25" t="s">
        <v>306</v>
      </c>
      <c r="C73" s="9"/>
      <c r="D73" s="9"/>
      <c r="E73" s="9"/>
      <c r="F73" s="9"/>
      <c r="G73" s="9"/>
      <c r="H73" s="9"/>
      <c r="I73" s="9"/>
      <c r="J73" s="9"/>
    </row>
    <row r="74" spans="1:10" x14ac:dyDescent="0.2">
      <c r="A74" s="9"/>
      <c r="B74" s="25" t="s">
        <v>307</v>
      </c>
      <c r="C74" s="9"/>
      <c r="D74" s="9"/>
      <c r="E74" s="9"/>
      <c r="F74" s="9"/>
      <c r="G74" s="9"/>
      <c r="H74" s="9"/>
      <c r="I74" s="9"/>
      <c r="J74" s="9"/>
    </row>
    <row r="75" spans="1:10" x14ac:dyDescent="0.2">
      <c r="A75" s="9"/>
      <c r="B75" s="9"/>
      <c r="C75" s="9"/>
      <c r="D75" s="9"/>
      <c r="E75" s="9"/>
      <c r="F75" s="9"/>
      <c r="G75" s="9"/>
      <c r="H75" s="9"/>
      <c r="I75" s="9"/>
      <c r="J75" s="9"/>
    </row>
    <row r="76" spans="1:10" x14ac:dyDescent="0.2">
      <c r="A76" s="9"/>
      <c r="B76" s="9"/>
      <c r="C76" s="9"/>
      <c r="D76" s="9"/>
      <c r="E76" s="9"/>
      <c r="F76" s="9"/>
      <c r="G76" s="9"/>
      <c r="H76" s="9"/>
      <c r="I76" s="9"/>
      <c r="J76" s="9"/>
    </row>
    <row r="77" spans="1:10" x14ac:dyDescent="0.2">
      <c r="A77" s="9"/>
      <c r="B77" s="9"/>
      <c r="C77" s="9"/>
      <c r="D77" s="9"/>
      <c r="E77" s="9"/>
      <c r="F77" s="9"/>
      <c r="G77" s="9"/>
      <c r="H77" s="9"/>
      <c r="I77" s="9"/>
      <c r="J77" s="9"/>
    </row>
    <row r="78" spans="1:10" x14ac:dyDescent="0.2">
      <c r="A78" s="9"/>
      <c r="B78" s="9"/>
      <c r="C78" s="9"/>
      <c r="D78" s="9"/>
      <c r="E78" s="9"/>
      <c r="F78" s="9"/>
      <c r="G78" s="9"/>
      <c r="H78" s="9"/>
      <c r="I78" s="9"/>
      <c r="J78" s="9"/>
    </row>
    <row r="79" spans="1:10" x14ac:dyDescent="0.2">
      <c r="A79" s="9"/>
      <c r="B79" s="9"/>
      <c r="C79" s="9"/>
      <c r="D79" s="9"/>
      <c r="E79" s="9"/>
      <c r="F79" s="9"/>
      <c r="G79" s="9"/>
      <c r="H79" s="9"/>
      <c r="I79" s="9"/>
      <c r="J79" s="9"/>
    </row>
    <row r="80" spans="1:10" x14ac:dyDescent="0.2">
      <c r="A80" s="9"/>
      <c r="B80" s="9"/>
      <c r="C80" s="9"/>
      <c r="D80" s="9"/>
      <c r="E80" s="9"/>
      <c r="F80" s="9"/>
      <c r="G80" s="9"/>
      <c r="H80" s="9"/>
      <c r="I80" s="9"/>
      <c r="J80" s="9"/>
    </row>
    <row r="81" spans="1:10" x14ac:dyDescent="0.2">
      <c r="A81" s="9"/>
      <c r="B81" s="9"/>
      <c r="C81" s="9"/>
      <c r="D81" s="9"/>
      <c r="E81" s="9"/>
      <c r="F81" s="9"/>
      <c r="G81" s="9"/>
      <c r="H81" s="9"/>
      <c r="I81" s="9"/>
      <c r="J81" s="9"/>
    </row>
    <row r="82" spans="1:10" x14ac:dyDescent="0.2">
      <c r="A82" s="9"/>
      <c r="B82" s="9"/>
      <c r="C82" s="9"/>
      <c r="D82" s="9"/>
      <c r="E82" s="9"/>
      <c r="F82" s="9"/>
      <c r="G82" s="9"/>
      <c r="H82" s="9"/>
      <c r="I82" s="9"/>
      <c r="J82" s="9"/>
    </row>
    <row r="83" spans="1:10" x14ac:dyDescent="0.2">
      <c r="A83" s="9"/>
      <c r="B83" s="9"/>
      <c r="C83" s="9"/>
      <c r="D83" s="9"/>
      <c r="E83" s="9"/>
      <c r="F83" s="9"/>
      <c r="G83" s="9"/>
      <c r="H83" s="9"/>
      <c r="I83" s="9"/>
      <c r="J83" s="9"/>
    </row>
    <row r="84" spans="1:10" x14ac:dyDescent="0.2">
      <c r="A84" s="9"/>
      <c r="B84" s="9"/>
      <c r="C84" s="9"/>
      <c r="D84" s="9"/>
      <c r="E84" s="9"/>
      <c r="F84" s="9"/>
      <c r="G84" s="9"/>
      <c r="H84" s="9"/>
      <c r="I84" s="9"/>
      <c r="J84" s="9"/>
    </row>
    <row r="85" spans="1:10" x14ac:dyDescent="0.2">
      <c r="A85" s="9"/>
      <c r="B85" s="9"/>
      <c r="C85" s="9"/>
      <c r="D85" s="9"/>
      <c r="E85" s="9"/>
      <c r="F85" s="9"/>
      <c r="G85" s="9"/>
      <c r="H85" s="9"/>
      <c r="I85" s="9"/>
      <c r="J85" s="9"/>
    </row>
    <row r="86" spans="1:10" x14ac:dyDescent="0.2">
      <c r="A86" s="9"/>
      <c r="B86" s="9"/>
      <c r="C86" s="9"/>
      <c r="D86" s="9"/>
      <c r="E86" s="9"/>
      <c r="F86" s="9"/>
      <c r="G86" s="9"/>
      <c r="H86" s="9"/>
      <c r="I86" s="9"/>
      <c r="J86" s="9"/>
    </row>
    <row r="87" spans="1:10" x14ac:dyDescent="0.2">
      <c r="A87" s="9"/>
      <c r="B87" s="9"/>
      <c r="C87" s="9"/>
      <c r="D87" s="9"/>
      <c r="E87" s="9"/>
      <c r="F87" s="9"/>
      <c r="G87" s="9"/>
      <c r="H87" s="9"/>
      <c r="I87" s="9"/>
      <c r="J87" s="9"/>
    </row>
    <row r="88" spans="1:10" x14ac:dyDescent="0.2">
      <c r="A88" s="9"/>
      <c r="B88" s="9"/>
      <c r="C88" s="9"/>
      <c r="D88" s="9"/>
      <c r="E88" s="9"/>
      <c r="F88" s="9"/>
      <c r="G88" s="9"/>
      <c r="H88" s="9"/>
      <c r="I88" s="9"/>
      <c r="J88" s="9"/>
    </row>
    <row r="89" spans="1:10" x14ac:dyDescent="0.2">
      <c r="A89" s="9"/>
      <c r="B89" s="9"/>
      <c r="C89" s="9"/>
      <c r="D89" s="9"/>
      <c r="E89" s="9"/>
      <c r="F89" s="9"/>
      <c r="G89" s="9"/>
      <c r="H89" s="9"/>
      <c r="I89" s="9"/>
      <c r="J89" s="9"/>
    </row>
    <row r="90" spans="1:10" x14ac:dyDescent="0.2">
      <c r="A90" s="9"/>
      <c r="B90" s="9"/>
      <c r="C90" s="9"/>
      <c r="D90" s="9"/>
      <c r="E90" s="9"/>
      <c r="F90" s="9"/>
      <c r="G90" s="9"/>
      <c r="H90" s="9"/>
      <c r="I90" s="9"/>
      <c r="J90" s="9"/>
    </row>
    <row r="91" spans="1:10" x14ac:dyDescent="0.2">
      <c r="A91" s="9"/>
      <c r="B91" s="9"/>
      <c r="C91" s="9"/>
      <c r="D91" s="9"/>
      <c r="E91" s="9"/>
      <c r="F91" s="9"/>
      <c r="G91" s="9"/>
      <c r="H91" s="9"/>
      <c r="I91" s="9"/>
      <c r="J91" s="9"/>
    </row>
    <row r="92" spans="1:10" x14ac:dyDescent="0.2">
      <c r="A92" s="9"/>
      <c r="B92" s="9"/>
      <c r="C92" s="9"/>
      <c r="D92" s="9"/>
      <c r="E92" s="9"/>
      <c r="F92" s="9"/>
      <c r="G92" s="9"/>
      <c r="H92" s="9"/>
      <c r="I92" s="9"/>
      <c r="J92" s="9"/>
    </row>
    <row r="93" spans="1:10" x14ac:dyDescent="0.2">
      <c r="A93" s="9"/>
      <c r="B93" s="9"/>
      <c r="C93" s="9"/>
      <c r="D93" s="9"/>
      <c r="E93" s="9"/>
      <c r="F93" s="9"/>
      <c r="G93" s="9"/>
      <c r="H93" s="9"/>
      <c r="I93" s="9"/>
      <c r="J93" s="9"/>
    </row>
    <row r="94" spans="1:10" x14ac:dyDescent="0.2">
      <c r="A94" s="9"/>
      <c r="B94" s="9"/>
      <c r="C94" s="9"/>
      <c r="D94" s="9"/>
      <c r="E94" s="9"/>
      <c r="F94" s="9"/>
      <c r="G94" s="9"/>
      <c r="H94" s="9"/>
      <c r="I94" s="9"/>
      <c r="J94" s="9"/>
    </row>
    <row r="95" spans="1:10" x14ac:dyDescent="0.2">
      <c r="A95" s="9"/>
      <c r="B95" s="9"/>
      <c r="C95" s="9"/>
      <c r="D95" s="9"/>
      <c r="E95" s="9"/>
      <c r="F95" s="9"/>
      <c r="G95" s="9"/>
      <c r="H95" s="9"/>
      <c r="I95" s="9"/>
      <c r="J95" s="9"/>
    </row>
    <row r="96" spans="1:10" x14ac:dyDescent="0.2">
      <c r="A96" s="9"/>
      <c r="B96" s="9"/>
      <c r="C96" s="9"/>
      <c r="D96" s="9"/>
      <c r="E96" s="9"/>
      <c r="F96" s="9"/>
      <c r="G96" s="9"/>
      <c r="H96" s="9"/>
      <c r="I96" s="9"/>
      <c r="J96" s="9"/>
    </row>
    <row r="97" spans="1:10" x14ac:dyDescent="0.2">
      <c r="A97" s="9"/>
      <c r="B97" s="9"/>
      <c r="C97" s="9"/>
      <c r="D97" s="9"/>
      <c r="E97" s="9"/>
      <c r="F97" s="9"/>
      <c r="G97" s="9"/>
      <c r="H97" s="9"/>
      <c r="I97" s="9"/>
      <c r="J97" s="9"/>
    </row>
    <row r="98" spans="1:10" x14ac:dyDescent="0.2">
      <c r="A98" s="9"/>
      <c r="B98" s="9"/>
      <c r="C98" s="9"/>
      <c r="D98" s="9"/>
      <c r="E98" s="9"/>
      <c r="F98" s="9"/>
      <c r="G98" s="9"/>
      <c r="H98" s="9"/>
      <c r="I98" s="9"/>
      <c r="J98" s="9"/>
    </row>
    <row r="99" spans="1:10" x14ac:dyDescent="0.2">
      <c r="A99" s="9"/>
      <c r="B99" s="9"/>
      <c r="C99" s="9"/>
      <c r="D99" s="9"/>
      <c r="E99" s="9"/>
      <c r="F99" s="9"/>
      <c r="G99" s="9"/>
      <c r="H99" s="9"/>
      <c r="I99" s="9"/>
      <c r="J99" s="9"/>
    </row>
    <row r="100" spans="1:10" x14ac:dyDescent="0.2">
      <c r="A100" s="9"/>
      <c r="B100" s="9"/>
      <c r="C100" s="9"/>
      <c r="D100" s="9"/>
      <c r="E100" s="9"/>
      <c r="F100" s="9"/>
      <c r="G100" s="9"/>
      <c r="H100" s="9"/>
      <c r="I100" s="9"/>
      <c r="J10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</vt:lpstr>
      <vt:lpstr>TOC</vt:lpstr>
      <vt:lpstr>Executive Summary</vt:lpstr>
      <vt:lpstr>Historical Financials</vt:lpstr>
      <vt:lpstr>Historical Analysis</vt:lpstr>
      <vt:lpstr>Master Assumptions</vt:lpstr>
      <vt:lpstr>Supporting Schedules</vt:lpstr>
      <vt:lpstr>Forecast Model</vt:lpstr>
      <vt:lpstr>DCF Valuation</vt:lpstr>
      <vt:lpstr>Trading Comps</vt:lpstr>
      <vt:lpstr>Valuation Summary</vt:lpstr>
      <vt:lpstr>Sensitivity Tables</vt:lpstr>
      <vt:lpstr>Sources &amp; Footnotes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Divij Budhiraja</dc:creator>
  <cp:lastModifiedBy>Divij Budhiraja</cp:lastModifiedBy>
  <dcterms:created xsi:type="dcterms:W3CDTF">2026-02-07T14:08:17Z</dcterms:created>
  <dcterms:modified xsi:type="dcterms:W3CDTF">2026-03-29T13:56:50Z</dcterms:modified>
</cp:coreProperties>
</file>