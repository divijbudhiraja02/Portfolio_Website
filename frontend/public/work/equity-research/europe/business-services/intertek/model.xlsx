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ivijbudhiraja/Desktop/MIF Materials/Term-2/Adv. Corp Finance/Group Project/"/>
    </mc:Choice>
  </mc:AlternateContent>
  <xr:revisionPtr revIDLastSave="0" documentId="13_ncr:1_{FFDF80C8-DDB4-DE40-957F-A20574708114}" xr6:coauthVersionLast="47" xr6:coauthVersionMax="47" xr10:uidLastSave="{00000000-0000-0000-0000-000000000000}"/>
  <bookViews>
    <workbookView xWindow="0" yWindow="680" windowWidth="34200" windowHeight="19780" firstSheet="7" activeTab="14" xr2:uid="{D6D46415-4F71-764C-A0A6-B9336AF9D47C}"/>
  </bookViews>
  <sheets>
    <sheet name="Cover" sheetId="1" r:id="rId1"/>
    <sheet name="TOC" sheetId="33" r:id="rId2"/>
    <sheet name="Executive Summary" sheetId="3" r:id="rId3"/>
    <sheet name="Historical Financials" sheetId="9" r:id="rId4"/>
    <sheet name="Historical Analysis" sheetId="12" r:id="rId5"/>
    <sheet name="Master Assumptions" sheetId="6" r:id="rId6"/>
    <sheet name="Supporting Schedules" sheetId="31" r:id="rId7"/>
    <sheet name="Forecast Model" sheetId="14" r:id="rId8"/>
    <sheet name="DCF Valuation" sheetId="22" r:id="rId9"/>
    <sheet name="Trading Comps" sheetId="23" r:id="rId10"/>
    <sheet name="Valuation Summary" sheetId="25" r:id="rId11"/>
    <sheet name="Sensitivity Tables" sheetId="26" r:id="rId12"/>
    <sheet name="Deal Scenario A - M&amp;A" sheetId="32" r:id="rId13"/>
    <sheet name="Deal Scenario B - PE" sheetId="35" r:id="rId14"/>
    <sheet name="Sources &amp; Footnotes" sheetId="3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2" l="1"/>
  <c r="C16" i="35"/>
  <c r="C60" i="35" s="1"/>
  <c r="C39" i="35"/>
  <c r="C43" i="35" s="1"/>
  <c r="C9" i="35"/>
  <c r="C10" i="35" s="1"/>
  <c r="C11" i="35" s="1"/>
  <c r="H56" i="35"/>
  <c r="G56" i="35"/>
  <c r="F56" i="35"/>
  <c r="E56" i="35"/>
  <c r="D56" i="35"/>
  <c r="D41" i="35"/>
  <c r="E41" i="35" s="1"/>
  <c r="F41" i="35" s="1"/>
  <c r="G41" i="35" s="1"/>
  <c r="H41" i="35" s="1"/>
  <c r="C41" i="35"/>
  <c r="C52" i="35"/>
  <c r="C97" i="32"/>
  <c r="E103" i="32" s="1"/>
  <c r="D105" i="32"/>
  <c r="E107" i="32" s="1"/>
  <c r="I95" i="32"/>
  <c r="D95" i="32"/>
  <c r="E95" i="32" s="1"/>
  <c r="F95" i="32" s="1"/>
  <c r="I94" i="32"/>
  <c r="D94" i="32"/>
  <c r="E94" i="32" s="1"/>
  <c r="F94" i="32" s="1"/>
  <c r="I93" i="32"/>
  <c r="D93" i="32"/>
  <c r="E93" i="32" s="1"/>
  <c r="F93" i="32" s="1"/>
  <c r="I92" i="32"/>
  <c r="D92" i="32"/>
  <c r="E92" i="32" s="1"/>
  <c r="F92" i="32" s="1"/>
  <c r="I91" i="32"/>
  <c r="D91" i="32"/>
  <c r="E91" i="32" s="1"/>
  <c r="F91" i="32" s="1"/>
  <c r="I90" i="32"/>
  <c r="D90" i="32"/>
  <c r="E90" i="32" s="1"/>
  <c r="F90" i="32" s="1"/>
  <c r="C84" i="32"/>
  <c r="C78" i="32"/>
  <c r="C80" i="32" s="1"/>
  <c r="C85" i="32" s="1"/>
  <c r="G47" i="3"/>
  <c r="H47" i="3" s="1"/>
  <c r="H45" i="3"/>
  <c r="H44" i="3"/>
  <c r="H43" i="3"/>
  <c r="H34" i="3"/>
  <c r="G34" i="3"/>
  <c r="C13" i="35" l="1"/>
  <c r="C12" i="35"/>
  <c r="C17" i="35"/>
  <c r="C45" i="35"/>
  <c r="C55" i="35"/>
  <c r="D39" i="35"/>
  <c r="C42" i="35"/>
  <c r="E100" i="32"/>
  <c r="E101" i="32"/>
  <c r="E104" i="32"/>
  <c r="E102" i="32"/>
  <c r="E105" i="32"/>
  <c r="G94" i="32"/>
  <c r="G91" i="32"/>
  <c r="G92" i="32"/>
  <c r="G95" i="32"/>
  <c r="G93" i="32"/>
  <c r="G90" i="32"/>
  <c r="D41" i="25"/>
  <c r="E41" i="25" s="1"/>
  <c r="C41" i="25"/>
  <c r="E39" i="25"/>
  <c r="E38" i="25"/>
  <c r="E37" i="25"/>
  <c r="H73" i="35" l="1"/>
  <c r="H72" i="35"/>
  <c r="C80" i="35" s="1"/>
  <c r="H71" i="35"/>
  <c r="C79" i="35" s="1"/>
  <c r="H70" i="35"/>
  <c r="C78" i="35" s="1"/>
  <c r="C18" i="35"/>
  <c r="C50" i="35"/>
  <c r="C44" i="35"/>
  <c r="C81" i="35"/>
  <c r="D52" i="35"/>
  <c r="D42" i="35"/>
  <c r="E39" i="35"/>
  <c r="D43" i="35"/>
  <c r="D53" i="35"/>
  <c r="D40" i="35"/>
  <c r="K53" i="22"/>
  <c r="E53" i="22"/>
  <c r="E26" i="26"/>
  <c r="E27" i="26" s="1"/>
  <c r="E24" i="26"/>
  <c r="E23" i="26" s="1"/>
  <c r="E13" i="26"/>
  <c r="E14" i="26" s="1"/>
  <c r="E11" i="26"/>
  <c r="E10" i="26" s="1"/>
  <c r="E67" i="22"/>
  <c r="E23" i="22"/>
  <c r="K29" i="22"/>
  <c r="K28" i="22"/>
  <c r="J83" i="14"/>
  <c r="K83" i="14" s="1"/>
  <c r="L83" i="14" s="1"/>
  <c r="M83" i="14" s="1"/>
  <c r="N83" i="14" s="1"/>
  <c r="J16" i="14"/>
  <c r="K16" i="14" s="1"/>
  <c r="L16" i="14" s="1"/>
  <c r="M16" i="14" s="1"/>
  <c r="N16" i="14" s="1"/>
  <c r="K101" i="14"/>
  <c r="L101" i="14"/>
  <c r="M101" i="14"/>
  <c r="N101" i="14"/>
  <c r="K104" i="14"/>
  <c r="L104" i="14"/>
  <c r="M104" i="14"/>
  <c r="N104" i="14"/>
  <c r="J104" i="14"/>
  <c r="J101" i="14"/>
  <c r="J100" i="14"/>
  <c r="K100" i="14" s="1"/>
  <c r="L100" i="14" s="1"/>
  <c r="M100" i="14" s="1"/>
  <c r="N100" i="14" s="1"/>
  <c r="K93" i="14"/>
  <c r="L93" i="14"/>
  <c r="M93" i="14"/>
  <c r="N93" i="14"/>
  <c r="K94" i="14"/>
  <c r="L94" i="14"/>
  <c r="M94" i="14"/>
  <c r="N94" i="14"/>
  <c r="K95" i="14"/>
  <c r="L95" i="14"/>
  <c r="M95" i="14"/>
  <c r="N95" i="14"/>
  <c r="J95" i="14"/>
  <c r="J94" i="14"/>
  <c r="J93" i="14"/>
  <c r="J57" i="14"/>
  <c r="J52" i="14"/>
  <c r="K52" i="14" s="1"/>
  <c r="L52" i="14" s="1"/>
  <c r="M52" i="14" s="1"/>
  <c r="N52" i="14" s="1"/>
  <c r="C226" i="31"/>
  <c r="D222" i="31" s="1"/>
  <c r="C167" i="31"/>
  <c r="D167" i="31"/>
  <c r="E167" i="31"/>
  <c r="F167" i="31"/>
  <c r="D214" i="31"/>
  <c r="E214" i="31"/>
  <c r="F214" i="31"/>
  <c r="C214" i="31"/>
  <c r="C157" i="31"/>
  <c r="D157" i="31"/>
  <c r="E157" i="31"/>
  <c r="F157" i="31"/>
  <c r="B148" i="31" a="1"/>
  <c r="B148" i="31" s="1"/>
  <c r="C146" i="31"/>
  <c r="D146" i="31"/>
  <c r="E146" i="31"/>
  <c r="F146" i="31"/>
  <c r="B147" i="31"/>
  <c r="B158" i="31" s="1"/>
  <c r="J46" i="14"/>
  <c r="K46" i="14" s="1"/>
  <c r="L46" i="14" s="1"/>
  <c r="M46" i="14" s="1"/>
  <c r="N46" i="14" s="1"/>
  <c r="C137" i="31"/>
  <c r="C147" i="31" s="1"/>
  <c r="C158" i="31" s="1"/>
  <c r="D137" i="31"/>
  <c r="D147" i="31" s="1"/>
  <c r="E137" i="31"/>
  <c r="E147" i="31" s="1"/>
  <c r="F137" i="31"/>
  <c r="F147" i="31" s="1"/>
  <c r="F158" i="31" s="1"/>
  <c r="C136" i="31"/>
  <c r="D136" i="31"/>
  <c r="E136" i="31"/>
  <c r="F136" i="31"/>
  <c r="J58" i="14"/>
  <c r="K58" i="14" s="1"/>
  <c r="L58" i="14" s="1"/>
  <c r="J59" i="14"/>
  <c r="K59" i="14" s="1"/>
  <c r="L59" i="14" s="1"/>
  <c r="M59" i="14" s="1"/>
  <c r="N59" i="14" s="1"/>
  <c r="J43" i="14"/>
  <c r="K43" i="14" s="1"/>
  <c r="L43" i="14" s="1"/>
  <c r="M43" i="14" s="1"/>
  <c r="N43" i="14" s="1"/>
  <c r="J45" i="14"/>
  <c r="K45" i="14" s="1"/>
  <c r="L45" i="14" s="1"/>
  <c r="M45" i="14" s="1"/>
  <c r="N45" i="14" s="1"/>
  <c r="J44" i="14"/>
  <c r="K44" i="14" s="1"/>
  <c r="L44" i="14" s="1"/>
  <c r="J42" i="14"/>
  <c r="K42" i="14" s="1"/>
  <c r="L42" i="14" s="1"/>
  <c r="M42" i="14" s="1"/>
  <c r="N42" i="14" s="1"/>
  <c r="E192" i="31"/>
  <c r="E200" i="31"/>
  <c r="F200" i="31"/>
  <c r="G200" i="31"/>
  <c r="C125" i="31"/>
  <c r="D125" i="31"/>
  <c r="E125" i="31"/>
  <c r="F125" i="31"/>
  <c r="E193" i="31"/>
  <c r="E194" i="31" s="1"/>
  <c r="F193" i="31"/>
  <c r="F194" i="31" s="1"/>
  <c r="G193" i="31"/>
  <c r="G194" i="31" s="1"/>
  <c r="D193" i="31"/>
  <c r="D194" i="31" s="1"/>
  <c r="F192" i="31"/>
  <c r="G192" i="31"/>
  <c r="D192" i="31"/>
  <c r="E184" i="31"/>
  <c r="E185" i="31" s="1"/>
  <c r="F184" i="31"/>
  <c r="F185" i="31" s="1"/>
  <c r="G184" i="31"/>
  <c r="G185" i="31" s="1"/>
  <c r="D184" i="31"/>
  <c r="D185" i="31" s="1"/>
  <c r="E183" i="31"/>
  <c r="F183" i="31"/>
  <c r="G183" i="31"/>
  <c r="D183" i="31"/>
  <c r="I178" i="31"/>
  <c r="J178" i="31" s="1"/>
  <c r="K178" i="31" s="1"/>
  <c r="L178" i="31" s="1"/>
  <c r="C115" i="31"/>
  <c r="C168" i="31" s="1"/>
  <c r="D115" i="31"/>
  <c r="D168" i="31" s="1"/>
  <c r="E115" i="31"/>
  <c r="E168" i="31" s="1"/>
  <c r="F115" i="31"/>
  <c r="F168" i="31" s="1"/>
  <c r="C101" i="31"/>
  <c r="C102" i="31" s="1"/>
  <c r="D101" i="31"/>
  <c r="D102" i="31" s="1"/>
  <c r="E101" i="31"/>
  <c r="E102" i="31" s="1"/>
  <c r="F101" i="31"/>
  <c r="F102" i="31" s="1"/>
  <c r="C103" i="31"/>
  <c r="C104" i="31" s="1"/>
  <c r="D103" i="31"/>
  <c r="D104" i="31" s="1"/>
  <c r="E103" i="31"/>
  <c r="E104" i="31" s="1"/>
  <c r="F103" i="31"/>
  <c r="F104" i="31" s="1"/>
  <c r="C92" i="31"/>
  <c r="D89" i="31" s="1"/>
  <c r="D70" i="31"/>
  <c r="E70" i="31"/>
  <c r="F70" i="31"/>
  <c r="C70" i="31"/>
  <c r="E57" i="31"/>
  <c r="F57" i="31"/>
  <c r="F80" i="31" s="1"/>
  <c r="D57" i="31"/>
  <c r="D80" i="31" s="1"/>
  <c r="E56" i="31"/>
  <c r="E79" i="31" s="1"/>
  <c r="F56" i="31"/>
  <c r="F79" i="31" s="1"/>
  <c r="D56" i="31"/>
  <c r="D79" i="31" s="1"/>
  <c r="D39" i="31"/>
  <c r="E39" i="31"/>
  <c r="F39" i="31"/>
  <c r="C39" i="31"/>
  <c r="G30" i="31"/>
  <c r="J11" i="6" s="1"/>
  <c r="F30" i="31"/>
  <c r="I11" i="6" s="1"/>
  <c r="E30" i="31"/>
  <c r="H11" i="6" s="1"/>
  <c r="D30" i="31"/>
  <c r="G11" i="6" s="1"/>
  <c r="C30" i="31"/>
  <c r="F11" i="6" s="1"/>
  <c r="J8" i="14" s="1"/>
  <c r="H184" i="31" s="1"/>
  <c r="H185" i="31" s="1"/>
  <c r="F16" i="31"/>
  <c r="E16" i="31"/>
  <c r="D16" i="31"/>
  <c r="C16" i="31"/>
  <c r="C15" i="31"/>
  <c r="C13" i="31"/>
  <c r="C11" i="31"/>
  <c r="F9" i="31"/>
  <c r="F13" i="31" s="1"/>
  <c r="E9" i="31"/>
  <c r="E13" i="31" s="1"/>
  <c r="D9" i="31"/>
  <c r="D13" i="31" s="1"/>
  <c r="G71" i="14"/>
  <c r="H71" i="14"/>
  <c r="I71" i="14"/>
  <c r="F71" i="14"/>
  <c r="I10" i="14"/>
  <c r="I13" i="14" s="1"/>
  <c r="I18" i="14" s="1"/>
  <c r="F116" i="31" s="1"/>
  <c r="H10" i="14"/>
  <c r="H13" i="14" s="1"/>
  <c r="H18" i="14" s="1"/>
  <c r="E116" i="31" s="1"/>
  <c r="G10" i="14"/>
  <c r="G13" i="14" s="1"/>
  <c r="G18" i="14" s="1"/>
  <c r="G21" i="14" s="1"/>
  <c r="G24" i="14" s="1"/>
  <c r="D126" i="31" s="1"/>
  <c r="F10" i="14"/>
  <c r="F13" i="14" s="1"/>
  <c r="F18" i="14" s="1"/>
  <c r="F21" i="14" s="1"/>
  <c r="F24" i="14" s="1"/>
  <c r="C126" i="31" s="1"/>
  <c r="C7" i="6"/>
  <c r="F105" i="12"/>
  <c r="G105" i="12"/>
  <c r="H105" i="12"/>
  <c r="I105" i="12"/>
  <c r="I104" i="12"/>
  <c r="H104" i="12"/>
  <c r="G104" i="12"/>
  <c r="F104" i="12"/>
  <c r="I103" i="12"/>
  <c r="H103" i="12"/>
  <c r="G103" i="12"/>
  <c r="F103" i="12"/>
  <c r="G76" i="12"/>
  <c r="G83" i="12" s="1"/>
  <c r="H76" i="12"/>
  <c r="H83" i="12" s="1"/>
  <c r="I76" i="12"/>
  <c r="I83" i="12" s="1"/>
  <c r="F76" i="12"/>
  <c r="F83" i="12" s="1"/>
  <c r="G75" i="12"/>
  <c r="H75" i="12"/>
  <c r="I75" i="12"/>
  <c r="F75" i="12"/>
  <c r="G70" i="12"/>
  <c r="H70" i="12"/>
  <c r="I70" i="12"/>
  <c r="F70" i="12"/>
  <c r="G69" i="12"/>
  <c r="H69" i="12"/>
  <c r="I69" i="12"/>
  <c r="F69" i="12"/>
  <c r="I52" i="12"/>
  <c r="H52" i="12"/>
  <c r="G52" i="12"/>
  <c r="F52" i="12"/>
  <c r="I51" i="12"/>
  <c r="H51" i="12"/>
  <c r="G51" i="12"/>
  <c r="F51" i="12"/>
  <c r="G50" i="12"/>
  <c r="H50" i="12"/>
  <c r="I50" i="12"/>
  <c r="F50" i="12"/>
  <c r="G36" i="12"/>
  <c r="G37" i="12" s="1"/>
  <c r="H36" i="12"/>
  <c r="H37" i="12" s="1"/>
  <c r="I36" i="12"/>
  <c r="I37" i="12" s="1"/>
  <c r="F36" i="12"/>
  <c r="F37" i="12" s="1"/>
  <c r="G43" i="12"/>
  <c r="H43" i="12"/>
  <c r="I43" i="12"/>
  <c r="G44" i="12"/>
  <c r="H44" i="12"/>
  <c r="I44" i="12"/>
  <c r="G45" i="12"/>
  <c r="H45" i="12"/>
  <c r="I45" i="12"/>
  <c r="G46" i="12"/>
  <c r="H46" i="12"/>
  <c r="I46" i="12"/>
  <c r="F46" i="12"/>
  <c r="F45" i="12"/>
  <c r="F44" i="12"/>
  <c r="F43" i="12"/>
  <c r="F7" i="12"/>
  <c r="F19" i="12" s="1"/>
  <c r="F20" i="12" s="1"/>
  <c r="G7" i="12"/>
  <c r="G19" i="12" s="1"/>
  <c r="G20" i="12" s="1"/>
  <c r="H7" i="12"/>
  <c r="I7" i="12"/>
  <c r="G59" i="12"/>
  <c r="G62" i="12" s="1"/>
  <c r="H59" i="12"/>
  <c r="H62" i="12" s="1"/>
  <c r="I59" i="12"/>
  <c r="I62" i="12" s="1"/>
  <c r="F59" i="12"/>
  <c r="F62" i="12" s="1"/>
  <c r="F12" i="9"/>
  <c r="F15" i="9" s="1"/>
  <c r="F20" i="9" s="1"/>
  <c r="F24" i="9" s="1"/>
  <c r="F27" i="9" s="1"/>
  <c r="G95" i="12" s="1"/>
  <c r="G12" i="9"/>
  <c r="G15" i="9" s="1"/>
  <c r="G20" i="9" s="1"/>
  <c r="G24" i="9" s="1"/>
  <c r="G27" i="9" s="1"/>
  <c r="H95" i="12" s="1"/>
  <c r="H12" i="9"/>
  <c r="H15" i="9" s="1"/>
  <c r="H20" i="9" s="1"/>
  <c r="H24" i="9" s="1"/>
  <c r="H27" i="9" s="1"/>
  <c r="I95" i="12" s="1"/>
  <c r="E12" i="9"/>
  <c r="E15" i="9" s="1"/>
  <c r="E20" i="9" s="1"/>
  <c r="E52" i="35" l="1"/>
  <c r="E42" i="35"/>
  <c r="F39" i="35"/>
  <c r="E43" i="35"/>
  <c r="E53" i="35"/>
  <c r="E40" i="35"/>
  <c r="C51" i="35"/>
  <c r="C54" i="35" s="1"/>
  <c r="C57" i="35" s="1"/>
  <c r="C61" i="35" s="1"/>
  <c r="C62" i="35" s="1"/>
  <c r="C46" i="35"/>
  <c r="C47" i="35" s="1"/>
  <c r="D50" i="35"/>
  <c r="D44" i="35"/>
  <c r="I106" i="12"/>
  <c r="F26" i="12"/>
  <c r="H21" i="14"/>
  <c r="H24" i="14" s="1"/>
  <c r="E126" i="31" s="1"/>
  <c r="E127" i="31" s="1"/>
  <c r="H85" i="12"/>
  <c r="D40" i="31"/>
  <c r="D41" i="31" s="1"/>
  <c r="G23" i="9"/>
  <c r="F23" i="9"/>
  <c r="H79" i="12"/>
  <c r="F25" i="12"/>
  <c r="I79" i="12"/>
  <c r="I27" i="12"/>
  <c r="G106" i="12"/>
  <c r="H23" i="9"/>
  <c r="I99" i="12" s="1"/>
  <c r="G79" i="12"/>
  <c r="G25" i="12"/>
  <c r="G26" i="12"/>
  <c r="E40" i="31"/>
  <c r="E24" i="9"/>
  <c r="E27" i="9" s="1"/>
  <c r="F79" i="12"/>
  <c r="H27" i="12"/>
  <c r="G27" i="12"/>
  <c r="I25" i="12"/>
  <c r="I26" i="12"/>
  <c r="C40" i="31"/>
  <c r="C41" i="31" s="1"/>
  <c r="E23" i="9"/>
  <c r="H25" i="12"/>
  <c r="H26" i="12"/>
  <c r="F40" i="31"/>
  <c r="F41" i="31" s="1"/>
  <c r="F67" i="22"/>
  <c r="F159" i="31"/>
  <c r="D148" i="31"/>
  <c r="C116" i="31"/>
  <c r="C117" i="31" s="1"/>
  <c r="I21" i="14"/>
  <c r="I24" i="14" s="1"/>
  <c r="F126" i="31" s="1"/>
  <c r="F127" i="31" s="1"/>
  <c r="E148" i="31"/>
  <c r="J60" i="14"/>
  <c r="K57" i="14"/>
  <c r="L57" i="14" s="1"/>
  <c r="M57" i="14" s="1"/>
  <c r="N57" i="14" s="1"/>
  <c r="K60" i="14"/>
  <c r="C138" i="31"/>
  <c r="D116" i="31"/>
  <c r="D117" i="31" s="1"/>
  <c r="F148" i="31"/>
  <c r="D138" i="31"/>
  <c r="E169" i="31"/>
  <c r="F169" i="31"/>
  <c r="D169" i="31"/>
  <c r="C169" i="31"/>
  <c r="C159" i="31"/>
  <c r="E158" i="31"/>
  <c r="E159" i="31" s="1"/>
  <c r="D158" i="31"/>
  <c r="D159" i="31" s="1"/>
  <c r="C148" i="31"/>
  <c r="E117" i="31"/>
  <c r="E186" i="31"/>
  <c r="F195" i="31"/>
  <c r="E138" i="31"/>
  <c r="D186" i="31"/>
  <c r="G201" i="31"/>
  <c r="G202" i="31" s="1"/>
  <c r="G203" i="31" s="1"/>
  <c r="F138" i="31"/>
  <c r="D195" i="31"/>
  <c r="D127" i="31"/>
  <c r="E201" i="31"/>
  <c r="E202" i="31" s="1"/>
  <c r="E203" i="31" s="1"/>
  <c r="G186" i="31"/>
  <c r="G195" i="31"/>
  <c r="C127" i="31"/>
  <c r="F117" i="31"/>
  <c r="F186" i="31"/>
  <c r="M58" i="14"/>
  <c r="F201" i="31"/>
  <c r="F202" i="31" s="1"/>
  <c r="F203" i="31" s="1"/>
  <c r="M44" i="14"/>
  <c r="E195" i="31"/>
  <c r="C71" i="31"/>
  <c r="E71" i="31"/>
  <c r="D71" i="31"/>
  <c r="C107" i="31"/>
  <c r="J17" i="14" s="1"/>
  <c r="K17" i="14" s="1"/>
  <c r="L17" i="14" s="1"/>
  <c r="M17" i="14" s="1"/>
  <c r="N17" i="14" s="1"/>
  <c r="F71" i="31"/>
  <c r="C106" i="31"/>
  <c r="J15" i="14" s="1"/>
  <c r="K15" i="14" s="1"/>
  <c r="L15" i="14" s="1"/>
  <c r="M15" i="14" s="1"/>
  <c r="N15" i="14" s="1"/>
  <c r="E58" i="31"/>
  <c r="E81" i="31" s="1"/>
  <c r="D58" i="31"/>
  <c r="E80" i="31"/>
  <c r="F58" i="31"/>
  <c r="F81" i="31" s="1"/>
  <c r="D11" i="31"/>
  <c r="D15" i="31"/>
  <c r="E41" i="31"/>
  <c r="C17" i="31"/>
  <c r="E15" i="31"/>
  <c r="F11" i="31"/>
  <c r="K8" i="14"/>
  <c r="I184" i="31" s="1"/>
  <c r="I185" i="31" s="1"/>
  <c r="F15" i="31"/>
  <c r="E11" i="31"/>
  <c r="G48" i="12"/>
  <c r="H106" i="12"/>
  <c r="I48" i="12"/>
  <c r="F106" i="12"/>
  <c r="G78" i="12"/>
  <c r="I85" i="12"/>
  <c r="F48" i="12"/>
  <c r="G54" i="12"/>
  <c r="F78" i="12"/>
  <c r="I78" i="12"/>
  <c r="G8" i="12"/>
  <c r="H78" i="12"/>
  <c r="H48" i="12"/>
  <c r="G85" i="12"/>
  <c r="F98" i="12"/>
  <c r="I8" i="12"/>
  <c r="I9" i="12"/>
  <c r="I92" i="12"/>
  <c r="I98" i="12"/>
  <c r="H8" i="12"/>
  <c r="I13" i="12"/>
  <c r="I14" i="12" s="1"/>
  <c r="H92" i="12"/>
  <c r="H98" i="12"/>
  <c r="G92" i="12"/>
  <c r="G98" i="12"/>
  <c r="H54" i="12"/>
  <c r="G13" i="12"/>
  <c r="G14" i="12" s="1"/>
  <c r="I19" i="12"/>
  <c r="I20" i="12" s="1"/>
  <c r="H13" i="12"/>
  <c r="H14" i="12" s="1"/>
  <c r="I54" i="12"/>
  <c r="F13" i="12"/>
  <c r="F14" i="12" s="1"/>
  <c r="H19" i="12"/>
  <c r="H20" i="12" s="1"/>
  <c r="F54" i="12"/>
  <c r="C63" i="35" l="1"/>
  <c r="D60" i="35"/>
  <c r="D51" i="35"/>
  <c r="D54" i="35"/>
  <c r="E50" i="35"/>
  <c r="E44" i="35"/>
  <c r="F42" i="35"/>
  <c r="G39" i="35"/>
  <c r="F43" i="35"/>
  <c r="F52" i="35"/>
  <c r="F53" i="35"/>
  <c r="F40" i="35"/>
  <c r="I100" i="12"/>
  <c r="I108" i="12" s="1"/>
  <c r="F99" i="12"/>
  <c r="F100" i="12"/>
  <c r="F108" i="12" s="1"/>
  <c r="F95" i="12"/>
  <c r="F27" i="12"/>
  <c r="F92" i="12"/>
  <c r="G99" i="12"/>
  <c r="G100" i="12" s="1"/>
  <c r="G108" i="12" s="1"/>
  <c r="H99" i="12"/>
  <c r="H100" i="12" s="1"/>
  <c r="H108" i="12" s="1"/>
  <c r="C171" i="31"/>
  <c r="F25" i="6" s="1"/>
  <c r="G25" i="6" s="1"/>
  <c r="H25" i="6" s="1"/>
  <c r="I25" i="6" s="1"/>
  <c r="J25" i="6" s="1"/>
  <c r="L60" i="14"/>
  <c r="C150" i="31"/>
  <c r="C140" i="31"/>
  <c r="C161" i="31"/>
  <c r="H186" i="31"/>
  <c r="H195" i="31"/>
  <c r="C119" i="31"/>
  <c r="H203" i="31"/>
  <c r="C129" i="31"/>
  <c r="M60" i="14"/>
  <c r="N58" i="14"/>
  <c r="N60" i="14" s="1"/>
  <c r="C73" i="31"/>
  <c r="N44" i="14"/>
  <c r="D60" i="31"/>
  <c r="D81" i="31"/>
  <c r="D83" i="31" s="1"/>
  <c r="C46" i="31"/>
  <c r="F12" i="6" s="1"/>
  <c r="J10" i="14" s="1"/>
  <c r="L8" i="14"/>
  <c r="D17" i="31"/>
  <c r="E17" i="31"/>
  <c r="F17" i="31"/>
  <c r="E51" i="35" l="1"/>
  <c r="E54" i="35" s="1"/>
  <c r="G43" i="35"/>
  <c r="G53" i="35"/>
  <c r="G40" i="35"/>
  <c r="G52" i="35"/>
  <c r="G42" i="35"/>
  <c r="H39" i="35"/>
  <c r="D45" i="35"/>
  <c r="D55" i="35"/>
  <c r="D57" i="35" s="1"/>
  <c r="D61" i="35" s="1"/>
  <c r="D62" i="35" s="1"/>
  <c r="F50" i="35"/>
  <c r="F44" i="35"/>
  <c r="I195" i="31"/>
  <c r="G22" i="6" s="1"/>
  <c r="F22" i="6"/>
  <c r="I186" i="31"/>
  <c r="G21" i="6" s="1"/>
  <c r="F21" i="6"/>
  <c r="D90" i="31"/>
  <c r="J92" i="14" s="1"/>
  <c r="J96" i="14" s="1"/>
  <c r="F27" i="6"/>
  <c r="G27" i="6" s="1"/>
  <c r="H27" i="6" s="1"/>
  <c r="I27" i="6" s="1"/>
  <c r="J27" i="6" s="1"/>
  <c r="J54" i="14"/>
  <c r="K54" i="14" s="1"/>
  <c r="L54" i="14" s="1"/>
  <c r="M54" i="14" s="1"/>
  <c r="N54" i="14" s="1"/>
  <c r="F26" i="6"/>
  <c r="G26" i="6" s="1"/>
  <c r="H26" i="6" s="1"/>
  <c r="I26" i="6" s="1"/>
  <c r="J26" i="6" s="1"/>
  <c r="J38" i="14"/>
  <c r="K38" i="14" s="1"/>
  <c r="L38" i="14" s="1"/>
  <c r="M38" i="14" s="1"/>
  <c r="N38" i="14" s="1"/>
  <c r="F24" i="6"/>
  <c r="G24" i="6" s="1"/>
  <c r="H24" i="6" s="1"/>
  <c r="I24" i="6" s="1"/>
  <c r="J24" i="6" s="1"/>
  <c r="I203" i="31"/>
  <c r="F23" i="6"/>
  <c r="D91" i="31"/>
  <c r="J12" i="14" s="1"/>
  <c r="F15" i="6"/>
  <c r="G15" i="6" s="1"/>
  <c r="H15" i="6" s="1"/>
  <c r="I15" i="6" s="1"/>
  <c r="J15" i="6" s="1"/>
  <c r="F18" i="6"/>
  <c r="G18" i="6" s="1"/>
  <c r="H18" i="6" s="1"/>
  <c r="I18" i="6" s="1"/>
  <c r="J18" i="6" s="1"/>
  <c r="K11" i="22"/>
  <c r="J36" i="14"/>
  <c r="K36" i="14" s="1"/>
  <c r="L36" i="14" s="1"/>
  <c r="H183" i="31"/>
  <c r="J35" i="14" s="1"/>
  <c r="J85" i="14" s="1"/>
  <c r="E90" i="31"/>
  <c r="K92" i="14" s="1"/>
  <c r="F90" i="31"/>
  <c r="L92" i="14" s="1"/>
  <c r="J184" i="31"/>
  <c r="J185" i="31" s="1"/>
  <c r="D46" i="31"/>
  <c r="E46" i="31" s="1"/>
  <c r="M8" i="14"/>
  <c r="J9" i="14"/>
  <c r="H193" i="31" s="1"/>
  <c r="H194" i="31" s="1"/>
  <c r="H192" i="31" s="1"/>
  <c r="D63" i="35" l="1"/>
  <c r="E60" i="35"/>
  <c r="F51" i="35"/>
  <c r="F54" i="35"/>
  <c r="D46" i="35"/>
  <c r="D47" i="35" s="1"/>
  <c r="H53" i="35"/>
  <c r="H40" i="35"/>
  <c r="H43" i="35"/>
  <c r="H52" i="35"/>
  <c r="H42" i="35"/>
  <c r="G50" i="35"/>
  <c r="G44" i="35"/>
  <c r="J195" i="31"/>
  <c r="H22" i="6" s="1"/>
  <c r="J186" i="31"/>
  <c r="H21" i="6" s="1"/>
  <c r="D92" i="31"/>
  <c r="E89" i="31" s="1"/>
  <c r="E91" i="31" s="1"/>
  <c r="K12" i="14" s="1"/>
  <c r="E41" i="22"/>
  <c r="I183" i="31"/>
  <c r="K35" i="14" s="1"/>
  <c r="E24" i="22"/>
  <c r="K24" i="22" s="1"/>
  <c r="E28" i="22" s="1"/>
  <c r="K12" i="22"/>
  <c r="J203" i="31"/>
  <c r="G23" i="6"/>
  <c r="L96" i="14"/>
  <c r="G41" i="22"/>
  <c r="K96" i="14"/>
  <c r="F41" i="22"/>
  <c r="K85" i="14"/>
  <c r="M36" i="14"/>
  <c r="J13" i="14"/>
  <c r="C86" i="32" s="1"/>
  <c r="J81" i="14"/>
  <c r="E40" i="22" s="1"/>
  <c r="G12" i="6"/>
  <c r="K10" i="14" s="1"/>
  <c r="K9" i="14" s="1"/>
  <c r="I193" i="31" s="1"/>
  <c r="I194" i="31" s="1"/>
  <c r="I192" i="31" s="1"/>
  <c r="G90" i="31"/>
  <c r="M92" i="14" s="1"/>
  <c r="K184" i="31"/>
  <c r="K185" i="31" s="1"/>
  <c r="J37" i="14"/>
  <c r="J86" i="14" s="1"/>
  <c r="H201" i="31"/>
  <c r="H202" i="31" s="1"/>
  <c r="H200" i="31" s="1"/>
  <c r="J51" i="14" s="1"/>
  <c r="J87" i="14" s="1"/>
  <c r="K195" i="31"/>
  <c r="I22" i="6" s="1"/>
  <c r="N8" i="14"/>
  <c r="F46" i="31"/>
  <c r="H12" i="6"/>
  <c r="L10" i="14" s="1"/>
  <c r="D73" i="35" l="1"/>
  <c r="E73" i="35" s="1"/>
  <c r="D70" i="35"/>
  <c r="E70" i="35" s="1"/>
  <c r="H50" i="35"/>
  <c r="H44" i="35"/>
  <c r="D71" i="35"/>
  <c r="E71" i="35" s="1"/>
  <c r="D72" i="35"/>
  <c r="E72" i="35" s="1"/>
  <c r="G51" i="35"/>
  <c r="G54" i="35" s="1"/>
  <c r="E55" i="35"/>
  <c r="E57" i="35" s="1"/>
  <c r="E61" i="35" s="1"/>
  <c r="E62" i="35" s="1"/>
  <c r="E45" i="35"/>
  <c r="J41" i="14"/>
  <c r="J47" i="14" s="1"/>
  <c r="J183" i="31"/>
  <c r="L35" i="14" s="1"/>
  <c r="L85" i="14" s="1"/>
  <c r="K186" i="31"/>
  <c r="I21" i="6" s="1"/>
  <c r="H93" i="32"/>
  <c r="H90" i="32"/>
  <c r="H92" i="32"/>
  <c r="H94" i="32"/>
  <c r="H91" i="32"/>
  <c r="H95" i="32"/>
  <c r="K203" i="31"/>
  <c r="H23" i="6"/>
  <c r="E32" i="22"/>
  <c r="J18" i="14"/>
  <c r="J20" i="14" s="1"/>
  <c r="E37" i="22"/>
  <c r="E38" i="22" s="1"/>
  <c r="E39" i="22" s="1"/>
  <c r="M96" i="14"/>
  <c r="H41" i="22"/>
  <c r="N36" i="14"/>
  <c r="K13" i="14"/>
  <c r="K81" i="14"/>
  <c r="F40" i="22" s="1"/>
  <c r="E92" i="31"/>
  <c r="F89" i="31" s="1"/>
  <c r="F91" i="31" s="1"/>
  <c r="L12" i="14" s="1"/>
  <c r="L195" i="31"/>
  <c r="J22" i="6" s="1"/>
  <c r="H90" i="31"/>
  <c r="N92" i="14" s="1"/>
  <c r="L184" i="31"/>
  <c r="L185" i="31" s="1"/>
  <c r="I201" i="31"/>
  <c r="I202" i="31" s="1"/>
  <c r="I200" i="31" s="1"/>
  <c r="K51" i="14" s="1"/>
  <c r="K87" i="14" s="1"/>
  <c r="K37" i="14"/>
  <c r="L9" i="14"/>
  <c r="J193" i="31" s="1"/>
  <c r="J194" i="31" s="1"/>
  <c r="J192" i="31" s="1"/>
  <c r="G46" i="31"/>
  <c r="J12" i="6" s="1"/>
  <c r="N10" i="14" s="1"/>
  <c r="I12" i="6"/>
  <c r="M10" i="14" s="1"/>
  <c r="E46" i="35" l="1"/>
  <c r="E47" i="35"/>
  <c r="F60" i="35"/>
  <c r="E63" i="35"/>
  <c r="H51" i="35"/>
  <c r="H54" i="35"/>
  <c r="K183" i="31"/>
  <c r="M35" i="14" s="1"/>
  <c r="M85" i="14" s="1"/>
  <c r="L186" i="31"/>
  <c r="J21" i="6" s="1"/>
  <c r="E45" i="22"/>
  <c r="F45" i="22"/>
  <c r="H45" i="22"/>
  <c r="I45" i="22"/>
  <c r="G45" i="22"/>
  <c r="L203" i="31"/>
  <c r="J23" i="6" s="1"/>
  <c r="I23" i="6"/>
  <c r="N96" i="14"/>
  <c r="I41" i="22"/>
  <c r="K18" i="14"/>
  <c r="K20" i="14" s="1"/>
  <c r="K53" i="14" s="1"/>
  <c r="F37" i="22"/>
  <c r="J21" i="14"/>
  <c r="J23" i="14" s="1"/>
  <c r="J24" i="14" s="1"/>
  <c r="C215" i="31" s="1"/>
  <c r="C216" i="31" s="1"/>
  <c r="J53" i="14"/>
  <c r="J88" i="14" s="1"/>
  <c r="E42" i="22" s="1"/>
  <c r="E43" i="22" s="1"/>
  <c r="L13" i="14"/>
  <c r="L81" i="14"/>
  <c r="G40" i="22" s="1"/>
  <c r="K86" i="14"/>
  <c r="K41" i="14"/>
  <c r="K47" i="14" s="1"/>
  <c r="L183" i="31"/>
  <c r="N35" i="14" s="1"/>
  <c r="N85" i="14" s="1"/>
  <c r="F92" i="31"/>
  <c r="G89" i="31" s="1"/>
  <c r="J201" i="31"/>
  <c r="J202" i="31" s="1"/>
  <c r="J200" i="31" s="1"/>
  <c r="L51" i="14" s="1"/>
  <c r="L87" i="14" s="1"/>
  <c r="L37" i="14"/>
  <c r="N9" i="14"/>
  <c r="L193" i="31" s="1"/>
  <c r="L194" i="31" s="1"/>
  <c r="L192" i="31" s="1"/>
  <c r="M9" i="14"/>
  <c r="K193" i="31" s="1"/>
  <c r="K194" i="31" s="1"/>
  <c r="K192" i="31" s="1"/>
  <c r="F55" i="35" l="1"/>
  <c r="F57" i="35" s="1"/>
  <c r="F61" i="35" s="1"/>
  <c r="F62" i="35"/>
  <c r="F45" i="35"/>
  <c r="K88" i="14"/>
  <c r="F42" i="22" s="1"/>
  <c r="K21" i="14"/>
  <c r="K23" i="14" s="1"/>
  <c r="K24" i="14" s="1"/>
  <c r="K80" i="14" s="1"/>
  <c r="E46" i="22"/>
  <c r="J80" i="14"/>
  <c r="D223" i="31"/>
  <c r="J55" i="14"/>
  <c r="J61" i="14" s="1"/>
  <c r="L18" i="14"/>
  <c r="L20" i="14" s="1"/>
  <c r="L53" i="14" s="1"/>
  <c r="L88" i="14" s="1"/>
  <c r="G37" i="22"/>
  <c r="G38" i="22" s="1"/>
  <c r="G39" i="22" s="1"/>
  <c r="K55" i="14"/>
  <c r="K61" i="14" s="1"/>
  <c r="F38" i="22"/>
  <c r="F39" i="22" s="1"/>
  <c r="L86" i="14"/>
  <c r="L41" i="14"/>
  <c r="L47" i="14" s="1"/>
  <c r="G91" i="31"/>
  <c r="M12" i="14" s="1"/>
  <c r="K201" i="31"/>
  <c r="K202" i="31" s="1"/>
  <c r="K200" i="31" s="1"/>
  <c r="M51" i="14" s="1"/>
  <c r="M87" i="14" s="1"/>
  <c r="M37" i="14"/>
  <c r="L201" i="31"/>
  <c r="L202" i="31" s="1"/>
  <c r="L200" i="31" s="1"/>
  <c r="N51" i="14" s="1"/>
  <c r="N37" i="14"/>
  <c r="F63" i="35" l="1"/>
  <c r="G60" i="35"/>
  <c r="F46" i="35"/>
  <c r="F47" i="35" s="1"/>
  <c r="E223" i="31"/>
  <c r="D215" i="31"/>
  <c r="D216" i="31" s="1"/>
  <c r="L21" i="14"/>
  <c r="L23" i="14" s="1"/>
  <c r="L24" i="14" s="1"/>
  <c r="F223" i="31" s="1"/>
  <c r="L55" i="14"/>
  <c r="L61" i="14" s="1"/>
  <c r="F43" i="22"/>
  <c r="F46" i="22" s="1"/>
  <c r="N87" i="14"/>
  <c r="G42" i="22"/>
  <c r="G43" i="22" s="1"/>
  <c r="G46" i="22" s="1"/>
  <c r="M13" i="14"/>
  <c r="M81" i="14"/>
  <c r="H40" i="22" s="1"/>
  <c r="N86" i="14"/>
  <c r="M86" i="14"/>
  <c r="G92" i="31"/>
  <c r="H89" i="31" s="1"/>
  <c r="H91" i="31" s="1"/>
  <c r="N12" i="14" s="1"/>
  <c r="G55" i="35" l="1"/>
  <c r="G57" i="35" s="1"/>
  <c r="G61" i="35" s="1"/>
  <c r="G62" i="35"/>
  <c r="G45" i="35"/>
  <c r="L80" i="14"/>
  <c r="E215" i="31"/>
  <c r="E216" i="31" s="1"/>
  <c r="M18" i="14"/>
  <c r="H37" i="22"/>
  <c r="H38" i="22" s="1"/>
  <c r="H39" i="22" s="1"/>
  <c r="H92" i="31"/>
  <c r="N41" i="14" s="1"/>
  <c r="N47" i="14" s="1"/>
  <c r="M41" i="14"/>
  <c r="M47" i="14" s="1"/>
  <c r="N13" i="14"/>
  <c r="N81" i="14"/>
  <c r="I40" i="22" s="1"/>
  <c r="G46" i="35" l="1"/>
  <c r="G47" i="35"/>
  <c r="G63" i="35"/>
  <c r="H60" i="35"/>
  <c r="N18" i="14"/>
  <c r="N20" i="14" s="1"/>
  <c r="N53" i="14" s="1"/>
  <c r="N55" i="14" s="1"/>
  <c r="N61" i="14" s="1"/>
  <c r="I37" i="22"/>
  <c r="M20" i="14"/>
  <c r="M53" i="14" s="1"/>
  <c r="H45" i="35" l="1"/>
  <c r="H55" i="35"/>
  <c r="H57" i="35" s="1"/>
  <c r="H61" i="35" s="1"/>
  <c r="H62" i="35" s="1"/>
  <c r="N21" i="14"/>
  <c r="N23" i="14" s="1"/>
  <c r="N24" i="14" s="1"/>
  <c r="M21" i="14"/>
  <c r="M23" i="14" s="1"/>
  <c r="M24" i="14" s="1"/>
  <c r="F215" i="31" s="1"/>
  <c r="F216" i="31" s="1"/>
  <c r="K56" i="22"/>
  <c r="K57" i="22" s="1"/>
  <c r="K60" i="22" s="1"/>
  <c r="I38" i="22"/>
  <c r="I39" i="22" s="1"/>
  <c r="M88" i="14"/>
  <c r="H42" i="22" s="1"/>
  <c r="H43" i="22" s="1"/>
  <c r="H46" i="22" s="1"/>
  <c r="M55" i="14"/>
  <c r="M61" i="14" s="1"/>
  <c r="N88" i="14"/>
  <c r="I42" i="22" s="1"/>
  <c r="F70" i="35" l="1"/>
  <c r="G70" i="35" s="1"/>
  <c r="F71" i="35"/>
  <c r="G71" i="35" s="1"/>
  <c r="H63" i="35"/>
  <c r="F72" i="35"/>
  <c r="G72" i="35" s="1"/>
  <c r="F73" i="35"/>
  <c r="G73" i="35" s="1"/>
  <c r="H46" i="35"/>
  <c r="H47" i="35" s="1"/>
  <c r="I43" i="22"/>
  <c r="E56" i="22" s="1"/>
  <c r="E57" i="22" s="1"/>
  <c r="E60" i="22" s="1"/>
  <c r="F30" i="6"/>
  <c r="G30" i="6" s="1"/>
  <c r="H30" i="6" s="1"/>
  <c r="I30" i="6" s="1"/>
  <c r="J30" i="6" s="1"/>
  <c r="N80" i="14"/>
  <c r="H223" i="31"/>
  <c r="H224" i="31" s="1"/>
  <c r="N99" i="14" s="1"/>
  <c r="N102" i="14" s="1"/>
  <c r="G223" i="31"/>
  <c r="G224" i="31" s="1"/>
  <c r="M99" i="14" s="1"/>
  <c r="M102" i="14" s="1"/>
  <c r="M80" i="14"/>
  <c r="E224" i="31"/>
  <c r="K99" i="14" s="1"/>
  <c r="K102" i="14" s="1"/>
  <c r="D224" i="31"/>
  <c r="F224" i="31"/>
  <c r="L99" i="14" s="1"/>
  <c r="L102" i="14" s="1"/>
  <c r="D81" i="35" l="1"/>
  <c r="E81" i="35" s="1"/>
  <c r="I73" i="35"/>
  <c r="I72" i="35"/>
  <c r="D80" i="35"/>
  <c r="E80" i="35" s="1"/>
  <c r="I71" i="35"/>
  <c r="D79" i="35"/>
  <c r="E79" i="35" s="1"/>
  <c r="D78" i="35"/>
  <c r="E78" i="35" s="1"/>
  <c r="I70" i="35"/>
  <c r="I46" i="22"/>
  <c r="E47" i="22" s="1"/>
  <c r="F66" i="22" s="1"/>
  <c r="F69" i="22" s="1"/>
  <c r="F72" i="22" s="1"/>
  <c r="D226" i="31"/>
  <c r="J99" i="14"/>
  <c r="J102" i="14" s="1"/>
  <c r="E66" i="22" l="1"/>
  <c r="E69" i="22" s="1"/>
  <c r="E72" i="22" s="1"/>
  <c r="E75" i="22" s="1"/>
  <c r="F75" i="22"/>
  <c r="E22" i="26"/>
  <c r="J68" i="14"/>
  <c r="J70" i="14" s="1"/>
  <c r="E222" i="31"/>
  <c r="E226" i="31" s="1"/>
  <c r="E9" i="26" l="1"/>
  <c r="K68" i="14"/>
  <c r="K70" i="14" s="1"/>
  <c r="F222" i="31"/>
  <c r="F226" i="31" s="1"/>
  <c r="L68" i="14" l="1"/>
  <c r="L70" i="14" s="1"/>
  <c r="G222" i="31"/>
  <c r="G226" i="31" s="1"/>
  <c r="J89" i="14"/>
  <c r="J105" i="14" s="1"/>
  <c r="J34" i="14" s="1"/>
  <c r="J39" i="14" s="1"/>
  <c r="J48" i="14" s="1"/>
  <c r="J71" i="14" s="1"/>
  <c r="K89" i="14"/>
  <c r="K105" i="14" s="1"/>
  <c r="M68" i="14" l="1"/>
  <c r="M70" i="14" s="1"/>
  <c r="H222" i="31"/>
  <c r="H226" i="31" s="1"/>
  <c r="N68" i="14" s="1"/>
  <c r="N70" i="14" s="1"/>
  <c r="K34" i="14"/>
  <c r="K39" i="14" s="1"/>
  <c r="K48" i="14" s="1"/>
  <c r="K71" i="14" s="1"/>
  <c r="L89" i="14"/>
  <c r="L105" i="14" s="1"/>
  <c r="M89" i="14"/>
  <c r="M105" i="14" s="1"/>
  <c r="N89" i="14"/>
  <c r="N105" i="14" s="1"/>
  <c r="L34" i="14" l="1"/>
  <c r="L39" i="14" s="1"/>
  <c r="L48" i="14" s="1"/>
  <c r="L71" i="14" s="1"/>
  <c r="M34" i="14" l="1"/>
  <c r="N34" i="14"/>
  <c r="N39" i="14" s="1"/>
  <c r="N48" i="14" s="1"/>
  <c r="N71" i="14" s="1"/>
  <c r="M39" i="14"/>
  <c r="M48" i="14" s="1"/>
  <c r="M71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<sst xmlns="http://schemas.openxmlformats.org/spreadsheetml/2006/main" count="1895" uniqueCount="1181">
  <si>
    <t>Intertek Group plc</t>
  </si>
  <si>
    <t>Equity Valuation &amp; Financial Analysis</t>
  </si>
  <si>
    <t>ITRK-GB  |  LONDON |  Business Services</t>
  </si>
  <si>
    <t>Prepared by</t>
  </si>
  <si>
    <t>Group - F ( Divij , Mona, Duarte, Nacho, Alberto, Lucas )</t>
  </si>
  <si>
    <t>Date</t>
  </si>
  <si>
    <t>Version</t>
  </si>
  <si>
    <t>v1.0</t>
  </si>
  <si>
    <t>Sources</t>
  </si>
  <si>
    <t>Model Type</t>
  </si>
  <si>
    <t>DCF Valuation  |  Trading Comps  |  Scenario Analysis</t>
  </si>
  <si>
    <t>Intertek Group Plc</t>
  </si>
  <si>
    <t>Comprehensive Valuation Model — Table of Contents</t>
  </si>
  <si>
    <t>Tab #</t>
  </si>
  <si>
    <t>Tab Name</t>
  </si>
  <si>
    <t>Description</t>
  </si>
  <si>
    <t>Status</t>
  </si>
  <si>
    <t>SECTION 1: EXECUTIVE SUMMARY &amp; OVERVIEW</t>
  </si>
  <si>
    <t>Cover</t>
  </si>
  <si>
    <t>Complete</t>
  </si>
  <si>
    <t>TOC</t>
  </si>
  <si>
    <t>Table of contents &amp; model map</t>
  </si>
  <si>
    <t>Executive Summary</t>
  </si>
  <si>
    <t>Investment thesis, highlights, key findings, target price</t>
  </si>
  <si>
    <t>SECTION 2: HISTORICAL FINANCIALS &amp; ANALYSIS</t>
  </si>
  <si>
    <t>Historical Financials</t>
  </si>
  <si>
    <t>Historical IS + BS + CF (vertical 3-statement model)</t>
  </si>
  <si>
    <t>Historical Analysis</t>
  </si>
  <si>
    <t>Margins, growth rates, ratio analysis, trends</t>
  </si>
  <si>
    <t>SECTION 3: ASSUMPTIONS &amp; OTHER INPUTS</t>
  </si>
  <si>
    <t>Master Assumptions</t>
  </si>
  <si>
    <t>Key drivers: revenue growth, margins, CapEx, tax, WACC</t>
  </si>
  <si>
    <t>Supporting Schedules</t>
  </si>
  <si>
    <t>Supporting analysis: TAM, benchmarks, comps backup</t>
  </si>
  <si>
    <t>SECTION 4: FORECASTS &amp; PROJECTIONS</t>
  </si>
  <si>
    <t>Forecast Model</t>
  </si>
  <si>
    <t>Projected IS + BS + CF (vertical 3-statement model)</t>
  </si>
  <si>
    <t>SECTION 5: VALUATION</t>
  </si>
  <si>
    <t>DCF Valuation</t>
  </si>
  <si>
    <t>Discounted Cash Flow analysis (WACC, terminal value)</t>
  </si>
  <si>
    <t>Trading Comps</t>
  </si>
  <si>
    <t>Public comparable company analysis (EV/Revenue, EV/EBITDA)</t>
  </si>
  <si>
    <t>Valuation Summary</t>
  </si>
  <si>
    <t>Combined valuation range across all methodologies</t>
  </si>
  <si>
    <t>SECTION 6: POTENTIAL DEAL SCENARIOS</t>
  </si>
  <si>
    <t>Deal Scenario A</t>
  </si>
  <si>
    <t>Potential M&amp;A , strategic acquisition modelling</t>
  </si>
  <si>
    <t>Deal Scenario B</t>
  </si>
  <si>
    <t xml:space="preserve">PE Take Private Scenario </t>
  </si>
  <si>
    <t>SECTION 7: OUTPUTS &amp; ANALYSIS</t>
  </si>
  <si>
    <t>Sensitivity Tables</t>
  </si>
  <si>
    <t>WACC vs. growth, revenue vs. margin data tables</t>
  </si>
  <si>
    <t>SECTION 7: REFERENCE &amp; DATA</t>
  </si>
  <si>
    <t>Sources &amp; Footnotes</t>
  </si>
  <si>
    <t>Data sources, methodology notes, disclaimers</t>
  </si>
  <si>
    <t>COLOR CODING LEGEND</t>
  </si>
  <si>
    <t>🔵</t>
  </si>
  <si>
    <t>BLUE cells</t>
  </si>
  <si>
    <t>Hardcoded inputs / assumptions (user changes these)</t>
  </si>
  <si>
    <t>⬛</t>
  </si>
  <si>
    <t>BLACK cells</t>
  </si>
  <si>
    <t>Formulas &amp; calculations (model calculates these)</t>
  </si>
  <si>
    <t>🟢</t>
  </si>
  <si>
    <t>GREEN cells</t>
  </si>
  <si>
    <t>Links from other worksheets within workbook</t>
  </si>
  <si>
    <t>🟡</t>
  </si>
  <si>
    <t>YELLOW cells</t>
  </si>
  <si>
    <t>Flags / checks / key assumptions needing attention</t>
  </si>
  <si>
    <t>🔴</t>
  </si>
  <si>
    <t>RED cells</t>
  </si>
  <si>
    <t>External links to other files</t>
  </si>
  <si>
    <t>INTERTEK GROUP PLC</t>
  </si>
  <si>
    <t>ITRK.L | LSE</t>
  </si>
  <si>
    <t>Equity Research  |  Executive Summary  |  Valuation Analysis</t>
  </si>
  <si>
    <t>Testing, Inspection &amp; Certification</t>
  </si>
  <si>
    <t>CURRENT PRICE</t>
  </si>
  <si>
    <t>MARKET CAP (£mm)</t>
  </si>
  <si>
    <t>ENTERPRISE VALUE (£mm)</t>
  </si>
  <si>
    <t>LTM REVENUE (£mm)</t>
  </si>
  <si>
    <t>WACC</t>
  </si>
  <si>
    <t>DCF TARGET PRICE</t>
  </si>
  <si>
    <t>£37.34</t>
  </si>
  <si>
    <t>£5,802</t>
  </si>
  <si>
    <t>£6,844</t>
  </si>
  <si>
    <t>£3,393</t>
  </si>
  <si>
    <t>7.4%</t>
  </si>
  <si>
    <t>£50.65 - £63.52</t>
  </si>
  <si>
    <t>ITRK.L</t>
  </si>
  <si>
    <t>155.4mm shares</t>
  </si>
  <si>
    <t>Net Debt: £570mm</t>
  </si>
  <si>
    <t>FY2024A</t>
  </si>
  <si>
    <t>Ke: 7.9% | Kd: 4.1%</t>
  </si>
  <si>
    <t>+35.6% to +70.1% upside</t>
  </si>
  <si>
    <t>REVENUE &amp; EBITDA TRAJECTORY (£mm)</t>
  </si>
  <si>
    <t>MARGIN EVOLUTION (%)</t>
  </si>
  <si>
    <t xml:space="preserve"> </t>
  </si>
  <si>
    <t>2021A</t>
  </si>
  <si>
    <t>2022A</t>
  </si>
  <si>
    <t>2023A</t>
  </si>
  <si>
    <t>2024A</t>
  </si>
  <si>
    <t>2025E</t>
  </si>
  <si>
    <t>2026E</t>
  </si>
  <si>
    <t>Revenue</t>
  </si>
  <si>
    <t>Gross Margin</t>
  </si>
  <si>
    <t xml:space="preserve">  Revenue Growth %</t>
  </si>
  <si>
    <t>—</t>
  </si>
  <si>
    <t>EBITDA Margin</t>
  </si>
  <si>
    <t>EBITDA</t>
  </si>
  <si>
    <t>EBIT Margin</t>
  </si>
  <si>
    <t>EBIT</t>
  </si>
  <si>
    <t>Net Margin</t>
  </si>
  <si>
    <t>Net Income</t>
  </si>
  <si>
    <t>Return on Equity</t>
  </si>
  <si>
    <t>5.50%</t>
  </si>
  <si>
    <t>FREE CASH FLOW BRIDGE — 2025E (£mm)</t>
  </si>
  <si>
    <t>KEY RETURN &amp; CREDIT METRICS</t>
  </si>
  <si>
    <t>PEER COMPARISON — KEY MULTIPLES</t>
  </si>
  <si>
    <t>2.5%</t>
  </si>
  <si>
    <t>FCF Component</t>
  </si>
  <si>
    <t>Metric</t>
  </si>
  <si>
    <t>Company</t>
  </si>
  <si>
    <t>Ticker</t>
  </si>
  <si>
    <t>7.9%</t>
  </si>
  <si>
    <t>EV/Revenue</t>
  </si>
  <si>
    <t>EV/EBITDA</t>
  </si>
  <si>
    <t>EV/EBIT</t>
  </si>
  <si>
    <t>P/E</t>
  </si>
  <si>
    <t>FCF Yield</t>
  </si>
  <si>
    <t>Intertek</t>
  </si>
  <si>
    <t>ITRK GB</t>
  </si>
  <si>
    <t>2.57x</t>
  </si>
  <si>
    <t>11.2x</t>
  </si>
  <si>
    <t>15.1x</t>
  </si>
  <si>
    <t>21.2x</t>
  </si>
  <si>
    <t xml:space="preserve">  Less: Taxes on EBIT</t>
  </si>
  <si>
    <t>Net Debt / EBITDA</t>
  </si>
  <si>
    <t>SGS</t>
  </si>
  <si>
    <t>SGSN SW</t>
  </si>
  <si>
    <t>2.52x</t>
  </si>
  <si>
    <t>13.5x</t>
  </si>
  <si>
    <t>19.5x</t>
  </si>
  <si>
    <t>26.1x</t>
  </si>
  <si>
    <t xml:space="preserve">  Plus: D&amp;A</t>
  </si>
  <si>
    <t>ROIC</t>
  </si>
  <si>
    <t>Bureau Veritas</t>
  </si>
  <si>
    <t>BVI FP</t>
  </si>
  <si>
    <t>2.14x</t>
  </si>
  <si>
    <t>11.4x</t>
  </si>
  <si>
    <t>15.2x</t>
  </si>
  <si>
    <t>20.6x</t>
  </si>
  <si>
    <t xml:space="preserve">  Less: CapEx</t>
  </si>
  <si>
    <t>Dividend Payout %</t>
  </si>
  <si>
    <t>Eurofins</t>
  </si>
  <si>
    <t>ERF FP</t>
  </si>
  <si>
    <t>2.15x</t>
  </si>
  <si>
    <t>9.8x</t>
  </si>
  <si>
    <t>18.5x</t>
  </si>
  <si>
    <t>23.6x</t>
  </si>
  <si>
    <t xml:space="preserve">  Less: Δ Working Capital</t>
  </si>
  <si>
    <t>CapEx / Revenue</t>
  </si>
  <si>
    <t>Wolters Kluwer</t>
  </si>
  <si>
    <t>WLK NL</t>
  </si>
  <si>
    <t>3.92x</t>
  </si>
  <si>
    <t>9.6x</t>
  </si>
  <si>
    <t>12.5x</t>
  </si>
  <si>
    <t>15.6x</t>
  </si>
  <si>
    <t>Unlevered FCF</t>
  </si>
  <si>
    <t>Cash Conversion</t>
  </si>
  <si>
    <t>Mean</t>
  </si>
  <si>
    <t>2.77x</t>
  </si>
  <si>
    <t>12.3x</t>
  </si>
  <si>
    <t>18.1x</t>
  </si>
  <si>
    <t>23.0x</t>
  </si>
  <si>
    <t>VALUATION FOOTBALL FIELD — IMPLIED SHARE PRICE (£)</t>
  </si>
  <si>
    <t>VALUATION UPSIDE SUMMARY</t>
  </si>
  <si>
    <t>DCF KEY ASSUMPTIONS &amp; OUTPUT</t>
  </si>
  <si>
    <t>Low</t>
  </si>
  <si>
    <t>High</t>
  </si>
  <si>
    <t>Methodology</t>
  </si>
  <si>
    <t>Midpoint (£)</t>
  </si>
  <si>
    <t>Upside</t>
  </si>
  <si>
    <t>CAPITAL STRUCTURE</t>
  </si>
  <si>
    <t>TERMINAL VALUE</t>
  </si>
  <si>
    <t>DCF Perpetuity</t>
  </si>
  <si>
    <t>Equity Risk Premium</t>
  </si>
  <si>
    <t>Exit EV/EBITDA</t>
  </si>
  <si>
    <t>12.0x</t>
  </si>
  <si>
    <t>DCF Exit Multiple</t>
  </si>
  <si>
    <t>Levered Beta</t>
  </si>
  <si>
    <t>0.71x</t>
  </si>
  <si>
    <t>Terminal Growth Rate</t>
  </si>
  <si>
    <t>Cost of Equity (Ke)</t>
  </si>
  <si>
    <t>PV of Terminal Value</t>
  </si>
  <si>
    <t>£6,532 - £8,507</t>
  </si>
  <si>
    <t>Blended (Equal Wt.)</t>
  </si>
  <si>
    <t>IMPLIED SHARE PRICE</t>
  </si>
  <si>
    <t>TRADING COMPS SUMMARY</t>
  </si>
  <si>
    <t>£50.65</t>
  </si>
  <si>
    <t>EV/Revenue (Mean)</t>
  </si>
  <si>
    <t>£63.52</t>
  </si>
  <si>
    <t>EV/EBITDA (Mean)</t>
  </si>
  <si>
    <t>Comps Mean</t>
  </si>
  <si>
    <t>£57.29</t>
  </si>
  <si>
    <t>EV/EBIT (Mean)</t>
  </si>
  <si>
    <t>P/E (Mean)</t>
  </si>
  <si>
    <t>KEY INVESTMENT HIGHLIGHTS</t>
  </si>
  <si>
    <t>▎ Market Leader</t>
  </si>
  <si>
    <t>▎ Resilient Cash Generation</t>
  </si>
  <si>
    <t>▎ Significant Undervaluation</t>
  </si>
  <si>
    <t>Global #1 in TIC sector with diversified end-market exposure across 100+ countries</t>
  </si>
  <si>
    <t>Consistent UFCF of ~£430mm p.a. with low capex intensity (3.7% of revenue)</t>
  </si>
  <si>
    <t>All valuation methods imply 36-70% upside; trading at discount to peers on EV/EBITDA</t>
  </si>
  <si>
    <t>Offset</t>
  </si>
  <si>
    <t>Range</t>
  </si>
  <si>
    <t>DCF - Exit Multiple</t>
  </si>
  <si>
    <t>DCF - Perpetuity Growth</t>
  </si>
  <si>
    <t xml:space="preserve">INCOME STATEMENT </t>
  </si>
  <si>
    <t xml:space="preserve">COGS </t>
  </si>
  <si>
    <t>Gross Profit</t>
  </si>
  <si>
    <t>D&amp;A Expense</t>
  </si>
  <si>
    <t>Unusual Expense</t>
  </si>
  <si>
    <t>Interest Expense</t>
  </si>
  <si>
    <t>Other Income (Expense)</t>
  </si>
  <si>
    <t>EBT</t>
  </si>
  <si>
    <t>Income Taxes</t>
  </si>
  <si>
    <t xml:space="preserve">ETR % </t>
  </si>
  <si>
    <t>Consolidated Net Income</t>
  </si>
  <si>
    <t>Minority Interest</t>
  </si>
  <si>
    <t>BALANCE STATEMENT</t>
  </si>
  <si>
    <t>Assets</t>
  </si>
  <si>
    <t>Cash &amp; Short-Term Investments</t>
  </si>
  <si>
    <t>Accounts Receivable</t>
  </si>
  <si>
    <t>Other Receivables</t>
  </si>
  <si>
    <t>Inventories</t>
  </si>
  <si>
    <t>Other Current Assets</t>
  </si>
  <si>
    <t>Total Current Assets</t>
  </si>
  <si>
    <t>Net PP&amp;E</t>
  </si>
  <si>
    <t>Goodwill</t>
  </si>
  <si>
    <t>Other Intangible Assets</t>
  </si>
  <si>
    <t>Long-Term Investments</t>
  </si>
  <si>
    <t>Deferred Tax Assets</t>
  </si>
  <si>
    <t>Other Non-Current Assets</t>
  </si>
  <si>
    <t>Total Non-Current Assets</t>
  </si>
  <si>
    <t>Total Assets</t>
  </si>
  <si>
    <t>Liabilities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</si>
  <si>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</si>
  <si>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</si>
  <si>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</si>
  <si>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</si>
  <si>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</si>
  <si>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</si>
  <si>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</si>
  <si>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</si>
  <si>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</si>
  <si>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</si>
  <si>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Shareholders' Equity</t>
  </si>
  <si>
    <t>Common Stock &amp; APIC</t>
  </si>
  <si>
    <t>Retained Earnings</t>
  </si>
  <si>
    <t>Treasury Stock</t>
  </si>
  <si>
    <t>Other Comprehensive Income</t>
  </si>
  <si>
    <t>Total Shareholders' Equity</t>
  </si>
  <si>
    <t>Total Liabilities &amp; Equity</t>
  </si>
  <si>
    <t xml:space="preserve">CASH FLOW STATEMENT  </t>
  </si>
  <si>
    <t>Operating Activities</t>
  </si>
  <si>
    <t>D&amp;A</t>
  </si>
  <si>
    <t>Deferred Taxes</t>
  </si>
  <si>
    <t>Stock-Based Compensation &amp; Other</t>
  </si>
  <si>
    <t>Changes in Working Capital:</t>
  </si>
  <si>
    <t xml:space="preserve">  (Increase) / Decrease in Receivables</t>
  </si>
  <si>
    <t xml:space="preserve">  (Increase) / Decrease in Inventories</t>
  </si>
  <si>
    <t xml:space="preserve">  Increase / (Decrease) in Accounts Payable</t>
  </si>
  <si>
    <t xml:space="preserve">  Other Working Capital Changes</t>
  </si>
  <si>
    <t>Cash Flow from Operations</t>
  </si>
  <si>
    <t>Investing Activities</t>
  </si>
  <si>
    <t>Capital Expenditures</t>
  </si>
  <si>
    <t>Acquisitions</t>
  </si>
  <si>
    <t>Purchase / Sale of Investments</t>
  </si>
  <si>
    <t>-</t>
  </si>
  <si>
    <t>Other Investing Activities</t>
  </si>
  <si>
    <t>Cash Flow from Investing</t>
  </si>
  <si>
    <t>Financing Activities</t>
  </si>
  <si>
    <t>Dividends Paid</t>
  </si>
  <si>
    <t>Share Repurchases</t>
  </si>
  <si>
    <t>Debt Issuance / (Repayment)</t>
  </si>
  <si>
    <t>Cash Flow from Financing</t>
  </si>
  <si>
    <t>Effect of Exchange Rate</t>
  </si>
  <si>
    <t>Net Change in Cash</t>
  </si>
  <si>
    <t xml:space="preserve">SECTION A: GROWTH AND MARGIN ANALYSIS </t>
  </si>
  <si>
    <t xml:space="preserve">REVENUE GROWTH: </t>
  </si>
  <si>
    <t>Trend</t>
  </si>
  <si>
    <t>Total Revenue ($M)</t>
  </si>
  <si>
    <t xml:space="preserve">YoY Growth % </t>
  </si>
  <si>
    <t>5Y CAGR</t>
  </si>
  <si>
    <t>YoY Growth</t>
  </si>
  <si>
    <t xml:space="preserve">GROSS MARGIN: </t>
  </si>
  <si>
    <t>Gross Profit ($M)</t>
  </si>
  <si>
    <t>Gross Profit %</t>
  </si>
  <si>
    <t xml:space="preserve">OPEX ANALYSIS: </t>
  </si>
  <si>
    <t>D&amp;A % of Revenue</t>
  </si>
  <si>
    <t>Total Opex % of Revenue</t>
  </si>
  <si>
    <t>PROFITABILITY:</t>
  </si>
  <si>
    <t xml:space="preserve">Operating Margin % </t>
  </si>
  <si>
    <t>EBITDA Margin %</t>
  </si>
  <si>
    <t>Net Margin %</t>
  </si>
  <si>
    <t>SECTION B: CASH GENERATION AND CAPITAL EFFICIENCY</t>
  </si>
  <si>
    <t>CASH FLOW QUALITY:</t>
  </si>
  <si>
    <t xml:space="preserve">Trend </t>
  </si>
  <si>
    <t>OCF</t>
  </si>
  <si>
    <t>FCF</t>
  </si>
  <si>
    <t>WC DYNAMICS:</t>
  </si>
  <si>
    <t>Changes in WC ($M):</t>
  </si>
  <si>
    <r>
      <t xml:space="preserve">     </t>
    </r>
    <r>
      <rPr>
        <i/>
        <sz val="12"/>
        <color theme="1"/>
        <rFont val="Aptos Narrow"/>
        <scheme val="minor"/>
      </rPr>
      <t xml:space="preserve">  Changes in AR</t>
    </r>
  </si>
  <si>
    <t xml:space="preserve">       Changes in AP</t>
  </si>
  <si>
    <t xml:space="preserve">       Changes in Inventory</t>
  </si>
  <si>
    <t xml:space="preserve">       Other WC changes </t>
  </si>
  <si>
    <t xml:space="preserve">Net WC Impact </t>
  </si>
  <si>
    <t>DSO</t>
  </si>
  <si>
    <t>DPO</t>
  </si>
  <si>
    <t>DIO</t>
  </si>
  <si>
    <t>CCC</t>
  </si>
  <si>
    <t>CAPEX REQUIREMENTS:</t>
  </si>
  <si>
    <t xml:space="preserve">CapEx ($M) </t>
  </si>
  <si>
    <t xml:space="preserve">      as % of Revenue </t>
  </si>
  <si>
    <t>CapEx / Depreciation</t>
  </si>
  <si>
    <t>SECTION C: BALANCE SHEET HEALTH AND RETURN METRICS</t>
  </si>
  <si>
    <t xml:space="preserve">LIQUIDITY: </t>
  </si>
  <si>
    <t xml:space="preserve">Current Ratio </t>
  </si>
  <si>
    <t>Quick Ratio</t>
  </si>
  <si>
    <t>LEVERAGE:</t>
  </si>
  <si>
    <t xml:space="preserve">Total Debt </t>
  </si>
  <si>
    <t>Equity</t>
  </si>
  <si>
    <t>Debt / Equity</t>
  </si>
  <si>
    <t>ICR</t>
  </si>
  <si>
    <t>EQUITY  &amp; RETAINED EARNINGS:</t>
  </si>
  <si>
    <t>Total Shareholder's Equity</t>
  </si>
  <si>
    <t xml:space="preserve">YoY equity Growth </t>
  </si>
  <si>
    <t>RETURN METRICS:</t>
  </si>
  <si>
    <t>RoE(%)</t>
  </si>
  <si>
    <t xml:space="preserve">       =NI/Shareholder's Equity</t>
  </si>
  <si>
    <t>RoA(%)</t>
  </si>
  <si>
    <t xml:space="preserve">       =Net Income/Avg Assets</t>
  </si>
  <si>
    <t>ROIC(%)</t>
  </si>
  <si>
    <t xml:space="preserve">          EBIT</t>
  </si>
  <si>
    <t xml:space="preserve">          x (1-Tax rate)</t>
  </si>
  <si>
    <t xml:space="preserve">         =NOPAT</t>
  </si>
  <si>
    <t xml:space="preserve">         Invested Capital</t>
  </si>
  <si>
    <t xml:space="preserve">        Total Equity </t>
  </si>
  <si>
    <t xml:space="preserve">              +Total Debt </t>
  </si>
  <si>
    <t xml:space="preserve">              -Excess Cash</t>
  </si>
  <si>
    <t>* Taking 2% of Revenue</t>
  </si>
  <si>
    <t xml:space="preserve">        = Invested Capital</t>
  </si>
  <si>
    <t xml:space="preserve">        = NOPAT/Invested Capital</t>
  </si>
  <si>
    <t>MASTER ASSUMPTIONS</t>
  </si>
  <si>
    <t xml:space="preserve">Intertek Group plc - ITRK-GB (London) </t>
  </si>
  <si>
    <t>SCENARIO SELECTOR</t>
  </si>
  <si>
    <t>Active Scenario:</t>
  </si>
  <si>
    <t>Base</t>
  </si>
  <si>
    <t>Scenario Code:</t>
  </si>
  <si>
    <t>(1=Bull, 2=Base, 3=Bear)</t>
  </si>
  <si>
    <t>ACTIVE ASSUMPTIONS</t>
  </si>
  <si>
    <t>2027E</t>
  </si>
  <si>
    <t>2028E</t>
  </si>
  <si>
    <t>2029E</t>
  </si>
  <si>
    <t>REVENUE &amp; MARGINS</t>
  </si>
  <si>
    <t>Revenue Growth % (LFL Bridge Framework )</t>
  </si>
  <si>
    <t>Gross Margin %</t>
  </si>
  <si>
    <t>Depreciation (% of Beg. PPE )</t>
  </si>
  <si>
    <t>Depreciation %</t>
  </si>
  <si>
    <t>TAX &amp; OTHER</t>
  </si>
  <si>
    <t>Effective Tax Rate %</t>
  </si>
  <si>
    <t>BALANCE SHEET &amp; CAPEX</t>
  </si>
  <si>
    <t>DSO (Days)</t>
  </si>
  <si>
    <t>DIO (Days)</t>
  </si>
  <si>
    <t>DPO (Days)</t>
  </si>
  <si>
    <t>Other Current Assets % of Revenue</t>
  </si>
  <si>
    <t>Income Tax Payable % of Tax Expense</t>
  </si>
  <si>
    <t>Other CL % of Revenue</t>
  </si>
  <si>
    <t>Capex as % of Revenue</t>
  </si>
  <si>
    <t>Other Assumptions</t>
  </si>
  <si>
    <t xml:space="preserve">Divident Payout % </t>
  </si>
  <si>
    <t>SUPPORTING SCHEDULES</t>
  </si>
  <si>
    <t>Intertek Group plc ( ITRK-GB)</t>
  </si>
  <si>
    <t xml:space="preserve">REVENUE SCHEDULE </t>
  </si>
  <si>
    <t>SECTION 1: HISTORICAL LFL BRIDGE (Management Framework)</t>
  </si>
  <si>
    <t>Prior Year Revenue (£m)</t>
  </si>
  <si>
    <t>LFL / Organic Growth (%)</t>
  </si>
  <si>
    <t xml:space="preserve">     LFL Revenue Impact (£m)</t>
  </si>
  <si>
    <t>FX Impact (%)</t>
  </si>
  <si>
    <t xml:space="preserve">     FX Revenue Impact (£m)</t>
  </si>
  <si>
    <t>M&amp;A Contribution (%)</t>
  </si>
  <si>
    <t xml:space="preserve">     M&amp;A Revenue Impact (£m)</t>
  </si>
  <si>
    <t>Total Reported Growth (%)</t>
  </si>
  <si>
    <t>Reported Revenue (£m) — Check</t>
  </si>
  <si>
    <t>Actual Revenue (£m)</t>
  </si>
  <si>
    <t>SECTION 2: FORECAST ASSUMPTIONS (2025E–2029E)</t>
  </si>
  <si>
    <t>Notes</t>
  </si>
  <si>
    <t>Mgmt guides MSD LFL at CCY. 4-yr avg = 5.8%. Slight taper to terminal ~5%.</t>
  </si>
  <si>
    <t xml:space="preserve">     Consumer Products</t>
  </si>
  <si>
    <t>Low-mid single digit. Mgmt guidance. Softlines headwinds offset by Electrical growth.</t>
  </si>
  <si>
    <t xml:space="preserve">     Industry &amp; Infrastructure</t>
  </si>
  <si>
    <t>Below group avg. FY24 LFL 1.7%. Infrastructure cycle recovering — low-mid.</t>
  </si>
  <si>
    <t xml:space="preserve">     World of Energy</t>
  </si>
  <si>
    <t>Above group avg. FY24 LFL 8.0%. Energy transition + O&amp;G capex strong. Tapers to group.</t>
  </si>
  <si>
    <t xml:space="preserve">     Corporate Assurance</t>
  </si>
  <si>
    <t>Fastest growing. FY24 LFL 7.8%. ESG/supply chain tailwinds structural.</t>
  </si>
  <si>
    <t xml:space="preserve">     Health &amp; Safety</t>
  </si>
  <si>
    <t>FY24 LFL 7.9%. Strong momentum; smallest division (10% of rev).</t>
  </si>
  <si>
    <t>Modelled at constant currency (0%). Adjust for GBP/USD views. 2024: -470bps headwind.</t>
  </si>
  <si>
    <t>Intertek bolt-ons £15-30m/yr. FY24 M&amp;A = 0.3% of rev. Fades to 0 by Year 5.</t>
  </si>
  <si>
    <t>GROSS MARGIN ASSUMPTIONS</t>
  </si>
  <si>
    <t>SECTION 1: Historical  Analysis</t>
  </si>
  <si>
    <t>SECTION 2: Forecast Assumptions</t>
  </si>
  <si>
    <t xml:space="preserve">Gross Margin </t>
  </si>
  <si>
    <t xml:space="preserve"> * Stable so taking it as avg. of last 2 years</t>
  </si>
  <si>
    <t>DEPRECIATION SCHEDULE</t>
  </si>
  <si>
    <t xml:space="preserve">SECTION 1: DEPRECIATION AS % OF BEG. PPE </t>
  </si>
  <si>
    <t xml:space="preserve">BEG. PPE </t>
  </si>
  <si>
    <t xml:space="preserve">Dep. </t>
  </si>
  <si>
    <t>Dep. as %</t>
  </si>
  <si>
    <t xml:space="preserve">Avg. Dep </t>
  </si>
  <si>
    <t>PPE SCHEDULE</t>
  </si>
  <si>
    <t>SECTION 1: CAPEX AS % OF Beg. PPE</t>
  </si>
  <si>
    <t>Capex</t>
  </si>
  <si>
    <t>as % of revenue</t>
  </si>
  <si>
    <t>Avg. (Last 4 yrs)</t>
  </si>
  <si>
    <t xml:space="preserve">SECTION 2: DEPRECIATION AS % OF BEG. PPE </t>
  </si>
  <si>
    <t>SECTION 3: PPE CALCULATIONS</t>
  </si>
  <si>
    <t>Beginning Net PP&amp;E</t>
  </si>
  <si>
    <t xml:space="preserve">     (+) Capex</t>
  </si>
  <si>
    <t xml:space="preserve">     (-) Depreciation</t>
  </si>
  <si>
    <t>Ending Net PP&amp;E</t>
  </si>
  <si>
    <t>Other income and Unusual Expense Assumptions</t>
  </si>
  <si>
    <t>SECTION 1: HISTORICAl ANALYSIS</t>
  </si>
  <si>
    <t>% of Revenue</t>
  </si>
  <si>
    <t>Average Unusual Expense</t>
  </si>
  <si>
    <t>Average Other Income</t>
  </si>
  <si>
    <t>Income Tax Projections</t>
  </si>
  <si>
    <t>% of Income Tax - PBT</t>
  </si>
  <si>
    <t>Average Historical Tax</t>
  </si>
  <si>
    <t>Minority Interest Projections</t>
  </si>
  <si>
    <t>SECTION 1: MINORTIY INTEREST</t>
  </si>
  <si>
    <t>% of Net Income</t>
  </si>
  <si>
    <t>Average</t>
  </si>
  <si>
    <t>SECTION 1: Other Receivables</t>
  </si>
  <si>
    <t>SECTION 1: Other Current Assets</t>
  </si>
  <si>
    <t>SECTION 1: Other Current Liabilities</t>
  </si>
  <si>
    <t>SECTION 1: Income Tax Payable</t>
  </si>
  <si>
    <t>Income Tax Expense</t>
  </si>
  <si>
    <t>% of Income Tax Expense</t>
  </si>
  <si>
    <t>WORKING SCHEDULE</t>
  </si>
  <si>
    <t>Days in Period</t>
  </si>
  <si>
    <t>Accounts Receivables:</t>
  </si>
  <si>
    <t xml:space="preserve">Receivables </t>
  </si>
  <si>
    <t>Revenue/(Days in Period)</t>
  </si>
  <si>
    <t xml:space="preserve">*based on 2 yr avg </t>
  </si>
  <si>
    <t>Inventory:</t>
  </si>
  <si>
    <t>Inventory</t>
  </si>
  <si>
    <t>COGS</t>
  </si>
  <si>
    <t>COGS/(Days in Period)</t>
  </si>
  <si>
    <t>Accounts Payables:</t>
  </si>
  <si>
    <t>Payables</t>
  </si>
  <si>
    <t>Purchases</t>
  </si>
  <si>
    <t>Purchases/(Days in Period)</t>
  </si>
  <si>
    <t>EQUITY SCHEDULE</t>
  </si>
  <si>
    <t>SECTION 1: HISTORICAL DIVIDEND ANALYSIS</t>
  </si>
  <si>
    <t>Dividends</t>
  </si>
  <si>
    <t xml:space="preserve">NI </t>
  </si>
  <si>
    <t>SECTION 2: EQUITY SCHEDULE</t>
  </si>
  <si>
    <t>Beginning Equity</t>
  </si>
  <si>
    <t xml:space="preserve">              (+) NI</t>
  </si>
  <si>
    <t xml:space="preserve">             (-) Dividends</t>
  </si>
  <si>
    <t>Ending Equity</t>
  </si>
  <si>
    <t>INCOME STATEMENT</t>
  </si>
  <si>
    <t>All figures in millions of pounds</t>
  </si>
  <si>
    <t>unless stated otherwise</t>
  </si>
  <si>
    <t>BALANCE SHEET</t>
  </si>
  <si>
    <t>Balance</t>
  </si>
  <si>
    <t>CASH FLOW STATEMENT</t>
  </si>
  <si>
    <t>All figures in millions of euros</t>
  </si>
  <si>
    <t>DCF VALUATION - INTERTEK GROUP PLC</t>
  </si>
  <si>
    <t>SECTION 1: WACC CALCULATION</t>
  </si>
  <si>
    <t>COST OF EQUITY (CAPM)</t>
  </si>
  <si>
    <t>COST OF DEBT</t>
  </si>
  <si>
    <t>Risk-Free Rate (Rf)</t>
  </si>
  <si>
    <t>Pre-tax Cost of Debt (Kd)</t>
  </si>
  <si>
    <t xml:space="preserve">  Source: UK 10Y Gilt (Mar 2026)</t>
  </si>
  <si>
    <t>Equity Risk Premium (ERP)</t>
  </si>
  <si>
    <t>Marginal Tax Rate</t>
  </si>
  <si>
    <t xml:space="preserve">  Source: Damodaran (Jan 2026)</t>
  </si>
  <si>
    <t>After-Tax Cost of Debt</t>
  </si>
  <si>
    <t xml:space="preserve">  Formula: Kd × (1 - Tax Rate)</t>
  </si>
  <si>
    <t>BETA ANALYSIS (MULTIPLE SOURCES)</t>
  </si>
  <si>
    <t>Source</t>
  </si>
  <si>
    <t>Beta</t>
  </si>
  <si>
    <t>Yahoo Finance (5Y Monthly)</t>
  </si>
  <si>
    <t>Primary source - vs FTSE All-Share</t>
  </si>
  <si>
    <t>Bloomberg (2Y Weekly)</t>
  </si>
  <si>
    <t>2Y weekly regression</t>
  </si>
  <si>
    <t>Peer Group Median (TIC Sector)</t>
  </si>
  <si>
    <t>SGS, Bureau Veritas, Eurofins</t>
  </si>
  <si>
    <t>Selected Levered Beta</t>
  </si>
  <si>
    <t>Average of sources</t>
  </si>
  <si>
    <t>UNLEVERING &amp; RELEVERING BETA</t>
  </si>
  <si>
    <t>Current D/E Ratio (Market Values)</t>
  </si>
  <si>
    <t>Target D/E Ratio</t>
  </si>
  <si>
    <t>Unlevered Beta (Asset Beta)</t>
  </si>
  <si>
    <t>Relevered Beta (at Target D/E)</t>
  </si>
  <si>
    <t xml:space="preserve">  Formula: βL / [1+(1-T)×D/E]</t>
  </si>
  <si>
    <t xml:space="preserve">  Formula: βU × [1+(1-T)×D/E]</t>
  </si>
  <si>
    <t>COST OF EQUITY CALCULATION</t>
  </si>
  <si>
    <t>CAPITAL STRUCTURE WEIGHTS</t>
  </si>
  <si>
    <t>Weight of Equity (E/V)</t>
  </si>
  <si>
    <t xml:space="preserve">  Formula: Rf + β × ERP</t>
  </si>
  <si>
    <t>Weight of Debt (D/V)</t>
  </si>
  <si>
    <t>WACC CALCULATION</t>
  </si>
  <si>
    <t>WACC = (E/V × Ke) + (D/V × Kd × (1-T))</t>
  </si>
  <si>
    <t>SECTION 2: FREE CASH FLOW PROJECTIONS</t>
  </si>
  <si>
    <t>(£ in millions)</t>
  </si>
  <si>
    <t>NOPAT</t>
  </si>
  <si>
    <t>Unlevered Free Cash Flow</t>
  </si>
  <si>
    <t>Discount Period</t>
  </si>
  <si>
    <t>Discount Factor</t>
  </si>
  <si>
    <t>PV of Unlevered Free Cash Flow</t>
  </si>
  <si>
    <t>Sum of Present Value of FCF</t>
  </si>
  <si>
    <t>SECTION 3: TERMINAL VALUE (TWO METHODS)</t>
  </si>
  <si>
    <t>METHOD 1: PERPETUITY GROWTH</t>
  </si>
  <si>
    <t>METHOD 2: EXIT MULTIPLE</t>
  </si>
  <si>
    <t>Terminal Growth Rate (g)</t>
  </si>
  <si>
    <t>Exit EV/EBITDA Multiple</t>
  </si>
  <si>
    <t xml:space="preserve">  Source: UK LT GDP + Inflation</t>
  </si>
  <si>
    <t xml:space="preserve">  Source: TIC sector trading comps</t>
  </si>
  <si>
    <t>Terminal Year FCF (normalized)</t>
  </si>
  <si>
    <t>Terminal Year EBITDA</t>
  </si>
  <si>
    <t>Terminal Value (undiscounted)</t>
  </si>
  <si>
    <t xml:space="preserve">  Formula: FCF(1+g)/(WACC-g)</t>
  </si>
  <si>
    <t xml:space="preserve">  Formula: EBITDA × Multiple</t>
  </si>
  <si>
    <t>SECTION 4: DCF VALUATION SUMMARY</t>
  </si>
  <si>
    <t>Perpetuity Growth</t>
  </si>
  <si>
    <t>Exit Multiple</t>
  </si>
  <si>
    <t>Enterprise Value</t>
  </si>
  <si>
    <t xml:space="preserve">  Less: Net Debt </t>
  </si>
  <si>
    <t xml:space="preserve">  Less: Minority Interest</t>
  </si>
  <si>
    <t>Equity Value (£mm)</t>
  </si>
  <si>
    <t>Shares Outstanding (mm)</t>
  </si>
  <si>
    <t>Implied Share Price (£)</t>
  </si>
  <si>
    <t>Current Share Price (£)</t>
  </si>
  <si>
    <t>Upside / (Downside)</t>
  </si>
  <si>
    <t>Figures in GBP, all obtained from Factset</t>
  </si>
  <si>
    <t>Geography</t>
  </si>
  <si>
    <t>Operations</t>
  </si>
  <si>
    <t> </t>
  </si>
  <si>
    <t>Equity Value</t>
  </si>
  <si>
    <t>Enterprise value</t>
  </si>
  <si>
    <t>Financial metrics (millions)</t>
  </si>
  <si>
    <t>Ratios</t>
  </si>
  <si>
    <t>Market</t>
  </si>
  <si>
    <t>Scope</t>
  </si>
  <si>
    <t>Industry</t>
  </si>
  <si>
    <t>Share price</t>
  </si>
  <si>
    <t>Shares </t>
  </si>
  <si>
    <t>Market Cap</t>
  </si>
  <si>
    <t>(millions)</t>
  </si>
  <si>
    <t>Company Name</t>
  </si>
  <si>
    <t>(million)</t>
  </si>
  <si>
    <t>Net Income </t>
  </si>
  <si>
    <t>Total Debt / EV</t>
  </si>
  <si>
    <t>Larger Companies universe</t>
  </si>
  <si>
    <t>United Kingdom</t>
  </si>
  <si>
    <t>International</t>
  </si>
  <si>
    <t>Testing, Inspection and Certification</t>
  </si>
  <si>
    <t>Switzerland</t>
  </si>
  <si>
    <t>France</t>
  </si>
  <si>
    <t>Eurofins Scientific</t>
  </si>
  <si>
    <t>Luxembourg</t>
  </si>
  <si>
    <t>183.32</t>
  </si>
  <si>
    <t>ALS limited </t>
  </si>
  <si>
    <t>ALQ AU</t>
  </si>
  <si>
    <t>Australia</t>
  </si>
  <si>
    <t>Wolters Kluwer </t>
  </si>
  <si>
    <t>Netherlands</t>
  </si>
  <si>
    <t>Maximum</t>
  </si>
  <si>
    <t>75th Percentile</t>
  </si>
  <si>
    <t>Mean </t>
  </si>
  <si>
    <t>25th Percentile</t>
  </si>
  <si>
    <t>Minimum</t>
  </si>
  <si>
    <t>VALUATION SUMMARY - INTERTEK GROUP PLC</t>
  </si>
  <si>
    <t>Football Field Analysis</t>
  </si>
  <si>
    <t>ENTERPRISE VALUE (£ millions)</t>
  </si>
  <si>
    <t>Mid</t>
  </si>
  <si>
    <t>WACC ±1%, TGR ±0.5%</t>
  </si>
  <si>
    <t>Exit Multiple 10x-14x</t>
  </si>
  <si>
    <t>Trading Comps (EV/EBITDA)</t>
  </si>
  <si>
    <t>Peer range 9.6x-17.0x</t>
  </si>
  <si>
    <t>Current Market EV</t>
  </si>
  <si>
    <t>As of current price</t>
  </si>
  <si>
    <t>◀ Current EV</t>
  </si>
  <si>
    <t>IMPLIED SHARE PRICE (£)</t>
  </si>
  <si>
    <t>Current Share Price</t>
  </si>
  <si>
    <t>Market price</t>
  </si>
  <si>
    <t>VALUATION SUMMARY</t>
  </si>
  <si>
    <t>Midpoint EV (£mm)</t>
  </si>
  <si>
    <t>Midpoint Price (£)</t>
  </si>
  <si>
    <t>Upside to Current</t>
  </si>
  <si>
    <t>Trading Comps (Mean)</t>
  </si>
  <si>
    <t>Blended Valuation (Equal Weight)</t>
  </si>
  <si>
    <t>KEY TAKEAWAY</t>
  </si>
  <si>
    <t>All valuation methodologies suggest significant upside to the current market price.</t>
  </si>
  <si>
    <t>Implied valuation range: £7,095mm - £12,973mm EV | £42.50 - £80.77 per share</t>
  </si>
  <si>
    <t>Notes:</t>
  </si>
  <si>
    <t>• DCF ranges based on WACC sensitivity (±1%) and terminal growth rate sensitivity (±0.5%)</t>
  </si>
  <si>
    <t>• Trading Comps based on peer EV/EBITDA multiples ranging from 9.6x (minimum) to 17.0x (maximum)</t>
  </si>
  <si>
    <t>• Current market data as of latest available trading date</t>
  </si>
  <si>
    <t xml:space="preserve">SENSITIVITY ANALYSIS </t>
  </si>
  <si>
    <t>WACC vs. PERPETUAL GROWTH RATE</t>
  </si>
  <si>
    <t>Implied Price (Diluted)</t>
  </si>
  <si>
    <t>GROWTH RATE</t>
  </si>
  <si>
    <t>WACC vs EXIT MULTIPLE</t>
  </si>
  <si>
    <t>EXIT MULTIPLE (EV/EBITDA)</t>
  </si>
  <si>
    <t xml:space="preserve">DEAL SCENARIO A : STRATEGIC ANALYSIS / M&amp;A </t>
  </si>
  <si>
    <t>Key Sector Dynamics</t>
  </si>
  <si>
    <t>Detail</t>
  </si>
  <si>
    <t>Global TIC Market Size (2024)</t>
  </si>
  <si>
    <t>$246 billion</t>
  </si>
  <si>
    <t>SkyQuest / MarketsandMarkets</t>
  </si>
  <si>
    <t>Projected Market Size (2033)</t>
  </si>
  <si>
    <t>$345B (CAGR: 3.8%)</t>
  </si>
  <si>
    <t>SkyQuest Research</t>
  </si>
  <si>
    <t>Top 4 Combined Market Share</t>
  </si>
  <si>
    <t>20–25%</t>
  </si>
  <si>
    <t>ZKB Analyst / Aventis</t>
  </si>
  <si>
    <t>Avg. Annual M&amp;A Deals (2015–2025)</t>
  </si>
  <si>
    <t>~131 deals per year</t>
  </si>
  <si>
    <t>Aventis Advisors / Capital IQ</t>
  </si>
  <si>
    <t>PE Share of TIC Deal Flow (H1 2025)</t>
  </si>
  <si>
    <t>36% (up from 22% in 2015)</t>
  </si>
  <si>
    <t>Aventis Advisors</t>
  </si>
  <si>
    <t>Peak TIC EV/EBITDA Valuation</t>
  </si>
  <si>
    <t>17.2x</t>
  </si>
  <si>
    <t>Key Growth Drivers</t>
  </si>
  <si>
    <t>AI compliance, ESG, regulation, digitalization</t>
  </si>
  <si>
    <t>EY TIC Study 2025 / BCG</t>
  </si>
  <si>
    <t>SECTION 2: PRECEDENT TIC M&amp;A TRANSACTIONS</t>
  </si>
  <si>
    <t>Target</t>
  </si>
  <si>
    <t>Acquirer</t>
  </si>
  <si>
    <t>Deal Type</t>
  </si>
  <si>
    <t>EV ($mm)</t>
  </si>
  <si>
    <t>Revenue ($mm)</t>
  </si>
  <si>
    <t>Premium</t>
  </si>
  <si>
    <t>Key Strategic Rationale</t>
  </si>
  <si>
    <t>SGS + Bureau Veritas</t>
  </si>
  <si>
    <t>Merger of Equals</t>
  </si>
  <si>
    <t>Strategic Merger</t>
  </si>
  <si>
    <t>~$33,000</t>
  </si>
  <si>
    <t>~$13,000</t>
  </si>
  <si>
    <t>2.5x</t>
  </si>
  <si>
    <t>~15x</t>
  </si>
  <si>
    <t>n/a</t>
  </si>
  <si>
    <t>Collapsed (Jan 27)</t>
  </si>
  <si>
    <t>Create $30B+ TIC champion; €400mm synergies targeted</t>
  </si>
  <si>
    <t>Late 2024</t>
  </si>
  <si>
    <t>Intertek Group</t>
  </si>
  <si>
    <t>~£8,000</t>
  </si>
  <si>
    <t>2.4x</t>
  </si>
  <si>
    <t>~11x</t>
  </si>
  <si>
    <t>Collapsed (Fall 2024)</t>
  </si>
  <si>
    <t>Anglo-French TIC champion; Wendel pivoted to SGS</t>
  </si>
  <si>
    <t>Applus+ Services</t>
  </si>
  <si>
    <t>TDR Capital / I Squared</t>
  </si>
  <si>
    <t>PE Take-Private</t>
  </si>
  <si>
    <t>~€2,400</t>
  </si>
  <si>
    <t>1.1x</t>
  </si>
  <si>
    <t>~12x</t>
  </si>
  <si>
    <t>~30%</t>
  </si>
  <si>
    <t>Completed</t>
  </si>
  <si>
    <t>Take-private; energy/auto TIC platform; beat Apollo bid</t>
  </si>
  <si>
    <t>Element Materials Tech</t>
  </si>
  <si>
    <t>Temasek (from Bridgepoint)</t>
  </si>
  <si>
    <t>PE → Sovereign Wealth</t>
  </si>
  <si>
    <t>~$7,000</t>
  </si>
  <si>
    <t>~$1,000</t>
  </si>
  <si>
    <t>7.0x</t>
  </si>
  <si>
    <t>~20x+</t>
  </si>
  <si>
    <t>Significant</t>
  </si>
  <si>
    <t>Lab-based TIC leader; life sciences &amp; connected tech</t>
  </si>
  <si>
    <t>Apollo Global Mgmt</t>
  </si>
  <si>
    <t>PE Tender Offer</t>
  </si>
  <si>
    <t>~€1,400</t>
  </si>
  <si>
    <t>0.7x</t>
  </si>
  <si>
    <t>~10x</t>
  </si>
  <si>
    <t>€9.50/sh</t>
  </si>
  <si>
    <t>Cancelled (May 2024)</t>
  </si>
  <si>
    <t>Initial €9.50/sh offer; outbid by TDR/I Squared consortium</t>
  </si>
  <si>
    <t>SAI Global Assurance</t>
  </si>
  <si>
    <t>Strategic Bolt-on</t>
  </si>
  <si>
    <t>n/d</t>
  </si>
  <si>
    <t>Quality Assurance; Food, QSR, Forestry; Australia/US/Canada</t>
  </si>
  <si>
    <t>BV Food Testing Business</t>
  </si>
  <si>
    <t>Mérieux NutriSciences</t>
  </si>
  <si>
    <t>Divestiture</t>
  </si>
  <si>
    <t>~€133</t>
  </si>
  <si>
    <t>2.7x</t>
  </si>
  <si>
    <t>Portfolio optimization; non-core divestiture at 2.7x revenue</t>
  </si>
  <si>
    <t>KEY INSIGHT:</t>
  </si>
  <si>
    <t>Bureau Veritas held direct merger talks with Intertek in late 2024 before pivoting to SGS. Both mega-deals collapsed, leaving Intertek as a confirmed M&amp;A target and the TIC sector primed for consolidation.</t>
  </si>
  <si>
    <t>3A. CONFIRMED M&amp;A INTEREST IN INTERTEK</t>
  </si>
  <si>
    <t>Event</t>
  </si>
  <si>
    <t>Bureau Veritas – Intertek Merger Talks</t>
  </si>
  <si>
    <t>BV held "long-running" merger discussions with Intertek before pivoting to SGS (per FT/Bloomberg)</t>
  </si>
  <si>
    <t>SGS – Bureau Veritas Merger Collapse</t>
  </si>
  <si>
    <t>BV stated "strong belief in the value of consolidation in TIC" — Intertek remains viable partner</t>
  </si>
  <si>
    <t>Wendel (BV's 26.5% shareholder) Strategy</t>
  </si>
  <si>
    <t>2024–2025</t>
  </si>
  <si>
    <t>Wendel actively seeking strategic combinations; sold 9% BV stake; exploring options</t>
  </si>
  <si>
    <t>RBC Capital Markets View</t>
  </si>
  <si>
    <t>Intertek could benefit from SGS-BV deal via new contracts or acquiring divested units</t>
  </si>
  <si>
    <t>3B. VALUATION DISCOUNT — INTERTEK TRADES CHEAPLY VS. PEERS</t>
  </si>
  <si>
    <t>EV (£mm)</t>
  </si>
  <si>
    <t>Revenue (£mm)</t>
  </si>
  <si>
    <t>EBITDA (£mm)</t>
  </si>
  <si>
    <t>ITRK LN</t>
  </si>
  <si>
    <t>2.01x</t>
  </si>
  <si>
    <t>8.96x</t>
  </si>
  <si>
    <t>SGS SA</t>
  </si>
  <si>
    <t>2.92x</t>
  </si>
  <si>
    <t>13.3x</t>
  </si>
  <si>
    <t>2.17x</t>
  </si>
  <si>
    <t>13.6x</t>
  </si>
  <si>
    <t>2.08x</t>
  </si>
  <si>
    <t>ALS Limited</t>
  </si>
  <si>
    <t>4.05x</t>
  </si>
  <si>
    <t>17.0x</t>
  </si>
  <si>
    <t>29.1x</t>
  </si>
  <si>
    <t>WLK NA</t>
  </si>
  <si>
    <t>3.15x</t>
  </si>
  <si>
    <t>Peer Mean (ex-Intertek)</t>
  </si>
  <si>
    <t>2.87x</t>
  </si>
  <si>
    <t>12.7x</t>
  </si>
  <si>
    <t>Intertek Discount to Peers</t>
  </si>
  <si>
    <t>Factor</t>
  </si>
  <si>
    <t>Supporting Evidence</t>
  </si>
  <si>
    <t>Confirmed M&amp;A Target</t>
  </si>
  <si>
    <t>Bureau Veritas held direct merger talks with Intertek in late 2024</t>
  </si>
  <si>
    <t>FT / Bloomberg reporting; Wendel (BV shareholder) encouraged consolidation</t>
  </si>
  <si>
    <t>Significant Valuation Discount</t>
  </si>
  <si>
    <t>Aventis Advisors median; own Trading Comps analysis</t>
  </si>
  <si>
    <t>Margin Expansion Underway</t>
  </si>
  <si>
    <t>2024 margin 17.4%; new target 18.5%+; acquisitions deliver 25.1% margin</t>
  </si>
  <si>
    <t>Intertek FY2024 results; management guidance</t>
  </si>
  <si>
    <t>Asset-Light, Cash-Generative Model</t>
  </si>
  <si>
    <t>Cash conversion of 121% in 2024; adjusted FCF £409mm</t>
  </si>
  <si>
    <t>Intertek FY2024 annual report</t>
  </si>
  <si>
    <t>Consumer Products Leadership</t>
  </si>
  <si>
    <t>BCG TIC whitepaper; company filings</t>
  </si>
  <si>
    <t>Global Scale &amp; Diversification</t>
  </si>
  <si>
    <t>1,000+ labs, 100+ countries; 5 diversified business divisions</t>
  </si>
  <si>
    <t>Intertek investor materials</t>
  </si>
  <si>
    <t>Regulatory Tailwinds</t>
  </si>
  <si>
    <t>EU AI Act, ESG mandates, supply chain compliance drive structural demand</t>
  </si>
  <si>
    <t>EY TIC Study 2025; PwC GBSI 2025</t>
  </si>
  <si>
    <t>Low Leverage</t>
  </si>
  <si>
    <t>H1 2025 results announcement</t>
  </si>
  <si>
    <t>SECTION 4: POTENTIAL ACQUIRER UNIVERSE</t>
  </si>
  <si>
    <t>Potential Acquirer</t>
  </si>
  <si>
    <t>Type</t>
  </si>
  <si>
    <t>Rationale</t>
  </si>
  <si>
    <t>Precedent / Capability</t>
  </si>
  <si>
    <t>Likelihood</t>
  </si>
  <si>
    <t>Estimated Offer Range (EV, £mm)</t>
  </si>
  <si>
    <t>Key Risk</t>
  </si>
  <si>
    <t>Bureau Veritas (Wendel)</t>
  </si>
  <si>
    <t>Strategic</t>
  </si>
  <si>
    <t>Confirmed interest (2024 talks); Anglo-French TIC champion; complementary portfolios</t>
  </si>
  <si>
    <t>Direct talks with Intertek; 61 acquisitions (2014-2024)</t>
  </si>
  <si>
    <t>HIGH</t>
  </si>
  <si>
    <t>£8,000–10,000</t>
  </si>
  <si>
    <t>Antitrust overlap in inspection; Wendel sell-down ongoing</t>
  </si>
  <si>
    <t>Largest TIC player; complementary geographic presence; consolidation thesis intact</t>
  </si>
  <si>
    <t>97 acquisitions (2014-2025); BV merger collapsed — may pivot to Intertek</t>
  </si>
  <si>
    <t>MEDIUM-HIGH</t>
  </si>
  <si>
    <t>£8,500–11,000</t>
  </si>
  <si>
    <t>Swiss-UK cross-border complexity; regulatory review</t>
  </si>
  <si>
    <t>Temasek Holdings</t>
  </si>
  <si>
    <t>Sovereign Wealth / PE</t>
  </si>
  <si>
    <t>Already owns Element Materials ($7B, 2022); TIC sector conviction buyer</t>
  </si>
  <si>
    <t>Element Materials acquisition at ~7x revenue; long-term capital</t>
  </si>
  <si>
    <t>MEDIUM</t>
  </si>
  <si>
    <t>£8,000–10,500</t>
  </si>
  <si>
    <t>Would create concentration risk in TIC holdings</t>
  </si>
  <si>
    <t>Apollo / TDR / I Squared</t>
  </si>
  <si>
    <t>PE Consortium</t>
  </si>
  <si>
    <t>PE penetration in TIC rising (36% of deals); Applus+ take-private template</t>
  </si>
  <si>
    <t>Apollo bid for Applus+; TDR/I Squared completed Applus+ take-private</t>
  </si>
  <si>
    <t>Leverage constraints; public-to-private premium required</t>
  </si>
  <si>
    <t>Danaher / Honeywell</t>
  </si>
  <si>
    <t>Industrial Conglomerate</t>
  </si>
  <si>
    <t>Portfolio fit with quality &amp; compliance divisions; TIC as growth vertical</t>
  </si>
  <si>
    <t>Danaher's quality assurance platforms; Honeywell spin-off dynamics</t>
  </si>
  <si>
    <t>LOW-MEDIUM</t>
  </si>
  <si>
    <t>£9,000–12,000</t>
  </si>
  <si>
    <t>Size relative to portfolio; strategic fit debate</t>
  </si>
  <si>
    <t>Management Buyout</t>
  </si>
  <si>
    <t>MBO / Sponsor-backed</t>
  </si>
  <si>
    <t>Strong management team under Lacroix; clean balance sheet supports leverage</t>
  </si>
  <si>
    <t>Low leverage (1.0x); high cash conversion (121%)</t>
  </si>
  <si>
    <t>LOW</t>
  </si>
  <si>
    <t>£7,500–9,000</t>
  </si>
  <si>
    <t>Scale of financing required; public-to-private complexity</t>
  </si>
  <si>
    <t>SECTION 5: TAKEOUT VALUATION &amp; PREMIUM ANALYSIS</t>
  </si>
  <si>
    <t>5A. INTERTEK — KEY FINANCIAL METRICS (BASIS FOR TAKEOUT)</t>
  </si>
  <si>
    <t>Value</t>
  </si>
  <si>
    <t>Market data</t>
  </si>
  <si>
    <t>Company filings</t>
  </si>
  <si>
    <t>Market Capitalisation (£mm)</t>
  </si>
  <si>
    <t>Net Debt (£mm)</t>
  </si>
  <si>
    <t>DCF Valuation tab</t>
  </si>
  <si>
    <t>Enterprise Value (£mm)</t>
  </si>
  <si>
    <t>LTM Revenue (£mm)</t>
  </si>
  <si>
    <t>FY2024 actuals</t>
  </si>
  <si>
    <t>LTM EBITDA (£mm)</t>
  </si>
  <si>
    <t>LTM EBIT (£mm)</t>
  </si>
  <si>
    <t>Current EV/EBITDA</t>
  </si>
  <si>
    <t>2025E EBITDA (£mm)</t>
  </si>
  <si>
    <t>5B. TAKEOUT PREMIUM SCENARIOS</t>
  </si>
  <si>
    <t>Scenario</t>
  </si>
  <si>
    <t>Offer Premium</t>
  </si>
  <si>
    <t>Implied Equity Value (£mm)</t>
  </si>
  <si>
    <t>Implied EV (£mm)</t>
  </si>
  <si>
    <t>Implied EV/EBITDA (LTM)</t>
  </si>
  <si>
    <t>Implied EV/EBITDA (2025E)</t>
  </si>
  <si>
    <t>Upside vs. Current</t>
  </si>
  <si>
    <t>Conservative (20%)</t>
  </si>
  <si>
    <t>Low (25%)</t>
  </si>
  <si>
    <t>Base Case (30%)</t>
  </si>
  <si>
    <t>Moderate (35%)</t>
  </si>
  <si>
    <t>Aggressive (40%)</t>
  </si>
  <si>
    <t>Full Control (50%)</t>
  </si>
  <si>
    <t>Assumed Combined Revenue (£mm):</t>
  </si>
  <si>
    <t>(Intertek LTM Rev + Bureau Veritas LTM Rev; assumes BV as strategic acquirer)</t>
  </si>
  <si>
    <t>Synergy Category</t>
  </si>
  <si>
    <t>Estimated Annual Savings (£mm)</t>
  </si>
  <si>
    <t>% of Combined Revenue</t>
  </si>
  <si>
    <t>Realisation Timeline</t>
  </si>
  <si>
    <t>Corporate HQ &amp; Admin</t>
  </si>
  <si>
    <t>Consolidate HQ, board, listed entity costs</t>
  </si>
  <si>
    <t>Year 1–2</t>
  </si>
  <si>
    <t>Laboratory Network Optimization</t>
  </si>
  <si>
    <t>Rationalize overlapping labs; shared equipment &amp; capacity</t>
  </si>
  <si>
    <t>Year 2–3</t>
  </si>
  <si>
    <t>Procurement &amp; IT Systems</t>
  </si>
  <si>
    <t>Consolidated vendor contracts, ERP, and lab equipment sourcing</t>
  </si>
  <si>
    <t>Year 1–3</t>
  </si>
  <si>
    <t>Revenue Synergies</t>
  </si>
  <si>
    <t>Cross-sell ATIC solutions across combined client base</t>
  </si>
  <si>
    <t>Year 2–4</t>
  </si>
  <si>
    <t>Geographic Infill</t>
  </si>
  <si>
    <t>Reduce duplicated country offices; shared go-to-market</t>
  </si>
  <si>
    <t>Total Estimated Annual Synergies</t>
  </si>
  <si>
    <t>SYNERGY-ADJUSTED EV (at 10x capitalized synergies):</t>
  </si>
  <si>
    <t>(synergy value alone — on top of standalone EV)</t>
  </si>
  <si>
    <t>Benchmark:</t>
  </si>
  <si>
    <t>SGS-Bureau Veritas estimated €400mm+ annual synergies from their (failed) ~$33B merger. Our estimate of £210mm is conservative for a TIC mega-merger.</t>
  </si>
  <si>
    <t>SECTION 7: CONCLUSION &amp; GS INVESTMENT VIEW</t>
  </si>
  <si>
    <t>GS THESIS: INTERTEK IS THE MOST COMPELLING M&amp;A TARGET IN TIC</t>
  </si>
  <si>
    <t>CONFIRMED TARGET: Bureau Veritas held direct merger talks with Intertek in late 2024, validating the company as an acquisition target at the highest level of the TIC industry.</t>
  </si>
  <si>
    <t>DEEP VALUATION DISCOUNT: Intertek trades at ~8.2x EV/EBITDA vs. sector median 14.3x — a ~43% discount. At peer-average multiples, Intertek's standalone EV would be ~£10.9B (vs. current ~£6.3B), implying 70%+ upside before any control premium.</t>
  </si>
  <si>
    <t>PE INTEREST RISING: Private equity accounts for 36% of TIC deals (H1 2025). The Applus+ take-private by TDR/I Squared (2024) and Temasek's $7B acquisition of Element Materials (2022) demonstrate PE willingness to pay significant premiums for TIC platforms.</t>
  </si>
  <si>
    <t>BOTTOM LINE:</t>
  </si>
  <si>
    <t>Intertek trades at a material discount to intrinsic and peer value. The company was a confirmed M&amp;A target in 2024, the TIC consolidation wave is intensifying, and multiple buyer classes are active. We see 35–70% upside to a takeout, making this one of the most attractive M&amp;A candidates.</t>
  </si>
  <si>
    <t>Sources: Intertek FY2024 &amp; H1 2025 Results, SGS/Bureau Veritas Press Releases, Bloomberg, Financial Times, EY TIC Study 2025, Aventis Advisors M&amp;A Analysis, BCG TIC Whitepaper, PwC GBSI 2025, RBC Capital Markets, KPMG Corporate Finance</t>
  </si>
  <si>
    <t>Year</t>
  </si>
  <si>
    <t>Focus Area</t>
  </si>
  <si>
    <t>Key Detail</t>
  </si>
  <si>
    <t>QTEST</t>
  </si>
  <si>
    <t>Colombia</t>
  </si>
  <si>
    <t>Electrical Testing &amp; Certification</t>
  </si>
  <si>
    <t>Market leader in med/high voltage; Intertek ETL expansion in LatAm</t>
  </si>
  <si>
    <t>Suplilab</t>
  </si>
  <si>
    <t>Costa Rica</t>
  </si>
  <si>
    <t>Food Safety &amp; Medical Devices</t>
  </si>
  <si>
    <t>Leading position in Central America's food &amp; medical devices testing</t>
  </si>
  <si>
    <t>Envirolab</t>
  </si>
  <si>
    <t>Environmental Testing</t>
  </si>
  <si>
    <t>Market leader in Australian environmental testing; NATA accredited</t>
  </si>
  <si>
    <t>TESIS</t>
  </si>
  <si>
    <t>Brazil</t>
  </si>
  <si>
    <t>Building Products Testing</t>
  </si>
  <si>
    <t>Building &amp; Construction TQA expansion into Brazil; £11.2mm</t>
  </si>
  <si>
    <t>Base Met Labs</t>
  </si>
  <si>
    <t>North America</t>
  </si>
  <si>
    <t>Metallurgical Testing (Minerals)</t>
  </si>
  <si>
    <t>Minerals sector testing; £23.9mm consideration</t>
  </si>
  <si>
    <t>Australia/US/Canada</t>
  </si>
  <si>
    <t>Quality Assurance (Food, QSR)</t>
  </si>
  <si>
    <t>High-margin, capital-light QA business; Food &amp; Forestry focus</t>
  </si>
  <si>
    <t>NOTE:</t>
  </si>
  <si>
    <t>Intertek made 4 acquisitions in 2025 for total consideration of £157mm (per FY2025 results). Acquisitions made over last 5 years contributed £207mm to 2024 revenue at 25.1% margin — well above group average. This disciplined bolt-on approach enhances Intertek's attractiveness as a platform acquisition for a larger strategic buyer.</t>
  </si>
  <si>
    <t>TIC SECTOR ACQUISITION LEADERS (Cumulative 2014–2025):</t>
  </si>
  <si>
    <t># of Acquisitions</t>
  </si>
  <si>
    <t>M&amp;A Strategy</t>
  </si>
  <si>
    <t>Aggressive roll-up; Asia expansion; genetic diagnostics</t>
  </si>
  <si>
    <t>Extend range &amp; geographic availability of existing services</t>
  </si>
  <si>
    <t>Disciplined bolt-on; opportunistic larger deals</t>
  </si>
  <si>
    <t>Selective; high-growth, high-margin ATIC segments</t>
  </si>
  <si>
    <t>DEAL SCENARIO B: PRIVATE EQUITY TAKE-PRIVATE — BUY, BUILD, EXIT</t>
  </si>
  <si>
    <t>If strategic mega-mergers keep collapsing due to regulatory/cultural complexity, PE becomes the natural alternative buyer. A sponsor takes Intertek private, runs the operational playbook for 5 years, then exits to a strategic at a premium.</t>
  </si>
  <si>
    <t>1A. LBO ENTRY ASSUMPTIONS</t>
  </si>
  <si>
    <t>Assumption</t>
  </si>
  <si>
    <t>Entry Premium to Current Price</t>
  </si>
  <si>
    <t>Entry Share Price (£)</t>
  </si>
  <si>
    <t>Entry Equity Value (£mm)</t>
  </si>
  <si>
    <t>Entry Enterprise Value (£mm)</t>
  </si>
  <si>
    <t>Entry EV / LTM EBITDA</t>
  </si>
  <si>
    <t>Entry EV / 2025E EBITDA</t>
  </si>
  <si>
    <t>Total Leverage at Entry (x EBITDA)</t>
  </si>
  <si>
    <t>Comfortable for asset-light TIC; strong cash conversion supports</t>
  </si>
  <si>
    <t>Total Debt at Entry (£mm)</t>
  </si>
  <si>
    <t>Equity Required (£mm)</t>
  </si>
  <si>
    <t>Equity / Total Capitalisation</t>
  </si>
  <si>
    <t>Cost of Debt (pre-tax)</t>
  </si>
  <si>
    <t>Leveraged finance market; Baa2/BBB rated; ~SOFR + 350-400bps</t>
  </si>
  <si>
    <t>Bolt-on M&amp;A Budget (£mm/year)</t>
  </si>
  <si>
    <t>Consistent with Intertek's recent pace; high-margin targets</t>
  </si>
  <si>
    <t>SECTION 2: 5-YEAR PE VALUE CREATION MODEL</t>
  </si>
  <si>
    <t>2A. OPERATING ASSUMPTIONS</t>
  </si>
  <si>
    <t>Organic Revenue Growth (p.a.)</t>
  </si>
  <si>
    <t>Mid-single-digit per management guidance; TIC market growth 4-5%</t>
  </si>
  <si>
    <t>Bolt-on Revenue Contribution (p.a., £mm)</t>
  </si>
  <si>
    <t>~50% of £150mm annual bolt-on spend converts to incremental revenue in Year 1</t>
  </si>
  <si>
    <t>Entry EBITDA Margin</t>
  </si>
  <si>
    <t>LTM EBITDA margin = £764mm / £3,393mm; includes D&amp;A add-back</t>
  </si>
  <si>
    <t>Annual Margin Expansion (bps)</t>
  </si>
  <si>
    <t>PE operational playbook: procurement, pricing, lab utilisation; conservative vs. 50bps achievable</t>
  </si>
  <si>
    <t>CapEx (% of Revenue)</t>
  </si>
  <si>
    <t>Consistent with Intertek's historical 4.0% capex intensity</t>
  </si>
  <si>
    <t>Tax Rate</t>
  </si>
  <si>
    <t>UK corporate tax rate</t>
  </si>
  <si>
    <t>D&amp;A (% of Revenue)</t>
  </si>
  <si>
    <t>Consistent with recent Intertek levels</t>
  </si>
  <si>
    <t>ΔWC (% of Revenue Increase)</t>
  </si>
  <si>
    <t>Modest working capital build on growth</t>
  </si>
  <si>
    <t>2B. 5-YEAR PROJECTED FINANCIALS UNDER PE OWNERSHIP (£mm)</t>
  </si>
  <si>
    <t>Entry (Year 0)</t>
  </si>
  <si>
    <t>Year 1</t>
  </si>
  <si>
    <t>Year 2</t>
  </si>
  <si>
    <t>Year 3</t>
  </si>
  <si>
    <t>Year 4</t>
  </si>
  <si>
    <t>Year 5</t>
  </si>
  <si>
    <t xml:space="preserve">  Less: D&amp;A</t>
  </si>
  <si>
    <t xml:space="preserve">  Less: Interest Expense</t>
  </si>
  <si>
    <t xml:space="preserve">  Less: Taxes</t>
  </si>
  <si>
    <t>FREE CASH FLOW</t>
  </si>
  <si>
    <t xml:space="preserve">  Less: Cash Taxes on EBIT</t>
  </si>
  <si>
    <t xml:space="preserve">  Less: Interest (after-tax)</t>
  </si>
  <si>
    <t xml:space="preserve">  Less: Bolt-on M&amp;A</t>
  </si>
  <si>
    <t>Levered Free Cash Flow</t>
  </si>
  <si>
    <t>DEBT SCHEDULE</t>
  </si>
  <si>
    <t>Beginning Debt</t>
  </si>
  <si>
    <t xml:space="preserve">  Mandatory Repayment (Levered FCF)</t>
  </si>
  <si>
    <t>Ending Debt</t>
  </si>
  <si>
    <t>Ending Net Debt / EBITDA</t>
  </si>
  <si>
    <t>SECTION 3: PE EXIT SCENARIOS &amp; RETURNS (YEAR 5)</t>
  </si>
  <si>
    <t>3A. EXIT VALUATION MATRIX — YEAR 5 EXIT EV AT VARIOUS MULTIPLES</t>
  </si>
  <si>
    <t>Exit Scenario</t>
  </si>
  <si>
    <t>Year 5 EBITDA (£mm)</t>
  </si>
  <si>
    <t>Exit EV (£mm)</t>
  </si>
  <si>
    <t>Less: Year 5 Debt (£mm)</t>
  </si>
  <si>
    <t>Exit Equity Value (£mm)</t>
  </si>
  <si>
    <t>Entry Equity (£mm)</t>
  </si>
  <si>
    <t>MOIC</t>
  </si>
  <si>
    <t>Conservative — Secondary Buyout</t>
  </si>
  <si>
    <t>Base — Strategic Acquirer (below median)</t>
  </si>
  <si>
    <t>Bull — Strategic Acquirer (at median)</t>
  </si>
  <si>
    <t>Upside — Competitive Auction / Re-IPO</t>
  </si>
  <si>
    <t>3B. IMPLIED IRR BY EXIT MULTIPLE (5-YEAR HOLD)</t>
  </si>
  <si>
    <t>Exit Equity (£mm)</t>
  </si>
  <si>
    <t>IRR (5-Year)</t>
  </si>
  <si>
    <t>SECTION 4: PE PRECEDENT PLAYBOOK — TIC TAKE-PRIVATES THAT WORKED</t>
  </si>
  <si>
    <t>Deal</t>
  </si>
  <si>
    <t>PE Firm</t>
  </si>
  <si>
    <t>Period</t>
  </si>
  <si>
    <t>Entry → Exit</t>
  </si>
  <si>
    <t>Value Creation Playbook</t>
  </si>
  <si>
    <t>Key Lesson for Intertek</t>
  </si>
  <si>
    <t>Element Materials Technology</t>
  </si>
  <si>
    <t>Bridgepoint → Temasek</t>
  </si>
  <si>
    <t>2012–2022 (10 yrs)</t>
  </si>
  <si>
    <t>~$700mm rev → ~$1B rev; sold at ~$7B EV</t>
  </si>
  <si>
    <t>10x revenue growth; aggressive bolt-on M&amp;A; expanded from 20 to 200+ labs across 30 countries; focused on life sciences &amp; connected tech</t>
  </si>
  <si>
    <t>Proves PE can scale a TIC platform massively through disciplined bolt-ons + organic growth, then exit to a long-term capital provider at premium multiples</t>
  </si>
  <si>
    <t>2024–present</t>
  </si>
  <si>
    <t>Take-private at ~€2.4B EV; delisted</t>
  </si>
  <si>
    <t>Beat Apollo's €9.50/share bid; operational improvement in energy &amp; auto TIC; IDIADA contract consolidation; 7.5% organic growth</t>
  </si>
  <si>
    <t>Strategic mega-deal complexity (Apollo dropped bid) created PE opportunity. Clean take-private avoids cross-border merger risk</t>
  </si>
  <si>
    <t>SGS–BV / BV–Intertek Collapses</t>
  </si>
  <si>
    <t>n/a (failed strategic)</t>
  </si>
  <si>
    <t>Late 2024 – Jan 2025</t>
  </si>
  <si>
    <t>Both merger attempts collapsed</t>
  </si>
  <si>
    <t>BV–Intertek fell apart on cultural fit; SGS–BV collapsed over execution risk, management alignment, and 12-15 month regulatory timeline</t>
  </si>
  <si>
    <t>PATTERN: Strategic mega-mergers fail → PE steps into the vacuum. Intertek remains 'in play' but without a strategic partner</t>
  </si>
  <si>
    <t>SECTION 4: PE SCENARIO — INVESTMENT CONCLUSION</t>
  </si>
  <si>
    <t>PE TAKE-PRIVATE THESIS</t>
  </si>
  <si>
    <t>IDEAL LBO PROFILE: Asset-light model (4% capex/rev), exceptional cash conversion (121%), low current leverage (1.0x), and a clear margin expansion runway (17.4% → 18.5%+ guided, with PE playbook potentially reaching 20%+) — textbook PE characteristics.</t>
  </si>
  <si>
    <t>PROVEN BOLT-ON PLATFORM: Intertek's own M&amp;A track record (25.1% margin on recent acquisitions, £157mm deployed in 2025) provides a ready-made buy-and-build engine. A PE sponsor can accelerate this with £150mm+/year in bolt-on capital.</t>
  </si>
  <si>
    <t>BUILT-IN EXIT: After 5 years of margin expansion, deleveraging, and bolt-on growth, exit to a strategic (SGS, BV, Danaher) or re-IPO at sector-median multiples (14.3x). The multiple re-rating from ~10x entry to 12–14x exit drives outsized returns.</t>
  </si>
  <si>
    <t>SOURCES &amp; FOOTNOTES</t>
  </si>
  <si>
    <t>Intertek Group Plc  |  Data Sources, Market Inputs, Methodology &amp; Audit Trail</t>
  </si>
  <si>
    <t>SECTION 1: PRIMARY DATA SOURCES</t>
  </si>
  <si>
    <t>#</t>
  </si>
  <si>
    <t>Source Name</t>
  </si>
  <si>
    <t>Data Used For</t>
  </si>
  <si>
    <t>Tabs Referenced</t>
  </si>
  <si>
    <t>Access Date</t>
  </si>
  <si>
    <t>URL / Reference</t>
  </si>
  <si>
    <t>S1</t>
  </si>
  <si>
    <t>Intertek Group plc — Annual Report &amp; Accounts 2024</t>
  </si>
  <si>
    <t>Company Filing</t>
  </si>
  <si>
    <t>IS, BS, CF statements; KPIs; segment data</t>
  </si>
  <si>
    <t>Mar 2026</t>
  </si>
  <si>
    <t>S2</t>
  </si>
  <si>
    <t>Intertek Group plc — Annual Report &amp; Accounts 2023</t>
  </si>
  <si>
    <t>Prior-year IS, BS, CF; revenue bridge</t>
  </si>
  <si>
    <t>S3</t>
  </si>
  <si>
    <t>Intertek Group plc — Annual Report &amp; Accounts 2022</t>
  </si>
  <si>
    <t>Historical IS, BS, CF data (FY2021–2022)</t>
  </si>
  <si>
    <t>S4</t>
  </si>
  <si>
    <t>Intertek Group plc — Investor Relations</t>
  </si>
  <si>
    <t>Company IR</t>
  </si>
  <si>
    <t>Earnings releases, investor presentations, share data</t>
  </si>
  <si>
    <t>Master Assumptions, Cover</t>
  </si>
  <si>
    <t>S5</t>
  </si>
  <si>
    <t>FactSet</t>
  </si>
  <si>
    <t>Terminal / Database</t>
  </si>
  <si>
    <t>Peer comps, multiples, share prices, EV, financial metrics</t>
  </si>
  <si>
    <t>S6</t>
  </si>
  <si>
    <t>Yahoo Finance — ITRK.L (5Y Monthly)</t>
  </si>
  <si>
    <t>Market Data</t>
  </si>
  <si>
    <t>https://finance.yahoo.com/quote/ITRK.L/</t>
  </si>
  <si>
    <t>S7</t>
  </si>
  <si>
    <t>Bloomberg Terminal (2Y Weekly)</t>
  </si>
  <si>
    <t>Terminal</t>
  </si>
  <si>
    <t>Levered beta (secondary); 2Y weekly regression</t>
  </si>
  <si>
    <t>ITRK LN Equity — Beta screen</t>
  </si>
  <si>
    <t>S8</t>
  </si>
  <si>
    <t>Damodaran Online — Implied ERP</t>
  </si>
  <si>
    <t>Academic</t>
  </si>
  <si>
    <t>Equity Risk Premium (5.50%); sector unlevered betas</t>
  </si>
  <si>
    <t>Jan 2026</t>
  </si>
  <si>
    <t>https://pages.stern.nyu.edu/~adamodar/New_Home_Page/datafile/ctryprem.html</t>
  </si>
  <si>
    <t>S9</t>
  </si>
  <si>
    <t>Bank of England — UK Gilt Yields</t>
  </si>
  <si>
    <t>Government</t>
  </si>
  <si>
    <t>Risk-free rate: UK 10Y Gilt yield (4.55%)</t>
  </si>
  <si>
    <t>https://www.bankofengland.co.uk/statistics/yield-curves</t>
  </si>
  <si>
    <t>S10</t>
  </si>
  <si>
    <t>SECTION 2: EXTERNAL MARKET INPUTS USED</t>
  </si>
  <si>
    <t>Input</t>
  </si>
  <si>
    <t>Value Used</t>
  </si>
  <si>
    <t>Source / Basis</t>
  </si>
  <si>
    <t>Feeds Into</t>
  </si>
  <si>
    <t>As-Of Date</t>
  </si>
  <si>
    <t>Source Ref</t>
  </si>
  <si>
    <t>UK 10-Year Gilt yield at close</t>
  </si>
  <si>
    <t>DCF: WACC → Ke</t>
  </si>
  <si>
    <t>Damodaran implied ERP for UK market, Jan 2026</t>
  </si>
  <si>
    <t>Average of 3 sources: Yahoo (0.65), Bloomberg (0.72), Peer median (0.75)</t>
  </si>
  <si>
    <t>S6, S7</t>
  </si>
  <si>
    <t>UK long-run nominal GDP growth proxy (BoE inflation target + real growth)</t>
  </si>
  <si>
    <t>DCF: Terminal Value</t>
  </si>
  <si>
    <t>Effective tax rate from FY2024 actuals (Intertek Annual Report)</t>
  </si>
  <si>
    <t>DCF: NOPAT, FCF</t>
  </si>
  <si>
    <t>FY2024</t>
  </si>
  <si>
    <t>TIC sector peer trading comps median (FactSet)</t>
  </si>
  <si>
    <t>DCF: WACC → Kd</t>
  </si>
  <si>
    <t>Diluted share count from Intertek FY2024 Annual Report</t>
  </si>
  <si>
    <t>DCF: Equity bridge</t>
  </si>
  <si>
    <t>SECTION 3: FOOTNOTES &amp; ADJUSTMENTS</t>
  </si>
  <si>
    <t>Ref #</t>
  </si>
  <si>
    <t>Tab / Cell</t>
  </si>
  <si>
    <t>Footnote Description</t>
  </si>
  <si>
    <t>Impact on Model</t>
  </si>
  <si>
    <t>[1]</t>
  </si>
  <si>
    <t>All historical IS, BS, CF data sourced from Intertek Annual Reports FY2021–2024. Figures reported in GBP millions as filed.</t>
  </si>
  <si>
    <t>S1, S2, S3</t>
  </si>
  <si>
    <t>Foundation for all historical analysis and ratio calculations</t>
  </si>
  <si>
    <t>[2]</t>
  </si>
  <si>
    <t>DCF Valuation, E16:E18</t>
  </si>
  <si>
    <t>Beta averaged from 3 sources: Yahoo Finance 5Y monthly (0.65), Bloomberg 2Y weekly (0.72), and peer group median (0.75). Average = 0.707.</t>
  </si>
  <si>
    <t>S6, S7, S8</t>
  </si>
  <si>
    <t>Drives Ke (7.9%) and WACC (7.4%)</t>
  </si>
  <si>
    <t>[3]</t>
  </si>
  <si>
    <t>DCF Valuation, E9</t>
  </si>
  <si>
    <t>Risk-free rate set at 4.55% based on UK 10-Year Gilt yield. Chosen over US Treasury as Intertek is UK-domiciled and LSE-listed.</t>
  </si>
  <si>
    <t>Directly impacts Ke and WACC</t>
  </si>
  <si>
    <t>[4]</t>
  </si>
  <si>
    <t>DCF Valuation, K11</t>
  </si>
  <si>
    <t>Marginal tax rate of 25.6% sourced from Intertek FY2024 effective tax rate. Applied uniformly across forecast period.</t>
  </si>
  <si>
    <t>Affects NOPAT and unlevered FCF across all projection years</t>
  </si>
  <si>
    <t>[5]</t>
  </si>
  <si>
    <t>Trading Comps, all</t>
  </si>
  <si>
    <t>All peer company data (share prices, EV, financial metrics, multiples) sourced from FactSet. Peer group: SGS, Bureau Veritas, Eurofins, ALS Ltd, Wolters Kluwer.</t>
  </si>
  <si>
    <t>Drives comps-based EV and implied share price ranges</t>
  </si>
  <si>
    <t>[6]</t>
  </si>
  <si>
    <t>Revenue growth rates (6.5%/6.0%/5.3%/5.3%/5.0%) derived from Intertek management LFL bridge framework and historical organic growth trends.</t>
  </si>
  <si>
    <t>S1, S4</t>
  </si>
  <si>
    <t>Core revenue driver for entire forecast model</t>
  </si>
  <si>
    <t>[7]</t>
  </si>
  <si>
    <t>Working capital assumptions (DSO: 68d, DIO: 2.5d, DPO: 30d) held constant at FY2024 historical levels. CapEx at 3.7% of revenue.</t>
  </si>
  <si>
    <t>Drives NWC changes and CapEx in FCF projections</t>
  </si>
  <si>
    <t>[8]</t>
  </si>
  <si>
    <t>DCF Valuation, E53</t>
  </si>
  <si>
    <t>Terminal growth rate of 2.5% based on UK long-run nominal GDP growth (BoE 2% inflation target + ~0.5% real growth trend).</t>
  </si>
  <si>
    <t>Perpetuity growth terminal value: £9,004mm undiscounted</t>
  </si>
  <si>
    <t>[9]</t>
  </si>
  <si>
    <t>DCF Valuation, K53</t>
  </si>
  <si>
    <t>Exit EV/EBITDA multiple of 12.0x based on TIC sector trading comps median from FactSet. Range tested in sensitivity: 10x–14x.</t>
  </si>
  <si>
    <t>Exit multiple terminal value: £11,727mm undiscounted</t>
  </si>
  <si>
    <t>[10]</t>
  </si>
  <si>
    <t>DCF Valuation, E23</t>
  </si>
  <si>
    <t>Affects unlevered/relevered beta and WACC</t>
  </si>
  <si>
    <t>SECTION 4: METHODOLOGY NOTES</t>
  </si>
  <si>
    <t>Area</t>
  </si>
  <si>
    <t>Methodology Description</t>
  </si>
  <si>
    <t>Applicable Tab(s)</t>
  </si>
  <si>
    <t>Valuation Approach</t>
  </si>
  <si>
    <t>Unlevered DCF with two terminal value methods: (1) Gordon Growth perpetuity model, (2) Exit EV/EBITDA multiple. Mid-year discounting convention applied.</t>
  </si>
  <si>
    <t>WACC Derivation</t>
  </si>
  <si>
    <t>CAPM-based Ke using relevered beta at target D/E of 0.15x. After-tax Kd based on Baa2/BBB credit spread. Weights: 87% equity / 13% debt.</t>
  </si>
  <si>
    <t>Revenue Forecast</t>
  </si>
  <si>
    <t>Top-line driven by LFL organic growth bridge framework from Intertek management. Base case: 6.5%→5.0% over 5-year forecast (2025E–2029E).</t>
  </si>
  <si>
    <t>Forecast Model, Master Assumptions</t>
  </si>
  <si>
    <t>Margin Assumptions</t>
  </si>
  <si>
    <t>Gross margin held constant at FY2024 level (21.9%). EBIT margin expansion driven by D&amp;A declining as % of revenue (PP&amp;E depreciation schedule).</t>
  </si>
  <si>
    <t>Master Assumptions, Supporting Schedules</t>
  </si>
  <si>
    <t>Working Capital</t>
  </si>
  <si>
    <t>DSO (68d), DIO (2.5d), DPO (30d) held constant at FY2024 averages. Other current assets/liabilities as % of revenue from historical.</t>
  </si>
  <si>
    <t>CapEx Treatment</t>
  </si>
  <si>
    <t>CapEx modelled as 3.66% of revenue (FY2024 actual ratio) held constant. No acquisitions assumed in forecast period.</t>
  </si>
  <si>
    <t>Supporting Schedules, Forecast Model</t>
  </si>
  <si>
    <t>Tax Assumptions</t>
  </si>
  <si>
    <t>Effective tax rate of 25.6% (FY2024 actual) applied uniformly across forecast. No NOL carryforward or deferred tax adjustments modelled.</t>
  </si>
  <si>
    <t>Terminal Value</t>
  </si>
  <si>
    <t>Method 1: Gordon Growth at 2.5% (UK LT GDP proxy). Method 2: Exit EV/EBITDA at 12.0x (TIC sector median). Both tested in sensitivity tables.</t>
  </si>
  <si>
    <t>DCF Valuation, Sensitivity Tables</t>
  </si>
  <si>
    <t>Scenario Framework</t>
  </si>
  <si>
    <t>Base case active (scenario code = 2). Bull/Base/Bear scenarios available via CHOOSE function in Master Assumptions. Revenue growth and margins driven by scenario selector.</t>
  </si>
  <si>
    <t>5-company peer group in TIC sector: SGS, Bureau Veritas, Eurofins Scientific, ALS Limited, Wolters Kluwer. All data from FactSet. Multiples: EV/Revenue, EV/EBITDA, EV/EBIT, P/E.</t>
  </si>
  <si>
    <t>Title page, version control</t>
  </si>
  <si>
    <t>https://www.intertek.com/investors/results-presentations-announcements/</t>
  </si>
  <si>
    <t>FactSet — https://www.factset.com</t>
  </si>
  <si>
    <t xml:space="preserve">  Credit Rating: Moody's Baa2 / S&amp;P BBB (Stable)</t>
  </si>
  <si>
    <t>COST OF DEBT METHODOLOGY</t>
  </si>
  <si>
    <t>Method 1: Credit Spread Approach (Primary)</t>
  </si>
  <si>
    <t xml:space="preserve">  Rf (UK 10Y Gilt) + Baa2/BBB spread ≈ 4.55% + ~95bps = 5.50%</t>
  </si>
  <si>
    <t xml:space="preserve">  Source: Intertek FY2024 Annual Report, Note 14 (Borrowings)</t>
  </si>
  <si>
    <t>Method 2: Implied Cost of Debt (Cross-Check)</t>
  </si>
  <si>
    <t>Intertek Group plc — FY2024 Annual Report, Note 14 (Borrowings) &amp; Moody's/S&amp;P Rating</t>
  </si>
  <si>
    <t>Company Filing / Rating Agency</t>
  </si>
  <si>
    <t>Pre-tax Kd derivation: Baa2/BBB credit spread over UK Gilt; cross-checked via implied Kd from FY2024 net finance costs / avg. debt</t>
  </si>
  <si>
    <t>https://www.intertek.com/siteassets/investors/2024/intertek-financial-report-2024.pdf</t>
  </si>
  <si>
    <t>Credit spread approach: Rf (UK 10Y Gilt, 4.55%) + Baa2/BBB spread (~95bps). Cross-checked via implied Kd (Net Finance Costs / Avg. Debt). Source: Intertek FY2024 Annual Report, Note 14</t>
  </si>
  <si>
    <t xml:space="preserve">  Adj. Net Finance Costs incl. IFRS 16 lease interest, fees &amp; FX</t>
  </si>
  <si>
    <t xml:space="preserve">  5.50% selected: marginal Kd on new issuance (excl. lease &amp; non-cash items)</t>
  </si>
  <si>
    <t xml:space="preserve">  £42.3m all-in / £555m avg. debt ≈ 7.6% : but overstates pure borrowing cost</t>
  </si>
  <si>
    <t>D/E ratio (0.39x) calculated from market values: (ST Debt + LT Debt) / (Share Price × Shares Out). Target D/E of 0.20x used for relevered beta — reflects low end of mgmt 1.3–1.8x ND/EBITDA target, post-buyback steady-state, and TIC peer median (0.25x).</t>
  </si>
  <si>
    <t xml:space="preserve">Levered beta (primary); 5Y monthly regression vs FTSE All-Share - please note it is in penny </t>
  </si>
  <si>
    <t>Company Filings, FactSet, Bloomberg - Please note some sources use penny(1/100) we are using GBP</t>
  </si>
  <si>
    <t>Market leader in consumer product testing high-barrier, high-margin niche</t>
  </si>
  <si>
    <t>Trades at ~9.0x EV/EBITDA vs. sector median 14.3x  ~37% discount</t>
  </si>
  <si>
    <t>Net debt/EBITDA 1.0x (H1 2025); target 1.3-1.8x  room for LBO or strategic</t>
  </si>
  <si>
    <t>SECTION 1: TIC SECTOR M&amp;A LANDSCAPE : CONSOLIDATION WAVE UNDERWAY</t>
  </si>
  <si>
    <t>SECTION 3: INTERTEK AS STRATEGIC ACQUISITION TARGET : INVESTMENT THESIS</t>
  </si>
  <si>
    <t>3C. STRATEGIC RATIONALE : WHY INTERTEK IS ATTRACTIVE</t>
  </si>
  <si>
    <t>CONSOLIDATION IMPERATIVE: The SGS–BV mega-merger attempt (Jan 2025) and its collapse leaves the TIC sector's consolidation thesis unresolved. Bureau Veritas retains a "strong belief in consolidation"  Intertek is the logical next partner.</t>
  </si>
  <si>
    <t>ILLUSTRATIVE TAKEOUT: A 30% premium implies an offer of ~£48.54/share (EV ~£8,023mm). This values Intertek at ~10.5x LTM EV/EBITDA and ~10.1x 2025E  still below sector median 14.3x, making it highly accretive for any strategic acquirer.</t>
  </si>
  <si>
    <t>MULTIPLE BIDDER UNIVERSE: Strategic players (Bureau Veritas, SGS), sovereign wealth (Temasek), PE firms (Apollo, TDR), and industrials (Danaher, Honeywell) all represent credible acquirers  increasing the probability of a competitive process.</t>
  </si>
  <si>
    <t>APPENDIX: INTERTEK'S OWN M&amp;A ACTIVITY (2021–2026) : DEMONSTRATES BOLT-ON DISCIPLINE</t>
  </si>
  <si>
    <t>30%  base case control premium; consistent with TIC precedents</t>
  </si>
  <si>
    <t>SECTION 1: PE ENTRY : LBO AFFORDABILITY ANALYSIS</t>
  </si>
  <si>
    <t>STRATEGIC GRIDLOCK CREATES PE WINDOW: Two consecutive mega-merger collapses (BV–Intertek, SGS–BV) demonstrate that strategic consolidation faces structural barriers ; regulatory complexity, cultural clashes, and management alignment issues. PE avoids all of these with a clean take-private.</t>
  </si>
  <si>
    <t>ATTRACTIVE RETURNS: At base case (12x exit to strategic), the model generates a ~2.7x MOIC and ~22% IRR over 5 years  comfortably above typical PE hurdle rates. At sector-median exit (14.3x), returns reach ~3.2x / ~27%. Even the conservative secondary buyout at 10x delivers 2.2x / 17%. The margin expansion + deleveraging + multiple re-rating triple play drives compounding value.</t>
  </si>
  <si>
    <t>Whether the exit comes via strategic acquisition or PE take-private, Intertek is mispriced. The strategic path offers 35–70% upside to a takeout. The PE path delivers ~17–30% IRRs (2.2–3.7x MOIC) depending on exit multiple, with a clear buy-build-exit playbook. The failed BV and SGS mega-mergers don't kill the M&amp;A thesis ; they redirect it toward PE, making a take-private the most probable near-term catalyst.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</si>
</sst>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&quot;x&quot;"/>
    <numFmt numFmtId="166" formatCode="_(* #,##0.00_);_(* \(#,##0.00\);_(* &quot;-&quot;_);_(@_)"/>
    <numFmt numFmtId="167" formatCode="0.0%"/>
    <numFmt numFmtId="168" formatCode="0.0"/>
    <numFmt numFmtId="169" formatCode="_(* #,##0_);_(* \(#,##0\);_(* &quot;-&quot;??_);_(@_)"/>
    <numFmt numFmtId="170" formatCode="_(* #,##0.0_);_(* \(#,##0.0\);_(* &quot;-&quot;_);_(@_)"/>
    <numFmt numFmtId="171" formatCode="0.000"/>
    <numFmt numFmtId="172" formatCode="0.0\x"/>
    <numFmt numFmtId="173" formatCode="\£#,##0.00"/>
    <numFmt numFmtId="174" formatCode="&quot;$&quot;#,##0.00"/>
    <numFmt numFmtId="175" formatCode="\£#,##0"/>
    <numFmt numFmtId="176" formatCode="\£#,##0&quot;mm&quot;"/>
  </numFmts>
  <fonts count="171">
    <font>
      <sz val="12"/>
      <color theme="1"/>
      <name val="Aptos Narrow"/>
      <family val="2"/>
      <scheme val="minor"/>
    </font>
    <font>
      <b/>
      <sz val="22"/>
      <color rgb="FFFFFFFF"/>
      <name val="Arial"/>
      <family val="2"/>
    </font>
    <font>
      <sz val="16"/>
      <color rgb="FFFFFFFF"/>
      <name val="Arial"/>
      <family val="2"/>
    </font>
    <font>
      <sz val="10"/>
      <color rgb="FF4472C4"/>
      <name val="Arial"/>
      <family val="2"/>
    </font>
    <font>
      <b/>
      <sz val="14"/>
      <color rgb="FFC00000"/>
      <name val="Arial"/>
      <family val="2"/>
    </font>
    <font>
      <sz val="11"/>
      <color rgb="FFB4C6E7"/>
      <name val="Arial"/>
      <family val="2"/>
    </font>
    <font>
      <sz val="12"/>
      <color rgb="FF00206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4"/>
      <color rgb="FFFFFFFF"/>
      <name val="Aptos Narrow"/>
      <scheme val="minor"/>
    </font>
    <font>
      <i/>
      <sz val="10"/>
      <color rgb="FF1F4E79"/>
      <name val="Aptos Narrow"/>
      <scheme val="minor"/>
    </font>
    <font>
      <b/>
      <sz val="11"/>
      <color rgb="FFFFFFFF"/>
      <name val="Aptos Narrow"/>
      <scheme val="minor"/>
    </font>
    <font>
      <b/>
      <sz val="10"/>
      <color rgb="FF000000"/>
      <name val="Aptos Narrow"/>
      <scheme val="minor"/>
    </font>
    <font>
      <i/>
      <sz val="10"/>
      <color rgb="FF808080"/>
      <name val="Aptos Narrow"/>
      <scheme val="minor"/>
    </font>
    <font>
      <sz val="10"/>
      <color rgb="FF000000"/>
      <name val="Aptos Narrow"/>
      <scheme val="minor"/>
    </font>
    <font>
      <sz val="10"/>
      <color rgb="FF0000FF"/>
      <name val="Aptos Narrow"/>
      <scheme val="minor"/>
    </font>
    <font>
      <b/>
      <sz val="28"/>
      <color rgb="FFFFFFFF"/>
      <name val="Calibri"/>
      <family val="2"/>
    </font>
    <font>
      <sz val="14"/>
      <color rgb="FF8B9DC3"/>
      <name val="Calibri"/>
      <family val="2"/>
    </font>
    <font>
      <sz val="11"/>
      <color rgb="FFC5A572"/>
      <name val="Calibri"/>
      <family val="2"/>
    </font>
    <font>
      <sz val="10"/>
      <color rgb="FF7A8599"/>
      <name val="Calibri"/>
      <family val="2"/>
    </font>
    <font>
      <b/>
      <sz val="10"/>
      <color rgb="FF1B2A4A"/>
      <name val="Calibri"/>
      <family val="2"/>
    </font>
    <font>
      <i/>
      <sz val="7"/>
      <color rgb="FFA0A8B8"/>
      <name val="Calibri"/>
      <family val="2"/>
    </font>
    <font>
      <b/>
      <sz val="10"/>
      <color rgb="FF003366"/>
      <name val="Arial"/>
      <family val="2"/>
    </font>
    <font>
      <sz val="12"/>
      <color theme="1"/>
      <name val="Aptos Narrow"/>
      <scheme val="minor"/>
    </font>
    <font>
      <b/>
      <sz val="14"/>
      <color theme="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FF"/>
      <name val="Aptos Narrow"/>
      <family val="2"/>
      <scheme val="minor"/>
    </font>
    <font>
      <sz val="12"/>
      <color rgb="FF0000FF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9" tint="0.3999755851924192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i/>
      <sz val="11"/>
      <color rgb="FF1F4E79"/>
      <name val="Aptos Narrow"/>
      <scheme val="minor"/>
    </font>
    <font>
      <b/>
      <u/>
      <sz val="12"/>
      <color rgb="FF1F4E79"/>
      <name val="Aptos Narrow"/>
      <scheme val="minor"/>
    </font>
    <font>
      <b/>
      <sz val="14"/>
      <color rgb="FF0000FF"/>
      <name val="Aptos Narrow"/>
      <scheme val="minor"/>
    </font>
    <font>
      <b/>
      <sz val="11"/>
      <color rgb="FF808080"/>
      <name val="Aptos Narrow"/>
      <scheme val="minor"/>
    </font>
    <font>
      <sz val="11"/>
      <color rgb="FF808080"/>
      <name val="Aptos Narrow"/>
      <scheme val="minor"/>
    </font>
    <font>
      <b/>
      <u/>
      <sz val="11"/>
      <color rgb="FF1F4E79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rgb="FFFFFFFF"/>
      <name val="Aptos Narrow"/>
      <scheme val="minor"/>
    </font>
    <font>
      <sz val="11"/>
      <color rgb="FF0000FF"/>
      <name val="Aptos Narrow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2"/>
      <color theme="1"/>
      <name val="Aptos Narrow (Body)"/>
    </font>
    <font>
      <b/>
      <u/>
      <sz val="11"/>
      <color rgb="FF1F4E79"/>
      <name val="Aptos Narrow"/>
      <family val="2"/>
      <scheme val="minor"/>
    </font>
    <font>
      <b/>
      <i/>
      <sz val="11"/>
      <color rgb="FFC62828"/>
      <name val="Aptos Narrow"/>
      <scheme val="minor"/>
    </font>
    <font>
      <b/>
      <i/>
      <sz val="10"/>
      <color theme="1"/>
      <name val="Aptos Narrow"/>
      <scheme val="minor"/>
    </font>
    <font>
      <b/>
      <sz val="12"/>
      <color rgb="FF0000FF"/>
      <name val="Aptos Narrow"/>
      <scheme val="minor"/>
    </font>
    <font>
      <b/>
      <sz val="14"/>
      <color theme="1"/>
      <name val="Aptos Narrow"/>
      <scheme val="minor"/>
    </font>
    <font>
      <i/>
      <sz val="10"/>
      <color rgb="FF666666"/>
      <name val="Aptos Narrow"/>
      <scheme val="minor"/>
    </font>
    <font>
      <i/>
      <sz val="10"/>
      <color rgb="FF666666"/>
      <name val="Aptos Narrow"/>
      <family val="2"/>
      <scheme val="minor"/>
    </font>
    <font>
      <b/>
      <i/>
      <sz val="10"/>
      <color rgb="FF666666"/>
      <name val="Aptos Narrow"/>
      <scheme val="minor"/>
    </font>
    <font>
      <i/>
      <sz val="12"/>
      <color theme="1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0"/>
      <name val="Aptos Narrow"/>
      <scheme val="minor"/>
    </font>
    <font>
      <sz val="11"/>
      <color rgb="FF7F6000"/>
      <name val="Aptos Narrow"/>
      <family val="2"/>
      <scheme val="minor"/>
    </font>
    <font>
      <sz val="11"/>
      <color rgb="FF833C0B"/>
      <name val="Aptos Narrow"/>
      <family val="2"/>
      <scheme val="minor"/>
    </font>
    <font>
      <b/>
      <sz val="11"/>
      <color rgb="FF833C0B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i/>
      <sz val="10"/>
      <color rgb="FFFFFFFF"/>
      <name val="Aptos Narrow"/>
      <family val="2"/>
      <charset val="1"/>
    </font>
    <font>
      <b/>
      <sz val="10"/>
      <color rgb="FFFFFFFF"/>
      <name val="Aptos Narrow"/>
      <family val="2"/>
      <charset val="1"/>
    </font>
    <font>
      <b/>
      <u/>
      <sz val="10"/>
      <color rgb="FFFFFFFF"/>
      <name val="Aptos Narrow"/>
      <family val="2"/>
      <charset val="1"/>
    </font>
    <font>
      <u/>
      <sz val="10"/>
      <color rgb="FFFFFFFF"/>
      <name val="Aptos Narrow"/>
      <family val="2"/>
      <charset val="1"/>
    </font>
    <font>
      <sz val="10"/>
      <color rgb="FFFFFFFF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name val="Aptos Narrow"/>
      <family val="2"/>
      <charset val="1"/>
    </font>
    <font>
      <b/>
      <sz val="10"/>
      <name val="Aptos Narrow"/>
      <family val="2"/>
      <charset val="1"/>
    </font>
    <font>
      <i/>
      <sz val="9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6"/>
      <color rgb="FF1F4E79"/>
      <name val="Arial"/>
      <family val="2"/>
    </font>
    <font>
      <i/>
      <sz val="11"/>
      <color rgb="FF5B5B5B"/>
      <name val="Arial"/>
      <family val="2"/>
    </font>
    <font>
      <b/>
      <sz val="11"/>
      <color rgb="FF1F4E79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C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006600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9"/>
      <color rgb="FF666666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0"/>
      <color theme="1"/>
      <name val="Arial"/>
      <family val="2"/>
    </font>
    <font>
      <b/>
      <sz val="20"/>
      <color rgb="FFFFFFFF"/>
      <name val="Arial"/>
      <family val="2"/>
    </font>
    <font>
      <sz val="11"/>
      <color rgb="FF8EAADB"/>
      <name val="Arial"/>
      <family val="2"/>
    </font>
    <font>
      <sz val="10"/>
      <color rgb="FFB4C7E7"/>
      <name val="Arial"/>
      <family val="2"/>
    </font>
    <font>
      <sz val="9"/>
      <color theme="1"/>
      <name val="Arial"/>
      <family val="2"/>
    </font>
    <font>
      <sz val="9"/>
      <color rgb="FFB4C7E7"/>
      <name val="Arial"/>
      <family val="2"/>
    </font>
    <font>
      <b/>
      <sz val="8"/>
      <color rgb="FF666666"/>
      <name val="Arial"/>
      <family val="2"/>
    </font>
    <font>
      <b/>
      <sz val="22"/>
      <color rgb="FF1B2A4A"/>
      <name val="Arial"/>
      <family val="2"/>
    </font>
    <font>
      <sz val="8"/>
      <color rgb="FF999999"/>
      <name val="Arial"/>
      <family val="2"/>
    </font>
    <font>
      <b/>
      <sz val="18"/>
      <color rgb="FF006600"/>
      <name val="Arial"/>
      <family val="2"/>
    </font>
    <font>
      <b/>
      <sz val="8"/>
      <color rgb="FF006600"/>
      <name val="Arial"/>
      <family val="2"/>
    </font>
    <font>
      <b/>
      <sz val="9"/>
      <color theme="1"/>
      <name val="Arial"/>
      <family val="2"/>
    </font>
    <font>
      <b/>
      <sz val="9"/>
      <color rgb="FF1B2A4A"/>
      <name val="Arial"/>
      <family val="2"/>
    </font>
    <font>
      <b/>
      <sz val="8"/>
      <color rgb="FFFFFFFF"/>
      <name val="Arial"/>
      <family val="2"/>
    </font>
    <font>
      <b/>
      <sz val="9"/>
      <color rgb="FF0000FF"/>
      <name val="Arial"/>
      <family val="2"/>
    </font>
    <font>
      <b/>
      <sz val="9"/>
      <color rgb="FF006600"/>
      <name val="Arial"/>
      <family val="2"/>
    </font>
    <font>
      <b/>
      <sz val="9"/>
      <color rgb="FFFFFFFF"/>
      <name val="Arial"/>
      <family val="2"/>
    </font>
    <font>
      <b/>
      <sz val="9"/>
      <color rgb="FFD4AF37"/>
      <name val="Arial"/>
      <family val="2"/>
    </font>
    <font>
      <sz val="8"/>
      <color rgb="FF555555"/>
      <name val="Arial"/>
      <family val="2"/>
    </font>
    <font>
      <i/>
      <sz val="7"/>
      <color rgb="FF999999"/>
      <name val="Arial"/>
      <family val="2"/>
    </font>
    <font>
      <sz val="1"/>
      <color theme="1"/>
      <name val="Aptos Narrow"/>
      <family val="2"/>
      <scheme val="minor"/>
    </font>
    <font>
      <sz val="1"/>
      <color theme="1"/>
      <name val="Arial"/>
      <family val="2"/>
    </font>
    <font>
      <sz val="1"/>
      <color rgb="FFFFFFFF"/>
      <name val="Aptos Narrow"/>
      <family val="2"/>
      <scheme val="minor"/>
    </font>
    <font>
      <sz val="1"/>
      <color rgb="FFFFFFFF"/>
      <name val="Arial"/>
      <family val="2"/>
    </font>
    <font>
      <sz val="10"/>
      <color rgb="FF000000"/>
      <name val="Aptos Narrow"/>
      <family val="2"/>
      <scheme val="minor"/>
    </font>
    <font>
      <b/>
      <sz val="18"/>
      <color rgb="FF1B2A4A"/>
      <name val="Arial"/>
      <family val="2"/>
    </font>
    <font>
      <sz val="12"/>
      <color rgb="FF4472C4"/>
      <name val="Arial"/>
      <family val="2"/>
    </font>
    <font>
      <b/>
      <sz val="10"/>
      <color theme="0"/>
      <name val="Arial"/>
      <family val="2"/>
    </font>
    <font>
      <b/>
      <sz val="10"/>
      <color theme="9" tint="-0.249977111117893"/>
      <name val="Arial"/>
      <family val="2"/>
    </font>
    <font>
      <sz val="10"/>
      <color rgb="FF333333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0"/>
      <color rgb="FFBF8F00"/>
      <name val="Arial"/>
      <family val="2"/>
    </font>
    <font>
      <b/>
      <sz val="10"/>
      <color rgb="FFFF0000"/>
      <name val="Arial"/>
      <family val="2"/>
    </font>
    <font>
      <b/>
      <sz val="10"/>
      <color rgb="FFFFFFFF"/>
      <name val="Aptos Narrow"/>
      <scheme val="minor"/>
    </font>
    <font>
      <sz val="10"/>
      <color theme="1"/>
      <name val="Aptos Narrow"/>
      <scheme val="minor"/>
    </font>
    <font>
      <i/>
      <u/>
      <sz val="9"/>
      <color rgb="FF0563C1"/>
      <name val="Aptos Narrow"/>
      <scheme val="minor"/>
    </font>
    <font>
      <u/>
      <sz val="9"/>
      <color rgb="FF0563C1"/>
      <name val="Aptos Narrow"/>
      <scheme val="minor"/>
    </font>
    <font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  <font>
      <sz val="10"/>
      <color theme="0"/>
      <name val="Aptos Narrow"/>
      <scheme val="minor"/>
    </font>
    <font>
      <i/>
      <sz val="10"/>
      <color rgb="FF4472C4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1F3864"/>
      <name val="Aptos Narrow"/>
      <family val="2"/>
      <scheme val="minor"/>
    </font>
    <font>
      <sz val="8.5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.5"/>
      <color rgb="FF006100"/>
      <name val="Aptos Narrow"/>
      <family val="2"/>
      <scheme val="minor"/>
    </font>
    <font>
      <sz val="8.5"/>
      <color rgb="FF9C5700"/>
      <name val="Aptos Narrow"/>
      <family val="2"/>
      <scheme val="minor"/>
    </font>
    <font>
      <sz val="8.5"/>
      <color rgb="FF9C0006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8.5"/>
      <color theme="1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7"/>
      <color rgb="FF80808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9"/>
      <color rgb="FF833C0B"/>
      <name val="Aptos Narrow"/>
      <family val="2"/>
      <scheme val="minor"/>
    </font>
    <font>
      <b/>
      <sz val="12"/>
      <color rgb="FF833C0B"/>
      <name val="Aptos Narrow"/>
      <family val="2"/>
      <scheme val="minor"/>
    </font>
    <font>
      <b/>
      <sz val="10"/>
      <color rgb="FF833C0B"/>
      <name val="Aptos Narrow"/>
      <family val="2"/>
      <scheme val="minor"/>
    </font>
    <font>
      <sz val="9"/>
      <color rgb="FF0000FF"/>
      <name val="Aptos Narrow"/>
      <family val="2"/>
      <scheme val="minor"/>
    </font>
    <font>
      <b/>
      <sz val="9"/>
      <color rgb="FF833C0B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i/>
      <sz val="8"/>
      <color theme="0"/>
      <name val="Aptos Narrow"/>
      <family val="2"/>
      <scheme val="minor"/>
    </font>
    <font>
      <b/>
      <u/>
      <sz val="10"/>
      <color rgb="FF833C0B"/>
      <name val="Aptos Narrow"/>
      <family val="2"/>
      <scheme val="minor"/>
    </font>
    <font>
      <b/>
      <u/>
      <sz val="12"/>
      <color rgb="FF000000"/>
      <name val="Aptos Narrow"/>
      <scheme val="minor"/>
    </font>
    <font>
      <i/>
      <sz val="10"/>
      <color rgb="FF000000"/>
      <name val="Aptos Narrow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8217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4E8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E3EB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7E4F1"/>
        <bgColor indexed="64"/>
      </patternFill>
    </fill>
    <fill>
      <patternFill patternType="solid">
        <fgColor rgb="FFE9F0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833C0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BE6D7"/>
        <bgColor indexed="64"/>
      </patternFill>
    </fill>
  </fills>
  <borders count="86">
    <border>
      <left/>
      <right/>
      <top/>
      <bottom/>
      <diagonal/>
    </border>
    <border>
      <left/>
      <right/>
      <top style="thin">
        <color rgb="FFE0E4EC"/>
      </top>
      <bottom/>
      <diagonal/>
    </border>
    <border>
      <left/>
      <right/>
      <top style="thin">
        <color rgb="FFE0E4EC"/>
      </top>
      <bottom style="thin">
        <color rgb="FFE0E4EC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BF8F00"/>
      </bottom>
      <diagonal/>
    </border>
    <border>
      <left/>
      <right/>
      <top/>
      <bottom style="thin">
        <color rgb="FFC08F00"/>
      </bottom>
      <diagonal/>
    </border>
    <border>
      <left style="thick">
        <color rgb="FF782170"/>
      </left>
      <right/>
      <top style="thick">
        <color rgb="FF782170"/>
      </top>
      <bottom/>
      <diagonal/>
    </border>
    <border>
      <left/>
      <right/>
      <top style="thick">
        <color rgb="FF782170"/>
      </top>
      <bottom/>
      <diagonal/>
    </border>
    <border>
      <left/>
      <right style="thick">
        <color rgb="FF782170"/>
      </right>
      <top style="thick">
        <color rgb="FF782170"/>
      </top>
      <bottom/>
      <diagonal/>
    </border>
    <border>
      <left style="thick">
        <color rgb="FF782170"/>
      </left>
      <right style="medium">
        <color rgb="FF782170"/>
      </right>
      <top/>
      <bottom style="medium">
        <color rgb="FF782170"/>
      </bottom>
      <diagonal/>
    </border>
    <border>
      <left/>
      <right/>
      <top/>
      <bottom style="medium">
        <color rgb="FF782170"/>
      </bottom>
      <diagonal/>
    </border>
    <border>
      <left/>
      <right style="thick">
        <color rgb="FF782170"/>
      </right>
      <top/>
      <bottom style="medium">
        <color rgb="FF782170"/>
      </bottom>
      <diagonal/>
    </border>
    <border>
      <left style="thick">
        <color rgb="FF782170"/>
      </left>
      <right style="medium">
        <color rgb="FF782170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ck">
        <color rgb="FF782170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782170"/>
      </bottom>
      <diagonal/>
    </border>
    <border>
      <left style="thin">
        <color rgb="FFD9D9D9"/>
      </left>
      <right style="thick">
        <color rgb="FF782170"/>
      </right>
      <top style="thin">
        <color rgb="FFD9D9D9"/>
      </top>
      <bottom style="thick">
        <color rgb="FF78217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1B2A4A"/>
      </top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/>
      <top style="thick">
        <color rgb="FF1B2A4A"/>
      </top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ck">
        <color rgb="FF1B2A4A"/>
      </top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ck">
        <color rgb="FFD4AF37"/>
      </top>
      <bottom/>
      <diagonal/>
    </border>
    <border>
      <left/>
      <right style="thin">
        <color rgb="FFE0E0E0"/>
      </right>
      <top style="thick">
        <color rgb="FFD4AF37"/>
      </top>
      <bottom/>
      <diagonal/>
    </border>
    <border>
      <left/>
      <right/>
      <top/>
      <bottom style="medium">
        <color rgb="FFD4AF37"/>
      </bottom>
      <diagonal/>
    </border>
    <border>
      <left/>
      <right/>
      <top/>
      <bottom style="thin">
        <color rgb="FF1B2A4A"/>
      </bottom>
      <diagonal/>
    </border>
    <border>
      <left/>
      <right/>
      <top style="double">
        <color rgb="FF1B2A4A"/>
      </top>
      <bottom/>
      <diagonal/>
    </border>
    <border>
      <left/>
      <right/>
      <top style="double">
        <color rgb="FF1B2A4A"/>
      </top>
      <bottom style="thin">
        <color rgb="FF1B2A4A"/>
      </bottom>
      <diagonal/>
    </border>
    <border>
      <left/>
      <right/>
      <top style="thin">
        <color rgb="FFE0E0E0"/>
      </top>
      <bottom style="medium">
        <color rgb="FFD4AF37"/>
      </bottom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1F38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1F3864"/>
      </bottom>
      <diagonal/>
    </border>
    <border>
      <left style="thin">
        <color rgb="FFB4C6E7"/>
      </left>
      <right/>
      <top style="thin">
        <color rgb="FFB4C6E7"/>
      </top>
      <bottom style="thin">
        <color rgb="FF1F3864"/>
      </bottom>
      <diagonal/>
    </border>
    <border>
      <left/>
      <right style="thin">
        <color rgb="FFB4C6E7"/>
      </right>
      <top style="thin">
        <color rgb="FF1F386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1F3864"/>
      </top>
      <bottom style="thin">
        <color rgb="FFB4C6E7"/>
      </bottom>
      <diagonal/>
    </border>
    <border>
      <left style="thin">
        <color rgb="FFB4C6E7"/>
      </left>
      <right/>
      <top style="thin">
        <color rgb="FF1F3864"/>
      </top>
      <bottom style="thin">
        <color rgb="FFB4C6E7"/>
      </bottom>
      <diagonal/>
    </border>
    <border>
      <left/>
      <right/>
      <top style="thin">
        <color rgb="FFBF8F00"/>
      </top>
      <bottom style="thin">
        <color rgb="FFBF8F00"/>
      </bottom>
      <diagonal/>
    </border>
    <border>
      <left/>
      <right style="thin">
        <color rgb="FFE0C8B0"/>
      </right>
      <top/>
      <bottom style="thin">
        <color rgb="FFE0C8B0"/>
      </bottom>
      <diagonal/>
    </border>
    <border>
      <left style="thin">
        <color rgb="FFE0C8B0"/>
      </left>
      <right style="thin">
        <color rgb="FFE0C8B0"/>
      </right>
      <top/>
      <bottom style="thin">
        <color rgb="FFE0C8B0"/>
      </bottom>
      <diagonal/>
    </border>
    <border>
      <left style="thin">
        <color rgb="FFE0C8B0"/>
      </left>
      <right/>
      <top/>
      <bottom style="thin">
        <color rgb="FFE0C8B0"/>
      </bottom>
      <diagonal/>
    </border>
    <border>
      <left/>
      <right style="thin">
        <color rgb="FFE0C8B0"/>
      </right>
      <top style="thin">
        <color rgb="FFE0C8B0"/>
      </top>
      <bottom style="thin">
        <color rgb="FFE0C8B0"/>
      </bottom>
      <diagonal/>
    </border>
    <border>
      <left style="thin">
        <color rgb="FFE0C8B0"/>
      </left>
      <right style="thin">
        <color rgb="FFE0C8B0"/>
      </right>
      <top style="thin">
        <color rgb="FFE0C8B0"/>
      </top>
      <bottom style="thin">
        <color rgb="FFE0C8B0"/>
      </bottom>
      <diagonal/>
    </border>
    <border>
      <left style="thin">
        <color rgb="FFE0C8B0"/>
      </left>
      <right/>
      <top style="thin">
        <color rgb="FFE0C8B0"/>
      </top>
      <bottom style="thin">
        <color rgb="FFE0C8B0"/>
      </bottom>
      <diagonal/>
    </border>
    <border>
      <left/>
      <right style="thin">
        <color rgb="FFE0C8B0"/>
      </right>
      <top style="thin">
        <color rgb="FFE0C8B0"/>
      </top>
      <bottom style="thin">
        <color rgb="FF833C0B"/>
      </bottom>
      <diagonal/>
    </border>
    <border>
      <left style="thin">
        <color rgb="FFE0C8B0"/>
      </left>
      <right style="thin">
        <color rgb="FFE0C8B0"/>
      </right>
      <top style="thin">
        <color rgb="FFE0C8B0"/>
      </top>
      <bottom style="thin">
        <color rgb="FF833C0B"/>
      </bottom>
      <diagonal/>
    </border>
    <border>
      <left style="thin">
        <color rgb="FFE0C8B0"/>
      </left>
      <right/>
      <top style="thin">
        <color rgb="FFE0C8B0"/>
      </top>
      <bottom style="thin">
        <color rgb="FF833C0B"/>
      </bottom>
      <diagonal/>
    </border>
    <border>
      <left/>
      <right/>
      <top style="thin">
        <color rgb="FF833C0B"/>
      </top>
      <bottom style="thin">
        <color rgb="FF833C0B"/>
      </bottom>
      <diagonal/>
    </border>
    <border>
      <left/>
      <right style="thin">
        <color rgb="FFE0C8B0"/>
      </right>
      <top style="thin">
        <color rgb="FF833C0B"/>
      </top>
      <bottom style="thin">
        <color rgb="FFE0C8B0"/>
      </bottom>
      <diagonal/>
    </border>
    <border>
      <left style="thin">
        <color rgb="FFE0C8B0"/>
      </left>
      <right style="thin">
        <color rgb="FFE0C8B0"/>
      </right>
      <top style="thin">
        <color rgb="FF833C0B"/>
      </top>
      <bottom style="thin">
        <color rgb="FFE0C8B0"/>
      </bottom>
      <diagonal/>
    </border>
    <border>
      <left style="thin">
        <color rgb="FFE0C8B0"/>
      </left>
      <right/>
      <top style="thin">
        <color rgb="FF833C0B"/>
      </top>
      <bottom style="thin">
        <color rgb="FFE0C8B0"/>
      </bottom>
      <diagonal/>
    </border>
  </borders>
  <cellStyleXfs count="3">
    <xf numFmtId="0" fontId="0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69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7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7" fillId="2" borderId="0" xfId="0" applyFont="1" applyFill="1"/>
    <xf numFmtId="0" fontId="10" fillId="2" borderId="0" xfId="0" applyFont="1" applyFill="1"/>
    <xf numFmtId="0" fontId="11" fillId="6" borderId="0" xfId="0" applyFont="1" applyFill="1"/>
    <xf numFmtId="0" fontId="12" fillId="8" borderId="0" xfId="0" applyFont="1" applyFill="1"/>
    <xf numFmtId="0" fontId="13" fillId="4" borderId="0" xfId="0" applyFont="1" applyFill="1"/>
    <xf numFmtId="0" fontId="11" fillId="4" borderId="0" xfId="0" applyFont="1" applyFill="1"/>
    <xf numFmtId="0" fontId="14" fillId="8" borderId="0" xfId="0" applyFont="1" applyFill="1" applyAlignment="1">
      <alignment horizontal="center"/>
    </xf>
    <xf numFmtId="0" fontId="14" fillId="8" borderId="0" xfId="0" applyFont="1" applyFill="1"/>
    <xf numFmtId="0" fontId="15" fillId="6" borderId="0" xfId="0" applyFont="1" applyFill="1" applyAlignment="1">
      <alignment horizontal="center"/>
    </xf>
    <xf numFmtId="0" fontId="17" fillId="6" borderId="0" xfId="0" applyFont="1" applyFill="1"/>
    <xf numFmtId="0" fontId="6" fillId="3" borderId="0" xfId="0" applyFont="1" applyFill="1"/>
    <xf numFmtId="0" fontId="0" fillId="10" borderId="0" xfId="0" applyFill="1"/>
    <xf numFmtId="0" fontId="7" fillId="2" borderId="0" xfId="0" applyFont="1" applyFill="1" applyAlignment="1">
      <alignment horizontal="center"/>
    </xf>
    <xf numFmtId="41" fontId="0" fillId="2" borderId="0" xfId="0" applyNumberFormat="1" applyFill="1"/>
    <xf numFmtId="41" fontId="25" fillId="2" borderId="0" xfId="0" applyNumberFormat="1" applyFont="1" applyFill="1"/>
    <xf numFmtId="41" fontId="26" fillId="2" borderId="0" xfId="0" applyNumberFormat="1" applyFont="1" applyFill="1"/>
    <xf numFmtId="41" fontId="9" fillId="2" borderId="0" xfId="0" applyNumberFormat="1" applyFont="1" applyFill="1"/>
    <xf numFmtId="0" fontId="27" fillId="7" borderId="0" xfId="0" applyFont="1" applyFill="1"/>
    <xf numFmtId="41" fontId="28" fillId="2" borderId="0" xfId="0" applyNumberFormat="1" applyFont="1" applyFill="1"/>
    <xf numFmtId="41" fontId="29" fillId="2" borderId="0" xfId="0" applyNumberFormat="1" applyFont="1" applyFill="1"/>
    <xf numFmtId="41" fontId="31" fillId="2" borderId="0" xfId="0" applyNumberFormat="1" applyFont="1" applyFill="1"/>
    <xf numFmtId="41" fontId="31" fillId="2" borderId="0" xfId="0" applyNumberFormat="1" applyFont="1" applyFill="1" applyAlignment="1">
      <alignment horizontal="right"/>
    </xf>
    <xf numFmtId="41" fontId="30" fillId="2" borderId="0" xfId="0" applyNumberFormat="1" applyFont="1" applyFill="1"/>
    <xf numFmtId="41" fontId="7" fillId="2" borderId="0" xfId="0" applyNumberFormat="1" applyFont="1" applyFill="1"/>
    <xf numFmtId="41" fontId="34" fillId="2" borderId="0" xfId="0" applyNumberFormat="1" applyFont="1" applyFill="1" applyAlignment="1">
      <alignment horizontal="right"/>
    </xf>
    <xf numFmtId="41" fontId="30" fillId="2" borderId="0" xfId="0" applyNumberFormat="1" applyFont="1" applyFill="1" applyAlignment="1">
      <alignment horizontal="center"/>
    </xf>
    <xf numFmtId="0" fontId="26" fillId="2" borderId="0" xfId="0" applyFont="1" applyFill="1"/>
    <xf numFmtId="0" fontId="35" fillId="7" borderId="0" xfId="0" applyFont="1" applyFill="1"/>
    <xf numFmtId="0" fontId="36" fillId="7" borderId="0" xfId="0" applyFont="1" applyFill="1"/>
    <xf numFmtId="0" fontId="0" fillId="7" borderId="0" xfId="0" applyFill="1"/>
    <xf numFmtId="0" fontId="37" fillId="2" borderId="0" xfId="0" applyFont="1" applyFill="1"/>
    <xf numFmtId="0" fontId="9" fillId="2" borderId="0" xfId="0" applyFont="1" applyFill="1" applyAlignment="1">
      <alignment horizontal="right"/>
    </xf>
    <xf numFmtId="41" fontId="26" fillId="2" borderId="0" xfId="0" applyNumberFormat="1" applyFont="1" applyFill="1" applyAlignment="1">
      <alignment horizontal="right" vertical="center"/>
    </xf>
    <xf numFmtId="9" fontId="0" fillId="2" borderId="0" xfId="2" applyFont="1" applyFill="1"/>
    <xf numFmtId="2" fontId="0" fillId="2" borderId="0" xfId="0" applyNumberFormat="1" applyFill="1"/>
    <xf numFmtId="0" fontId="9" fillId="2" borderId="3" xfId="0" applyFont="1" applyFill="1" applyBorder="1"/>
    <xf numFmtId="0" fontId="26" fillId="2" borderId="3" xfId="0" applyFont="1" applyFill="1" applyBorder="1"/>
    <xf numFmtId="9" fontId="26" fillId="2" borderId="3" xfId="2" applyFont="1" applyFill="1" applyBorder="1"/>
    <xf numFmtId="0" fontId="0" fillId="2" borderId="3" xfId="0" applyFill="1" applyBorder="1"/>
    <xf numFmtId="0" fontId="38" fillId="2" borderId="0" xfId="0" applyFont="1" applyFill="1"/>
    <xf numFmtId="0" fontId="39" fillId="2" borderId="0" xfId="0" applyFont="1" applyFill="1"/>
    <xf numFmtId="1" fontId="0" fillId="2" borderId="0" xfId="0" applyNumberFormat="1" applyFill="1"/>
    <xf numFmtId="9" fontId="39" fillId="2" borderId="0" xfId="2" applyFont="1" applyFill="1"/>
    <xf numFmtId="165" fontId="0" fillId="2" borderId="0" xfId="0" applyNumberFormat="1" applyFill="1"/>
    <xf numFmtId="166" fontId="0" fillId="2" borderId="0" xfId="0" applyNumberFormat="1" applyFill="1"/>
    <xf numFmtId="41" fontId="0" fillId="2" borderId="0" xfId="0" applyNumberFormat="1" applyFill="1" applyAlignment="1">
      <alignment horizontal="right"/>
    </xf>
    <xf numFmtId="10" fontId="0" fillId="2" borderId="0" xfId="0" applyNumberFormat="1" applyFill="1"/>
    <xf numFmtId="10" fontId="0" fillId="2" borderId="0" xfId="2" applyNumberFormat="1" applyFont="1" applyFill="1"/>
    <xf numFmtId="167" fontId="0" fillId="2" borderId="0" xfId="2" applyNumberFormat="1" applyFont="1" applyFill="1"/>
    <xf numFmtId="10" fontId="9" fillId="2" borderId="0" xfId="2" applyNumberFormat="1" applyFont="1" applyFill="1"/>
    <xf numFmtId="0" fontId="0" fillId="8" borderId="0" xfId="0" applyFill="1"/>
    <xf numFmtId="0" fontId="41" fillId="4" borderId="0" xfId="0" applyFont="1" applyFill="1"/>
    <xf numFmtId="0" fontId="0" fillId="4" borderId="0" xfId="0" applyFill="1"/>
    <xf numFmtId="0" fontId="42" fillId="2" borderId="0" xfId="0" applyFont="1" applyFill="1"/>
    <xf numFmtId="0" fontId="43" fillId="12" borderId="0" xfId="0" applyFont="1" applyFill="1" applyAlignment="1">
      <alignment horizontal="center"/>
    </xf>
    <xf numFmtId="0" fontId="44" fillId="2" borderId="0" xfId="0" applyFont="1" applyFill="1"/>
    <xf numFmtId="0" fontId="45" fillId="2" borderId="0" xfId="0" applyFont="1" applyFill="1" applyAlignment="1">
      <alignment horizontal="center"/>
    </xf>
    <xf numFmtId="0" fontId="16" fillId="2" borderId="0" xfId="0" applyFont="1" applyFill="1"/>
    <xf numFmtId="0" fontId="46" fillId="2" borderId="0" xfId="0" applyFont="1" applyFill="1"/>
    <xf numFmtId="0" fontId="47" fillId="2" borderId="0" xfId="0" applyFont="1" applyFill="1"/>
    <xf numFmtId="167" fontId="48" fillId="2" borderId="0" xfId="0" applyNumberFormat="1" applyFont="1" applyFill="1" applyAlignment="1">
      <alignment horizontal="center"/>
    </xf>
    <xf numFmtId="167" fontId="0" fillId="2" borderId="0" xfId="2" applyNumberFormat="1" applyFont="1" applyFill="1" applyAlignment="1">
      <alignment horizontal="center"/>
    </xf>
    <xf numFmtId="168" fontId="48" fillId="2" borderId="0" xfId="0" applyNumberFormat="1" applyFont="1" applyFill="1" applyAlignment="1">
      <alignment horizontal="center"/>
    </xf>
    <xf numFmtId="9" fontId="48" fillId="2" borderId="0" xfId="2" applyFont="1" applyFill="1" applyAlignment="1">
      <alignment horizontal="center"/>
    </xf>
    <xf numFmtId="165" fontId="48" fillId="2" borderId="0" xfId="0" applyNumberFormat="1" applyFont="1" applyFill="1" applyAlignment="1">
      <alignment horizontal="center"/>
    </xf>
    <xf numFmtId="0" fontId="12" fillId="2" borderId="0" xfId="0" applyFont="1" applyFill="1"/>
    <xf numFmtId="0" fontId="49" fillId="2" borderId="0" xfId="0" applyFont="1" applyFill="1"/>
    <xf numFmtId="0" fontId="47" fillId="2" borderId="0" xfId="0" applyFont="1" applyFill="1" applyAlignment="1">
      <alignment horizontal="center"/>
    </xf>
    <xf numFmtId="167" fontId="50" fillId="2" borderId="0" xfId="0" applyNumberFormat="1" applyFont="1" applyFill="1" applyAlignment="1">
      <alignment horizontal="center"/>
    </xf>
    <xf numFmtId="168" fontId="50" fillId="2" borderId="0" xfId="0" applyNumberFormat="1" applyFont="1" applyFill="1" applyAlignment="1">
      <alignment horizontal="center"/>
    </xf>
    <xf numFmtId="165" fontId="50" fillId="2" borderId="0" xfId="0" applyNumberFormat="1" applyFont="1" applyFill="1" applyAlignment="1">
      <alignment horizontal="center"/>
    </xf>
    <xf numFmtId="0" fontId="0" fillId="2" borderId="4" xfId="0" applyFill="1" applyBorder="1"/>
    <xf numFmtId="0" fontId="9" fillId="2" borderId="5" xfId="0" applyFont="1" applyFill="1" applyBorder="1" applyAlignment="1">
      <alignment horizontal="right"/>
    </xf>
    <xf numFmtId="0" fontId="9" fillId="2" borderId="4" xfId="0" applyFont="1" applyFill="1" applyBorder="1" applyAlignment="1">
      <alignment horizontal="right"/>
    </xf>
    <xf numFmtId="169" fontId="0" fillId="2" borderId="0" xfId="0" applyNumberFormat="1" applyFill="1"/>
    <xf numFmtId="169" fontId="9" fillId="2" borderId="0" xfId="0" applyNumberFormat="1" applyFont="1" applyFill="1"/>
    <xf numFmtId="43" fontId="0" fillId="2" borderId="0" xfId="0" applyNumberFormat="1" applyFill="1"/>
    <xf numFmtId="169" fontId="0" fillId="2" borderId="0" xfId="0" applyNumberFormat="1" applyFill="1" applyAlignment="1">
      <alignment horizontal="right"/>
    </xf>
    <xf numFmtId="169" fontId="26" fillId="2" borderId="0" xfId="0" applyNumberFormat="1" applyFont="1" applyFill="1"/>
    <xf numFmtId="169" fontId="0" fillId="11" borderId="0" xfId="0" applyNumberFormat="1" applyFill="1"/>
    <xf numFmtId="41" fontId="9" fillId="2" borderId="0" xfId="0" applyNumberFormat="1" applyFont="1" applyFill="1" applyAlignment="1">
      <alignment horizontal="right"/>
    </xf>
    <xf numFmtId="0" fontId="0" fillId="6" borderId="0" xfId="0" applyFill="1"/>
    <xf numFmtId="0" fontId="51" fillId="8" borderId="0" xfId="0" applyFont="1" applyFill="1"/>
    <xf numFmtId="0" fontId="46" fillId="4" borderId="0" xfId="0" applyFont="1" applyFill="1"/>
    <xf numFmtId="0" fontId="7" fillId="4" borderId="0" xfId="0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1" fontId="9" fillId="2" borderId="0" xfId="2" applyNumberFormat="1" applyFont="1" applyFill="1"/>
    <xf numFmtId="0" fontId="49" fillId="8" borderId="0" xfId="0" applyFont="1" applyFill="1"/>
    <xf numFmtId="0" fontId="52" fillId="4" borderId="0" xfId="0" applyFont="1" applyFill="1" applyAlignment="1">
      <alignment horizontal="right"/>
    </xf>
    <xf numFmtId="0" fontId="40" fillId="2" borderId="0" xfId="0" applyFont="1" applyFill="1"/>
    <xf numFmtId="167" fontId="40" fillId="2" borderId="0" xfId="0" applyNumberFormat="1" applyFont="1" applyFill="1" applyAlignment="1">
      <alignment horizontal="center"/>
    </xf>
    <xf numFmtId="170" fontId="40" fillId="2" borderId="0" xfId="0" applyNumberFormat="1" applyFont="1" applyFill="1" applyAlignment="1">
      <alignment horizontal="center"/>
    </xf>
    <xf numFmtId="0" fontId="53" fillId="2" borderId="0" xfId="0" applyFont="1" applyFill="1"/>
    <xf numFmtId="167" fontId="53" fillId="2" borderId="0" xfId="0" applyNumberFormat="1" applyFont="1" applyFill="1"/>
    <xf numFmtId="0" fontId="54" fillId="2" borderId="0" xfId="0" applyFont="1" applyFill="1"/>
    <xf numFmtId="170" fontId="40" fillId="2" borderId="0" xfId="0" applyNumberFormat="1" applyFont="1" applyFill="1"/>
    <xf numFmtId="0" fontId="52" fillId="2" borderId="0" xfId="0" applyFont="1" applyFill="1"/>
    <xf numFmtId="167" fontId="52" fillId="2" borderId="0" xfId="0" applyNumberFormat="1" applyFont="1" applyFill="1"/>
    <xf numFmtId="167" fontId="0" fillId="2" borderId="0" xfId="0" applyNumberFormat="1" applyFill="1"/>
    <xf numFmtId="170" fontId="55" fillId="2" borderId="0" xfId="0" applyNumberFormat="1" applyFont="1" applyFill="1"/>
    <xf numFmtId="170" fontId="52" fillId="2" borderId="0" xfId="0" applyNumberFormat="1" applyFont="1" applyFill="1"/>
    <xf numFmtId="170" fontId="53" fillId="2" borderId="0" xfId="0" applyNumberFormat="1" applyFont="1" applyFill="1"/>
    <xf numFmtId="0" fontId="52" fillId="4" borderId="0" xfId="0" applyFont="1" applyFill="1"/>
    <xf numFmtId="167" fontId="58" fillId="2" borderId="0" xfId="0" applyNumberFormat="1" applyFont="1" applyFill="1"/>
    <xf numFmtId="10" fontId="38" fillId="2" borderId="0" xfId="2" applyNumberFormat="1" applyFont="1" applyFill="1"/>
    <xf numFmtId="0" fontId="0" fillId="13" borderId="0" xfId="0" applyFill="1"/>
    <xf numFmtId="167" fontId="0" fillId="13" borderId="0" xfId="0" applyNumberFormat="1" applyFill="1"/>
    <xf numFmtId="0" fontId="59" fillId="2" borderId="0" xfId="0" applyFont="1" applyFill="1"/>
    <xf numFmtId="0" fontId="47" fillId="4" borderId="0" xfId="0" applyFont="1" applyFill="1" applyAlignment="1">
      <alignment horizontal="right"/>
    </xf>
    <xf numFmtId="0" fontId="60" fillId="4" borderId="0" xfId="0" applyFont="1" applyFill="1"/>
    <xf numFmtId="10" fontId="0" fillId="13" borderId="0" xfId="0" applyNumberFormat="1" applyFill="1"/>
    <xf numFmtId="0" fontId="61" fillId="6" borderId="0" xfId="0" applyFont="1" applyFill="1"/>
    <xf numFmtId="0" fontId="9" fillId="14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26" fillId="14" borderId="0" xfId="0" applyFont="1" applyFill="1" applyAlignment="1">
      <alignment horizontal="right"/>
    </xf>
    <xf numFmtId="43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15" borderId="0" xfId="0" applyNumberFormat="1" applyFill="1"/>
    <xf numFmtId="0" fontId="62" fillId="2" borderId="0" xfId="0" applyFont="1" applyFill="1"/>
    <xf numFmtId="1" fontId="0" fillId="11" borderId="0" xfId="0" applyNumberFormat="1" applyFill="1"/>
    <xf numFmtId="43" fontId="0" fillId="2" borderId="0" xfId="1" applyFont="1" applyFill="1"/>
    <xf numFmtId="43" fontId="0" fillId="15" borderId="0" xfId="0" applyNumberFormat="1" applyFill="1"/>
    <xf numFmtId="41" fontId="7" fillId="2" borderId="0" xfId="2" applyNumberFormat="1" applyFont="1" applyFill="1"/>
    <xf numFmtId="169" fontId="9" fillId="14" borderId="0" xfId="0" applyNumberFormat="1" applyFont="1" applyFill="1"/>
    <xf numFmtId="169" fontId="0" fillId="14" borderId="0" xfId="0" applyNumberFormat="1" applyFill="1"/>
    <xf numFmtId="169" fontId="26" fillId="2" borderId="0" xfId="0" applyNumberFormat="1" applyFont="1" applyFill="1" applyAlignment="1">
      <alignment horizontal="right"/>
    </xf>
    <xf numFmtId="167" fontId="0" fillId="16" borderId="0" xfId="2" applyNumberFormat="1" applyFont="1" applyFill="1"/>
    <xf numFmtId="170" fontId="30" fillId="2" borderId="0" xfId="0" applyNumberFormat="1" applyFont="1" applyFill="1"/>
    <xf numFmtId="41" fontId="9" fillId="17" borderId="0" xfId="0" applyNumberFormat="1" applyFont="1" applyFill="1"/>
    <xf numFmtId="10" fontId="30" fillId="2" borderId="0" xfId="2" applyNumberFormat="1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10" fontId="9" fillId="2" borderId="0" xfId="2" applyNumberFormat="1" applyFont="1" applyFill="1" applyAlignment="1">
      <alignment horizontal="center"/>
    </xf>
    <xf numFmtId="9" fontId="0" fillId="2" borderId="0" xfId="0" applyNumberFormat="1" applyFill="1"/>
    <xf numFmtId="9" fontId="9" fillId="2" borderId="0" xfId="0" applyNumberFormat="1" applyFont="1" applyFill="1" applyAlignment="1">
      <alignment horizontal="center"/>
    </xf>
    <xf numFmtId="0" fontId="9" fillId="19" borderId="0" xfId="0" applyFont="1" applyFill="1"/>
    <xf numFmtId="0" fontId="0" fillId="19" borderId="0" xfId="0" applyFill="1"/>
    <xf numFmtId="0" fontId="9" fillId="9" borderId="0" xfId="0" applyFont="1" applyFill="1"/>
    <xf numFmtId="0" fontId="0" fillId="9" borderId="0" xfId="0" applyFill="1"/>
    <xf numFmtId="10" fontId="31" fillId="2" borderId="0" xfId="0" applyNumberFormat="1" applyFont="1" applyFill="1" applyAlignment="1">
      <alignment horizontal="center"/>
    </xf>
    <xf numFmtId="0" fontId="65" fillId="2" borderId="0" xfId="0" applyFont="1" applyFill="1"/>
    <xf numFmtId="0" fontId="66" fillId="2" borderId="0" xfId="0" applyFont="1" applyFill="1"/>
    <xf numFmtId="10" fontId="9" fillId="2" borderId="0" xfId="0" applyNumberFormat="1" applyFont="1" applyFill="1" applyAlignment="1">
      <alignment horizontal="center"/>
    </xf>
    <xf numFmtId="0" fontId="67" fillId="2" borderId="0" xfId="0" applyFont="1" applyFill="1"/>
    <xf numFmtId="10" fontId="7" fillId="2" borderId="0" xfId="0" applyNumberFormat="1" applyFont="1" applyFill="1" applyAlignment="1">
      <alignment horizontal="center"/>
    </xf>
    <xf numFmtId="9" fontId="34" fillId="2" borderId="0" xfId="0" applyNumberFormat="1" applyFont="1" applyFill="1" applyAlignment="1">
      <alignment horizontal="center"/>
    </xf>
    <xf numFmtId="2" fontId="30" fillId="2" borderId="0" xfId="0" applyNumberFormat="1" applyFont="1" applyFill="1" applyAlignment="1">
      <alignment horizontal="center"/>
    </xf>
    <xf numFmtId="2" fontId="63" fillId="19" borderId="0" xfId="2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0" fontId="7" fillId="20" borderId="0" xfId="0" applyFont="1" applyFill="1"/>
    <xf numFmtId="0" fontId="0" fillId="20" borderId="0" xfId="0" applyFill="1"/>
    <xf numFmtId="0" fontId="68" fillId="2" borderId="0" xfId="0" applyFont="1" applyFill="1"/>
    <xf numFmtId="10" fontId="7" fillId="20" borderId="0" xfId="0" applyNumberFormat="1" applyFont="1" applyFill="1" applyAlignment="1">
      <alignment horizontal="center"/>
    </xf>
    <xf numFmtId="0" fontId="7" fillId="9" borderId="0" xfId="0" applyFont="1" applyFill="1"/>
    <xf numFmtId="3" fontId="0" fillId="2" borderId="0" xfId="0" applyNumberForma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0" fontId="7" fillId="21" borderId="0" xfId="0" applyFont="1" applyFill="1"/>
    <xf numFmtId="0" fontId="0" fillId="21" borderId="0" xfId="0" applyFill="1"/>
    <xf numFmtId="3" fontId="7" fillId="21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3" fontId="7" fillId="20" borderId="0" xfId="0" applyNumberFormat="1" applyFont="1" applyFill="1" applyAlignment="1">
      <alignment horizontal="right"/>
    </xf>
    <xf numFmtId="172" fontId="30" fillId="2" borderId="0" xfId="0" applyNumberFormat="1" applyFont="1" applyFill="1" applyAlignment="1">
      <alignment horizontal="center"/>
    </xf>
    <xf numFmtId="164" fontId="30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173" fontId="7" fillId="20" borderId="0" xfId="0" applyNumberFormat="1" applyFont="1" applyFill="1" applyAlignment="1">
      <alignment horizontal="right"/>
    </xf>
    <xf numFmtId="173" fontId="30" fillId="2" borderId="0" xfId="0" applyNumberFormat="1" applyFont="1" applyFill="1" applyAlignment="1">
      <alignment horizontal="right"/>
    </xf>
    <xf numFmtId="167" fontId="7" fillId="2" borderId="0" xfId="0" applyNumberFormat="1" applyFont="1" applyFill="1" applyAlignment="1">
      <alignment horizontal="right"/>
    </xf>
    <xf numFmtId="167" fontId="68" fillId="2" borderId="0" xfId="0" applyNumberFormat="1" applyFont="1" applyFill="1" applyAlignment="1">
      <alignment horizontal="right"/>
    </xf>
    <xf numFmtId="165" fontId="30" fillId="2" borderId="0" xfId="0" applyNumberFormat="1" applyFont="1" applyFill="1" applyAlignment="1">
      <alignment horizontal="center"/>
    </xf>
    <xf numFmtId="173" fontId="34" fillId="20" borderId="0" xfId="0" applyNumberFormat="1" applyFont="1" applyFill="1" applyAlignment="1">
      <alignment horizontal="right"/>
    </xf>
    <xf numFmtId="167" fontId="34" fillId="2" borderId="0" xfId="0" applyNumberFormat="1" applyFont="1" applyFill="1" applyAlignment="1">
      <alignment horizontal="right"/>
    </xf>
    <xf numFmtId="168" fontId="0" fillId="2" borderId="0" xfId="0" applyNumberFormat="1" applyFill="1" applyAlignment="1">
      <alignment horizontal="right"/>
    </xf>
    <xf numFmtId="3" fontId="26" fillId="2" borderId="0" xfId="0" applyNumberFormat="1" applyFont="1" applyFill="1" applyAlignment="1">
      <alignment horizontal="right"/>
    </xf>
    <xf numFmtId="171" fontId="7" fillId="2" borderId="0" xfId="0" applyNumberFormat="1" applyFont="1" applyFill="1" applyAlignment="1">
      <alignment horizontal="right"/>
    </xf>
    <xf numFmtId="173" fontId="7" fillId="2" borderId="0" xfId="0" applyNumberFormat="1" applyFont="1" applyFill="1" applyAlignment="1">
      <alignment horizontal="right"/>
    </xf>
    <xf numFmtId="167" fontId="30" fillId="2" borderId="0" xfId="0" applyNumberFormat="1" applyFont="1" applyFill="1" applyAlignment="1">
      <alignment horizontal="right"/>
    </xf>
    <xf numFmtId="0" fontId="51" fillId="23" borderId="0" xfId="0" applyFont="1" applyFill="1"/>
    <xf numFmtId="0" fontId="0" fillId="23" borderId="0" xfId="0" applyFill="1"/>
    <xf numFmtId="0" fontId="69" fillId="23" borderId="6" xfId="0" applyFont="1" applyFill="1" applyBorder="1" applyAlignment="1">
      <alignment horizontal="center"/>
    </xf>
    <xf numFmtId="167" fontId="72" fillId="24" borderId="10" xfId="0" applyNumberFormat="1" applyFont="1" applyFill="1" applyBorder="1" applyAlignment="1">
      <alignment horizontal="center"/>
    </xf>
    <xf numFmtId="167" fontId="72" fillId="24" borderId="11" xfId="0" applyNumberFormat="1" applyFont="1" applyFill="1" applyBorder="1" applyAlignment="1">
      <alignment horizontal="center"/>
    </xf>
    <xf numFmtId="167" fontId="72" fillId="24" borderId="12" xfId="0" applyNumberFormat="1" applyFont="1" applyFill="1" applyBorder="1" applyAlignment="1">
      <alignment horizontal="center"/>
    </xf>
    <xf numFmtId="174" fontId="73" fillId="25" borderId="14" xfId="0" applyNumberFormat="1" applyFont="1" applyFill="1" applyBorder="1" applyAlignment="1">
      <alignment horizontal="center"/>
    </xf>
    <xf numFmtId="174" fontId="74" fillId="28" borderId="17" xfId="0" applyNumberFormat="1" applyFont="1" applyFill="1" applyBorder="1" applyAlignment="1">
      <alignment horizontal="center"/>
    </xf>
    <xf numFmtId="174" fontId="76" fillId="29" borderId="20" xfId="0" applyNumberFormat="1" applyFont="1" applyFill="1" applyBorder="1" applyAlignment="1">
      <alignment horizontal="center"/>
    </xf>
    <xf numFmtId="174" fontId="77" fillId="31" borderId="17" xfId="0" applyNumberFormat="1" applyFont="1" applyFill="1" applyBorder="1" applyAlignment="1">
      <alignment horizontal="center"/>
    </xf>
    <xf numFmtId="174" fontId="78" fillId="33" borderId="23" xfId="0" applyNumberFormat="1" applyFont="1" applyFill="1" applyBorder="1" applyAlignment="1">
      <alignment horizontal="center"/>
    </xf>
    <xf numFmtId="2" fontId="72" fillId="24" borderId="10" xfId="0" applyNumberFormat="1" applyFont="1" applyFill="1" applyBorder="1" applyAlignment="1">
      <alignment horizontal="center"/>
    </xf>
    <xf numFmtId="173" fontId="72" fillId="24" borderId="9" xfId="0" applyNumberFormat="1" applyFont="1" applyFill="1" applyBorder="1" applyAlignment="1">
      <alignment horizontal="center"/>
    </xf>
    <xf numFmtId="173" fontId="73" fillId="25" borderId="13" xfId="0" applyNumberFormat="1" applyFont="1" applyFill="1" applyBorder="1" applyAlignment="1">
      <alignment horizontal="center"/>
    </xf>
    <xf numFmtId="173" fontId="73" fillId="26" borderId="14" xfId="0" applyNumberFormat="1" applyFont="1" applyFill="1" applyBorder="1" applyAlignment="1">
      <alignment horizontal="center"/>
    </xf>
    <xf numFmtId="173" fontId="72" fillId="27" borderId="15" xfId="0" applyNumberFormat="1" applyFont="1" applyFill="1" applyBorder="1" applyAlignment="1">
      <alignment horizontal="center"/>
    </xf>
    <xf numFmtId="173" fontId="74" fillId="28" borderId="16" xfId="0" applyNumberFormat="1" applyFont="1" applyFill="1" applyBorder="1" applyAlignment="1">
      <alignment horizontal="center"/>
    </xf>
    <xf numFmtId="173" fontId="74" fillId="25" borderId="18" xfId="0" applyNumberFormat="1" applyFont="1" applyFill="1" applyBorder="1" applyAlignment="1">
      <alignment horizontal="center"/>
    </xf>
    <xf numFmtId="173" fontId="74" fillId="25" borderId="17" xfId="0" applyNumberFormat="1" applyFont="1" applyFill="1" applyBorder="1" applyAlignment="1">
      <alignment horizontal="center"/>
    </xf>
    <xf numFmtId="173" fontId="74" fillId="26" borderId="19" xfId="0" applyNumberFormat="1" applyFont="1" applyFill="1" applyBorder="1" applyAlignment="1">
      <alignment horizontal="center"/>
    </xf>
    <xf numFmtId="167" fontId="79" fillId="24" borderId="12" xfId="0" applyNumberFormat="1" applyFont="1" applyFill="1" applyBorder="1" applyAlignment="1">
      <alignment horizontal="center"/>
    </xf>
    <xf numFmtId="173" fontId="76" fillId="29" borderId="16" xfId="0" applyNumberFormat="1" applyFont="1" applyFill="1" applyBorder="1" applyAlignment="1">
      <alignment horizontal="center"/>
    </xf>
    <xf numFmtId="173" fontId="33" fillId="30" borderId="21" xfId="0" applyNumberFormat="1" applyFont="1" applyFill="1" applyBorder="1" applyAlignment="1">
      <alignment horizontal="center"/>
    </xf>
    <xf numFmtId="173" fontId="76" fillId="29" borderId="19" xfId="0" applyNumberFormat="1" applyFont="1" applyFill="1" applyBorder="1" applyAlignment="1">
      <alignment horizontal="center"/>
    </xf>
    <xf numFmtId="173" fontId="77" fillId="31" borderId="16" xfId="0" applyNumberFormat="1" applyFont="1" applyFill="1" applyBorder="1" applyAlignment="1">
      <alignment horizontal="center"/>
    </xf>
    <xf numFmtId="173" fontId="77" fillId="32" borderId="14" xfId="0" applyNumberFormat="1" applyFont="1" applyFill="1" applyBorder="1" applyAlignment="1">
      <alignment horizontal="center"/>
    </xf>
    <xf numFmtId="173" fontId="77" fillId="32" borderId="17" xfId="0" applyNumberFormat="1" applyFont="1" applyFill="1" applyBorder="1" applyAlignment="1">
      <alignment horizontal="center"/>
    </xf>
    <xf numFmtId="173" fontId="77" fillId="31" borderId="19" xfId="0" applyNumberFormat="1" applyFont="1" applyFill="1" applyBorder="1" applyAlignment="1">
      <alignment horizontal="center"/>
    </xf>
    <xf numFmtId="173" fontId="78" fillId="33" borderId="22" xfId="0" applyNumberFormat="1" applyFont="1" applyFill="1" applyBorder="1" applyAlignment="1">
      <alignment horizontal="center"/>
    </xf>
    <xf numFmtId="173" fontId="72" fillId="34" borderId="23" xfId="0" applyNumberFormat="1" applyFont="1" applyFill="1" applyBorder="1" applyAlignment="1">
      <alignment horizontal="center"/>
    </xf>
    <xf numFmtId="173" fontId="78" fillId="33" borderId="24" xfId="0" applyNumberFormat="1" applyFont="1" applyFill="1" applyBorder="1" applyAlignment="1">
      <alignment horizontal="center"/>
    </xf>
    <xf numFmtId="165" fontId="72" fillId="24" borderId="10" xfId="0" applyNumberFormat="1" applyFont="1" applyFill="1" applyBorder="1" applyAlignment="1">
      <alignment horizontal="center"/>
    </xf>
    <xf numFmtId="165" fontId="72" fillId="24" borderId="11" xfId="0" applyNumberFormat="1" applyFont="1" applyFill="1" applyBorder="1" applyAlignment="1">
      <alignment horizontal="center"/>
    </xf>
    <xf numFmtId="0" fontId="0" fillId="2" borderId="0" xfId="2" applyNumberFormat="1" applyFont="1" applyFill="1"/>
    <xf numFmtId="0" fontId="82" fillId="35" borderId="26" xfId="0" applyFont="1" applyFill="1" applyBorder="1"/>
    <xf numFmtId="0" fontId="81" fillId="35" borderId="26" xfId="0" applyFont="1" applyFill="1" applyBorder="1"/>
    <xf numFmtId="0" fontId="83" fillId="35" borderId="26" xfId="0" applyFont="1" applyFill="1" applyBorder="1"/>
    <xf numFmtId="0" fontId="80" fillId="35" borderId="28" xfId="0" applyFont="1" applyFill="1" applyBorder="1"/>
    <xf numFmtId="0" fontId="84" fillId="35" borderId="0" xfId="0" applyFont="1" applyFill="1"/>
    <xf numFmtId="0" fontId="82" fillId="35" borderId="0" xfId="0" applyFont="1" applyFill="1"/>
    <xf numFmtId="0" fontId="81" fillId="35" borderId="29" xfId="0" applyFont="1" applyFill="1" applyBorder="1"/>
    <xf numFmtId="0" fontId="81" fillId="35" borderId="30" xfId="0" applyFont="1" applyFill="1" applyBorder="1"/>
    <xf numFmtId="0" fontId="81" fillId="0" borderId="0" xfId="0" applyFont="1"/>
    <xf numFmtId="0" fontId="86" fillId="36" borderId="0" xfId="0" applyFont="1" applyFill="1"/>
    <xf numFmtId="0" fontId="85" fillId="36" borderId="0" xfId="0" applyFont="1" applyFill="1"/>
    <xf numFmtId="0" fontId="86" fillId="0" borderId="0" xfId="0" applyFont="1"/>
    <xf numFmtId="0" fontId="86" fillId="0" borderId="32" xfId="0" applyFont="1" applyBorder="1"/>
    <xf numFmtId="0" fontId="86" fillId="0" borderId="33" xfId="0" applyFont="1" applyBorder="1"/>
    <xf numFmtId="0" fontId="86" fillId="0" borderId="34" xfId="0" applyFont="1" applyBorder="1"/>
    <xf numFmtId="0" fontId="87" fillId="37" borderId="35" xfId="0" applyFont="1" applyFill="1" applyBorder="1"/>
    <xf numFmtId="0" fontId="87" fillId="37" borderId="36" xfId="0" applyFont="1" applyFill="1" applyBorder="1"/>
    <xf numFmtId="0" fontId="86" fillId="37" borderId="0" xfId="0" applyFont="1" applyFill="1"/>
    <xf numFmtId="0" fontId="87" fillId="0" borderId="0" xfId="0" applyFont="1"/>
    <xf numFmtId="0" fontId="86" fillId="0" borderId="37" xfId="0" applyFont="1" applyBorder="1"/>
    <xf numFmtId="0" fontId="87" fillId="0" borderId="31" xfId="0" applyFont="1" applyBorder="1"/>
    <xf numFmtId="0" fontId="85" fillId="0" borderId="0" xfId="0" applyFont="1"/>
    <xf numFmtId="0" fontId="86" fillId="0" borderId="0" xfId="0" applyFont="1" applyAlignment="1">
      <alignment horizontal="right"/>
    </xf>
    <xf numFmtId="0" fontId="82" fillId="35" borderId="0" xfId="0" applyFont="1" applyFill="1" applyAlignment="1">
      <alignment horizontal="center"/>
    </xf>
    <xf numFmtId="0" fontId="88" fillId="2" borderId="0" xfId="0" applyFont="1" applyFill="1" applyAlignment="1">
      <alignment vertical="top"/>
    </xf>
    <xf numFmtId="0" fontId="81" fillId="35" borderId="30" xfId="0" applyFont="1" applyFill="1" applyBorder="1" applyAlignment="1">
      <alignment horizontal="center"/>
    </xf>
    <xf numFmtId="0" fontId="82" fillId="35" borderId="30" xfId="0" applyFont="1" applyFill="1" applyBorder="1" applyAlignment="1">
      <alignment horizontal="center"/>
    </xf>
    <xf numFmtId="0" fontId="93" fillId="2" borderId="0" xfId="0" applyFont="1" applyFill="1"/>
    <xf numFmtId="0" fontId="94" fillId="2" borderId="0" xfId="0" applyFont="1" applyFill="1"/>
    <xf numFmtId="0" fontId="51" fillId="8" borderId="38" xfId="0" applyFont="1" applyFill="1" applyBorder="1" applyAlignment="1">
      <alignment horizontal="center"/>
    </xf>
    <xf numFmtId="0" fontId="94" fillId="2" borderId="38" xfId="0" applyFont="1" applyFill="1" applyBorder="1"/>
    <xf numFmtId="3" fontId="94" fillId="2" borderId="38" xfId="0" applyNumberFormat="1" applyFont="1" applyFill="1" applyBorder="1"/>
    <xf numFmtId="0" fontId="95" fillId="2" borderId="38" xfId="0" applyFont="1" applyFill="1" applyBorder="1"/>
    <xf numFmtId="0" fontId="7" fillId="2" borderId="38" xfId="0" applyFont="1" applyFill="1" applyBorder="1"/>
    <xf numFmtId="3" fontId="95" fillId="2" borderId="38" xfId="0" applyNumberFormat="1" applyFont="1" applyFill="1" applyBorder="1"/>
    <xf numFmtId="173" fontId="94" fillId="2" borderId="38" xfId="0" applyNumberFormat="1" applyFont="1" applyFill="1" applyBorder="1"/>
    <xf numFmtId="173" fontId="95" fillId="2" borderId="38" xfId="0" applyNumberFormat="1" applyFont="1" applyFill="1" applyBorder="1"/>
    <xf numFmtId="0" fontId="96" fillId="8" borderId="38" xfId="0" applyFont="1" applyFill="1" applyBorder="1" applyAlignment="1">
      <alignment horizontal="center"/>
    </xf>
    <xf numFmtId="0" fontId="56" fillId="2" borderId="38" xfId="0" applyFont="1" applyFill="1" applyBorder="1"/>
    <xf numFmtId="3" fontId="0" fillId="2" borderId="38" xfId="0" applyNumberFormat="1" applyFill="1" applyBorder="1"/>
    <xf numFmtId="173" fontId="0" fillId="2" borderId="38" xfId="0" applyNumberFormat="1" applyFill="1" applyBorder="1"/>
    <xf numFmtId="167" fontId="97" fillId="2" borderId="38" xfId="0" applyNumberFormat="1" applyFont="1" applyFill="1" applyBorder="1"/>
    <xf numFmtId="3" fontId="0" fillId="21" borderId="36" xfId="0" applyNumberFormat="1" applyFill="1" applyBorder="1"/>
    <xf numFmtId="173" fontId="0" fillId="21" borderId="36" xfId="0" applyNumberFormat="1" applyFill="1" applyBorder="1"/>
    <xf numFmtId="0" fontId="7" fillId="21" borderId="35" xfId="0" applyFont="1" applyFill="1" applyBorder="1"/>
    <xf numFmtId="167" fontId="97" fillId="21" borderId="39" xfId="0" applyNumberFormat="1" applyFont="1" applyFill="1" applyBorder="1"/>
    <xf numFmtId="0" fontId="98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99" fillId="2" borderId="0" xfId="0" applyFont="1" applyFill="1" applyAlignment="1">
      <alignment horizontal="left"/>
    </xf>
    <xf numFmtId="3" fontId="102" fillId="2" borderId="38" xfId="0" applyNumberFormat="1" applyFont="1" applyFill="1" applyBorder="1"/>
    <xf numFmtId="173" fontId="102" fillId="2" borderId="38" xfId="0" applyNumberFormat="1" applyFont="1" applyFill="1" applyBorder="1"/>
    <xf numFmtId="0" fontId="94" fillId="38" borderId="38" xfId="0" applyFont="1" applyFill="1" applyBorder="1"/>
    <xf numFmtId="3" fontId="94" fillId="38" borderId="38" xfId="0" applyNumberFormat="1" applyFont="1" applyFill="1" applyBorder="1"/>
    <xf numFmtId="3" fontId="102" fillId="38" borderId="38" xfId="0" applyNumberFormat="1" applyFont="1" applyFill="1" applyBorder="1"/>
    <xf numFmtId="173" fontId="94" fillId="38" borderId="38" xfId="0" applyNumberFormat="1" applyFont="1" applyFill="1" applyBorder="1"/>
    <xf numFmtId="173" fontId="102" fillId="38" borderId="38" xfId="0" applyNumberFormat="1" applyFont="1" applyFill="1" applyBorder="1"/>
    <xf numFmtId="0" fontId="94" fillId="39" borderId="38" xfId="0" applyFont="1" applyFill="1" applyBorder="1"/>
    <xf numFmtId="3" fontId="94" fillId="39" borderId="38" xfId="0" applyNumberFormat="1" applyFont="1" applyFill="1" applyBorder="1"/>
    <xf numFmtId="3" fontId="102" fillId="39" borderId="38" xfId="0" applyNumberFormat="1" applyFont="1" applyFill="1" applyBorder="1"/>
    <xf numFmtId="173" fontId="94" fillId="39" borderId="38" xfId="0" applyNumberFormat="1" applyFont="1" applyFill="1" applyBorder="1"/>
    <xf numFmtId="173" fontId="102" fillId="39" borderId="38" xfId="0" applyNumberFormat="1" applyFont="1" applyFill="1" applyBorder="1"/>
    <xf numFmtId="0" fontId="103" fillId="3" borderId="0" xfId="0" applyFont="1" applyFill="1" applyAlignment="1">
      <alignment vertical="center"/>
    </xf>
    <xf numFmtId="0" fontId="104" fillId="3" borderId="0" xfId="0" applyFont="1" applyFill="1" applyAlignment="1">
      <alignment horizontal="right" vertical="center"/>
    </xf>
    <xf numFmtId="0" fontId="0" fillId="40" borderId="0" xfId="0" applyFill="1"/>
    <xf numFmtId="0" fontId="105" fillId="40" borderId="0" xfId="0" applyFont="1" applyFill="1" applyAlignment="1">
      <alignment vertical="center"/>
    </xf>
    <xf numFmtId="0" fontId="107" fillId="40" borderId="0" xfId="0" applyFont="1" applyFill="1" applyAlignment="1">
      <alignment horizontal="right" vertical="center"/>
    </xf>
    <xf numFmtId="0" fontId="0" fillId="41" borderId="0" xfId="0" applyFill="1"/>
    <xf numFmtId="0" fontId="115" fillId="3" borderId="0" xfId="0" applyFont="1" applyFill="1"/>
    <xf numFmtId="0" fontId="115" fillId="3" borderId="0" xfId="0" applyFont="1" applyFill="1" applyAlignment="1">
      <alignment horizontal="center"/>
    </xf>
    <xf numFmtId="3" fontId="113" fillId="42" borderId="0" xfId="0" applyNumberFormat="1" applyFont="1" applyFill="1" applyAlignment="1">
      <alignment horizontal="center"/>
    </xf>
    <xf numFmtId="167" fontId="106" fillId="42" borderId="0" xfId="0" applyNumberFormat="1" applyFont="1" applyFill="1" applyAlignment="1">
      <alignment horizontal="center"/>
    </xf>
    <xf numFmtId="0" fontId="106" fillId="38" borderId="0" xfId="0" applyFont="1" applyFill="1"/>
    <xf numFmtId="167" fontId="106" fillId="38" borderId="0" xfId="0" applyNumberFormat="1" applyFont="1" applyFill="1" applyAlignment="1">
      <alignment horizontal="center"/>
    </xf>
    <xf numFmtId="167" fontId="116" fillId="43" borderId="0" xfId="0" applyNumberFormat="1" applyFont="1" applyFill="1" applyAlignment="1">
      <alignment horizontal="center"/>
    </xf>
    <xf numFmtId="3" fontId="106" fillId="38" borderId="0" xfId="0" applyNumberFormat="1" applyFont="1" applyFill="1" applyAlignment="1">
      <alignment horizontal="center"/>
    </xf>
    <xf numFmtId="3" fontId="106" fillId="43" borderId="0" xfId="0" applyNumberFormat="1" applyFont="1" applyFill="1" applyAlignment="1">
      <alignment horizontal="center"/>
    </xf>
    <xf numFmtId="167" fontId="113" fillId="42" borderId="0" xfId="0" applyNumberFormat="1" applyFont="1" applyFill="1" applyAlignment="1">
      <alignment horizontal="center"/>
    </xf>
    <xf numFmtId="167" fontId="106" fillId="43" borderId="0" xfId="0" applyNumberFormat="1" applyFont="1" applyFill="1" applyAlignment="1">
      <alignment horizontal="center"/>
    </xf>
    <xf numFmtId="0" fontId="113" fillId="42" borderId="51" xfId="0" applyFont="1" applyFill="1" applyBorder="1"/>
    <xf numFmtId="10" fontId="113" fillId="42" borderId="51" xfId="0" applyNumberFormat="1" applyFont="1" applyFill="1" applyBorder="1" applyAlignment="1">
      <alignment horizontal="right"/>
    </xf>
    <xf numFmtId="0" fontId="106" fillId="38" borderId="51" xfId="0" applyFont="1" applyFill="1" applyBorder="1"/>
    <xf numFmtId="0" fontId="113" fillId="38" borderId="51" xfId="0" applyFont="1" applyFill="1" applyBorder="1" applyAlignment="1">
      <alignment horizontal="right"/>
    </xf>
    <xf numFmtId="0" fontId="113" fillId="42" borderId="53" xfId="0" applyFont="1" applyFill="1" applyBorder="1"/>
    <xf numFmtId="0" fontId="114" fillId="41" borderId="0" xfId="0" applyFont="1" applyFill="1"/>
    <xf numFmtId="0" fontId="114" fillId="41" borderId="0" xfId="0" applyFont="1" applyFill="1" applyAlignment="1">
      <alignment horizontal="center"/>
    </xf>
    <xf numFmtId="0" fontId="106" fillId="38" borderId="0" xfId="0" applyFont="1" applyFill="1" applyAlignment="1">
      <alignment horizontal="center"/>
    </xf>
    <xf numFmtId="0" fontId="118" fillId="3" borderId="0" xfId="0" applyFont="1" applyFill="1" applyAlignment="1">
      <alignment vertical="center"/>
    </xf>
    <xf numFmtId="0" fontId="0" fillId="44" borderId="0" xfId="0" applyFill="1"/>
    <xf numFmtId="0" fontId="121" fillId="44" borderId="0" xfId="0" applyFont="1" applyFill="1"/>
    <xf numFmtId="0" fontId="108" fillId="6" borderId="42" xfId="0" applyFont="1" applyFill="1" applyBorder="1"/>
    <xf numFmtId="0" fontId="0" fillId="6" borderId="40" xfId="0" applyFill="1" applyBorder="1"/>
    <xf numFmtId="0" fontId="0" fillId="6" borderId="45" xfId="0" applyFill="1" applyBorder="1"/>
    <xf numFmtId="0" fontId="108" fillId="6" borderId="48" xfId="0" applyFont="1" applyFill="1" applyBorder="1"/>
    <xf numFmtId="0" fontId="0" fillId="6" borderId="49" xfId="0" applyFill="1" applyBorder="1"/>
    <xf numFmtId="0" fontId="109" fillId="6" borderId="43" xfId="0" applyFont="1" applyFill="1" applyBorder="1"/>
    <xf numFmtId="0" fontId="0" fillId="6" borderId="46" xfId="0" applyFill="1" applyBorder="1"/>
    <xf numFmtId="0" fontId="111" fillId="6" borderId="43" xfId="0" applyFont="1" applyFill="1" applyBorder="1"/>
    <xf numFmtId="0" fontId="110" fillId="6" borderId="43" xfId="0" applyFont="1" applyFill="1" applyBorder="1"/>
    <xf numFmtId="0" fontId="112" fillId="6" borderId="43" xfId="0" applyFont="1" applyFill="1" applyBorder="1"/>
    <xf numFmtId="0" fontId="0" fillId="6" borderId="44" xfId="0" applyFill="1" applyBorder="1"/>
    <xf numFmtId="0" fontId="0" fillId="6" borderId="41" xfId="0" applyFill="1" applyBorder="1"/>
    <xf numFmtId="0" fontId="0" fillId="6" borderId="47" xfId="0" applyFill="1" applyBorder="1"/>
    <xf numFmtId="0" fontId="114" fillId="6" borderId="50" xfId="0" applyFont="1" applyFill="1" applyBorder="1"/>
    <xf numFmtId="0" fontId="0" fillId="6" borderId="50" xfId="0" applyFill="1" applyBorder="1"/>
    <xf numFmtId="0" fontId="113" fillId="6" borderId="0" xfId="0" applyFont="1" applyFill="1"/>
    <xf numFmtId="3" fontId="113" fillId="6" borderId="0" xfId="0" applyNumberFormat="1" applyFont="1" applyFill="1" applyAlignment="1">
      <alignment horizontal="center"/>
    </xf>
    <xf numFmtId="167" fontId="113" fillId="6" borderId="0" xfId="0" applyNumberFormat="1" applyFont="1" applyFill="1" applyAlignment="1">
      <alignment horizontal="center"/>
    </xf>
    <xf numFmtId="0" fontId="106" fillId="6" borderId="0" xfId="0" applyFont="1" applyFill="1"/>
    <xf numFmtId="167" fontId="106" fillId="6" borderId="0" xfId="0" applyNumberFormat="1" applyFont="1" applyFill="1" applyAlignment="1">
      <alignment horizontal="center"/>
    </xf>
    <xf numFmtId="3" fontId="106" fillId="6" borderId="0" xfId="0" applyNumberFormat="1" applyFont="1" applyFill="1" applyAlignment="1">
      <alignment horizontal="center"/>
    </xf>
    <xf numFmtId="0" fontId="106" fillId="6" borderId="51" xfId="0" applyFont="1" applyFill="1" applyBorder="1"/>
    <xf numFmtId="167" fontId="106" fillId="6" borderId="51" xfId="0" applyNumberFormat="1" applyFont="1" applyFill="1" applyBorder="1" applyAlignment="1">
      <alignment horizontal="center"/>
    </xf>
    <xf numFmtId="0" fontId="106" fillId="6" borderId="0" xfId="0" applyFont="1" applyFill="1" applyAlignment="1">
      <alignment horizontal="center"/>
    </xf>
    <xf numFmtId="173" fontId="106" fillId="6" borderId="0" xfId="0" applyNumberFormat="1" applyFont="1" applyFill="1" applyAlignment="1">
      <alignment horizontal="center"/>
    </xf>
    <xf numFmtId="10" fontId="106" fillId="6" borderId="0" xfId="0" applyNumberFormat="1" applyFont="1" applyFill="1" applyAlignment="1">
      <alignment horizontal="right"/>
    </xf>
    <xf numFmtId="0" fontId="106" fillId="6" borderId="0" xfId="0" applyFont="1" applyFill="1" applyAlignment="1">
      <alignment horizontal="right"/>
    </xf>
    <xf numFmtId="173" fontId="106" fillId="6" borderId="51" xfId="0" applyNumberFormat="1" applyFont="1" applyFill="1" applyBorder="1" applyAlignment="1">
      <alignment horizontal="center"/>
    </xf>
    <xf numFmtId="0" fontId="119" fillId="6" borderId="0" xfId="0" applyFont="1" applyFill="1"/>
    <xf numFmtId="0" fontId="90" fillId="6" borderId="0" xfId="0" applyFont="1" applyFill="1"/>
    <xf numFmtId="0" fontId="120" fillId="6" borderId="0" xfId="0" applyFont="1" applyFill="1"/>
    <xf numFmtId="49" fontId="109" fillId="6" borderId="43" xfId="0" applyNumberFormat="1" applyFont="1" applyFill="1" applyBorder="1"/>
    <xf numFmtId="3" fontId="106" fillId="42" borderId="0" xfId="0" applyNumberFormat="1" applyFont="1" applyFill="1" applyAlignment="1">
      <alignment horizontal="center"/>
    </xf>
    <xf numFmtId="49" fontId="0" fillId="6" borderId="50" xfId="0" applyNumberFormat="1" applyFill="1" applyBorder="1"/>
    <xf numFmtId="49" fontId="0" fillId="6" borderId="0" xfId="0" applyNumberFormat="1" applyFill="1"/>
    <xf numFmtId="49" fontId="115" fillId="3" borderId="0" xfId="0" applyNumberFormat="1" applyFont="1" applyFill="1" applyAlignment="1">
      <alignment horizontal="center"/>
    </xf>
    <xf numFmtId="49" fontId="114" fillId="41" borderId="0" xfId="0" applyNumberFormat="1" applyFont="1" applyFill="1" applyAlignment="1">
      <alignment horizontal="center"/>
    </xf>
    <xf numFmtId="0" fontId="113" fillId="42" borderId="52" xfId="0" applyFont="1" applyFill="1" applyBorder="1"/>
    <xf numFmtId="3" fontId="113" fillId="42" borderId="52" xfId="0" applyNumberFormat="1" applyFont="1" applyFill="1" applyBorder="1" applyAlignment="1">
      <alignment horizontal="center"/>
    </xf>
    <xf numFmtId="0" fontId="113" fillId="42" borderId="52" xfId="0" applyFont="1" applyFill="1" applyBorder="1" applyAlignment="1">
      <alignment horizontal="center"/>
    </xf>
    <xf numFmtId="0" fontId="122" fillId="6" borderId="0" xfId="0" applyFont="1" applyFill="1"/>
    <xf numFmtId="0" fontId="123" fillId="6" borderId="0" xfId="0" applyFont="1" applyFill="1"/>
    <xf numFmtId="0" fontId="124" fillId="6" borderId="0" xfId="0" applyFont="1" applyFill="1"/>
    <xf numFmtId="0" fontId="125" fillId="6" borderId="0" xfId="0" applyFont="1" applyFill="1"/>
    <xf numFmtId="3" fontId="125" fillId="6" borderId="0" xfId="0" applyNumberFormat="1" applyFont="1" applyFill="1" applyAlignment="1">
      <alignment horizontal="center"/>
    </xf>
    <xf numFmtId="167" fontId="125" fillId="6" borderId="0" xfId="0" applyNumberFormat="1" applyFont="1" applyFill="1" applyAlignment="1">
      <alignment horizontal="center"/>
    </xf>
    <xf numFmtId="0" fontId="124" fillId="6" borderId="41" xfId="0" applyFont="1" applyFill="1" applyBorder="1"/>
    <xf numFmtId="0" fontId="125" fillId="6" borderId="41" xfId="0" applyFont="1" applyFill="1" applyBorder="1"/>
    <xf numFmtId="3" fontId="125" fillId="6" borderId="41" xfId="0" applyNumberFormat="1" applyFont="1" applyFill="1" applyBorder="1" applyAlignment="1">
      <alignment horizontal="center"/>
    </xf>
    <xf numFmtId="167" fontId="125" fillId="6" borderId="41" xfId="0" applyNumberFormat="1" applyFont="1" applyFill="1" applyBorder="1" applyAlignment="1">
      <alignment horizontal="center"/>
    </xf>
    <xf numFmtId="173" fontId="123" fillId="6" borderId="0" xfId="0" applyNumberFormat="1" applyFont="1" applyFill="1" applyAlignment="1">
      <alignment horizontal="center"/>
    </xf>
    <xf numFmtId="173" fontId="125" fillId="6" borderId="0" xfId="0" applyNumberFormat="1" applyFont="1" applyFill="1" applyAlignment="1">
      <alignment horizontal="center"/>
    </xf>
    <xf numFmtId="0" fontId="125" fillId="6" borderId="0" xfId="0" applyFont="1" applyFill="1" applyAlignment="1">
      <alignment horizontal="right"/>
    </xf>
    <xf numFmtId="10" fontId="125" fillId="6" borderId="0" xfId="0" applyNumberFormat="1" applyFont="1" applyFill="1" applyAlignment="1">
      <alignment horizontal="right"/>
    </xf>
    <xf numFmtId="0" fontId="126" fillId="2" borderId="0" xfId="0" applyFont="1" applyFill="1"/>
    <xf numFmtId="0" fontId="89" fillId="2" borderId="0" xfId="0" applyFont="1" applyFill="1"/>
    <xf numFmtId="172" fontId="106" fillId="38" borderId="0" xfId="0" applyNumberFormat="1" applyFont="1" applyFill="1" applyAlignment="1">
      <alignment horizontal="center"/>
    </xf>
    <xf numFmtId="0" fontId="118" fillId="6" borderId="0" xfId="0" applyFont="1" applyFill="1"/>
    <xf numFmtId="10" fontId="118" fillId="6" borderId="0" xfId="0" applyNumberFormat="1" applyFont="1" applyFill="1" applyAlignment="1">
      <alignment horizontal="right"/>
    </xf>
    <xf numFmtId="10" fontId="115" fillId="3" borderId="0" xfId="0" applyNumberFormat="1" applyFont="1" applyFill="1" applyAlignment="1">
      <alignment horizontal="right"/>
    </xf>
    <xf numFmtId="10" fontId="117" fillId="6" borderId="0" xfId="0" applyNumberFormat="1" applyFont="1" applyFill="1" applyAlignment="1">
      <alignment horizontal="right"/>
    </xf>
    <xf numFmtId="10" fontId="117" fillId="6" borderId="51" xfId="0" applyNumberFormat="1" applyFont="1" applyFill="1" applyBorder="1" applyAlignment="1">
      <alignment horizontal="right"/>
    </xf>
    <xf numFmtId="0" fontId="115" fillId="3" borderId="0" xfId="0" applyFont="1" applyFill="1" applyAlignment="1">
      <alignment horizontal="right"/>
    </xf>
    <xf numFmtId="0" fontId="114" fillId="6" borderId="54" xfId="0" applyFont="1" applyFill="1" applyBorder="1"/>
    <xf numFmtId="0" fontId="0" fillId="6" borderId="54" xfId="0" applyFill="1" applyBorder="1"/>
    <xf numFmtId="167" fontId="117" fillId="6" borderId="0" xfId="0" applyNumberFormat="1" applyFont="1" applyFill="1" applyAlignment="1">
      <alignment horizontal="center"/>
    </xf>
    <xf numFmtId="173" fontId="106" fillId="38" borderId="0" xfId="0" applyNumberFormat="1" applyFont="1" applyFill="1" applyAlignment="1">
      <alignment horizontal="center"/>
    </xf>
    <xf numFmtId="167" fontId="117" fillId="38" borderId="0" xfId="0" applyNumberFormat="1" applyFont="1" applyFill="1" applyAlignment="1">
      <alignment horizontal="center"/>
    </xf>
    <xf numFmtId="167" fontId="117" fillId="6" borderId="51" xfId="0" applyNumberFormat="1" applyFont="1" applyFill="1" applyBorder="1" applyAlignment="1">
      <alignment horizontal="center"/>
    </xf>
    <xf numFmtId="167" fontId="117" fillId="42" borderId="53" xfId="0" applyNumberFormat="1" applyFont="1" applyFill="1" applyBorder="1" applyAlignment="1">
      <alignment horizontal="center"/>
    </xf>
    <xf numFmtId="0" fontId="113" fillId="6" borderId="0" xfId="0" applyFont="1" applyFill="1" applyAlignment="1">
      <alignment horizontal="right"/>
    </xf>
    <xf numFmtId="0" fontId="113" fillId="38" borderId="0" xfId="0" applyFont="1" applyFill="1" applyAlignment="1">
      <alignment horizontal="right"/>
    </xf>
    <xf numFmtId="0" fontId="106" fillId="2" borderId="0" xfId="0" applyFont="1" applyFill="1"/>
    <xf numFmtId="0" fontId="113" fillId="2" borderId="0" xfId="0" applyFont="1" applyFill="1" applyAlignment="1">
      <alignment horizontal="right"/>
    </xf>
    <xf numFmtId="173" fontId="113" fillId="42" borderId="53" xfId="0" applyNumberFormat="1" applyFont="1" applyFill="1" applyBorder="1" applyAlignment="1">
      <alignment horizontal="center"/>
    </xf>
    <xf numFmtId="0" fontId="127" fillId="2" borderId="0" xfId="0" applyFont="1" applyFill="1" applyAlignment="1">
      <alignment horizontal="left"/>
    </xf>
    <xf numFmtId="0" fontId="128" fillId="2" borderId="0" xfId="0" applyFont="1" applyFill="1" applyAlignment="1">
      <alignment horizontal="left"/>
    </xf>
    <xf numFmtId="0" fontId="129" fillId="3" borderId="55" xfId="0" applyFont="1" applyFill="1" applyBorder="1" applyAlignment="1">
      <alignment horizontal="center"/>
    </xf>
    <xf numFmtId="0" fontId="129" fillId="3" borderId="55" xfId="0" applyFont="1" applyFill="1" applyBorder="1" applyAlignment="1">
      <alignment horizontal="left"/>
    </xf>
    <xf numFmtId="0" fontId="129" fillId="45" borderId="0" xfId="0" applyFont="1" applyFill="1"/>
    <xf numFmtId="0" fontId="0" fillId="45" borderId="0" xfId="0" applyFill="1"/>
    <xf numFmtId="0" fontId="94" fillId="46" borderId="0" xfId="0" applyFont="1" applyFill="1" applyAlignment="1">
      <alignment horizontal="center"/>
    </xf>
    <xf numFmtId="0" fontId="94" fillId="46" borderId="0" xfId="0" applyFont="1" applyFill="1"/>
    <xf numFmtId="0" fontId="102" fillId="46" borderId="0" xfId="0" applyFont="1" applyFill="1" applyAlignment="1">
      <alignment horizontal="center"/>
    </xf>
    <xf numFmtId="0" fontId="94" fillId="47" borderId="0" xfId="0" applyFont="1" applyFill="1" applyAlignment="1">
      <alignment horizontal="center"/>
    </xf>
    <xf numFmtId="0" fontId="94" fillId="47" borderId="0" xfId="0" applyFont="1" applyFill="1"/>
    <xf numFmtId="0" fontId="102" fillId="47" borderId="0" xfId="0" applyFont="1" applyFill="1" applyAlignment="1">
      <alignment horizontal="center"/>
    </xf>
    <xf numFmtId="0" fontId="129" fillId="48" borderId="0" xfId="0" applyFont="1" applyFill="1"/>
    <xf numFmtId="0" fontId="89" fillId="48" borderId="0" xfId="0" applyFont="1" applyFill="1"/>
    <xf numFmtId="0" fontId="129" fillId="49" borderId="0" xfId="0" applyFont="1" applyFill="1"/>
    <xf numFmtId="0" fontId="89" fillId="49" borderId="0" xfId="0" applyFont="1" applyFill="1"/>
    <xf numFmtId="0" fontId="129" fillId="5" borderId="0" xfId="0" applyFont="1" applyFill="1"/>
    <xf numFmtId="0" fontId="89" fillId="5" borderId="0" xfId="0" applyFont="1" applyFill="1"/>
    <xf numFmtId="0" fontId="94" fillId="2" borderId="0" xfId="0" applyFont="1" applyFill="1" applyAlignment="1">
      <alignment horizontal="center"/>
    </xf>
    <xf numFmtId="0" fontId="102" fillId="2" borderId="0" xfId="0" applyFont="1" applyFill="1" applyAlignment="1">
      <alignment horizontal="center"/>
    </xf>
    <xf numFmtId="0" fontId="129" fillId="50" borderId="0" xfId="0" applyFont="1" applyFill="1"/>
    <xf numFmtId="0" fontId="89" fillId="50" borderId="0" xfId="0" applyFont="1" applyFill="1"/>
    <xf numFmtId="0" fontId="130" fillId="47" borderId="0" xfId="0" applyFont="1" applyFill="1" applyAlignment="1">
      <alignment horizontal="center"/>
    </xf>
    <xf numFmtId="0" fontId="129" fillId="51" borderId="0" xfId="0" applyFont="1" applyFill="1"/>
    <xf numFmtId="0" fontId="89" fillId="51" borderId="0" xfId="0" applyFont="1" applyFill="1"/>
    <xf numFmtId="0" fontId="131" fillId="47" borderId="56" xfId="0" applyFont="1" applyFill="1" applyBorder="1" applyAlignment="1">
      <alignment horizontal="center"/>
    </xf>
    <xf numFmtId="0" fontId="131" fillId="47" borderId="56" xfId="0" applyFont="1" applyFill="1" applyBorder="1"/>
    <xf numFmtId="0" fontId="130" fillId="47" borderId="56" xfId="0" applyFont="1" applyFill="1" applyBorder="1" applyAlignment="1">
      <alignment horizontal="center"/>
    </xf>
    <xf numFmtId="0" fontId="132" fillId="2" borderId="0" xfId="0" applyFont="1" applyFill="1"/>
    <xf numFmtId="0" fontId="131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94" fillId="2" borderId="56" xfId="0" applyFont="1" applyFill="1" applyBorder="1" applyAlignment="1">
      <alignment horizontal="center"/>
    </xf>
    <xf numFmtId="0" fontId="136" fillId="2" borderId="56" xfId="0" applyFont="1" applyFill="1" applyBorder="1"/>
    <xf numFmtId="0" fontId="131" fillId="2" borderId="56" xfId="0" applyFont="1" applyFill="1" applyBorder="1"/>
    <xf numFmtId="0" fontId="0" fillId="2" borderId="56" xfId="0" applyFill="1" applyBorder="1"/>
    <xf numFmtId="0" fontId="129" fillId="52" borderId="0" xfId="0" applyFont="1" applyFill="1"/>
    <xf numFmtId="0" fontId="89" fillId="52" borderId="0" xfId="0" applyFont="1" applyFill="1"/>
    <xf numFmtId="0" fontId="15" fillId="4" borderId="0" xfId="0" applyFont="1" applyFill="1" applyAlignment="1">
      <alignment horizontal="center"/>
    </xf>
    <xf numFmtId="0" fontId="17" fillId="4" borderId="0" xfId="0" applyFont="1" applyFill="1"/>
    <xf numFmtId="0" fontId="137" fillId="8" borderId="0" xfId="0" applyFont="1" applyFill="1" applyAlignment="1">
      <alignment horizontal="center"/>
    </xf>
    <xf numFmtId="0" fontId="138" fillId="0" borderId="0" xfId="0" applyFont="1"/>
    <xf numFmtId="10" fontId="18" fillId="4" borderId="0" xfId="0" applyNumberFormat="1" applyFont="1" applyFill="1" applyAlignment="1">
      <alignment horizontal="center" wrapText="1"/>
    </xf>
    <xf numFmtId="10" fontId="18" fillId="6" borderId="0" xfId="0" applyNumberFormat="1" applyFont="1" applyFill="1" applyAlignment="1">
      <alignment horizontal="center" wrapText="1"/>
    </xf>
    <xf numFmtId="171" fontId="18" fillId="4" borderId="0" xfId="0" applyNumberFormat="1" applyFont="1" applyFill="1" applyAlignment="1">
      <alignment horizontal="center" wrapText="1"/>
    </xf>
    <xf numFmtId="167" fontId="18" fillId="6" borderId="0" xfId="0" applyNumberFormat="1" applyFont="1" applyFill="1" applyAlignment="1">
      <alignment horizontal="center" wrapText="1"/>
    </xf>
    <xf numFmtId="0" fontId="18" fillId="6" borderId="0" xfId="0" applyFont="1" applyFill="1" applyAlignment="1">
      <alignment horizontal="center" wrapText="1"/>
    </xf>
    <xf numFmtId="0" fontId="139" fillId="6" borderId="0" xfId="0" applyFont="1" applyFill="1"/>
    <xf numFmtId="0" fontId="139" fillId="4" borderId="0" xfId="0" applyFont="1" applyFill="1"/>
    <xf numFmtId="0" fontId="140" fillId="4" borderId="0" xfId="0" applyFont="1" applyFill="1"/>
    <xf numFmtId="0" fontId="141" fillId="6" borderId="0" xfId="0" applyFont="1" applyFill="1"/>
    <xf numFmtId="0" fontId="141" fillId="4" borderId="0" xfId="0" applyFont="1" applyFill="1"/>
    <xf numFmtId="0" fontId="138" fillId="6" borderId="0" xfId="0" applyFont="1" applyFill="1"/>
    <xf numFmtId="0" fontId="141" fillId="6" borderId="0" xfId="0" applyFont="1" applyFill="1" applyAlignment="1">
      <alignment horizontal="center"/>
    </xf>
    <xf numFmtId="0" fontId="141" fillId="4" borderId="0" xfId="0" applyFont="1" applyFill="1" applyAlignment="1">
      <alignment horizontal="center"/>
    </xf>
    <xf numFmtId="0" fontId="141" fillId="6" borderId="0" xfId="0" applyFont="1" applyFill="1" applyAlignment="1">
      <alignment wrapText="1"/>
    </xf>
    <xf numFmtId="0" fontId="141" fillId="4" borderId="0" xfId="0" applyFont="1" applyFill="1" applyAlignment="1">
      <alignment wrapText="1"/>
    </xf>
    <xf numFmtId="49" fontId="141" fillId="6" borderId="0" xfId="0" applyNumberFormat="1" applyFont="1" applyFill="1" applyAlignment="1">
      <alignment horizontal="center"/>
    </xf>
    <xf numFmtId="49" fontId="141" fillId="4" borderId="0" xfId="0" applyNumberFormat="1" applyFont="1" applyFill="1" applyAlignment="1">
      <alignment horizontal="center"/>
    </xf>
    <xf numFmtId="49" fontId="138" fillId="4" borderId="0" xfId="0" applyNumberFormat="1" applyFont="1" applyFill="1" applyAlignment="1">
      <alignment horizontal="center"/>
    </xf>
    <xf numFmtId="0" fontId="138" fillId="6" borderId="0" xfId="0" applyFont="1" applyFill="1" applyAlignment="1">
      <alignment horizontal="center"/>
    </xf>
    <xf numFmtId="0" fontId="142" fillId="4" borderId="0" xfId="0" applyFont="1" applyFill="1" applyAlignment="1">
      <alignment horizontal="center" vertical="center"/>
    </xf>
    <xf numFmtId="0" fontId="138" fillId="4" borderId="0" xfId="0" applyFont="1" applyFill="1" applyAlignment="1">
      <alignment vertical="center"/>
    </xf>
    <xf numFmtId="0" fontId="138" fillId="4" borderId="0" xfId="0" applyFont="1" applyFill="1" applyAlignment="1">
      <alignment vertical="center" wrapText="1"/>
    </xf>
    <xf numFmtId="0" fontId="138" fillId="4" borderId="0" xfId="0" applyFont="1" applyFill="1" applyAlignment="1">
      <alignment horizontal="center" vertical="center" wrapText="1"/>
    </xf>
    <xf numFmtId="0" fontId="141" fillId="6" borderId="0" xfId="0" applyFont="1" applyFill="1" applyAlignment="1">
      <alignment horizontal="center" wrapText="1"/>
    </xf>
    <xf numFmtId="0" fontId="141" fillId="4" borderId="0" xfId="0" applyFont="1" applyFill="1" applyAlignment="1">
      <alignment horizontal="center" wrapText="1"/>
    </xf>
    <xf numFmtId="0" fontId="138" fillId="4" borderId="0" xfId="0" applyFont="1" applyFill="1" applyAlignment="1">
      <alignment wrapText="1"/>
    </xf>
    <xf numFmtId="0" fontId="138" fillId="4" borderId="0" xfId="0" applyFont="1" applyFill="1" applyAlignment="1">
      <alignment horizontal="left" vertical="center" wrapText="1"/>
    </xf>
    <xf numFmtId="0" fontId="141" fillId="6" borderId="0" xfId="0" applyFont="1" applyFill="1" applyAlignment="1">
      <alignment horizontal="left" wrapText="1"/>
    </xf>
    <xf numFmtId="0" fontId="141" fillId="4" borderId="0" xfId="0" applyFont="1" applyFill="1" applyAlignment="1">
      <alignment horizontal="left" wrapText="1"/>
    </xf>
    <xf numFmtId="0" fontId="138" fillId="6" borderId="0" xfId="0" applyFont="1" applyFill="1" applyAlignment="1">
      <alignment vertical="center" wrapText="1"/>
    </xf>
    <xf numFmtId="0" fontId="138" fillId="6" borderId="0" xfId="0" applyFont="1" applyFill="1" applyAlignment="1">
      <alignment vertical="center"/>
    </xf>
    <xf numFmtId="0" fontId="141" fillId="6" borderId="0" xfId="0" applyFont="1" applyFill="1" applyAlignment="1">
      <alignment vertical="center"/>
    </xf>
    <xf numFmtId="0" fontId="141" fillId="4" borderId="0" xfId="0" applyFont="1" applyFill="1" applyAlignment="1">
      <alignment vertical="center"/>
    </xf>
    <xf numFmtId="0" fontId="12" fillId="51" borderId="0" xfId="0" applyFont="1" applyFill="1"/>
    <xf numFmtId="0" fontId="11" fillId="51" borderId="0" xfId="0" applyFont="1" applyFill="1"/>
    <xf numFmtId="0" fontId="143" fillId="51" borderId="0" xfId="0" applyFont="1" applyFill="1"/>
    <xf numFmtId="0" fontId="144" fillId="51" borderId="0" xfId="0" applyFont="1" applyFill="1"/>
    <xf numFmtId="0" fontId="75" fillId="51" borderId="0" xfId="0" applyFont="1" applyFill="1"/>
    <xf numFmtId="0" fontId="145" fillId="51" borderId="0" xfId="0" applyFont="1" applyFill="1"/>
    <xf numFmtId="0" fontId="86" fillId="0" borderId="31" xfId="0" applyFont="1" applyBorder="1"/>
    <xf numFmtId="0" fontId="81" fillId="35" borderId="0" xfId="0" applyFont="1" applyFill="1"/>
    <xf numFmtId="0" fontId="57" fillId="2" borderId="0" xfId="0" applyFont="1" applyFill="1"/>
    <xf numFmtId="0" fontId="56" fillId="2" borderId="0" xfId="0" applyFont="1" applyFill="1"/>
    <xf numFmtId="0" fontId="146" fillId="2" borderId="0" xfId="0" applyFont="1" applyFill="1"/>
    <xf numFmtId="0" fontId="147" fillId="2" borderId="63" xfId="0" applyFont="1" applyFill="1" applyBorder="1"/>
    <xf numFmtId="0" fontId="147" fillId="2" borderId="64" xfId="0" applyFont="1" applyFill="1" applyBorder="1"/>
    <xf numFmtId="0" fontId="147" fillId="2" borderId="65" xfId="0" applyFont="1" applyFill="1" applyBorder="1"/>
    <xf numFmtId="0" fontId="147" fillId="2" borderId="66" xfId="0" applyFont="1" applyFill="1" applyBorder="1"/>
    <xf numFmtId="0" fontId="147" fillId="2" borderId="68" xfId="0" applyFont="1" applyFill="1" applyBorder="1"/>
    <xf numFmtId="0" fontId="95" fillId="29" borderId="72" xfId="0" applyFont="1" applyFill="1" applyBorder="1"/>
    <xf numFmtId="0" fontId="0" fillId="29" borderId="72" xfId="0" applyFill="1" applyBorder="1"/>
    <xf numFmtId="0" fontId="150" fillId="29" borderId="63" xfId="0" applyFont="1" applyFill="1" applyBorder="1"/>
    <xf numFmtId="0" fontId="150" fillId="29" borderId="64" xfId="0" applyFont="1" applyFill="1" applyBorder="1"/>
    <xf numFmtId="0" fontId="150" fillId="29" borderId="65" xfId="0" applyFont="1" applyFill="1" applyBorder="1"/>
    <xf numFmtId="0" fontId="150" fillId="21" borderId="63" xfId="0" applyFont="1" applyFill="1" applyBorder="1"/>
    <xf numFmtId="0" fontId="150" fillId="21" borderId="64" xfId="0" applyFont="1" applyFill="1" applyBorder="1"/>
    <xf numFmtId="0" fontId="150" fillId="21" borderId="65" xfId="0" applyFont="1" applyFill="1" applyBorder="1"/>
    <xf numFmtId="0" fontId="99" fillId="54" borderId="66" xfId="0" applyFont="1" applyFill="1" applyBorder="1"/>
    <xf numFmtId="0" fontId="99" fillId="54" borderId="67" xfId="0" applyFont="1" applyFill="1" applyBorder="1"/>
    <xf numFmtId="173" fontId="147" fillId="2" borderId="64" xfId="0" applyNumberFormat="1" applyFont="1" applyFill="1" applyBorder="1"/>
    <xf numFmtId="4" fontId="147" fillId="2" borderId="64" xfId="0" applyNumberFormat="1" applyFont="1" applyFill="1" applyBorder="1"/>
    <xf numFmtId="175" fontId="147" fillId="2" borderId="64" xfId="0" applyNumberFormat="1" applyFont="1" applyFill="1" applyBorder="1"/>
    <xf numFmtId="172" fontId="147" fillId="2" borderId="64" xfId="0" applyNumberFormat="1" applyFont="1" applyFill="1" applyBorder="1"/>
    <xf numFmtId="175" fontId="147" fillId="2" borderId="67" xfId="0" applyNumberFormat="1" applyFont="1" applyFill="1" applyBorder="1"/>
    <xf numFmtId="9" fontId="147" fillId="2" borderId="64" xfId="0" applyNumberFormat="1" applyFont="1" applyFill="1" applyBorder="1"/>
    <xf numFmtId="167" fontId="147" fillId="2" borderId="65" xfId="0" applyNumberFormat="1" applyFont="1" applyFill="1" applyBorder="1"/>
    <xf numFmtId="0" fontId="150" fillId="12" borderId="63" xfId="0" applyFont="1" applyFill="1" applyBorder="1"/>
    <xf numFmtId="9" fontId="150" fillId="12" borderId="64" xfId="0" applyNumberFormat="1" applyFont="1" applyFill="1" applyBorder="1"/>
    <xf numFmtId="173" fontId="150" fillId="12" borderId="64" xfId="0" applyNumberFormat="1" applyFont="1" applyFill="1" applyBorder="1"/>
    <xf numFmtId="175" fontId="150" fillId="12" borderId="64" xfId="0" applyNumberFormat="1" applyFont="1" applyFill="1" applyBorder="1"/>
    <xf numFmtId="172" fontId="150" fillId="12" borderId="64" xfId="0" applyNumberFormat="1" applyFont="1" applyFill="1" applyBorder="1"/>
    <xf numFmtId="167" fontId="150" fillId="12" borderId="65" xfId="0" applyNumberFormat="1" applyFont="1" applyFill="1" applyBorder="1"/>
    <xf numFmtId="9" fontId="147" fillId="2" borderId="67" xfId="0" applyNumberFormat="1" applyFont="1" applyFill="1" applyBorder="1"/>
    <xf numFmtId="173" fontId="147" fillId="2" borderId="67" xfId="0" applyNumberFormat="1" applyFont="1" applyFill="1" applyBorder="1"/>
    <xf numFmtId="172" fontId="147" fillId="2" borderId="67" xfId="0" applyNumberFormat="1" applyFont="1" applyFill="1" applyBorder="1"/>
    <xf numFmtId="167" fontId="147" fillId="2" borderId="68" xfId="0" applyNumberFormat="1" applyFont="1" applyFill="1" applyBorder="1"/>
    <xf numFmtId="176" fontId="7" fillId="2" borderId="0" xfId="0" applyNumberFormat="1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47" fillId="2" borderId="63" xfId="0" applyFont="1" applyFill="1" applyBorder="1" applyAlignment="1">
      <alignment wrapText="1"/>
    </xf>
    <xf numFmtId="0" fontId="147" fillId="2" borderId="64" xfId="0" applyFont="1" applyFill="1" applyBorder="1" applyAlignment="1">
      <alignment wrapText="1"/>
    </xf>
    <xf numFmtId="0" fontId="147" fillId="2" borderId="65" xfId="0" applyFont="1" applyFill="1" applyBorder="1" applyAlignment="1">
      <alignment wrapText="1"/>
    </xf>
    <xf numFmtId="0" fontId="147" fillId="2" borderId="66" xfId="0" applyFont="1" applyFill="1" applyBorder="1" applyAlignment="1">
      <alignment wrapText="1"/>
    </xf>
    <xf numFmtId="0" fontId="147" fillId="2" borderId="67" xfId="0" applyFont="1" applyFill="1" applyBorder="1" applyAlignment="1">
      <alignment wrapText="1"/>
    </xf>
    <xf numFmtId="0" fontId="147" fillId="2" borderId="68" xfId="0" applyFont="1" applyFill="1" applyBorder="1" applyAlignment="1">
      <alignment wrapText="1"/>
    </xf>
    <xf numFmtId="17" fontId="149" fillId="53" borderId="63" xfId="0" applyNumberFormat="1" applyFont="1" applyFill="1" applyBorder="1" applyAlignment="1">
      <alignment wrapText="1"/>
    </xf>
    <xf numFmtId="0" fontId="149" fillId="53" borderId="64" xfId="0" applyFont="1" applyFill="1" applyBorder="1" applyAlignment="1">
      <alignment wrapText="1"/>
    </xf>
    <xf numFmtId="0" fontId="149" fillId="53" borderId="65" xfId="0" applyFont="1" applyFill="1" applyBorder="1" applyAlignment="1">
      <alignment wrapText="1"/>
    </xf>
    <xf numFmtId="0" fontId="149" fillId="2" borderId="63" xfId="0" applyFont="1" applyFill="1" applyBorder="1" applyAlignment="1">
      <alignment wrapText="1"/>
    </xf>
    <xf numFmtId="0" fontId="149" fillId="2" borderId="64" xfId="0" applyFont="1" applyFill="1" applyBorder="1" applyAlignment="1">
      <alignment wrapText="1"/>
    </xf>
    <xf numFmtId="0" fontId="149" fillId="2" borderId="65" xfId="0" applyFont="1" applyFill="1" applyBorder="1" applyAlignment="1">
      <alignment wrapText="1"/>
    </xf>
    <xf numFmtId="17" fontId="149" fillId="2" borderId="63" xfId="0" applyNumberFormat="1" applyFont="1" applyFill="1" applyBorder="1" applyAlignment="1">
      <alignment wrapText="1"/>
    </xf>
    <xf numFmtId="0" fontId="149" fillId="53" borderId="66" xfId="0" applyFont="1" applyFill="1" applyBorder="1" applyAlignment="1">
      <alignment wrapText="1"/>
    </xf>
    <xf numFmtId="0" fontId="149" fillId="53" borderId="67" xfId="0" applyFont="1" applyFill="1" applyBorder="1" applyAlignment="1">
      <alignment wrapText="1"/>
    </xf>
    <xf numFmtId="0" fontId="149" fillId="53" borderId="68" xfId="0" applyFont="1" applyFill="1" applyBorder="1" applyAlignment="1">
      <alignment wrapText="1"/>
    </xf>
    <xf numFmtId="0" fontId="147" fillId="2" borderId="58" xfId="0" applyFont="1" applyFill="1" applyBorder="1" applyAlignment="1">
      <alignment wrapText="1"/>
    </xf>
    <xf numFmtId="0" fontId="147" fillId="2" borderId="59" xfId="0" applyFont="1" applyFill="1" applyBorder="1" applyAlignment="1">
      <alignment wrapText="1"/>
    </xf>
    <xf numFmtId="0" fontId="151" fillId="25" borderId="64" xfId="0" applyFont="1" applyFill="1" applyBorder="1" applyAlignment="1">
      <alignment wrapText="1"/>
    </xf>
    <xf numFmtId="0" fontId="152" fillId="55" borderId="64" xfId="0" applyFont="1" applyFill="1" applyBorder="1" applyAlignment="1">
      <alignment wrapText="1"/>
    </xf>
    <xf numFmtId="0" fontId="153" fillId="56" borderId="64" xfId="0" applyFont="1" applyFill="1" applyBorder="1" applyAlignment="1">
      <alignment wrapText="1"/>
    </xf>
    <xf numFmtId="0" fontId="149" fillId="2" borderId="66" xfId="0" applyFont="1" applyFill="1" applyBorder="1" applyAlignment="1">
      <alignment wrapText="1"/>
    </xf>
    <xf numFmtId="0" fontId="149" fillId="2" borderId="67" xfId="0" applyFont="1" applyFill="1" applyBorder="1" applyAlignment="1">
      <alignment wrapText="1"/>
    </xf>
    <xf numFmtId="0" fontId="153" fillId="56" borderId="67" xfId="0" applyFont="1" applyFill="1" applyBorder="1" applyAlignment="1">
      <alignment wrapText="1"/>
    </xf>
    <xf numFmtId="0" fontId="149" fillId="2" borderId="68" xfId="0" applyFont="1" applyFill="1" applyBorder="1" applyAlignment="1">
      <alignment wrapText="1"/>
    </xf>
    <xf numFmtId="175" fontId="147" fillId="2" borderId="64" xfId="0" applyNumberFormat="1" applyFont="1" applyFill="1" applyBorder="1" applyAlignment="1">
      <alignment wrapText="1"/>
    </xf>
    <xf numFmtId="167" fontId="147" fillId="2" borderId="64" xfId="0" applyNumberFormat="1" applyFont="1" applyFill="1" applyBorder="1" applyAlignment="1">
      <alignment wrapText="1"/>
    </xf>
    <xf numFmtId="0" fontId="150" fillId="2" borderId="66" xfId="0" applyFont="1" applyFill="1" applyBorder="1" applyAlignment="1">
      <alignment wrapText="1"/>
    </xf>
    <xf numFmtId="175" fontId="150" fillId="2" borderId="67" xfId="0" applyNumberFormat="1" applyFont="1" applyFill="1" applyBorder="1" applyAlignment="1">
      <alignment wrapText="1"/>
    </xf>
    <xf numFmtId="167" fontId="150" fillId="2" borderId="67" xfId="0" applyNumberFormat="1" applyFont="1" applyFill="1" applyBorder="1" applyAlignment="1">
      <alignment wrapText="1"/>
    </xf>
    <xf numFmtId="0" fontId="157" fillId="2" borderId="0" xfId="0" applyFont="1" applyFill="1" applyAlignment="1">
      <alignment wrapText="1"/>
    </xf>
    <xf numFmtId="17" fontId="149" fillId="2" borderId="66" xfId="0" applyNumberFormat="1" applyFont="1" applyFill="1" applyBorder="1" applyAlignment="1">
      <alignment wrapText="1"/>
    </xf>
    <xf numFmtId="0" fontId="155" fillId="2" borderId="0" xfId="0" applyFont="1" applyFill="1" applyAlignment="1">
      <alignment wrapText="1"/>
    </xf>
    <xf numFmtId="0" fontId="150" fillId="29" borderId="66" xfId="0" applyFont="1" applyFill="1" applyBorder="1"/>
    <xf numFmtId="0" fontId="150" fillId="29" borderId="67" xfId="0" applyFont="1" applyFill="1" applyBorder="1"/>
    <xf numFmtId="0" fontId="150" fillId="29" borderId="68" xfId="0" applyFont="1" applyFill="1" applyBorder="1"/>
    <xf numFmtId="0" fontId="149" fillId="2" borderId="63" xfId="0" applyFont="1" applyFill="1" applyBorder="1" applyAlignment="1">
      <alignment horizontal="right" wrapText="1"/>
    </xf>
    <xf numFmtId="0" fontId="148" fillId="2" borderId="0" xfId="0" applyFont="1" applyFill="1" applyAlignment="1">
      <alignment horizontal="center" vertical="center"/>
    </xf>
    <xf numFmtId="0" fontId="95" fillId="29" borderId="72" xfId="0" applyFont="1" applyFill="1" applyBorder="1" applyAlignment="1">
      <alignment vertical="center"/>
    </xf>
    <xf numFmtId="15" fontId="147" fillId="2" borderId="58" xfId="0" applyNumberFormat="1" applyFont="1" applyFill="1" applyBorder="1" applyAlignment="1">
      <alignment horizontal="left" wrapText="1"/>
    </xf>
    <xf numFmtId="17" fontId="147" fillId="2" borderId="59" xfId="0" applyNumberFormat="1" applyFont="1" applyFill="1" applyBorder="1" applyAlignment="1">
      <alignment horizontal="left" wrapText="1"/>
    </xf>
    <xf numFmtId="9" fontId="99" fillId="54" borderId="67" xfId="0" applyNumberFormat="1" applyFont="1" applyFill="1" applyBorder="1" applyAlignment="1">
      <alignment horizontal="left"/>
    </xf>
    <xf numFmtId="9" fontId="99" fillId="54" borderId="68" xfId="0" applyNumberFormat="1" applyFont="1" applyFill="1" applyBorder="1" applyAlignment="1">
      <alignment horizontal="left"/>
    </xf>
    <xf numFmtId="0" fontId="0" fillId="57" borderId="0" xfId="0" applyFill="1"/>
    <xf numFmtId="0" fontId="160" fillId="57" borderId="0" xfId="0" applyFont="1" applyFill="1"/>
    <xf numFmtId="0" fontId="0" fillId="58" borderId="0" xfId="0" applyFill="1"/>
    <xf numFmtId="0" fontId="72" fillId="57" borderId="0" xfId="0" applyFont="1" applyFill="1"/>
    <xf numFmtId="0" fontId="162" fillId="2" borderId="0" xfId="0" applyFont="1" applyFill="1"/>
    <xf numFmtId="0" fontId="163" fillId="2" borderId="0" xfId="0" applyFont="1" applyFill="1"/>
    <xf numFmtId="0" fontId="147" fillId="2" borderId="76" xfId="0" applyFont="1" applyFill="1" applyBorder="1"/>
    <xf numFmtId="9" fontId="164" fillId="2" borderId="77" xfId="0" applyNumberFormat="1" applyFont="1" applyFill="1" applyBorder="1"/>
    <xf numFmtId="0" fontId="147" fillId="2" borderId="78" xfId="0" applyFont="1" applyFill="1" applyBorder="1"/>
    <xf numFmtId="175" fontId="147" fillId="2" borderId="77" xfId="0" applyNumberFormat="1" applyFont="1" applyFill="1" applyBorder="1"/>
    <xf numFmtId="172" fontId="147" fillId="2" borderId="77" xfId="0" applyNumberFormat="1" applyFont="1" applyFill="1" applyBorder="1"/>
    <xf numFmtId="0" fontId="147" fillId="2" borderId="77" xfId="0" applyFont="1" applyFill="1" applyBorder="1"/>
    <xf numFmtId="172" fontId="164" fillId="2" borderId="77" xfId="0" applyNumberFormat="1" applyFont="1" applyFill="1" applyBorder="1"/>
    <xf numFmtId="167" fontId="147" fillId="2" borderId="77" xfId="0" applyNumberFormat="1" applyFont="1" applyFill="1" applyBorder="1"/>
    <xf numFmtId="167" fontId="164" fillId="2" borderId="77" xfId="0" applyNumberFormat="1" applyFont="1" applyFill="1" applyBorder="1"/>
    <xf numFmtId="0" fontId="147" fillId="2" borderId="79" xfId="0" applyFont="1" applyFill="1" applyBorder="1"/>
    <xf numFmtId="175" fontId="164" fillId="2" borderId="80" xfId="0" applyNumberFormat="1" applyFont="1" applyFill="1" applyBorder="1"/>
    <xf numFmtId="0" fontId="147" fillId="2" borderId="81" xfId="0" applyFont="1" applyFill="1" applyBorder="1"/>
    <xf numFmtId="0" fontId="162" fillId="58" borderId="83" xfId="0" applyFont="1" applyFill="1" applyBorder="1"/>
    <xf numFmtId="0" fontId="162" fillId="58" borderId="84" xfId="0" applyFont="1" applyFill="1" applyBorder="1"/>
    <xf numFmtId="0" fontId="162" fillId="58" borderId="85" xfId="0" applyFont="1" applyFill="1" applyBorder="1"/>
    <xf numFmtId="175" fontId="164" fillId="2" borderId="77" xfId="0" applyNumberFormat="1" applyFont="1" applyFill="1" applyBorder="1"/>
    <xf numFmtId="1" fontId="164" fillId="2" borderId="77" xfId="0" applyNumberFormat="1" applyFont="1" applyFill="1" applyBorder="1"/>
    <xf numFmtId="167" fontId="164" fillId="2" borderId="80" xfId="0" applyNumberFormat="1" applyFont="1" applyFill="1" applyBorder="1"/>
    <xf numFmtId="0" fontId="165" fillId="58" borderId="73" xfId="0" applyFont="1" applyFill="1" applyBorder="1" applyAlignment="1">
      <alignment horizontal="left"/>
    </xf>
    <xf numFmtId="0" fontId="165" fillId="58" borderId="74" xfId="0" applyFont="1" applyFill="1" applyBorder="1" applyAlignment="1">
      <alignment horizontal="center"/>
    </xf>
    <xf numFmtId="0" fontId="165" fillId="58" borderId="75" xfId="0" applyFont="1" applyFill="1" applyBorder="1" applyAlignment="1">
      <alignment horizontal="center"/>
    </xf>
    <xf numFmtId="0" fontId="150" fillId="2" borderId="76" xfId="0" applyFont="1" applyFill="1" applyBorder="1"/>
    <xf numFmtId="175" fontId="147" fillId="2" borderId="78" xfId="0" applyNumberFormat="1" applyFont="1" applyFill="1" applyBorder="1"/>
    <xf numFmtId="0" fontId="166" fillId="2" borderId="76" xfId="0" applyFont="1" applyFill="1" applyBorder="1"/>
    <xf numFmtId="167" fontId="147" fillId="2" borderId="78" xfId="0" applyNumberFormat="1" applyFont="1" applyFill="1" applyBorder="1"/>
    <xf numFmtId="0" fontId="88" fillId="2" borderId="76" xfId="0" applyFont="1" applyFill="1" applyBorder="1"/>
    <xf numFmtId="0" fontId="150" fillId="58" borderId="76" xfId="0" applyFont="1" applyFill="1" applyBorder="1"/>
    <xf numFmtId="0" fontId="147" fillId="58" borderId="77" xfId="0" applyFont="1" applyFill="1" applyBorder="1"/>
    <xf numFmtId="0" fontId="147" fillId="58" borderId="78" xfId="0" applyFont="1" applyFill="1" applyBorder="1"/>
    <xf numFmtId="0" fontId="150" fillId="21" borderId="76" xfId="0" applyFont="1" applyFill="1" applyBorder="1"/>
    <xf numFmtId="175" fontId="147" fillId="21" borderId="77" xfId="0" applyNumberFormat="1" applyFont="1" applyFill="1" applyBorder="1"/>
    <xf numFmtId="175" fontId="147" fillId="21" borderId="78" xfId="0" applyNumberFormat="1" applyFont="1" applyFill="1" applyBorder="1"/>
    <xf numFmtId="0" fontId="88" fillId="2" borderId="79" xfId="0" applyFont="1" applyFill="1" applyBorder="1"/>
    <xf numFmtId="172" fontId="147" fillId="2" borderId="80" xfId="0" applyNumberFormat="1" applyFont="1" applyFill="1" applyBorder="1"/>
    <xf numFmtId="172" fontId="147" fillId="2" borderId="81" xfId="0" applyNumberFormat="1" applyFont="1" applyFill="1" applyBorder="1"/>
    <xf numFmtId="172" fontId="147" fillId="2" borderId="78" xfId="0" applyNumberFormat="1" applyFont="1" applyFill="1" applyBorder="1"/>
    <xf numFmtId="0" fontId="150" fillId="12" borderId="76" xfId="0" applyFont="1" applyFill="1" applyBorder="1"/>
    <xf numFmtId="172" fontId="150" fillId="12" borderId="77" xfId="0" applyNumberFormat="1" applyFont="1" applyFill="1" applyBorder="1"/>
    <xf numFmtId="175" fontId="150" fillId="12" borderId="77" xfId="0" applyNumberFormat="1" applyFont="1" applyFill="1" applyBorder="1"/>
    <xf numFmtId="172" fontId="150" fillId="12" borderId="78" xfId="0" applyNumberFormat="1" applyFont="1" applyFill="1" applyBorder="1"/>
    <xf numFmtId="172" fontId="164" fillId="2" borderId="80" xfId="0" applyNumberFormat="1" applyFont="1" applyFill="1" applyBorder="1"/>
    <xf numFmtId="175" fontId="147" fillId="2" borderId="80" xfId="0" applyNumberFormat="1" applyFont="1" applyFill="1" applyBorder="1"/>
    <xf numFmtId="0" fontId="165" fillId="58" borderId="83" xfId="0" applyFont="1" applyFill="1" applyBorder="1"/>
    <xf numFmtId="0" fontId="165" fillId="58" borderId="84" xfId="0" applyFont="1" applyFill="1" applyBorder="1"/>
    <xf numFmtId="0" fontId="165" fillId="58" borderId="85" xfId="0" applyFont="1" applyFill="1" applyBorder="1"/>
    <xf numFmtId="167" fontId="150" fillId="12" borderId="78" xfId="0" applyNumberFormat="1" applyFont="1" applyFill="1" applyBorder="1"/>
    <xf numFmtId="167" fontId="147" fillId="2" borderId="81" xfId="0" applyNumberFormat="1" applyFont="1" applyFill="1" applyBorder="1"/>
    <xf numFmtId="0" fontId="149" fillId="2" borderId="76" xfId="0" applyFont="1" applyFill="1" applyBorder="1" applyAlignment="1">
      <alignment wrapText="1"/>
    </xf>
    <xf numFmtId="0" fontId="149" fillId="2" borderId="77" xfId="0" applyFont="1" applyFill="1" applyBorder="1" applyAlignment="1">
      <alignment wrapText="1"/>
    </xf>
    <xf numFmtId="0" fontId="149" fillId="2" borderId="78" xfId="0" applyFont="1" applyFill="1" applyBorder="1" applyAlignment="1">
      <alignment wrapText="1"/>
    </xf>
    <xf numFmtId="0" fontId="149" fillId="29" borderId="79" xfId="0" applyFont="1" applyFill="1" applyBorder="1" applyAlignment="1">
      <alignment wrapText="1"/>
    </xf>
    <xf numFmtId="0" fontId="149" fillId="29" borderId="80" xfId="0" applyFont="1" applyFill="1" applyBorder="1" applyAlignment="1">
      <alignment wrapText="1"/>
    </xf>
    <xf numFmtId="0" fontId="149" fillId="29" borderId="81" xfId="0" applyFont="1" applyFill="1" applyBorder="1" applyAlignment="1">
      <alignment wrapText="1"/>
    </xf>
    <xf numFmtId="0" fontId="165" fillId="2" borderId="0" xfId="0" applyFont="1" applyFill="1"/>
    <xf numFmtId="0" fontId="0" fillId="58" borderId="82" xfId="0" applyFill="1" applyBorder="1"/>
    <xf numFmtId="0" fontId="70" fillId="57" borderId="0" xfId="0" applyFont="1" applyFill="1"/>
    <xf numFmtId="0" fontId="89" fillId="57" borderId="0" xfId="0" applyFont="1" applyFill="1"/>
    <xf numFmtId="0" fontId="159" fillId="57" borderId="0" xfId="0" applyFont="1" applyFill="1"/>
    <xf numFmtId="175" fontId="158" fillId="57" borderId="0" xfId="0" applyNumberFormat="1" applyFont="1" applyFill="1"/>
    <xf numFmtId="0" fontId="167" fillId="57" borderId="0" xfId="0" applyFont="1" applyFill="1"/>
    <xf numFmtId="0" fontId="71" fillId="57" borderId="0" xfId="0" applyFont="1" applyFill="1"/>
    <xf numFmtId="0" fontId="165" fillId="2" borderId="0" xfId="0" applyFont="1" applyFill="1" applyAlignment="1">
      <alignment horizontal="center"/>
    </xf>
    <xf numFmtId="0" fontId="95" fillId="58" borderId="82" xfId="0" applyFont="1" applyFill="1" applyBorder="1" applyAlignment="1">
      <alignment vertical="center"/>
    </xf>
    <xf numFmtId="0" fontId="168" fillId="2" borderId="0" xfId="0" applyFont="1" applyFill="1"/>
    <xf numFmtId="0" fontId="163" fillId="0" borderId="0" xfId="0" applyFont="1"/>
    <xf numFmtId="173" fontId="147" fillId="59" borderId="77" xfId="0" applyNumberFormat="1" applyFont="1" applyFill="1" applyBorder="1"/>
    <xf numFmtId="0" fontId="162" fillId="59" borderId="69" xfId="0" applyFont="1" applyFill="1" applyBorder="1"/>
    <xf numFmtId="0" fontId="162" fillId="59" borderId="70" xfId="0" applyFont="1" applyFill="1" applyBorder="1"/>
    <xf numFmtId="0" fontId="162" fillId="59" borderId="71" xfId="0" applyFont="1" applyFill="1" applyBorder="1"/>
    <xf numFmtId="0" fontId="165" fillId="59" borderId="69" xfId="0" applyFont="1" applyFill="1" applyBorder="1"/>
    <xf numFmtId="0" fontId="165" fillId="59" borderId="70" xfId="0" applyFont="1" applyFill="1" applyBorder="1"/>
    <xf numFmtId="0" fontId="165" fillId="59" borderId="71" xfId="0" applyFont="1" applyFill="1" applyBorder="1"/>
    <xf numFmtId="0" fontId="162" fillId="59" borderId="57" xfId="0" applyFont="1" applyFill="1" applyBorder="1"/>
    <xf numFmtId="0" fontId="162" fillId="59" borderId="60" xfId="0" applyFont="1" applyFill="1" applyBorder="1"/>
    <xf numFmtId="0" fontId="162" fillId="59" borderId="61" xfId="0" applyFont="1" applyFill="1" applyBorder="1"/>
    <xf numFmtId="0" fontId="162" fillId="59" borderId="62" xfId="0" applyFont="1" applyFill="1" applyBorder="1"/>
    <xf numFmtId="0" fontId="165" fillId="59" borderId="60" xfId="0" applyFont="1" applyFill="1" applyBorder="1"/>
    <xf numFmtId="0" fontId="165" fillId="59" borderId="61" xfId="0" applyFont="1" applyFill="1" applyBorder="1"/>
    <xf numFmtId="0" fontId="165" fillId="59" borderId="62" xfId="0" applyFont="1" applyFill="1" applyBorder="1"/>
    <xf numFmtId="0" fontId="129" fillId="57" borderId="0" xfId="0" applyFont="1" applyFill="1"/>
    <xf numFmtId="0" fontId="81" fillId="35" borderId="27" xfId="0" applyFont="1" applyFill="1" applyBorder="1" applyAlignment="1">
      <alignment horizontal="center"/>
    </xf>
    <xf numFmtId="0" fontId="169" fillId="2" borderId="0" xfId="0" applyFont="1" applyFill="1"/>
    <xf numFmtId="0" fontId="15" fillId="2" borderId="0" xfId="0" applyFont="1" applyFill="1"/>
    <xf numFmtId="0" fontId="13" fillId="2" borderId="0" xfId="0" applyFont="1" applyFill="1"/>
    <xf numFmtId="0" fontId="170" fillId="4" borderId="0" xfId="0" applyFont="1" applyFill="1"/>
    <xf numFmtId="0" fontId="170" fillId="4" borderId="0" xfId="0" applyFont="1" applyFill="1" applyAlignment="1">
      <alignment horizontal="center"/>
    </xf>
    <xf numFmtId="0" fontId="170" fillId="4" borderId="0" xfId="0" applyFont="1" applyFill="1" applyAlignment="1">
      <alignment wrapText="1"/>
    </xf>
    <xf numFmtId="49" fontId="170" fillId="4" borderId="0" xfId="0" applyNumberFormat="1" applyFont="1" applyFill="1" applyAlignment="1">
      <alignment horizontal="center"/>
    </xf>
    <xf numFmtId="0" fontId="170" fillId="6" borderId="0" xfId="0" applyFont="1" applyFill="1" applyAlignment="1">
      <alignment horizontal="left" wrapText="1"/>
    </xf>
    <xf numFmtId="0" fontId="24" fillId="10" borderId="0" xfId="0" applyFont="1" applyFill="1" applyAlignment="1">
      <alignment horizontal="center"/>
    </xf>
    <xf numFmtId="0" fontId="22" fillId="10" borderId="1" xfId="0" applyFont="1" applyFill="1" applyBorder="1" applyAlignment="1">
      <alignment vertical="center"/>
    </xf>
    <xf numFmtId="17" fontId="23" fillId="10" borderId="1" xfId="0" applyNumberFormat="1" applyFont="1" applyFill="1" applyBorder="1" applyAlignment="1">
      <alignment horizontal="left" vertical="center"/>
    </xf>
    <xf numFmtId="0" fontId="23" fillId="10" borderId="1" xfId="0" applyFont="1" applyFill="1" applyBorder="1" applyAlignment="1">
      <alignment vertical="center"/>
    </xf>
    <xf numFmtId="0" fontId="22" fillId="10" borderId="2" xfId="0" applyFont="1" applyFill="1" applyBorder="1" applyAlignment="1">
      <alignment vertical="center"/>
    </xf>
    <xf numFmtId="0" fontId="23" fillId="10" borderId="2" xfId="0" applyFont="1" applyFill="1" applyBorder="1" applyAlignment="1">
      <alignment vertical="center"/>
    </xf>
    <xf numFmtId="0" fontId="23" fillId="10" borderId="0" xfId="0" applyFont="1" applyFill="1" applyAlignment="1">
      <alignment horizontal="left" vertical="center"/>
    </xf>
    <xf numFmtId="0" fontId="22" fillId="10" borderId="0" xfId="0" applyFont="1" applyFill="1" applyAlignment="1">
      <alignment vertical="center"/>
    </xf>
    <xf numFmtId="0" fontId="23" fillId="10" borderId="0" xfId="0" applyFont="1" applyFill="1" applyAlignment="1">
      <alignment vertic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5" borderId="0" xfId="0" applyFont="1" applyFill="1" applyAlignment="1">
      <alignment horizontal="left"/>
    </xf>
    <xf numFmtId="0" fontId="64" fillId="9" borderId="0" xfId="0" applyFont="1" applyFill="1" applyAlignment="1">
      <alignment horizontal="left"/>
    </xf>
    <xf numFmtId="0" fontId="64" fillId="18" borderId="0" xfId="0" applyFont="1" applyFill="1" applyAlignment="1">
      <alignment horizontal="left"/>
    </xf>
    <xf numFmtId="0" fontId="81" fillId="35" borderId="27" xfId="0" applyFont="1" applyFill="1" applyBorder="1" applyAlignment="1">
      <alignment horizontal="center"/>
    </xf>
    <xf numFmtId="0" fontId="82" fillId="35" borderId="26" xfId="0" applyFont="1" applyFill="1" applyBorder="1" applyAlignment="1">
      <alignment horizontal="center"/>
    </xf>
    <xf numFmtId="0" fontId="80" fillId="35" borderId="25" xfId="0" applyFont="1" applyFill="1" applyBorder="1"/>
    <xf numFmtId="0" fontId="80" fillId="35" borderId="26" xfId="0" applyFont="1" applyFill="1" applyBorder="1"/>
    <xf numFmtId="2" fontId="86" fillId="0" borderId="0" xfId="0" applyNumberFormat="1" applyFont="1"/>
    <xf numFmtId="0" fontId="86" fillId="0" borderId="31" xfId="0" applyFont="1" applyBorder="1"/>
    <xf numFmtId="0" fontId="81" fillId="35" borderId="0" xfId="0" applyFont="1" applyFill="1"/>
    <xf numFmtId="2" fontId="85" fillId="36" borderId="0" xfId="0" applyNumberFormat="1" applyFont="1" applyFill="1"/>
    <xf numFmtId="0" fontId="91" fillId="0" borderId="0" xfId="0" applyFont="1" applyAlignment="1">
      <alignment horizontal="center"/>
    </xf>
    <xf numFmtId="0" fontId="92" fillId="2" borderId="0" xfId="0" applyFont="1" applyFill="1" applyAlignment="1">
      <alignment horizontal="center"/>
    </xf>
    <xf numFmtId="0" fontId="57" fillId="2" borderId="0" xfId="0" applyFont="1" applyFill="1"/>
    <xf numFmtId="0" fontId="0" fillId="2" borderId="0" xfId="0" applyFill="1"/>
    <xf numFmtId="0" fontId="56" fillId="2" borderId="0" xfId="0" applyFont="1" applyFill="1"/>
    <xf numFmtId="0" fontId="8" fillId="22" borderId="0" xfId="0" applyFont="1" applyFill="1" applyAlignment="1">
      <alignment horizontal="left"/>
    </xf>
    <xf numFmtId="0" fontId="70" fillId="23" borderId="7" xfId="0" applyFont="1" applyFill="1" applyBorder="1" applyAlignment="1">
      <alignment horizontal="center" vertical="center"/>
    </xf>
    <xf numFmtId="0" fontId="71" fillId="23" borderId="7" xfId="0" applyFont="1" applyFill="1" applyBorder="1" applyAlignment="1">
      <alignment horizontal="center" vertical="center"/>
    </xf>
    <xf numFmtId="0" fontId="70" fillId="23" borderId="8" xfId="0" applyFont="1" applyFill="1" applyBorder="1" applyAlignment="1">
      <alignment horizontal="center" vertical="center"/>
    </xf>
    <xf numFmtId="0" fontId="35" fillId="23" borderId="0" xfId="0" applyFont="1" applyFill="1" applyAlignment="1">
      <alignment horizontal="right" vertical="center" textRotation="90" wrapText="1"/>
    </xf>
    <xf numFmtId="0" fontId="75" fillId="23" borderId="0" xfId="0" applyFont="1" applyFill="1" applyAlignment="1">
      <alignment horizontal="right" vertical="center" textRotation="90" wrapText="1"/>
    </xf>
    <xf numFmtId="0" fontId="147" fillId="2" borderId="0" xfId="0" applyFont="1" applyFill="1" applyAlignment="1">
      <alignment horizontal="left" wrapText="1"/>
    </xf>
    <xf numFmtId="0" fontId="150" fillId="29" borderId="72" xfId="0" applyFont="1" applyFill="1" applyBorder="1" applyAlignment="1">
      <alignment vertical="top" wrapText="1"/>
    </xf>
    <xf numFmtId="0" fontId="88" fillId="29" borderId="72" xfId="0" applyFont="1" applyFill="1" applyBorder="1" applyAlignment="1">
      <alignment horizontal="left" wrapText="1"/>
    </xf>
    <xf numFmtId="0" fontId="27" fillId="57" borderId="0" xfId="0" applyFont="1" applyFill="1"/>
    <xf numFmtId="0" fontId="89" fillId="57" borderId="0" xfId="0" applyFont="1" applyFill="1"/>
    <xf numFmtId="0" fontId="147" fillId="2" borderId="0" xfId="0" applyFont="1" applyFill="1" applyAlignment="1">
      <alignment horizontal="center" vertical="top" wrapText="1"/>
    </xf>
    <xf numFmtId="0" fontId="147" fillId="2" borderId="0" xfId="0" applyFont="1" applyFill="1" applyAlignment="1">
      <alignment horizontal="left" vertical="top" wrapText="1"/>
    </xf>
    <xf numFmtId="0" fontId="150" fillId="58" borderId="82" xfId="0" applyFont="1" applyFill="1" applyBorder="1" applyAlignment="1">
      <alignment horizontal="left" vertical="top" wrapText="1"/>
    </xf>
    <xf numFmtId="0" fontId="161" fillId="58" borderId="0" xfId="0" applyFont="1" applyFill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40"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999999"/>
      </font>
    </dxf>
    <dxf>
      <font>
        <color rgb="FF548235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999999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  <dxf>
      <font>
        <color rgb="FF999999"/>
      </font>
    </dxf>
    <dxf>
      <font>
        <color rgb="FFBF8F00"/>
      </font>
    </dxf>
    <dxf>
      <font>
        <color rgb="FFBF8F00"/>
      </font>
    </dxf>
    <dxf>
      <font>
        <color rgb="FFBF8F00"/>
      </font>
    </dxf>
    <dxf>
      <font>
        <color rgb="FF548235"/>
      </font>
    </dxf>
  </dxfs>
  <tableStyles count="0" defaultTableStyle="TableStyleMedium2" defaultPivotStyle="PivotStyleLight16"/>
  <colors>
    <mruColors>
      <color rgb="FF833C0B"/>
      <color rgb="FFFBE6D7"/>
      <color rgb="FF404040"/>
      <color rgb="FF7030A0"/>
      <color rgb="FF1B2A4A"/>
      <color rgb="FF1F4E79"/>
      <color rgb="FFC00000"/>
      <color rgb="FF0000FF"/>
      <color rgb="FF538234"/>
      <color rgb="FF2E73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EBITDA &amp; Net Income (£mm)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Summary'!$B$81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Ref>
              <c:f>'Executive Summary'!$C$80:$H$80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Summary'!$C$81:$H$81</c:f>
              <c:numCache>
                <c:formatCode>General</c:formatCode>
                <c:ptCount val="6"/>
                <c:pt idx="0">
                  <c:v>2786</c:v>
                </c:pt>
                <c:pt idx="1">
                  <c:v>3193</c:v>
                </c:pt>
                <c:pt idx="2">
                  <c:v>3329</c:v>
                </c:pt>
                <c:pt idx="3">
                  <c:v>3393</c:v>
                </c:pt>
                <c:pt idx="4">
                  <c:v>3614</c:v>
                </c:pt>
                <c:pt idx="5">
                  <c:v>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1-FC4D-845F-77CA2FAF8242}"/>
            </c:ext>
          </c:extLst>
        </c:ser>
        <c:ser>
          <c:idx val="1"/>
          <c:order val="1"/>
          <c:tx>
            <c:strRef>
              <c:f>'Executive Summary'!$B$82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4AF37"/>
            </a:solidFill>
            <a:ln>
              <a:noFill/>
            </a:ln>
            <a:effectLst/>
          </c:spPr>
          <c:invertIfNegative val="0"/>
          <c:cat>
            <c:strRef>
              <c:f>'Executive Summary'!$C$80:$H$80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Summary'!$C$82:$H$82</c:f>
              <c:numCache>
                <c:formatCode>General</c:formatCode>
                <c:ptCount val="6"/>
                <c:pt idx="0">
                  <c:v>644</c:v>
                </c:pt>
                <c:pt idx="1">
                  <c:v>700</c:v>
                </c:pt>
                <c:pt idx="2">
                  <c:v>723</c:v>
                </c:pt>
                <c:pt idx="3">
                  <c:v>748</c:v>
                </c:pt>
                <c:pt idx="4">
                  <c:v>791</c:v>
                </c:pt>
                <c:pt idx="5">
                  <c:v>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1-FC4D-845F-77CA2FAF8242}"/>
            </c:ext>
          </c:extLst>
        </c:ser>
        <c:ser>
          <c:idx val="2"/>
          <c:order val="2"/>
          <c:tx>
            <c:strRef>
              <c:f>'Executive Summary'!$B$83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8EAADB"/>
            </a:solidFill>
            <a:ln>
              <a:noFill/>
            </a:ln>
            <a:effectLst/>
          </c:spPr>
          <c:invertIfNegative val="0"/>
          <c:cat>
            <c:strRef>
              <c:f>'Executive Summary'!$C$80:$H$80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Summary'!$C$83:$H$83</c:f>
              <c:numCache>
                <c:formatCode>General</c:formatCode>
                <c:ptCount val="6"/>
                <c:pt idx="0">
                  <c:v>288</c:v>
                </c:pt>
                <c:pt idx="1">
                  <c:v>289</c:v>
                </c:pt>
                <c:pt idx="2">
                  <c:v>297</c:v>
                </c:pt>
                <c:pt idx="3">
                  <c:v>345</c:v>
                </c:pt>
                <c:pt idx="4">
                  <c:v>361</c:v>
                </c:pt>
                <c:pt idx="5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1-FC4D-845F-77CA2FAF8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702335"/>
        <c:axId val="328948735"/>
      </c:barChart>
      <c:catAx>
        <c:axId val="33370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48735"/>
        <c:crosses val="autoZero"/>
        <c:auto val="1"/>
        <c:lblAlgn val="ctr"/>
        <c:lblOffset val="100"/>
        <c:noMultiLvlLbl val="0"/>
      </c:catAx>
      <c:valAx>
        <c:axId val="3289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E0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0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8BCC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Evolution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Summary'!$J$81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rgbClr val="1B2A4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'Executive Summary'!$K$80:$P$80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Summary'!$K$81:$P$81</c:f>
              <c:numCache>
                <c:formatCode>General</c:formatCode>
                <c:ptCount val="6"/>
                <c:pt idx="0">
                  <c:v>0.23100000000000001</c:v>
                </c:pt>
                <c:pt idx="1">
                  <c:v>0.219</c:v>
                </c:pt>
                <c:pt idx="2">
                  <c:v>0.217</c:v>
                </c:pt>
                <c:pt idx="3">
                  <c:v>0.22</c:v>
                </c:pt>
                <c:pt idx="4">
                  <c:v>0.219</c:v>
                </c:pt>
                <c:pt idx="5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D-FB47-8927-0DD4ACB43647}"/>
            </c:ext>
          </c:extLst>
        </c:ser>
        <c:ser>
          <c:idx val="1"/>
          <c:order val="1"/>
          <c:tx>
            <c:strRef>
              <c:f>'Executive Summary'!$J$82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rgbClr val="D4AF3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'Executive Summary'!$K$80:$P$80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Summary'!$K$82:$P$82</c:f>
              <c:numCache>
                <c:formatCode>General</c:formatCode>
                <c:ptCount val="6"/>
                <c:pt idx="0">
                  <c:v>0.16</c:v>
                </c:pt>
                <c:pt idx="1">
                  <c:v>0.152</c:v>
                </c:pt>
                <c:pt idx="2">
                  <c:v>0.154</c:v>
                </c:pt>
                <c:pt idx="3">
                  <c:v>0.16300000000000001</c:v>
                </c:pt>
                <c:pt idx="4">
                  <c:v>0.161</c:v>
                </c:pt>
                <c:pt idx="5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D-FB47-8927-0DD4ACB43647}"/>
            </c:ext>
          </c:extLst>
        </c:ser>
        <c:ser>
          <c:idx val="2"/>
          <c:order val="2"/>
          <c:tx>
            <c:strRef>
              <c:f>'Executive Summary'!$J$83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rgbClr val="8EAAD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'Executive Summary'!$K$80:$P$80</c:f>
              <c:strCache>
                <c:ptCount val="6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2025E</c:v>
                </c:pt>
                <c:pt idx="5">
                  <c:v>2026E</c:v>
                </c:pt>
              </c:strCache>
            </c:strRef>
          </c:cat>
          <c:val>
            <c:numRef>
              <c:f>'Executive Summary'!$K$83:$P$83</c:f>
              <c:numCache>
                <c:formatCode>General</c:formatCode>
                <c:ptCount val="6"/>
                <c:pt idx="0">
                  <c:v>0.10299999999999999</c:v>
                </c:pt>
                <c:pt idx="1">
                  <c:v>0.09</c:v>
                </c:pt>
                <c:pt idx="2">
                  <c:v>8.8999999999999996E-2</c:v>
                </c:pt>
                <c:pt idx="3">
                  <c:v>0.10199999999999999</c:v>
                </c:pt>
                <c:pt idx="4">
                  <c:v>0.1</c:v>
                </c:pt>
                <c:pt idx="5">
                  <c:v>0.107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D-FB47-8927-0DD4ACB43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0879"/>
        <c:axId val="12852671"/>
      </c:lineChart>
      <c:catAx>
        <c:axId val="1285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71"/>
        <c:crosses val="autoZero"/>
        <c:auto val="1"/>
        <c:lblAlgn val="ctr"/>
        <c:lblOffset val="100"/>
        <c:noMultiLvlLbl val="0"/>
      </c:catAx>
      <c:valAx>
        <c:axId val="1285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8BCC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 Value (£mm)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'Executive Summary'!$C$86</c:f>
              <c:strCache>
                <c:ptCount val="1"/>
                <c:pt idx="0">
                  <c:v>Offset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'Executive Summary'!$B$87:$B$89</c:f>
              <c:strCache>
                <c:ptCount val="3"/>
                <c:pt idx="0">
                  <c:v>Trading Comps</c:v>
                </c:pt>
                <c:pt idx="1">
                  <c:v>DCF - Exit Multiple</c:v>
                </c:pt>
                <c:pt idx="2">
                  <c:v>DCF - Perpetuity Growth</c:v>
                </c:pt>
              </c:strCache>
            </c:strRef>
          </c:cat>
          <c:val>
            <c:numRef>
              <c:f>'Executive Summary'!$C$87:$C$89</c:f>
              <c:numCache>
                <c:formatCode>General</c:formatCode>
                <c:ptCount val="3"/>
                <c:pt idx="0">
                  <c:v>7334</c:v>
                </c:pt>
                <c:pt idx="1">
                  <c:v>8774</c:v>
                </c:pt>
                <c:pt idx="2">
                  <c:v>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A-4641-BC59-3F2A491848B5}"/>
            </c:ext>
          </c:extLst>
        </c:ser>
        <c:ser>
          <c:idx val="1"/>
          <c:order val="1"/>
          <c:tx>
            <c:strRef>
              <c:f>'Executive Summary'!$D$86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D4AF37"/>
            </a:solidFill>
            <a:ln>
              <a:noFill/>
            </a:ln>
            <a:effectLst/>
          </c:spPr>
          <c:invertIfNegative val="0"/>
          <c:cat>
            <c:strRef>
              <c:f>'Executive Summary'!$B$87:$B$89</c:f>
              <c:strCache>
                <c:ptCount val="3"/>
                <c:pt idx="0">
                  <c:v>Trading Comps</c:v>
                </c:pt>
                <c:pt idx="1">
                  <c:v>DCF - Exit Multiple</c:v>
                </c:pt>
                <c:pt idx="2">
                  <c:v>DCF - Perpetuity Growth</c:v>
                </c:pt>
              </c:strCache>
            </c:strRef>
          </c:cat>
          <c:val>
            <c:numRef>
              <c:f>'Executive Summary'!$D$87:$D$89</c:f>
              <c:numCache>
                <c:formatCode>General</c:formatCode>
                <c:ptCount val="3"/>
                <c:pt idx="0">
                  <c:v>5639</c:v>
                </c:pt>
                <c:pt idx="1">
                  <c:v>3096</c:v>
                </c:pt>
                <c:pt idx="2">
                  <c:v>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A-4641-BC59-3F2A4918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54367"/>
        <c:axId val="14555263"/>
      </c:barChart>
      <c:catAx>
        <c:axId val="1455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63"/>
        <c:crosses val="autoZero"/>
        <c:auto val="1"/>
        <c:lblAlgn val="ctr"/>
        <c:lblOffset val="100"/>
        <c:noMultiLvlLbl val="0"/>
      </c:catAx>
      <c:valAx>
        <c:axId val="14555263"/>
        <c:scaling>
          <c:orientation val="minMax"/>
          <c:max val="14000"/>
          <c:min val="5000"/>
        </c:scaling>
        <c:delete val="0"/>
        <c:axPos val="b"/>
        <c:majorGridlines>
          <c:spPr>
            <a:ln w="9525" cap="flat" cmpd="sng" algn="ctr">
              <a:solidFill>
                <a:srgbClr val="DDE0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8BCC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'Executive Summary'!$C$92</c:f>
              <c:strCache>
                <c:ptCount val="1"/>
                <c:pt idx="0">
                  <c:v>Offset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'Executive Summary'!$B$93:$B$95</c:f>
              <c:strCache>
                <c:ptCount val="3"/>
                <c:pt idx="0">
                  <c:v>Trading Comps</c:v>
                </c:pt>
                <c:pt idx="1">
                  <c:v>DCF - Exit Multiple</c:v>
                </c:pt>
                <c:pt idx="2">
                  <c:v>DCF - Perpetuity Growth</c:v>
                </c:pt>
              </c:strCache>
            </c:strRef>
          </c:cat>
          <c:val>
            <c:numRef>
              <c:f>'Executive Summary'!$C$93:$C$95</c:f>
              <c:numCache>
                <c:formatCode>General</c:formatCode>
                <c:ptCount val="3"/>
                <c:pt idx="0">
                  <c:v>44.04</c:v>
                </c:pt>
                <c:pt idx="1">
                  <c:v>53.44</c:v>
                </c:pt>
                <c:pt idx="2">
                  <c:v>42.49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D-E048-8566-970420E6D412}"/>
            </c:ext>
          </c:extLst>
        </c:ser>
        <c:ser>
          <c:idx val="1"/>
          <c:order val="1"/>
          <c:tx>
            <c:strRef>
              <c:f>'Executive Summary'!$D$92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B2A4A"/>
            </a:solidFill>
            <a:ln>
              <a:noFill/>
            </a:ln>
            <a:effectLst/>
          </c:spPr>
          <c:invertIfNegative val="0"/>
          <c:cat>
            <c:strRef>
              <c:f>'Executive Summary'!$B$93:$B$95</c:f>
              <c:strCache>
                <c:ptCount val="3"/>
                <c:pt idx="0">
                  <c:v>Trading Comps</c:v>
                </c:pt>
                <c:pt idx="1">
                  <c:v>DCF - Exit Multiple</c:v>
                </c:pt>
                <c:pt idx="2">
                  <c:v>DCF - Perpetuity Growth</c:v>
                </c:pt>
              </c:strCache>
            </c:strRef>
          </c:cat>
          <c:val>
            <c:numRef>
              <c:f>'Executive Summary'!$D$93:$D$95</c:f>
              <c:numCache>
                <c:formatCode>General</c:formatCode>
                <c:ptCount val="3"/>
                <c:pt idx="0">
                  <c:v>36.729999999999997</c:v>
                </c:pt>
                <c:pt idx="1">
                  <c:v>20.190000000000001</c:v>
                </c:pt>
                <c:pt idx="2">
                  <c:v>16.32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D-E048-8566-970420E6D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4399"/>
        <c:axId val="13960063"/>
      </c:barChart>
      <c:catAx>
        <c:axId val="1397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0063"/>
        <c:crosses val="autoZero"/>
        <c:auto val="1"/>
        <c:lblAlgn val="ctr"/>
        <c:lblOffset val="100"/>
        <c:noMultiLvlLbl val="0"/>
      </c:catAx>
      <c:valAx>
        <c:axId val="13960063"/>
        <c:scaling>
          <c:orientation val="minMax"/>
          <c:max val="90"/>
          <c:min val="30"/>
        </c:scaling>
        <c:delete val="0"/>
        <c:axPos val="b"/>
        <c:majorGridlines>
          <c:spPr>
            <a:ln w="9525" cap="flat" cmpd="sng" algn="ctr">
              <a:solidFill>
                <a:srgbClr val="DDE0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8BCC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Enterprise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Summary'!$B$8:$B$10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Summary'!$C$8:$C$10</c:f>
              <c:numCache>
                <c:formatCode>#,##0</c:formatCode>
                <c:ptCount val="3"/>
                <c:pt idx="0">
                  <c:v>7095</c:v>
                </c:pt>
                <c:pt idx="1">
                  <c:v>8774</c:v>
                </c:pt>
                <c:pt idx="2">
                  <c:v>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0-F648-BE59-576B7C13B531}"/>
            </c:ext>
          </c:extLst>
        </c:ser>
        <c:ser>
          <c:idx val="1"/>
          <c:order val="1"/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'Valuation Summary'!$B$8:$B$10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Summary'!$D$8:$D$10</c:f>
              <c:numCache>
                <c:formatCode>#,##0</c:formatCode>
                <c:ptCount val="3"/>
                <c:pt idx="0">
                  <c:v>8347</c:v>
                </c:pt>
                <c:pt idx="1">
                  <c:v>10322</c:v>
                </c:pt>
                <c:pt idx="2">
                  <c:v>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0-F648-BE59-576B7C13B531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Summary'!$B$8:$B$10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Summary'!$E$8:$E$10</c:f>
              <c:numCache>
                <c:formatCode>#,##0</c:formatCode>
                <c:ptCount val="3"/>
                <c:pt idx="0">
                  <c:v>9599</c:v>
                </c:pt>
                <c:pt idx="1">
                  <c:v>11870</c:v>
                </c:pt>
                <c:pt idx="2">
                  <c:v>12971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0-F648-BE59-576B7C13B5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25667903"/>
        <c:axId val="326240895"/>
      </c:barChart>
      <c:catAx>
        <c:axId val="32566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40895"/>
        <c:crosses val="autoZero"/>
        <c:auto val="1"/>
        <c:lblAlgn val="ctr"/>
        <c:lblOffset val="100"/>
        <c:noMultiLvlLbl val="0"/>
      </c:catAx>
      <c:valAx>
        <c:axId val="326240895"/>
        <c:scaling>
          <c:orientation val="minMax"/>
          <c:max val="25000"/>
        </c:scaling>
        <c:delete val="1"/>
        <c:axPos val="b"/>
        <c:numFmt formatCode="#,##0" sourceLinked="1"/>
        <c:majorTickMark val="none"/>
        <c:minorTickMark val="none"/>
        <c:tickLblPos val="nextTo"/>
        <c:crossAx val="32566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Summary'!$B$23:$B$25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Summary'!$C$23:$C$25</c:f>
              <c:numCache>
                <c:formatCode>\£#,##0.00</c:formatCode>
                <c:ptCount val="3"/>
                <c:pt idx="0">
                  <c:v>42.500488503875467</c:v>
                </c:pt>
                <c:pt idx="1">
                  <c:v>53.436461929264638</c:v>
                </c:pt>
                <c:pt idx="2">
                  <c:v>44.050674135348146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7843-8E2E-D66DA568BAD7}"/>
            </c:ext>
          </c:extLst>
        </c:ser>
        <c:ser>
          <c:idx val="1"/>
          <c:order val="1"/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'Valuation Summary'!$B$23:$B$25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Summary'!$D$23:$D$25</c:f>
              <c:numCache>
                <c:formatCode>\£#,##0.00</c:formatCode>
                <c:ptCount val="3"/>
                <c:pt idx="0">
                  <c:v>50.655246531622488</c:v>
                </c:pt>
                <c:pt idx="1">
                  <c:v>63.519181918843223</c:v>
                </c:pt>
                <c:pt idx="2">
                  <c:v>57.285872467921578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7-7843-8E2E-D66DA568BAD7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'Valuation Summary'!$B$23:$B$25</c:f>
              <c:strCache>
                <c:ptCount val="3"/>
                <c:pt idx="0">
                  <c:v>DCF - Perpetuity Growth</c:v>
                </c:pt>
                <c:pt idx="1">
                  <c:v>DCF - Exit Multiple</c:v>
                </c:pt>
                <c:pt idx="2">
                  <c:v>Trading Comps (EV/EBITDA)</c:v>
                </c:pt>
              </c:strCache>
            </c:strRef>
          </c:cat>
          <c:val>
            <c:numRef>
              <c:f>'Valuation Summary'!$E$23:$E$25</c:f>
              <c:numCache>
                <c:formatCode>\£#,##0.00</c:formatCode>
                <c:ptCount val="3"/>
                <c:pt idx="0">
                  <c:v>58.810004559369503</c:v>
                </c:pt>
                <c:pt idx="1">
                  <c:v>73.601901908421809</c:v>
                </c:pt>
                <c:pt idx="2">
                  <c:v>80.773138800234477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7-7843-8E2E-D66DA568BA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1"/>
        <c:overlap val="100"/>
        <c:axId val="326248511"/>
        <c:axId val="323701823"/>
      </c:barChart>
      <c:catAx>
        <c:axId val="32624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01823"/>
        <c:crosses val="autoZero"/>
        <c:auto val="1"/>
        <c:lblAlgn val="ctr"/>
        <c:lblOffset val="100"/>
        <c:noMultiLvlLbl val="0"/>
      </c:catAx>
      <c:valAx>
        <c:axId val="323701823"/>
        <c:scaling>
          <c:orientation val="minMax"/>
        </c:scaling>
        <c:delete val="1"/>
        <c:axPos val="b"/>
        <c:numFmt formatCode="\£#,##0.00" sourceLinked="1"/>
        <c:majorTickMark val="none"/>
        <c:minorTickMark val="none"/>
        <c:tickLblPos val="nextTo"/>
        <c:crossAx val="32624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17</xdr:row>
      <xdr:rowOff>50800</xdr:rowOff>
    </xdr:from>
    <xdr:to>
      <xdr:col>7</xdr:col>
      <xdr:colOff>787400</xdr:colOff>
      <xdr:row>27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046EF8-B038-3A3D-10A8-FBA4458A6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50800</xdr:colOff>
      <xdr:row>17</xdr:row>
      <xdr:rowOff>50800</xdr:rowOff>
    </xdr:from>
    <xdr:to>
      <xdr:col>15</xdr:col>
      <xdr:colOff>939800</xdr:colOff>
      <xdr:row>27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C17DE6-356B-E4C4-0271-A7776B015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127000</xdr:colOff>
      <xdr:row>47</xdr:row>
      <xdr:rowOff>76200</xdr:rowOff>
    </xdr:from>
    <xdr:to>
      <xdr:col>7</xdr:col>
      <xdr:colOff>863600</xdr:colOff>
      <xdr:row>59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B84799-15FA-0BB1-9472-DD0A8B745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52</xdr:row>
      <xdr:rowOff>101600</xdr:rowOff>
    </xdr:from>
    <xdr:to>
      <xdr:col>15</xdr:col>
      <xdr:colOff>889000</xdr:colOff>
      <xdr:row>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EEF8BB-583C-9A80-F9AF-73756218A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182733</xdr:colOff>
      <xdr:row>6</xdr:row>
      <xdr:rowOff>191870</xdr:rowOff>
    </xdr:from>
    <xdr:to>
      <xdr:col>8</xdr:col>
      <xdr:colOff>0</xdr:colOff>
      <xdr:row>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FE8928-47E2-B988-C99B-E7BB2DDD47D0}"/>
            </a:ext>
          </a:extLst>
        </xdr:cNvPr>
        <xdr:cNvCxnSpPr/>
      </xdr:nvCxnSpPr>
      <xdr:spPr>
        <a:xfrm flipV="1">
          <a:off x="3471942" y="1434460"/>
          <a:ext cx="3097339" cy="91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813165</xdr:colOff>
      <xdr:row>32</xdr:row>
      <xdr:rowOff>191870</xdr:rowOff>
    </xdr:from>
    <xdr:to>
      <xdr:col>8</xdr:col>
      <xdr:colOff>0</xdr:colOff>
      <xdr:row>33</xdr:row>
      <xdr:rowOff>18274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2A0A579-4860-EC45-9FBA-5328C5B0D484}"/>
            </a:ext>
          </a:extLst>
        </xdr:cNvPr>
        <xdr:cNvCxnSpPr/>
      </xdr:nvCxnSpPr>
      <xdr:spPr>
        <a:xfrm flipV="1">
          <a:off x="4102374" y="1434460"/>
          <a:ext cx="4120648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173597</xdr:colOff>
      <xdr:row>79</xdr:row>
      <xdr:rowOff>191870</xdr:rowOff>
    </xdr:from>
    <xdr:to>
      <xdr:col>8</xdr:col>
      <xdr:colOff>0</xdr:colOff>
      <xdr:row>79</xdr:row>
      <xdr:rowOff>201007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AE56E0A-B82B-8D4F-BADD-F988C56617F8}"/>
            </a:ext>
          </a:extLst>
        </xdr:cNvPr>
        <xdr:cNvCxnSpPr/>
      </xdr:nvCxnSpPr>
      <xdr:spPr>
        <a:xfrm flipV="1">
          <a:off x="3462806" y="15779064"/>
          <a:ext cx="3106475" cy="91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182733</xdr:colOff>
      <xdr:row>32</xdr:row>
      <xdr:rowOff>191870</xdr:rowOff>
    </xdr:from>
    <xdr:to>
      <xdr:col>8</xdr:col>
      <xdr:colOff>0</xdr:colOff>
      <xdr:row>33</xdr:row>
      <xdr:rowOff>18273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A8FD183-1FB8-C64F-921D-2EDBBEDF5251}"/>
            </a:ext>
          </a:extLst>
        </xdr:cNvPr>
        <xdr:cNvCxnSpPr/>
      </xdr:nvCxnSpPr>
      <xdr:spPr>
        <a:xfrm flipV="1">
          <a:off x="3471942" y="6295179"/>
          <a:ext cx="3097339" cy="274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901700</xdr:colOff>
      <xdr:row>1</xdr:row>
      <xdr:rowOff>222250</xdr:rowOff>
    </xdr:from>
    <xdr:to>
      <xdr:col>16</xdr:col>
      <xdr:colOff>127000</xdr:colOff>
      <xdr:row>16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43BDC9-9DBC-77DD-D186-50C6A0FF1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647700</xdr:colOff>
      <xdr:row>4</xdr:row>
      <xdr:rowOff>38100</xdr:rowOff>
    </xdr:from>
    <xdr:to>
      <xdr:col>12</xdr:col>
      <xdr:colOff>647700</xdr:colOff>
      <xdr:row>15</xdr:row>
      <xdr:rowOff>177800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0A9060F-70DF-A3E7-15AF-2D3E3F091BFE}"/>
            </a:ext>
          </a:extLst>
        </xdr:cNvPr>
        <xdr:cNvCxnSpPr/>
      </xdr:nvCxnSpPr>
      <xdr:spPr>
        <a:xfrm>
          <a:off x="11315700" y="901700"/>
          <a:ext cx="0" cy="237490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1511300</xdr:colOff>
      <xdr:row>14</xdr:row>
      <xdr:rowOff>177800</xdr:rowOff>
    </xdr:from>
    <xdr:to>
      <xdr:col>12</xdr:col>
      <xdr:colOff>609600</xdr:colOff>
      <xdr:row>16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1F2CFAB-C57C-6247-81AD-5EE1FFECB908}"/>
            </a:ext>
          </a:extLst>
        </xdr:cNvPr>
        <xdr:cNvSpPr txBox="1"/>
      </xdr:nvSpPr>
      <xdr:spPr>
        <a:xfrm>
          <a:off x="10401300" y="3073400"/>
          <a:ext cx="8763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 £6,844mm</a:t>
          </a:r>
          <a:r>
            <a:rPr lang="en-US">
              <a:solidFill>
                <a:srgbClr val="C00000"/>
              </a:solidFill>
              <a:effectLst/>
            </a:rPr>
            <a:t> </a:t>
          </a:r>
        </a:p>
      </xdr:txBody>
    </xdr:sp>
    <xdr:clientData/>
  </xdr:twoCellAnchor>
  <xdr:twoCellAnchor>
    <xdr:from>
      <xdr:col>10</xdr:col>
      <xdr:colOff>939800</xdr:colOff>
      <xdr:row>18</xdr:row>
      <xdr:rowOff>158750</xdr:rowOff>
    </xdr:from>
    <xdr:to>
      <xdr:col>16</xdr:col>
      <xdr:colOff>266700</xdr:colOff>
      <xdr:row>33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089188-08CD-D282-5097-E9B5AFDAF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368300</xdr:colOff>
      <xdr:row>21</xdr:row>
      <xdr:rowOff>0</xdr:rowOff>
    </xdr:from>
    <xdr:to>
      <xdr:col>12</xdr:col>
      <xdr:colOff>368300</xdr:colOff>
      <xdr:row>33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F53A3E-84C8-AC4D-8F2B-0960FC3D05EE}"/>
            </a:ext>
          </a:extLst>
        </xdr:cNvPr>
        <xdr:cNvCxnSpPr/>
      </xdr:nvCxnSpPr>
      <xdr:spPr>
        <a:xfrm>
          <a:off x="11036300" y="4318000"/>
          <a:ext cx="0" cy="2476500"/>
        </a:xfrm>
        <a:prstGeom prst="line">
          <a:avLst/>
        </a:prstGeom>
        <a:ln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1473200</xdr:colOff>
      <xdr:row>31</xdr:row>
      <xdr:rowOff>190500</xdr:rowOff>
    </xdr:from>
    <xdr:to>
      <xdr:col>12</xdr:col>
      <xdr:colOff>381000</xdr:colOff>
      <xdr:row>33</xdr:row>
      <xdr:rowOff>50800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BBC3B9-B379-B548-ADE3-4D6BAC43E8FD}"/>
            </a:ext>
          </a:extLst>
        </xdr:cNvPr>
        <xdr:cNvSpPr txBox="1"/>
      </xdr:nvSpPr>
      <xdr:spPr>
        <a:xfrm>
          <a:off x="10363200" y="6540500"/>
          <a:ext cx="685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 £37.34</a:t>
          </a:r>
          <a:r>
            <a:rPr lang="en-US">
              <a:solidFill>
                <a:srgbClr val="C00000"/>
              </a:solidFill>
              <a:effectLst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20F94-4240-AA40-9381-3C8E217334FB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309-9523-5143-80DD-F368B652E0F8}">
  <sheetPr>
    <tabColor rgb="FF1B2A4A"/>
  </sheetPr>
  <dimension ref="A1:T36"/>
  <sheetViews>
    <sheetView zoomScale="125" workbookViewId="0">
      <selection activeCell="G42" sqref="G42"/>
    </sheetView>
  </sheetViews>
  <sheetFormatPr baseColWidth="10" defaultColWidth="10.83203125" defaultRowHeight="16"/>
  <cols>
    <col min="1" max="1" width="1.33203125" style="1" customWidth="1"/>
    <col min="2" max="19" width="8.6640625" style="1" customWidth="1"/>
    <col min="20" max="20" width="1.33203125" style="1" customWidth="1"/>
    <col min="21" max="16384" width="10.83203125" style="1"/>
  </cols>
  <sheetData>
    <row r="1" spans="1:20">
      <c r="A1" s="4"/>
      <c r="B1" s="2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8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0">
      <c r="A3" s="4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37">
      <c r="A6" s="4"/>
      <c r="B6" s="658" t="s">
        <v>0</v>
      </c>
      <c r="C6" s="658"/>
      <c r="D6" s="658"/>
      <c r="E6" s="658"/>
      <c r="F6" s="658"/>
      <c r="G6" s="658"/>
      <c r="H6" s="658"/>
      <c r="I6" s="658"/>
      <c r="J6" s="658"/>
      <c r="K6" s="658"/>
      <c r="L6" s="658"/>
      <c r="M6" s="658"/>
      <c r="N6" s="658"/>
      <c r="O6" s="658"/>
      <c r="P6" s="658"/>
      <c r="Q6" s="658"/>
      <c r="R6" s="658"/>
      <c r="S6" s="658"/>
      <c r="T6" s="4"/>
    </row>
    <row r="7" spans="1:20" ht="18">
      <c r="A7" s="4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9">
      <c r="A8" s="4"/>
      <c r="B8" s="659" t="s">
        <v>1</v>
      </c>
      <c r="C8" s="659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4"/>
    </row>
    <row r="9" spans="1:20">
      <c r="A9" s="4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4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4"/>
      <c r="B11" s="660" t="s">
        <v>2</v>
      </c>
      <c r="C11" s="660"/>
      <c r="D11" s="660"/>
      <c r="E11" s="660"/>
      <c r="F11" s="660"/>
      <c r="G11" s="660"/>
      <c r="H11" s="660"/>
      <c r="I11" s="660"/>
      <c r="J11" s="660"/>
      <c r="K11" s="660"/>
      <c r="L11" s="660"/>
      <c r="M11" s="660"/>
      <c r="N11" s="660"/>
      <c r="O11" s="660"/>
      <c r="P11" s="660"/>
      <c r="Q11" s="660"/>
      <c r="R11" s="660"/>
      <c r="S11" s="660"/>
      <c r="T11" s="4"/>
    </row>
    <row r="12" spans="1:2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1:20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>
      <c r="A17" s="22"/>
      <c r="B17" s="22"/>
      <c r="C17" s="22"/>
      <c r="D17" s="656" t="s">
        <v>3</v>
      </c>
      <c r="E17" s="656"/>
      <c r="F17" s="656"/>
      <c r="G17" s="656"/>
      <c r="H17" s="657" t="s">
        <v>4</v>
      </c>
      <c r="I17" s="657"/>
      <c r="J17" s="657"/>
      <c r="K17" s="657"/>
      <c r="L17" s="657"/>
      <c r="M17" s="657"/>
      <c r="N17" s="657"/>
      <c r="O17" s="657"/>
      <c r="P17" s="22"/>
      <c r="Q17" s="22"/>
      <c r="R17" s="22"/>
      <c r="S17" s="22"/>
      <c r="T17" s="22"/>
    </row>
    <row r="18" spans="1:20">
      <c r="A18" s="22"/>
      <c r="B18" s="22"/>
      <c r="C18" s="22"/>
      <c r="D18" s="650" t="s">
        <v>5</v>
      </c>
      <c r="E18" s="650"/>
      <c r="F18" s="650"/>
      <c r="G18" s="650"/>
      <c r="H18" s="651">
        <v>45717</v>
      </c>
      <c r="I18" s="651"/>
      <c r="J18" s="651"/>
      <c r="K18" s="651"/>
      <c r="L18" s="651"/>
      <c r="M18" s="651"/>
      <c r="N18" s="651"/>
      <c r="O18" s="651"/>
      <c r="P18" s="22"/>
      <c r="Q18" s="22"/>
      <c r="R18" s="22"/>
      <c r="S18" s="22"/>
      <c r="T18" s="22"/>
    </row>
    <row r="19" spans="1:20">
      <c r="A19" s="22"/>
      <c r="B19" s="22"/>
      <c r="C19" s="22"/>
      <c r="D19" s="650" t="s">
        <v>6</v>
      </c>
      <c r="E19" s="650"/>
      <c r="F19" s="650"/>
      <c r="G19" s="650"/>
      <c r="H19" s="652" t="s">
        <v>7</v>
      </c>
      <c r="I19" s="652"/>
      <c r="J19" s="652"/>
      <c r="K19" s="652"/>
      <c r="L19" s="652"/>
      <c r="M19" s="652"/>
      <c r="N19" s="652"/>
      <c r="O19" s="652"/>
      <c r="P19" s="22"/>
      <c r="Q19" s="22"/>
      <c r="R19" s="22"/>
      <c r="S19" s="22"/>
      <c r="T19" s="22"/>
    </row>
    <row r="20" spans="1:20">
      <c r="A20" s="22"/>
      <c r="B20" s="22"/>
      <c r="C20" s="22"/>
      <c r="D20" s="650" t="s">
        <v>8</v>
      </c>
      <c r="E20" s="650"/>
      <c r="F20" s="650"/>
      <c r="G20" s="650"/>
      <c r="H20" s="655" t="s">
        <v>1165</v>
      </c>
      <c r="I20" s="655"/>
      <c r="J20" s="655"/>
      <c r="K20" s="655"/>
      <c r="L20" s="655"/>
      <c r="M20" s="655"/>
      <c r="N20" s="655"/>
      <c r="O20" s="655"/>
      <c r="P20" s="655"/>
      <c r="Q20" s="22"/>
      <c r="R20" s="22"/>
      <c r="S20" s="22"/>
      <c r="T20" s="22"/>
    </row>
    <row r="21" spans="1:20">
      <c r="A21" s="22"/>
      <c r="B21" s="22"/>
      <c r="C21" s="22"/>
      <c r="D21" s="653" t="s">
        <v>9</v>
      </c>
      <c r="E21" s="653"/>
      <c r="F21" s="653"/>
      <c r="G21" s="653"/>
      <c r="H21" s="654" t="s">
        <v>10</v>
      </c>
      <c r="I21" s="654"/>
      <c r="J21" s="654"/>
      <c r="K21" s="654"/>
      <c r="L21" s="654"/>
      <c r="M21" s="654"/>
      <c r="N21" s="654"/>
      <c r="O21" s="654"/>
      <c r="P21" s="22"/>
      <c r="Q21" s="22"/>
      <c r="R21" s="22"/>
      <c r="S21" s="22"/>
      <c r="T21" s="22"/>
    </row>
    <row r="22" spans="1:20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>
      <c r="A25" s="22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49"/>
      <c r="P25" s="649"/>
      <c r="Q25" s="649"/>
      <c r="R25" s="649"/>
      <c r="S25" s="649"/>
      <c r="T25" s="22"/>
    </row>
    <row r="26" spans="1:20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idden="1">
      <c r="A27" s="22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s="22"/>
    </row>
    <row r="28" spans="1:20" hidden="1">
      <c r="A28" s="22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s="22"/>
    </row>
    <row r="29" spans="1:20" hidden="1">
      <c r="A29" s="22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 s="22"/>
    </row>
    <row r="30" spans="1:20" hidden="1">
      <c r="A30" s="22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s="22"/>
    </row>
    <row r="31" spans="1:20" hidden="1">
      <c r="A31" s="22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22"/>
    </row>
    <row r="32" spans="1:20" hidden="1">
      <c r="A32" s="2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22"/>
    </row>
    <row r="33" spans="1:20" hidden="1">
      <c r="A33" s="22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22"/>
    </row>
    <row r="34" spans="1:20" hidden="1">
      <c r="A34" s="22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22"/>
    </row>
    <row r="35" spans="1:20" hidden="1">
      <c r="A35" s="22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22"/>
    </row>
    <row r="36" spans="1:20" hidden="1">
      <c r="A36" s="22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22"/>
    </row>
  </sheetData>
  <mergeCells count="14">
    <mergeCell ref="D17:G17"/>
    <mergeCell ref="H17:O17"/>
    <mergeCell ref="B6:S6"/>
    <mergeCell ref="B8:S8"/>
    <mergeCell ref="B11:S11"/>
    <mergeCell ref="B25:S25"/>
    <mergeCell ref="D18:G18"/>
    <mergeCell ref="H18:O18"/>
    <mergeCell ref="D19:G19"/>
    <mergeCell ref="H19:O19"/>
    <mergeCell ref="D20:G20"/>
    <mergeCell ref="D21:G21"/>
    <mergeCell ref="H21:O21"/>
    <mergeCell ref="H20:P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0262-DE1D-AA43-8067-B62E1CE8C913}">
  <sheetPr>
    <tabColor rgb="FF1B2A4A"/>
  </sheetPr>
  <dimension ref="B1:E42"/>
  <sheetViews>
    <sheetView zoomScale="125" workbookViewId="0">
      <selection activeCell="H14" sqref="H14"/>
    </sheetView>
  </sheetViews>
  <sheetFormatPr baseColWidth="10" defaultColWidth="10.83203125" defaultRowHeight="16"/>
  <cols>
    <col min="1" max="1" width="5" style="1" customWidth="1"/>
    <col min="2" max="2" width="9.1640625" style="1" customWidth="1"/>
    <col min="3" max="4" width="46.6640625" style="1" customWidth="1"/>
    <col min="5" max="5" width="16.6640625" style="1" customWidth="1"/>
    <col min="6" max="16384" width="10.83203125" style="1"/>
  </cols>
  <sheetData>
    <row r="1" spans="2:5" ht="23">
      <c r="B1" s="388" t="s">
        <v>11</v>
      </c>
    </row>
    <row r="2" spans="2:5">
      <c r="B2" s="389" t="s">
        <v>12</v>
      </c>
    </row>
    <row r="4" spans="2:5" ht="17" thickBot="1">
      <c r="B4" s="390" t="s">
        <v>13</v>
      </c>
      <c r="C4" s="391" t="s">
        <v>14</v>
      </c>
      <c r="D4" s="391" t="s">
        <v>15</v>
      </c>
      <c r="E4" s="390" t="s">
        <v>16</v>
      </c>
    </row>
    <row r="5" spans="2:5">
      <c r="B5" s="392" t="s">
        <v>17</v>
      </c>
      <c r="C5" s="393"/>
      <c r="D5" s="393"/>
      <c r="E5" s="393"/>
    </row>
    <row r="6" spans="2:5">
      <c r="B6" s="394">
        <v>1</v>
      </c>
      <c r="C6" s="395" t="s">
        <v>18</v>
      </c>
      <c r="D6" s="395" t="s">
        <v>1146</v>
      </c>
      <c r="E6" s="396" t="s">
        <v>19</v>
      </c>
    </row>
    <row r="7" spans="2:5">
      <c r="B7" s="397">
        <v>2</v>
      </c>
      <c r="C7" s="398" t="s">
        <v>20</v>
      </c>
      <c r="D7" s="398" t="s">
        <v>21</v>
      </c>
      <c r="E7" s="399" t="s">
        <v>19</v>
      </c>
    </row>
    <row r="8" spans="2:5">
      <c r="B8" s="394">
        <v>3</v>
      </c>
      <c r="C8" s="395" t="s">
        <v>22</v>
      </c>
      <c r="D8" s="395" t="s">
        <v>23</v>
      </c>
      <c r="E8" s="396" t="s">
        <v>19</v>
      </c>
    </row>
    <row r="10" spans="2:5">
      <c r="B10" s="400" t="s">
        <v>24</v>
      </c>
      <c r="C10" s="401"/>
      <c r="D10" s="401"/>
      <c r="E10" s="401"/>
    </row>
    <row r="11" spans="2:5">
      <c r="B11" s="394">
        <v>4</v>
      </c>
      <c r="C11" s="395" t="s">
        <v>25</v>
      </c>
      <c r="D11" s="395" t="s">
        <v>26</v>
      </c>
      <c r="E11" s="396" t="s">
        <v>19</v>
      </c>
    </row>
    <row r="12" spans="2:5">
      <c r="B12" s="397">
        <v>5</v>
      </c>
      <c r="C12" s="398" t="s">
        <v>27</v>
      </c>
      <c r="D12" s="398" t="s">
        <v>28</v>
      </c>
      <c r="E12" s="399" t="s">
        <v>19</v>
      </c>
    </row>
    <row r="14" spans="2:5">
      <c r="B14" s="402" t="s">
        <v>29</v>
      </c>
      <c r="C14" s="403"/>
      <c r="D14" s="403"/>
      <c r="E14" s="403"/>
    </row>
    <row r="15" spans="2:5">
      <c r="B15" s="394">
        <v>6</v>
      </c>
      <c r="C15" s="395" t="s">
        <v>30</v>
      </c>
      <c r="D15" s="395" t="s">
        <v>31</v>
      </c>
      <c r="E15" s="396" t="s">
        <v>19</v>
      </c>
    </row>
    <row r="16" spans="2:5">
      <c r="B16" s="397">
        <v>7</v>
      </c>
      <c r="C16" s="398" t="s">
        <v>32</v>
      </c>
      <c r="D16" s="398" t="s">
        <v>33</v>
      </c>
      <c r="E16" s="399" t="s">
        <v>19</v>
      </c>
    </row>
    <row r="18" spans="2:5">
      <c r="B18" s="404" t="s">
        <v>34</v>
      </c>
      <c r="C18" s="405"/>
      <c r="D18" s="405"/>
      <c r="E18" s="405"/>
    </row>
    <row r="19" spans="2:5">
      <c r="B19" s="394">
        <v>8</v>
      </c>
      <c r="C19" s="395" t="s">
        <v>35</v>
      </c>
      <c r="D19" s="395" t="s">
        <v>36</v>
      </c>
      <c r="E19" s="396" t="s">
        <v>19</v>
      </c>
    </row>
    <row r="20" spans="2:5">
      <c r="B20" s="406"/>
      <c r="C20" s="251"/>
      <c r="D20" s="251"/>
      <c r="E20" s="407"/>
    </row>
    <row r="21" spans="2:5">
      <c r="B21" s="408" t="s">
        <v>37</v>
      </c>
      <c r="C21" s="409"/>
      <c r="D21" s="409"/>
      <c r="E21" s="409"/>
    </row>
    <row r="22" spans="2:5">
      <c r="B22" s="397">
        <v>9</v>
      </c>
      <c r="C22" s="398" t="s">
        <v>38</v>
      </c>
      <c r="D22" s="398" t="s">
        <v>39</v>
      </c>
      <c r="E22" s="399" t="s">
        <v>19</v>
      </c>
    </row>
    <row r="23" spans="2:5">
      <c r="B23" s="394">
        <v>10</v>
      </c>
      <c r="C23" s="395" t="s">
        <v>40</v>
      </c>
      <c r="D23" s="395" t="s">
        <v>41</v>
      </c>
      <c r="E23" s="396" t="s">
        <v>19</v>
      </c>
    </row>
    <row r="24" spans="2:5">
      <c r="B24" s="397">
        <v>11</v>
      </c>
      <c r="C24" s="398" t="s">
        <v>42</v>
      </c>
      <c r="D24" s="398" t="s">
        <v>43</v>
      </c>
      <c r="E24" s="410" t="s">
        <v>19</v>
      </c>
    </row>
    <row r="26" spans="2:5">
      <c r="B26" s="639" t="s">
        <v>44</v>
      </c>
      <c r="C26" s="616"/>
      <c r="D26" s="616"/>
      <c r="E26" s="616"/>
    </row>
    <row r="27" spans="2:5">
      <c r="B27" s="397">
        <v>12</v>
      </c>
      <c r="C27" s="398" t="s">
        <v>45</v>
      </c>
      <c r="D27" s="398" t="s">
        <v>46</v>
      </c>
      <c r="E27" s="399" t="s">
        <v>19</v>
      </c>
    </row>
    <row r="28" spans="2:5">
      <c r="B28" s="394">
        <v>13</v>
      </c>
      <c r="C28" s="395" t="s">
        <v>47</v>
      </c>
      <c r="D28" s="395" t="s">
        <v>48</v>
      </c>
      <c r="E28" s="396" t="s">
        <v>19</v>
      </c>
    </row>
    <row r="30" spans="2:5">
      <c r="B30" s="425" t="s">
        <v>49</v>
      </c>
      <c r="C30" s="426"/>
      <c r="D30" s="426"/>
      <c r="E30" s="426"/>
    </row>
    <row r="31" spans="2:5">
      <c r="B31" s="397">
        <v>14</v>
      </c>
      <c r="C31" s="398" t="s">
        <v>50</v>
      </c>
      <c r="D31" s="398" t="s">
        <v>51</v>
      </c>
      <c r="E31" s="399" t="s">
        <v>19</v>
      </c>
    </row>
    <row r="33" spans="2:5">
      <c r="B33" s="411" t="s">
        <v>52</v>
      </c>
      <c r="C33" s="412"/>
      <c r="D33" s="412"/>
      <c r="E33" s="412"/>
    </row>
    <row r="34" spans="2:5">
      <c r="B34" s="413">
        <v>15</v>
      </c>
      <c r="C34" s="414" t="s">
        <v>53</v>
      </c>
      <c r="D34" s="414" t="s">
        <v>54</v>
      </c>
      <c r="E34" s="415" t="s">
        <v>19</v>
      </c>
    </row>
    <row r="37" spans="2:5">
      <c r="B37" s="411" t="s">
        <v>55</v>
      </c>
      <c r="C37" s="412"/>
      <c r="D37" s="412"/>
      <c r="E37" s="412"/>
    </row>
    <row r="38" spans="2:5">
      <c r="B38" s="406" t="s">
        <v>56</v>
      </c>
      <c r="C38" s="416" t="s">
        <v>57</v>
      </c>
      <c r="D38" s="417" t="s">
        <v>58</v>
      </c>
    </row>
    <row r="39" spans="2:5">
      <c r="B39" s="406" t="s">
        <v>59</v>
      </c>
      <c r="C39" s="418" t="s">
        <v>60</v>
      </c>
      <c r="D39" s="417" t="s">
        <v>61</v>
      </c>
    </row>
    <row r="40" spans="2:5">
      <c r="B40" s="406" t="s">
        <v>62</v>
      </c>
      <c r="C40" s="419" t="s">
        <v>63</v>
      </c>
      <c r="D40" s="417" t="s">
        <v>64</v>
      </c>
    </row>
    <row r="41" spans="2:5">
      <c r="B41" s="406" t="s">
        <v>65</v>
      </c>
      <c r="C41" s="420" t="s">
        <v>66</v>
      </c>
      <c r="D41" s="417" t="s">
        <v>67</v>
      </c>
    </row>
    <row r="42" spans="2:5">
      <c r="B42" s="421" t="s">
        <v>68</v>
      </c>
      <c r="C42" s="422" t="s">
        <v>69</v>
      </c>
      <c r="D42" s="423" t="s">
        <v>70</v>
      </c>
      <c r="E42" s="424"/>
    </row>
  </sheetData>
  <conditionalFormatting sqref="E6:E8">
    <cfRule type="cellIs" dxfId="39" priority="11" operator="equal">
      <formula>"Complete"</formula>
    </cfRule>
    <cfRule type="cellIs" dxfId="38" priority="12" operator="equal">
      <formula>"In Progress"</formula>
    </cfRule>
    <cfRule type="cellIs" dxfId="37" priority="13" operator="equal">
      <formula>"Pending"</formula>
    </cfRule>
    <cfRule type="cellIs" dxfId="36" priority="14" operator="equal">
      <formula>"Not Started"</formula>
    </cfRule>
    <cfRule type="cellIs" dxfId="35" priority="15" operator="equal">
      <formula>"N/A"</formula>
    </cfRule>
  </conditionalFormatting>
  <conditionalFormatting sqref="E11:E12">
    <cfRule type="cellIs" dxfId="34" priority="16" operator="equal">
      <formula>"Complete"</formula>
    </cfRule>
    <cfRule type="cellIs" dxfId="33" priority="17" operator="equal">
      <formula>"In Progress"</formula>
    </cfRule>
    <cfRule type="cellIs" dxfId="32" priority="18" operator="equal">
      <formula>"Pending"</formula>
    </cfRule>
    <cfRule type="cellIs" dxfId="31" priority="19" operator="equal">
      <formula>"Not Started"</formula>
    </cfRule>
    <cfRule type="cellIs" dxfId="30" priority="20" operator="equal">
      <formula>"N/A"</formula>
    </cfRule>
  </conditionalFormatting>
  <conditionalFormatting sqref="E15:E16">
    <cfRule type="cellIs" dxfId="29" priority="21" operator="equal">
      <formula>"Complete"</formula>
    </cfRule>
    <cfRule type="cellIs" dxfId="28" priority="25" operator="equal">
      <formula>"N/A"</formula>
    </cfRule>
    <cfRule type="cellIs" dxfId="27" priority="24" operator="equal">
      <formula>"Not Started"</formula>
    </cfRule>
    <cfRule type="cellIs" dxfId="26" priority="23" operator="equal">
      <formula>"Pending"</formula>
    </cfRule>
    <cfRule type="cellIs" dxfId="25" priority="22" operator="equal">
      <formula>"In Progress"</formula>
    </cfRule>
  </conditionalFormatting>
  <conditionalFormatting sqref="E19">
    <cfRule type="cellIs" dxfId="24" priority="30" operator="equal">
      <formula>"N/A"</formula>
    </cfRule>
    <cfRule type="cellIs" dxfId="23" priority="26" operator="equal">
      <formula>"Complete"</formula>
    </cfRule>
    <cfRule type="cellIs" dxfId="22" priority="27" operator="equal">
      <formula>"In Progress"</formula>
    </cfRule>
    <cfRule type="cellIs" dxfId="21" priority="28" operator="equal">
      <formula>"Pending"</formula>
    </cfRule>
    <cfRule type="cellIs" dxfId="20" priority="29" operator="equal">
      <formula>"Not Started"</formula>
    </cfRule>
  </conditionalFormatting>
  <conditionalFormatting sqref="E21:E23">
    <cfRule type="cellIs" dxfId="19" priority="32" operator="equal">
      <formula>"In Progress"</formula>
    </cfRule>
    <cfRule type="cellIs" dxfId="18" priority="33" operator="equal">
      <formula>"Pending"</formula>
    </cfRule>
    <cfRule type="cellIs" dxfId="17" priority="34" operator="equal">
      <formula>"Not Started"</formula>
    </cfRule>
    <cfRule type="cellIs" dxfId="16" priority="35" operator="equal">
      <formula>"N/A"</formula>
    </cfRule>
    <cfRule type="cellIs" dxfId="15" priority="31" operator="equal">
      <formula>"Complete"</formula>
    </cfRule>
  </conditionalFormatting>
  <conditionalFormatting sqref="E26:E28">
    <cfRule type="cellIs" dxfId="14" priority="1" operator="equal">
      <formula>"Complete"</formula>
    </cfRule>
    <cfRule type="cellIs" dxfId="13" priority="5" operator="equal">
      <formula>"N/A"</formula>
    </cfRule>
    <cfRule type="cellIs" dxfId="12" priority="4" operator="equal">
      <formula>"Not Started"</formula>
    </cfRule>
    <cfRule type="cellIs" dxfId="11" priority="3" operator="equal">
      <formula>"Pending"</formula>
    </cfRule>
    <cfRule type="cellIs" dxfId="10" priority="2" operator="equal">
      <formula>"In Progress"</formula>
    </cfRule>
  </conditionalFormatting>
  <conditionalFormatting sqref="E30:E31">
    <cfRule type="cellIs" dxfId="9" priority="36" operator="equal">
      <formula>"Complete"</formula>
    </cfRule>
    <cfRule type="cellIs" dxfId="8" priority="37" operator="equal">
      <formula>"In Progress"</formula>
    </cfRule>
    <cfRule type="cellIs" dxfId="7" priority="38" operator="equal">
      <formula>"Pending"</formula>
    </cfRule>
    <cfRule type="cellIs" dxfId="6" priority="39" operator="equal">
      <formula>"Not Started"</formula>
    </cfRule>
    <cfRule type="cellIs" dxfId="5" priority="40" operator="equal">
      <formula>"N/A"</formula>
    </cfRule>
  </conditionalFormatting>
  <conditionalFormatting sqref="E33">
    <cfRule type="cellIs" dxfId="4" priority="41" operator="equal">
      <formula>"Complete"</formula>
    </cfRule>
    <cfRule type="cellIs" dxfId="3" priority="42" operator="equal">
      <formula>"In Progress"</formula>
    </cfRule>
    <cfRule type="cellIs" dxfId="2" priority="43" operator="equal">
      <formula>"Pending"</formula>
    </cfRule>
    <cfRule type="cellIs" dxfId="1" priority="44" operator="equal">
      <formula>"Not Started"</formula>
    </cfRule>
    <cfRule type="cellIs" dxfId="0" priority="45" operator="equal">
      <formula>"N/A"</formula>
    </cfRule>
  </conditionalFormatting>
  <dataValidations count="1">
    <dataValidation type="list" allowBlank="1" showInputMessage="1" showErrorMessage="1" sqref="E6:E8 E11:E12 E15:E16 E18:E20 E31 E34 E22:E24 E27:E28" xr:uid="{37478EA3-DD41-E14B-8E59-4EFA74DB032C}">
      <formula1>"Complete,In Progress,Pending,Not Started,N/A"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AECA-D317-BC4C-ABFB-CE4BAEC81BA6}">
  <sheetPr>
    <tabColor rgb="FF4472C4"/>
  </sheetPr>
  <dimension ref="A1:R101"/>
  <sheetViews>
    <sheetView workbookViewId="0">
      <selection activeCell="E27" sqref="E27"/>
    </sheetView>
  </sheetViews>
  <sheetFormatPr baseColWidth="10" defaultColWidth="10.83203125" defaultRowHeight="16" outlineLevelRow="1"/>
  <cols>
    <col min="1" max="1" width="1.33203125" style="1" customWidth="1"/>
    <col min="2" max="2" width="23.33203125" style="1" customWidth="1"/>
    <col min="3" max="8" width="12" style="1" customWidth="1"/>
    <col min="9" max="9" width="2" style="1" customWidth="1"/>
    <col min="10" max="10" width="23.33203125" style="1" customWidth="1"/>
    <col min="11" max="16" width="13.33203125" style="1" customWidth="1"/>
    <col min="17" max="16384" width="10.83203125" style="1"/>
  </cols>
  <sheetData>
    <row r="1" spans="1:18" ht="42" customHeight="1">
      <c r="A1" s="4"/>
      <c r="B1" s="285" t="s">
        <v>71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86" t="s">
        <v>72</v>
      </c>
      <c r="O1" s="4"/>
      <c r="P1" s="4"/>
      <c r="Q1" s="4"/>
      <c r="R1" s="4"/>
    </row>
    <row r="2" spans="1:18" ht="24" customHeight="1">
      <c r="A2" s="287"/>
      <c r="B2" s="288" t="s">
        <v>73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9" t="s">
        <v>74</v>
      </c>
      <c r="O2" s="287"/>
      <c r="P2" s="287"/>
      <c r="Q2" s="287"/>
      <c r="R2" s="287"/>
    </row>
    <row r="3" spans="1:18" ht="3" customHeight="1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</row>
    <row r="4" spans="1:18" ht="8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2" customHeight="1" thickBo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18" customHeight="1" thickTop="1">
      <c r="A6" s="22"/>
      <c r="B6" s="313" t="s">
        <v>75</v>
      </c>
      <c r="C6" s="314"/>
      <c r="D6" s="313" t="s">
        <v>76</v>
      </c>
      <c r="E6" s="314"/>
      <c r="F6" s="313" t="s">
        <v>77</v>
      </c>
      <c r="G6" s="315"/>
      <c r="H6" s="22"/>
      <c r="I6" s="22"/>
      <c r="J6" s="313" t="s">
        <v>78</v>
      </c>
      <c r="K6" s="314"/>
      <c r="L6" s="313" t="s">
        <v>79</v>
      </c>
      <c r="M6" s="314"/>
      <c r="N6" s="316" t="s">
        <v>80</v>
      </c>
      <c r="O6" s="317"/>
      <c r="P6" s="22"/>
      <c r="Q6" s="22"/>
      <c r="R6" s="22"/>
    </row>
    <row r="7" spans="1:18" ht="30" customHeight="1">
      <c r="A7" s="22"/>
      <c r="B7" s="318" t="s">
        <v>81</v>
      </c>
      <c r="C7" s="92"/>
      <c r="D7" s="318" t="s">
        <v>82</v>
      </c>
      <c r="E7" s="92"/>
      <c r="F7" s="318" t="s">
        <v>83</v>
      </c>
      <c r="G7" s="319"/>
      <c r="H7" s="22"/>
      <c r="I7" s="22"/>
      <c r="J7" s="318" t="s">
        <v>84</v>
      </c>
      <c r="K7" s="92"/>
      <c r="L7" s="344" t="s">
        <v>85</v>
      </c>
      <c r="M7" s="92"/>
      <c r="N7" s="320" t="s">
        <v>86</v>
      </c>
      <c r="O7" s="319"/>
      <c r="P7" s="22"/>
      <c r="Q7" s="22"/>
      <c r="R7" s="22"/>
    </row>
    <row r="8" spans="1:18" ht="18" customHeight="1">
      <c r="A8" s="22"/>
      <c r="B8" s="321" t="s">
        <v>87</v>
      </c>
      <c r="C8" s="92"/>
      <c r="D8" s="321" t="s">
        <v>88</v>
      </c>
      <c r="E8" s="92"/>
      <c r="F8" s="321" t="s">
        <v>89</v>
      </c>
      <c r="G8" s="319"/>
      <c r="H8" s="22"/>
      <c r="I8" s="22"/>
      <c r="J8" s="321" t="s">
        <v>90</v>
      </c>
      <c r="K8" s="92"/>
      <c r="L8" s="321" t="s">
        <v>91</v>
      </c>
      <c r="M8" s="92"/>
      <c r="N8" s="322" t="s">
        <v>92</v>
      </c>
      <c r="O8" s="319"/>
      <c r="P8" s="22"/>
      <c r="Q8" s="22"/>
      <c r="R8" s="22"/>
    </row>
    <row r="9" spans="1:18" ht="18" customHeight="1">
      <c r="A9" s="22"/>
      <c r="B9" s="323"/>
      <c r="C9" s="324"/>
      <c r="D9" s="323"/>
      <c r="E9" s="324"/>
      <c r="F9" s="323"/>
      <c r="G9" s="325"/>
      <c r="H9" s="22"/>
      <c r="I9" s="22"/>
      <c r="J9" s="323"/>
      <c r="K9" s="324"/>
      <c r="L9" s="323"/>
      <c r="M9" s="324"/>
      <c r="N9" s="323"/>
      <c r="O9" s="325"/>
      <c r="P9" s="22"/>
      <c r="Q9" s="22"/>
      <c r="R9" s="22"/>
    </row>
    <row r="10" spans="1:18" ht="10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ht="20" customHeight="1" thickBot="1">
      <c r="A11" s="92"/>
      <c r="B11" s="326" t="s">
        <v>93</v>
      </c>
      <c r="C11" s="327"/>
      <c r="D11" s="327"/>
      <c r="E11" s="327"/>
      <c r="F11" s="327"/>
      <c r="G11" s="327"/>
      <c r="H11" s="327"/>
      <c r="I11" s="92"/>
      <c r="J11" s="326" t="s">
        <v>94</v>
      </c>
      <c r="K11" s="327"/>
      <c r="L11" s="327"/>
      <c r="M11" s="327"/>
      <c r="N11" s="327"/>
      <c r="O11" s="327"/>
      <c r="P11" s="327"/>
      <c r="Q11" s="22"/>
      <c r="R11" s="22"/>
    </row>
    <row r="12" spans="1:18" ht="18" customHeight="1">
      <c r="A12" s="92"/>
      <c r="B12" s="292" t="s">
        <v>95</v>
      </c>
      <c r="C12" s="292" t="s">
        <v>96</v>
      </c>
      <c r="D12" s="292" t="s">
        <v>97</v>
      </c>
      <c r="E12" s="292" t="s">
        <v>98</v>
      </c>
      <c r="F12" s="292" t="s">
        <v>99</v>
      </c>
      <c r="G12" s="292" t="s">
        <v>100</v>
      </c>
      <c r="H12" s="292" t="s">
        <v>101</v>
      </c>
      <c r="I12" s="92"/>
      <c r="J12" s="292" t="s">
        <v>95</v>
      </c>
      <c r="K12" s="292" t="s">
        <v>96</v>
      </c>
      <c r="L12" s="292" t="s">
        <v>97</v>
      </c>
      <c r="M12" s="292" t="s">
        <v>98</v>
      </c>
      <c r="N12" s="292" t="s">
        <v>99</v>
      </c>
      <c r="O12" s="292" t="s">
        <v>100</v>
      </c>
      <c r="P12" s="292" t="s">
        <v>101</v>
      </c>
      <c r="Q12" s="22"/>
      <c r="R12" s="22"/>
    </row>
    <row r="13" spans="1:18" ht="16" customHeight="1">
      <c r="A13" s="92"/>
      <c r="B13" s="328" t="s">
        <v>102</v>
      </c>
      <c r="C13" s="329">
        <v>2786.3</v>
      </c>
      <c r="D13" s="329">
        <v>3192.9</v>
      </c>
      <c r="E13" s="329">
        <v>3328.7</v>
      </c>
      <c r="F13" s="329">
        <v>3393.2</v>
      </c>
      <c r="G13" s="293">
        <v>3614</v>
      </c>
      <c r="H13" s="293">
        <v>3831</v>
      </c>
      <c r="I13" s="92"/>
      <c r="J13" s="328" t="s">
        <v>103</v>
      </c>
      <c r="K13" s="330">
        <v>0.23100000000000001</v>
      </c>
      <c r="L13" s="330">
        <v>0.219</v>
      </c>
      <c r="M13" s="330">
        <v>0.217</v>
      </c>
      <c r="N13" s="330">
        <v>0.22</v>
      </c>
      <c r="O13" s="300">
        <v>0.219</v>
      </c>
      <c r="P13" s="300">
        <v>0.219</v>
      </c>
      <c r="Q13" s="22"/>
      <c r="R13" s="22"/>
    </row>
    <row r="14" spans="1:18" ht="16" customHeight="1">
      <c r="A14" s="92"/>
      <c r="B14" s="295" t="s">
        <v>104</v>
      </c>
      <c r="C14" s="296" t="s">
        <v>105</v>
      </c>
      <c r="D14" s="296"/>
      <c r="E14" s="296"/>
      <c r="F14" s="296"/>
      <c r="G14" s="297">
        <v>6.5000000000000002E-2</v>
      </c>
      <c r="H14" s="297">
        <v>0.06</v>
      </c>
      <c r="I14" s="92"/>
      <c r="J14" s="295" t="s">
        <v>106</v>
      </c>
      <c r="K14" s="296">
        <v>0.23100000000000001</v>
      </c>
      <c r="L14" s="296">
        <v>0.219</v>
      </c>
      <c r="M14" s="296">
        <v>0.217</v>
      </c>
      <c r="N14" s="296">
        <v>0.22</v>
      </c>
      <c r="O14" s="301">
        <v>0.219</v>
      </c>
      <c r="P14" s="301">
        <v>0.219</v>
      </c>
      <c r="Q14" s="22"/>
      <c r="R14" s="22"/>
    </row>
    <row r="15" spans="1:18" ht="16" customHeight="1">
      <c r="A15" s="92"/>
      <c r="B15" s="328" t="s">
        <v>107</v>
      </c>
      <c r="C15" s="329">
        <v>644</v>
      </c>
      <c r="D15" s="329">
        <v>700</v>
      </c>
      <c r="E15" s="329">
        <v>723</v>
      </c>
      <c r="F15" s="329">
        <v>748</v>
      </c>
      <c r="G15" s="293">
        <v>791</v>
      </c>
      <c r="H15" s="293">
        <v>838</v>
      </c>
      <c r="I15" s="92"/>
      <c r="J15" s="331" t="s">
        <v>108</v>
      </c>
      <c r="K15" s="332">
        <v>0.16</v>
      </c>
      <c r="L15" s="332">
        <v>0.152</v>
      </c>
      <c r="M15" s="332">
        <v>0.154</v>
      </c>
      <c r="N15" s="332">
        <v>0.16300000000000001</v>
      </c>
      <c r="O15" s="294">
        <v>0.161</v>
      </c>
      <c r="P15" s="294">
        <v>0.17</v>
      </c>
      <c r="Q15" s="22"/>
      <c r="R15" s="22"/>
    </row>
    <row r="16" spans="1:18" ht="16" customHeight="1">
      <c r="A16" s="92"/>
      <c r="B16" s="295" t="s">
        <v>109</v>
      </c>
      <c r="C16" s="298">
        <v>445</v>
      </c>
      <c r="D16" s="298">
        <v>485</v>
      </c>
      <c r="E16" s="298">
        <v>514</v>
      </c>
      <c r="F16" s="298">
        <v>554</v>
      </c>
      <c r="G16" s="299">
        <v>582</v>
      </c>
      <c r="H16" s="299">
        <v>653</v>
      </c>
      <c r="I16" s="92"/>
      <c r="J16" s="295" t="s">
        <v>110</v>
      </c>
      <c r="K16" s="296">
        <v>0.10299999999999999</v>
      </c>
      <c r="L16" s="296">
        <v>0.09</v>
      </c>
      <c r="M16" s="296">
        <v>8.8999999999999996E-2</v>
      </c>
      <c r="N16" s="296">
        <v>0.10199999999999999</v>
      </c>
      <c r="O16" s="301">
        <v>0.1</v>
      </c>
      <c r="P16" s="301">
        <v>0.107</v>
      </c>
      <c r="Q16" s="22"/>
      <c r="R16" s="22"/>
    </row>
    <row r="17" spans="1:18" ht="16" customHeight="1">
      <c r="A17" s="92"/>
      <c r="B17" s="331" t="s">
        <v>111</v>
      </c>
      <c r="C17" s="333">
        <v>288</v>
      </c>
      <c r="D17" s="333">
        <v>289</v>
      </c>
      <c r="E17" s="333">
        <v>297</v>
      </c>
      <c r="F17" s="333">
        <v>345</v>
      </c>
      <c r="G17" s="345">
        <v>361</v>
      </c>
      <c r="H17" s="345">
        <v>410</v>
      </c>
      <c r="I17" s="92"/>
      <c r="J17" s="331" t="s">
        <v>112</v>
      </c>
      <c r="K17" s="332">
        <v>0.25900000000000001</v>
      </c>
      <c r="L17" s="332">
        <v>0.219</v>
      </c>
      <c r="M17" s="332">
        <v>0.219</v>
      </c>
      <c r="N17" s="332">
        <v>0.23899999999999999</v>
      </c>
      <c r="O17" s="294">
        <v>0.218</v>
      </c>
      <c r="P17" s="294">
        <v>0.217</v>
      </c>
      <c r="Q17" s="22"/>
      <c r="R17" s="22"/>
    </row>
    <row r="18" spans="1:18" s="355" customFormat="1" ht="16" customHeight="1">
      <c r="B18" s="356"/>
      <c r="C18" s="357"/>
      <c r="D18" s="357"/>
      <c r="E18" s="357"/>
      <c r="F18" s="357"/>
      <c r="G18" s="357"/>
      <c r="H18" s="357"/>
      <c r="J18" s="356"/>
      <c r="K18" s="358"/>
      <c r="L18" s="358"/>
      <c r="M18" s="358"/>
      <c r="N18" s="358"/>
      <c r="O18" s="358"/>
      <c r="P18" s="358"/>
      <c r="Q18" s="22"/>
      <c r="R18" s="22"/>
    </row>
    <row r="19" spans="1:18" s="355" customFormat="1" ht="16" customHeight="1">
      <c r="B19" s="356"/>
      <c r="C19" s="357"/>
      <c r="D19" s="357"/>
      <c r="E19" s="357"/>
      <c r="F19" s="357"/>
      <c r="G19" s="357"/>
      <c r="H19" s="357"/>
      <c r="J19" s="356"/>
      <c r="K19" s="358"/>
      <c r="L19" s="358"/>
      <c r="M19" s="358"/>
      <c r="N19" s="358"/>
      <c r="O19" s="358"/>
      <c r="P19" s="358"/>
      <c r="Q19" s="22"/>
      <c r="R19" s="22"/>
    </row>
    <row r="20" spans="1:18" s="355" customFormat="1" ht="16" customHeight="1">
      <c r="B20" s="356"/>
      <c r="C20" s="357"/>
      <c r="D20" s="357"/>
      <c r="E20" s="357"/>
      <c r="F20" s="357"/>
      <c r="G20" s="357"/>
      <c r="H20" s="357"/>
      <c r="J20" s="356"/>
      <c r="K20" s="358"/>
      <c r="L20" s="358"/>
      <c r="M20" s="358"/>
      <c r="N20" s="358"/>
      <c r="O20" s="358"/>
      <c r="P20" s="358"/>
      <c r="Q20" s="22"/>
      <c r="R20" s="22"/>
    </row>
    <row r="21" spans="1:18" s="355" customFormat="1" ht="16" customHeight="1">
      <c r="B21" s="356"/>
      <c r="C21" s="357"/>
      <c r="D21" s="357"/>
      <c r="E21" s="357"/>
      <c r="F21" s="357"/>
      <c r="G21" s="357"/>
      <c r="H21" s="357"/>
      <c r="J21" s="356"/>
      <c r="K21" s="358"/>
      <c r="L21" s="358"/>
      <c r="M21" s="358"/>
      <c r="N21" s="358"/>
      <c r="O21" s="358"/>
      <c r="P21" s="358"/>
      <c r="Q21" s="22"/>
      <c r="R21" s="22"/>
    </row>
    <row r="22" spans="1:18" s="355" customFormat="1" ht="16" customHeight="1">
      <c r="B22" s="356"/>
      <c r="C22" s="357"/>
      <c r="D22" s="357"/>
      <c r="E22" s="357"/>
      <c r="F22" s="357"/>
      <c r="G22" s="357"/>
      <c r="H22" s="357"/>
      <c r="J22" s="356"/>
      <c r="K22" s="358"/>
      <c r="L22" s="358"/>
      <c r="M22" s="358"/>
      <c r="N22" s="358"/>
      <c r="O22" s="358"/>
      <c r="P22" s="358"/>
      <c r="Q22" s="22"/>
      <c r="R22" s="22"/>
    </row>
    <row r="23" spans="1:18" s="355" customFormat="1" ht="16" customHeight="1">
      <c r="B23" s="356"/>
      <c r="C23" s="357"/>
      <c r="D23" s="357"/>
      <c r="E23" s="357"/>
      <c r="F23" s="357"/>
      <c r="G23" s="357"/>
      <c r="H23" s="357"/>
      <c r="J23" s="356"/>
      <c r="K23" s="358"/>
      <c r="L23" s="358"/>
      <c r="M23" s="358"/>
      <c r="N23" s="358"/>
      <c r="O23" s="358"/>
      <c r="P23" s="358"/>
      <c r="Q23" s="22"/>
      <c r="R23" s="22"/>
    </row>
    <row r="24" spans="1:18" s="355" customFormat="1" ht="16" customHeight="1">
      <c r="B24" s="356"/>
      <c r="C24" s="357"/>
      <c r="D24" s="357"/>
      <c r="E24" s="357"/>
      <c r="F24" s="357"/>
      <c r="G24" s="357"/>
      <c r="H24" s="357"/>
      <c r="J24" s="356"/>
      <c r="K24" s="358"/>
      <c r="L24" s="358"/>
      <c r="M24" s="358"/>
      <c r="N24" s="358"/>
      <c r="O24" s="358"/>
      <c r="P24" s="358"/>
      <c r="Q24" s="22"/>
      <c r="R24" s="22"/>
    </row>
    <row r="25" spans="1:18" s="355" customFormat="1" ht="16" customHeight="1">
      <c r="B25" s="356"/>
      <c r="C25" s="357"/>
      <c r="D25" s="357"/>
      <c r="E25" s="357"/>
      <c r="F25" s="357"/>
      <c r="G25" s="357"/>
      <c r="H25" s="357"/>
      <c r="J25" s="356"/>
      <c r="K25" s="358"/>
      <c r="L25" s="358"/>
      <c r="M25" s="358"/>
      <c r="N25" s="358"/>
      <c r="O25" s="358"/>
      <c r="P25" s="358"/>
      <c r="Q25" s="22"/>
      <c r="R25" s="22"/>
    </row>
    <row r="26" spans="1:18" s="355" customFormat="1" ht="16" customHeight="1">
      <c r="B26" s="356"/>
      <c r="C26" s="357"/>
      <c r="D26" s="357"/>
      <c r="E26" s="357"/>
      <c r="F26" s="357"/>
      <c r="G26" s="357"/>
      <c r="H26" s="357"/>
      <c r="J26" s="356"/>
      <c r="K26" s="358"/>
      <c r="L26" s="358"/>
      <c r="M26" s="358"/>
      <c r="N26" s="358"/>
      <c r="O26" s="358"/>
      <c r="P26" s="358"/>
      <c r="Q26" s="22"/>
      <c r="R26" s="22"/>
    </row>
    <row r="27" spans="1:18" s="355" customFormat="1" ht="16" customHeight="1">
      <c r="B27" s="356"/>
      <c r="C27" s="357"/>
      <c r="D27" s="357"/>
      <c r="E27" s="357"/>
      <c r="F27" s="357"/>
      <c r="G27" s="357"/>
      <c r="H27" s="357"/>
      <c r="J27" s="356"/>
      <c r="K27" s="358"/>
      <c r="L27" s="358"/>
      <c r="M27" s="358"/>
      <c r="N27" s="358"/>
      <c r="O27" s="358"/>
      <c r="P27" s="358"/>
      <c r="Q27" s="22"/>
      <c r="R27" s="22"/>
    </row>
    <row r="28" spans="1:18" s="355" customFormat="1" ht="16" customHeight="1">
      <c r="B28" s="356"/>
      <c r="C28" s="357"/>
      <c r="D28" s="357"/>
      <c r="E28" s="357"/>
      <c r="F28" s="357"/>
      <c r="G28" s="357"/>
      <c r="H28" s="357"/>
      <c r="J28" s="356"/>
      <c r="K28" s="358"/>
      <c r="L28" s="358"/>
      <c r="M28" s="358"/>
      <c r="N28" s="358"/>
      <c r="O28" s="358"/>
      <c r="P28" s="358"/>
      <c r="Q28" s="22"/>
      <c r="R28" s="22"/>
    </row>
    <row r="29" spans="1:18" s="355" customFormat="1" ht="16" customHeight="1">
      <c r="A29" s="359"/>
      <c r="B29" s="360"/>
      <c r="C29" s="361"/>
      <c r="D29" s="361"/>
      <c r="E29" s="361"/>
      <c r="F29" s="361"/>
      <c r="G29" s="361"/>
      <c r="H29" s="361"/>
      <c r="I29" s="359"/>
      <c r="J29" s="360"/>
      <c r="K29" s="362"/>
      <c r="L29" s="362"/>
      <c r="M29" s="362"/>
      <c r="N29" s="362"/>
      <c r="O29" s="362"/>
      <c r="P29" s="362"/>
      <c r="Q29" s="22"/>
      <c r="R29" s="22"/>
    </row>
    <row r="30" spans="1:18" ht="8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22"/>
      <c r="R30" s="22"/>
    </row>
    <row r="31" spans="1:18" ht="4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347" t="s">
        <v>113</v>
      </c>
      <c r="M31" s="92"/>
      <c r="N31" s="92"/>
      <c r="O31" s="92"/>
      <c r="P31" s="92"/>
      <c r="Q31" s="22"/>
      <c r="R31" s="22"/>
    </row>
    <row r="32" spans="1:18" ht="20" customHeight="1" thickBot="1">
      <c r="A32" s="92"/>
      <c r="B32" s="326" t="s">
        <v>114</v>
      </c>
      <c r="C32" s="327"/>
      <c r="D32" s="327"/>
      <c r="E32" s="327"/>
      <c r="F32" s="326" t="s">
        <v>115</v>
      </c>
      <c r="G32" s="327"/>
      <c r="H32" s="327"/>
      <c r="I32" s="92"/>
      <c r="J32" s="326" t="s">
        <v>116</v>
      </c>
      <c r="K32" s="327"/>
      <c r="L32" s="346"/>
      <c r="M32" s="327"/>
      <c r="N32" s="327"/>
      <c r="O32" s="327"/>
      <c r="P32" s="346" t="s">
        <v>117</v>
      </c>
      <c r="Q32" s="22"/>
      <c r="R32" s="22"/>
    </row>
    <row r="33" spans="1:18" ht="18" customHeight="1">
      <c r="A33" s="92"/>
      <c r="B33" s="291" t="s">
        <v>118</v>
      </c>
      <c r="C33" s="292" t="s">
        <v>100</v>
      </c>
      <c r="D33" s="292" t="s">
        <v>101</v>
      </c>
      <c r="E33" s="291"/>
      <c r="F33" s="292" t="s">
        <v>119</v>
      </c>
      <c r="G33" s="292" t="s">
        <v>99</v>
      </c>
      <c r="H33" s="292" t="s">
        <v>100</v>
      </c>
      <c r="I33" s="92"/>
      <c r="J33" s="292" t="s">
        <v>120</v>
      </c>
      <c r="K33" s="292" t="s">
        <v>121</v>
      </c>
      <c r="L33" s="348" t="s">
        <v>122</v>
      </c>
      <c r="M33" s="292" t="s">
        <v>123</v>
      </c>
      <c r="N33" s="292" t="s">
        <v>124</v>
      </c>
      <c r="O33" s="292" t="s">
        <v>125</v>
      </c>
      <c r="P33" s="292" t="s">
        <v>126</v>
      </c>
      <c r="Q33" s="22"/>
      <c r="R33" s="22"/>
    </row>
    <row r="34" spans="1:18" ht="16" customHeight="1">
      <c r="A34" s="92"/>
      <c r="B34" s="331" t="s">
        <v>109</v>
      </c>
      <c r="C34" s="333">
        <v>582</v>
      </c>
      <c r="D34" s="333">
        <v>653</v>
      </c>
      <c r="E34" s="92"/>
      <c r="F34" s="331" t="s">
        <v>127</v>
      </c>
      <c r="G34" s="332">
        <f>434/5802</f>
        <v>7.4801792485349877E-2</v>
      </c>
      <c r="H34" s="332">
        <f>434/5802</f>
        <v>7.4801792485349877E-2</v>
      </c>
      <c r="I34" s="92"/>
      <c r="J34" s="307" t="s">
        <v>128</v>
      </c>
      <c r="K34" s="308" t="s">
        <v>129</v>
      </c>
      <c r="L34" s="349" t="s">
        <v>85</v>
      </c>
      <c r="M34" s="308" t="s">
        <v>130</v>
      </c>
      <c r="N34" s="308" t="s">
        <v>131</v>
      </c>
      <c r="O34" s="308" t="s">
        <v>132</v>
      </c>
      <c r="P34" s="308" t="s">
        <v>133</v>
      </c>
      <c r="Q34" s="22"/>
      <c r="R34" s="22"/>
    </row>
    <row r="35" spans="1:18" ht="16" customHeight="1">
      <c r="A35" s="92"/>
      <c r="B35" s="295" t="s">
        <v>134</v>
      </c>
      <c r="C35" s="298">
        <v>-149</v>
      </c>
      <c r="D35" s="298">
        <v>-167</v>
      </c>
      <c r="E35" s="92"/>
      <c r="F35" s="295" t="s">
        <v>135</v>
      </c>
      <c r="G35" s="369">
        <v>0.76</v>
      </c>
      <c r="H35" s="369">
        <v>0.72</v>
      </c>
      <c r="I35" s="92"/>
      <c r="J35" s="295" t="s">
        <v>136</v>
      </c>
      <c r="K35" s="309" t="s">
        <v>137</v>
      </c>
      <c r="L35" s="298">
        <v>18521</v>
      </c>
      <c r="M35" s="309" t="s">
        <v>138</v>
      </c>
      <c r="N35" s="309" t="s">
        <v>139</v>
      </c>
      <c r="O35" s="309" t="s">
        <v>140</v>
      </c>
      <c r="P35" s="309" t="s">
        <v>141</v>
      </c>
      <c r="Q35" s="22"/>
      <c r="R35" s="22"/>
    </row>
    <row r="36" spans="1:18" ht="16" customHeight="1">
      <c r="A36" s="92"/>
      <c r="B36" s="331" t="s">
        <v>142</v>
      </c>
      <c r="C36" s="333">
        <v>209</v>
      </c>
      <c r="D36" s="333">
        <v>186</v>
      </c>
      <c r="E36" s="92"/>
      <c r="F36" s="331" t="s">
        <v>143</v>
      </c>
      <c r="G36" s="332">
        <v>0.16600000000000001</v>
      </c>
      <c r="H36" s="332">
        <v>0.16300000000000001</v>
      </c>
      <c r="I36" s="92"/>
      <c r="J36" s="331" t="s">
        <v>144</v>
      </c>
      <c r="K36" s="336" t="s">
        <v>145</v>
      </c>
      <c r="L36" s="333">
        <v>14060</v>
      </c>
      <c r="M36" s="336" t="s">
        <v>146</v>
      </c>
      <c r="N36" s="336" t="s">
        <v>147</v>
      </c>
      <c r="O36" s="336" t="s">
        <v>148</v>
      </c>
      <c r="P36" s="336" t="s">
        <v>149</v>
      </c>
      <c r="Q36" s="22"/>
      <c r="R36" s="22"/>
    </row>
    <row r="37" spans="1:18" ht="16" customHeight="1">
      <c r="A37" s="92"/>
      <c r="B37" s="295" t="s">
        <v>150</v>
      </c>
      <c r="C37" s="298">
        <v>-132</v>
      </c>
      <c r="D37" s="298">
        <v>-140</v>
      </c>
      <c r="E37" s="92"/>
      <c r="F37" s="295" t="s">
        <v>151</v>
      </c>
      <c r="G37" s="296">
        <v>0.59699999999999998</v>
      </c>
      <c r="H37" s="296">
        <v>0.42199999999999999</v>
      </c>
      <c r="I37" s="92"/>
      <c r="J37" s="295" t="s">
        <v>152</v>
      </c>
      <c r="K37" s="309" t="s">
        <v>153</v>
      </c>
      <c r="L37" s="298">
        <v>12971</v>
      </c>
      <c r="M37" s="309" t="s">
        <v>154</v>
      </c>
      <c r="N37" s="309" t="s">
        <v>155</v>
      </c>
      <c r="O37" s="309" t="s">
        <v>156</v>
      </c>
      <c r="P37" s="309" t="s">
        <v>157</v>
      </c>
      <c r="Q37" s="22"/>
      <c r="R37" s="22"/>
    </row>
    <row r="38" spans="1:18" ht="16" customHeight="1" thickBot="1">
      <c r="A38" s="92"/>
      <c r="B38" s="331" t="s">
        <v>158</v>
      </c>
      <c r="C38" s="333">
        <v>-76</v>
      </c>
      <c r="D38" s="333">
        <v>-101</v>
      </c>
      <c r="E38" s="92"/>
      <c r="F38" s="331" t="s">
        <v>159</v>
      </c>
      <c r="G38" s="332">
        <v>0.04</v>
      </c>
      <c r="H38" s="332">
        <v>3.6999999999999998E-2</v>
      </c>
      <c r="I38" s="92"/>
      <c r="J38" s="331" t="s">
        <v>160</v>
      </c>
      <c r="K38" s="336" t="s">
        <v>161</v>
      </c>
      <c r="L38" s="333">
        <v>16514</v>
      </c>
      <c r="M38" s="336" t="s">
        <v>162</v>
      </c>
      <c r="N38" s="336" t="s">
        <v>163</v>
      </c>
      <c r="O38" s="336" t="s">
        <v>164</v>
      </c>
      <c r="P38" s="336" t="s">
        <v>165</v>
      </c>
      <c r="Q38" s="22"/>
      <c r="R38" s="22"/>
    </row>
    <row r="39" spans="1:18" ht="16" customHeight="1" thickTop="1">
      <c r="A39" s="92"/>
      <c r="B39" s="350" t="s">
        <v>166</v>
      </c>
      <c r="C39" s="351">
        <v>434</v>
      </c>
      <c r="D39" s="351">
        <v>430</v>
      </c>
      <c r="E39" s="92"/>
      <c r="F39" s="334" t="s">
        <v>167</v>
      </c>
      <c r="G39" s="335">
        <v>0.80300000000000005</v>
      </c>
      <c r="H39" s="335">
        <v>0.84699999999999998</v>
      </c>
      <c r="I39" s="92"/>
      <c r="J39" s="350" t="s">
        <v>168</v>
      </c>
      <c r="K39" s="352" t="s">
        <v>95</v>
      </c>
      <c r="L39" s="352" t="s">
        <v>95</v>
      </c>
      <c r="M39" s="352" t="s">
        <v>169</v>
      </c>
      <c r="N39" s="352" t="s">
        <v>170</v>
      </c>
      <c r="O39" s="352" t="s">
        <v>171</v>
      </c>
      <c r="P39" s="352" t="s">
        <v>172</v>
      </c>
      <c r="Q39" s="22"/>
      <c r="R39" s="22"/>
    </row>
    <row r="40" spans="1:18" ht="8" customHeight="1">
      <c r="A40" s="324"/>
      <c r="B40" s="324"/>
      <c r="C40" s="324"/>
      <c r="D40" s="324"/>
      <c r="E40" s="324"/>
      <c r="F40" s="92"/>
      <c r="G40" s="92"/>
      <c r="H40" s="92"/>
      <c r="I40" s="324"/>
      <c r="J40" s="324"/>
      <c r="K40" s="324"/>
      <c r="L40" s="324"/>
      <c r="M40" s="324"/>
      <c r="N40" s="324"/>
      <c r="O40" s="324"/>
      <c r="P40" s="324"/>
      <c r="Q40" s="22"/>
      <c r="R40" s="22"/>
    </row>
    <row r="41" spans="1:18" ht="20" customHeight="1" thickBot="1">
      <c r="A41" s="92"/>
      <c r="B41" s="326" t="s">
        <v>173</v>
      </c>
      <c r="C41" s="327"/>
      <c r="D41" s="327"/>
      <c r="E41" s="327"/>
      <c r="F41" s="376" t="s">
        <v>174</v>
      </c>
      <c r="G41" s="377"/>
      <c r="H41" s="377"/>
      <c r="I41" s="92"/>
      <c r="J41" s="326" t="s">
        <v>175</v>
      </c>
      <c r="K41" s="327"/>
      <c r="L41" s="327"/>
      <c r="M41" s="327"/>
      <c r="N41" s="327"/>
      <c r="O41" s="327"/>
      <c r="P41" s="327"/>
      <c r="Q41" s="22"/>
      <c r="R41" s="22"/>
    </row>
    <row r="42" spans="1:18" ht="18" customHeight="1">
      <c r="A42" s="92"/>
      <c r="B42" s="292" t="s">
        <v>95</v>
      </c>
      <c r="C42" s="292" t="s">
        <v>176</v>
      </c>
      <c r="D42" s="292" t="s">
        <v>177</v>
      </c>
      <c r="E42" s="291"/>
      <c r="F42" s="292" t="s">
        <v>178</v>
      </c>
      <c r="G42" s="292" t="s">
        <v>179</v>
      </c>
      <c r="H42" s="292" t="s">
        <v>180</v>
      </c>
      <c r="I42" s="92"/>
      <c r="J42" s="291" t="s">
        <v>181</v>
      </c>
      <c r="K42" s="291"/>
      <c r="L42" s="291"/>
      <c r="M42" s="291"/>
      <c r="N42" s="291" t="s">
        <v>182</v>
      </c>
      <c r="O42" s="291"/>
      <c r="P42" s="291"/>
      <c r="Q42" s="22"/>
      <c r="R42" s="22"/>
    </row>
    <row r="43" spans="1:18" ht="16" customHeight="1">
      <c r="A43" s="92"/>
      <c r="B43" s="331" t="s">
        <v>38</v>
      </c>
      <c r="C43" s="337">
        <v>42.5</v>
      </c>
      <c r="D43" s="337">
        <v>73.599999999999994</v>
      </c>
      <c r="E43" s="92"/>
      <c r="F43" s="331" t="s">
        <v>183</v>
      </c>
      <c r="G43" s="337">
        <v>50.65</v>
      </c>
      <c r="H43" s="378">
        <f>(G43-37.34)/37.34</f>
        <v>0.35645420460632016</v>
      </c>
      <c r="I43" s="92"/>
      <c r="J43" s="331" t="s">
        <v>184</v>
      </c>
      <c r="K43" s="331"/>
      <c r="L43" s="338">
        <v>5.5E-2</v>
      </c>
      <c r="M43" s="92"/>
      <c r="N43" s="331" t="s">
        <v>185</v>
      </c>
      <c r="O43" s="331"/>
      <c r="P43" s="339" t="s">
        <v>186</v>
      </c>
      <c r="Q43" s="22"/>
      <c r="R43" s="22"/>
    </row>
    <row r="44" spans="1:18" ht="16" customHeight="1">
      <c r="A44" s="92"/>
      <c r="B44" s="331" t="s">
        <v>40</v>
      </c>
      <c r="C44" s="337">
        <v>44.05</v>
      </c>
      <c r="D44" s="337">
        <v>80.77</v>
      </c>
      <c r="E44" s="92"/>
      <c r="F44" s="295" t="s">
        <v>187</v>
      </c>
      <c r="G44" s="379">
        <v>63.52</v>
      </c>
      <c r="H44" s="380">
        <f>(G44-37.34)/37.34</f>
        <v>0.70112479914301007</v>
      </c>
      <c r="I44" s="92"/>
      <c r="J44" s="331" t="s">
        <v>188</v>
      </c>
      <c r="K44" s="331"/>
      <c r="L44" s="339" t="s">
        <v>189</v>
      </c>
      <c r="M44" s="92"/>
      <c r="N44" s="331" t="s">
        <v>190</v>
      </c>
      <c r="O44" s="331"/>
      <c r="P44" s="338">
        <v>2.5000000000000001E-2</v>
      </c>
      <c r="Q44" s="22"/>
      <c r="R44" s="22"/>
    </row>
    <row r="45" spans="1:18" s="355" customFormat="1" ht="16" customHeight="1">
      <c r="B45" s="354"/>
      <c r="C45" s="363"/>
      <c r="D45" s="363"/>
      <c r="E45" s="353"/>
      <c r="F45" s="334" t="s">
        <v>40</v>
      </c>
      <c r="G45" s="340">
        <v>57.29</v>
      </c>
      <c r="H45" s="381">
        <f>(G45-37.34)/37.34</f>
        <v>0.53427959292983385</v>
      </c>
      <c r="J45" s="331" t="s">
        <v>191</v>
      </c>
      <c r="K45" s="331"/>
      <c r="L45" s="338">
        <v>7.9000000000000001E-2</v>
      </c>
      <c r="N45" s="370" t="s">
        <v>192</v>
      </c>
      <c r="O45" s="370"/>
      <c r="P45" s="371" t="s">
        <v>193</v>
      </c>
      <c r="Q45" s="22"/>
      <c r="R45" s="22"/>
    </row>
    <row r="46" spans="1:18" s="355" customFormat="1" ht="16" customHeight="1" thickBot="1">
      <c r="B46" s="354"/>
      <c r="C46" s="363"/>
      <c r="D46" s="363"/>
      <c r="E46" s="353"/>
      <c r="F46" s="331"/>
      <c r="G46" s="337"/>
      <c r="H46" s="378"/>
      <c r="J46" s="302" t="s">
        <v>79</v>
      </c>
      <c r="K46" s="302"/>
      <c r="L46" s="303">
        <v>7.3999999999999996E-2</v>
      </c>
      <c r="N46" s="356"/>
      <c r="O46" s="356"/>
      <c r="P46" s="366"/>
      <c r="Q46" s="22"/>
      <c r="R46" s="22"/>
    </row>
    <row r="47" spans="1:18" s="355" customFormat="1" ht="16" customHeight="1" thickTop="1">
      <c r="B47" s="354"/>
      <c r="C47" s="363"/>
      <c r="D47" s="363"/>
      <c r="E47" s="353"/>
      <c r="F47" s="306" t="s">
        <v>194</v>
      </c>
      <c r="G47" s="387">
        <f>AVERAGE(G43:G45)</f>
        <v>57.153333333333336</v>
      </c>
      <c r="H47" s="382">
        <f>(G47-37.34)/37.34</f>
        <v>0.53061953222638802</v>
      </c>
      <c r="J47" s="356"/>
      <c r="K47" s="356"/>
      <c r="L47" s="365"/>
      <c r="N47" s="291" t="s">
        <v>195</v>
      </c>
      <c r="O47" s="291"/>
      <c r="P47" s="372"/>
      <c r="Q47" s="22"/>
      <c r="R47" s="22"/>
    </row>
    <row r="48" spans="1:18" s="355" customFormat="1" ht="16" customHeight="1">
      <c r="B48" s="354"/>
      <c r="C48" s="363"/>
      <c r="D48" s="363"/>
      <c r="E48" s="353"/>
      <c r="J48" s="291" t="s">
        <v>196</v>
      </c>
      <c r="K48" s="291"/>
      <c r="L48" s="375"/>
      <c r="N48" s="331" t="s">
        <v>183</v>
      </c>
      <c r="O48" s="331"/>
      <c r="P48" s="373" t="s">
        <v>197</v>
      </c>
      <c r="Q48" s="22"/>
      <c r="R48" s="22"/>
    </row>
    <row r="49" spans="1:18" s="355" customFormat="1" ht="16" customHeight="1">
      <c r="B49" s="354"/>
      <c r="C49" s="363"/>
      <c r="D49" s="363"/>
      <c r="E49" s="353"/>
      <c r="J49" s="331" t="s">
        <v>198</v>
      </c>
      <c r="K49" s="331"/>
      <c r="L49" s="383" t="s">
        <v>169</v>
      </c>
      <c r="N49" s="331" t="s">
        <v>187</v>
      </c>
      <c r="O49" s="331"/>
      <c r="P49" s="373" t="s">
        <v>199</v>
      </c>
      <c r="Q49" s="22"/>
      <c r="R49" s="22"/>
    </row>
    <row r="50" spans="1:18" s="355" customFormat="1" ht="16" customHeight="1">
      <c r="B50" s="354"/>
      <c r="C50" s="363"/>
      <c r="D50" s="363"/>
      <c r="E50" s="353"/>
      <c r="J50" s="295" t="s">
        <v>200</v>
      </c>
      <c r="K50" s="295"/>
      <c r="L50" s="384" t="s">
        <v>170</v>
      </c>
      <c r="N50" s="334" t="s">
        <v>201</v>
      </c>
      <c r="O50" s="334"/>
      <c r="P50" s="374" t="s">
        <v>202</v>
      </c>
      <c r="Q50" s="22"/>
      <c r="R50" s="22"/>
    </row>
    <row r="51" spans="1:18" s="355" customFormat="1" ht="16" customHeight="1">
      <c r="B51" s="356"/>
      <c r="C51" s="364"/>
      <c r="D51" s="364"/>
      <c r="J51" s="331" t="s">
        <v>203</v>
      </c>
      <c r="K51" s="331"/>
      <c r="L51" s="383" t="s">
        <v>171</v>
      </c>
      <c r="N51" s="356"/>
      <c r="O51" s="356"/>
      <c r="P51" s="366"/>
      <c r="Q51" s="22"/>
      <c r="R51" s="22"/>
    </row>
    <row r="52" spans="1:18" s="355" customFormat="1" ht="16" customHeight="1">
      <c r="B52" s="356"/>
      <c r="C52" s="364"/>
      <c r="D52" s="364"/>
      <c r="J52" s="304" t="s">
        <v>204</v>
      </c>
      <c r="K52" s="304"/>
      <c r="L52" s="305" t="s">
        <v>172</v>
      </c>
      <c r="N52" s="356"/>
      <c r="O52" s="356"/>
      <c r="P52" s="366"/>
      <c r="Q52" s="22"/>
      <c r="R52" s="22"/>
    </row>
    <row r="53" spans="1:18" s="355" customFormat="1" ht="16" customHeight="1">
      <c r="B53" s="356"/>
      <c r="C53" s="364"/>
      <c r="D53" s="364"/>
      <c r="J53" s="385"/>
      <c r="K53" s="385"/>
      <c r="L53" s="386"/>
      <c r="N53" s="356"/>
      <c r="O53" s="356"/>
      <c r="P53" s="366"/>
      <c r="Q53" s="22"/>
      <c r="R53" s="22"/>
    </row>
    <row r="54" spans="1:18" s="355" customFormat="1" ht="16" customHeight="1">
      <c r="B54" s="356"/>
      <c r="C54" s="364"/>
      <c r="D54" s="364"/>
      <c r="J54" s="385"/>
      <c r="K54" s="385"/>
      <c r="L54" s="386"/>
      <c r="N54" s="356"/>
      <c r="O54" s="356"/>
      <c r="P54" s="366"/>
      <c r="Q54" s="22"/>
      <c r="R54" s="22"/>
    </row>
    <row r="55" spans="1:18" s="355" customFormat="1" ht="16" customHeight="1">
      <c r="B55" s="356"/>
      <c r="C55" s="364"/>
      <c r="D55" s="364"/>
      <c r="J55" s="385"/>
      <c r="K55" s="385"/>
      <c r="L55" s="386"/>
      <c r="N55" s="356"/>
      <c r="O55" s="356"/>
      <c r="P55" s="366"/>
      <c r="Q55" s="22"/>
      <c r="R55" s="22"/>
    </row>
    <row r="56" spans="1:18" s="355" customFormat="1" ht="16" customHeight="1">
      <c r="B56" s="356"/>
      <c r="C56" s="364"/>
      <c r="D56" s="364"/>
      <c r="J56" s="385"/>
      <c r="K56" s="385"/>
      <c r="L56" s="386"/>
      <c r="N56" s="356"/>
      <c r="O56" s="356"/>
      <c r="P56" s="366"/>
      <c r="Q56" s="22"/>
      <c r="R56" s="22"/>
    </row>
    <row r="57" spans="1:18" s="355" customFormat="1" ht="16" customHeight="1">
      <c r="B57" s="356"/>
      <c r="C57" s="364"/>
      <c r="D57" s="364"/>
      <c r="J57" s="385"/>
      <c r="K57" s="385"/>
      <c r="L57" s="386"/>
      <c r="N57" s="356"/>
      <c r="O57" s="356"/>
      <c r="P57" s="366"/>
      <c r="Q57" s="22"/>
      <c r="R57" s="22"/>
    </row>
    <row r="58" spans="1:18" s="355" customFormat="1" ht="16" customHeight="1">
      <c r="B58" s="356"/>
      <c r="C58" s="364"/>
      <c r="D58" s="364"/>
      <c r="J58" s="385"/>
      <c r="K58" s="385"/>
      <c r="L58" s="386"/>
      <c r="N58" s="356"/>
      <c r="O58" s="356"/>
      <c r="P58" s="366"/>
      <c r="Q58" s="22"/>
      <c r="R58" s="22"/>
    </row>
    <row r="59" spans="1:18" s="355" customFormat="1" ht="16" customHeight="1">
      <c r="B59" s="356"/>
      <c r="C59" s="364"/>
      <c r="D59" s="364"/>
      <c r="J59" s="385"/>
      <c r="K59" s="385"/>
      <c r="L59" s="386"/>
      <c r="N59" s="356"/>
      <c r="O59" s="356"/>
      <c r="P59" s="366"/>
      <c r="Q59" s="22"/>
      <c r="R59" s="22"/>
    </row>
    <row r="60" spans="1:18" s="355" customFormat="1" ht="16" customHeight="1">
      <c r="B60" s="356"/>
      <c r="C60" s="364"/>
      <c r="D60" s="364"/>
      <c r="J60" s="385"/>
      <c r="K60" s="385"/>
      <c r="L60" s="386"/>
      <c r="N60" s="356"/>
      <c r="O60" s="356"/>
      <c r="P60" s="366"/>
      <c r="Q60" s="22"/>
      <c r="R60" s="22"/>
    </row>
    <row r="61" spans="1:18" s="355" customFormat="1" ht="16" customHeight="1">
      <c r="B61" s="356"/>
      <c r="C61" s="364"/>
      <c r="D61" s="364"/>
      <c r="J61" s="356"/>
      <c r="K61" s="356"/>
      <c r="L61" s="365"/>
      <c r="N61" s="356"/>
      <c r="O61" s="356"/>
      <c r="P61" s="366"/>
      <c r="Q61" s="22"/>
      <c r="R61" s="22"/>
    </row>
    <row r="62" spans="1:18" hidden="1">
      <c r="A62" s="92"/>
      <c r="B62" s="92"/>
      <c r="C62" s="92"/>
      <c r="D62" s="92"/>
      <c r="E62" s="92"/>
      <c r="F62" s="92"/>
      <c r="G62" s="92"/>
      <c r="H62" s="92"/>
      <c r="I62" s="92"/>
      <c r="J62"/>
      <c r="K62"/>
      <c r="L62"/>
      <c r="M62" s="92"/>
      <c r="N62"/>
      <c r="O62"/>
      <c r="P62"/>
    </row>
    <row r="63" spans="1:18" hidden="1">
      <c r="A63" s="92"/>
      <c r="B63" s="92"/>
      <c r="C63" s="92"/>
      <c r="D63" s="92"/>
      <c r="E63" s="92"/>
      <c r="F63" s="92"/>
      <c r="G63" s="92"/>
      <c r="H63" s="92"/>
      <c r="I63" s="92"/>
      <c r="J63"/>
      <c r="K63"/>
      <c r="L63"/>
      <c r="M63" s="92"/>
      <c r="N63" s="92"/>
      <c r="O63" s="92"/>
      <c r="P63" s="92"/>
    </row>
    <row r="64" spans="1:18" hidden="1">
      <c r="A64" s="92"/>
      <c r="B64" s="92"/>
      <c r="C64" s="92"/>
      <c r="D64" s="92"/>
      <c r="E64" s="92"/>
      <c r="F64" s="92"/>
      <c r="G64" s="92"/>
      <c r="H64" s="92"/>
      <c r="I64" s="92"/>
      <c r="J64"/>
      <c r="K64"/>
      <c r="L64"/>
      <c r="M64"/>
      <c r="N64"/>
      <c r="O64"/>
      <c r="P64"/>
    </row>
    <row r="65" spans="1:18" hidden="1">
      <c r="A65" s="92"/>
      <c r="B65" s="92"/>
      <c r="C65" s="92"/>
      <c r="D65" s="92"/>
      <c r="E65" s="92"/>
      <c r="F65" s="92"/>
      <c r="G65" s="92"/>
      <c r="H65" s="92"/>
      <c r="I65" s="92"/>
      <c r="J65"/>
      <c r="K65"/>
      <c r="L65"/>
      <c r="M65"/>
      <c r="N65"/>
      <c r="O65"/>
      <c r="P65"/>
    </row>
    <row r="66" spans="1:18" hidden="1">
      <c r="A66" s="92"/>
      <c r="B66" s="92"/>
      <c r="C66" s="92"/>
      <c r="D66" s="92"/>
      <c r="E66" s="92"/>
      <c r="F66" s="92"/>
      <c r="G66" s="92"/>
      <c r="H66" s="92"/>
      <c r="I66" s="92"/>
      <c r="J66"/>
      <c r="K66"/>
      <c r="L66"/>
      <c r="M66"/>
      <c r="N66"/>
      <c r="O66"/>
      <c r="P66"/>
    </row>
    <row r="67" spans="1:18" hidden="1">
      <c r="A67" s="92"/>
      <c r="B67" s="92"/>
      <c r="C67" s="92"/>
      <c r="D67" s="92"/>
      <c r="E67" s="92"/>
      <c r="F67" s="92"/>
      <c r="G67" s="92"/>
      <c r="H67" s="92"/>
      <c r="I67" s="92"/>
      <c r="J67"/>
      <c r="K67"/>
      <c r="L67"/>
      <c r="M67"/>
      <c r="N67"/>
      <c r="O67"/>
      <c r="P67"/>
    </row>
    <row r="68" spans="1:18" hidden="1">
      <c r="A68" s="92"/>
      <c r="B68" s="92"/>
      <c r="C68" s="92"/>
      <c r="D68" s="92"/>
      <c r="E68" s="92"/>
      <c r="F68" s="92"/>
      <c r="G68" s="92"/>
      <c r="H68" s="92"/>
      <c r="I68" s="92"/>
      <c r="J68"/>
      <c r="K68"/>
      <c r="L68"/>
      <c r="M68"/>
      <c r="N68"/>
      <c r="O68"/>
      <c r="P68"/>
    </row>
    <row r="69" spans="1:18" hidden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spans="1:18" ht="22" customHeight="1">
      <c r="A70" s="4"/>
      <c r="B70" s="310" t="s">
        <v>205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6" customHeight="1">
      <c r="A71" s="92"/>
      <c r="B71" s="341" t="s">
        <v>206</v>
      </c>
      <c r="C71" s="342"/>
      <c r="D71" s="342"/>
      <c r="E71" s="342"/>
      <c r="F71" s="341" t="s">
        <v>207</v>
      </c>
      <c r="G71" s="342"/>
      <c r="H71" s="342"/>
      <c r="I71" s="342"/>
      <c r="J71" s="341" t="s">
        <v>208</v>
      </c>
      <c r="K71" s="342"/>
      <c r="L71" s="342"/>
      <c r="M71" s="342"/>
      <c r="N71" s="342"/>
      <c r="O71" s="342"/>
      <c r="P71" s="342"/>
    </row>
    <row r="72" spans="1:18" ht="16" customHeight="1">
      <c r="A72" s="92"/>
      <c r="B72" s="343" t="s">
        <v>209</v>
      </c>
      <c r="C72" s="342"/>
      <c r="D72" s="342"/>
      <c r="E72" s="342"/>
      <c r="F72" s="343" t="s">
        <v>210</v>
      </c>
      <c r="G72" s="342"/>
      <c r="H72" s="342"/>
      <c r="I72" s="342"/>
      <c r="J72" s="343" t="s">
        <v>211</v>
      </c>
      <c r="K72" s="342"/>
      <c r="L72" s="342"/>
      <c r="M72" s="342"/>
      <c r="N72" s="342"/>
      <c r="O72" s="342"/>
      <c r="P72" s="342"/>
    </row>
    <row r="73" spans="1:18" ht="6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</row>
    <row r="74" spans="1:18" ht="18" customHeight="1">
      <c r="A74" s="311"/>
      <c r="B74" s="312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</row>
    <row r="75" spans="1:18" hidden="1"/>
    <row r="76" spans="1:18" hidden="1"/>
    <row r="77" spans="1:18" hidden="1"/>
    <row r="78" spans="1:18" hidden="1"/>
    <row r="79" spans="1:18" hidden="1"/>
    <row r="80" spans="1:18" s="367" customFormat="1" outlineLevel="1">
      <c r="B80" s="368"/>
      <c r="C80" s="368" t="s">
        <v>96</v>
      </c>
      <c r="D80" s="368" t="s">
        <v>97</v>
      </c>
      <c r="E80" s="368" t="s">
        <v>98</v>
      </c>
      <c r="F80" s="368" t="s">
        <v>99</v>
      </c>
      <c r="G80" s="368" t="s">
        <v>100</v>
      </c>
      <c r="H80" s="368" t="s">
        <v>101</v>
      </c>
      <c r="I80" s="368"/>
      <c r="J80" s="368"/>
      <c r="K80" s="368" t="s">
        <v>96</v>
      </c>
      <c r="L80" s="368" t="s">
        <v>97</v>
      </c>
      <c r="M80" s="368" t="s">
        <v>98</v>
      </c>
      <c r="N80" s="368" t="s">
        <v>99</v>
      </c>
      <c r="O80" s="368" t="s">
        <v>100</v>
      </c>
      <c r="P80" s="368" t="s">
        <v>101</v>
      </c>
    </row>
    <row r="81" spans="2:16" s="367" customFormat="1" outlineLevel="1">
      <c r="B81" s="368" t="s">
        <v>102</v>
      </c>
      <c r="C81" s="368">
        <v>2786</v>
      </c>
      <c r="D81" s="368">
        <v>3193</v>
      </c>
      <c r="E81" s="368">
        <v>3329</v>
      </c>
      <c r="F81" s="368">
        <v>3393</v>
      </c>
      <c r="G81" s="368">
        <v>3614</v>
      </c>
      <c r="H81" s="368">
        <v>3831</v>
      </c>
      <c r="I81" s="368"/>
      <c r="J81" s="368" t="s">
        <v>103</v>
      </c>
      <c r="K81" s="368">
        <v>0.23100000000000001</v>
      </c>
      <c r="L81" s="368">
        <v>0.219</v>
      </c>
      <c r="M81" s="368">
        <v>0.217</v>
      </c>
      <c r="N81" s="368">
        <v>0.22</v>
      </c>
      <c r="O81" s="368">
        <v>0.219</v>
      </c>
      <c r="P81" s="368">
        <v>0.219</v>
      </c>
    </row>
    <row r="82" spans="2:16" s="367" customFormat="1" outlineLevel="1">
      <c r="B82" s="368" t="s">
        <v>107</v>
      </c>
      <c r="C82" s="368">
        <v>644</v>
      </c>
      <c r="D82" s="368">
        <v>700</v>
      </c>
      <c r="E82" s="368">
        <v>723</v>
      </c>
      <c r="F82" s="368">
        <v>748</v>
      </c>
      <c r="G82" s="368">
        <v>791</v>
      </c>
      <c r="H82" s="368">
        <v>838</v>
      </c>
      <c r="I82" s="368"/>
      <c r="J82" s="368" t="s">
        <v>108</v>
      </c>
      <c r="K82" s="368">
        <v>0.16</v>
      </c>
      <c r="L82" s="368">
        <v>0.152</v>
      </c>
      <c r="M82" s="368">
        <v>0.154</v>
      </c>
      <c r="N82" s="368">
        <v>0.16300000000000001</v>
      </c>
      <c r="O82" s="368">
        <v>0.161</v>
      </c>
      <c r="P82" s="368">
        <v>0.17</v>
      </c>
    </row>
    <row r="83" spans="2:16" s="367" customFormat="1" outlineLevel="1">
      <c r="B83" s="368" t="s">
        <v>111</v>
      </c>
      <c r="C83" s="368">
        <v>288</v>
      </c>
      <c r="D83" s="368">
        <v>289</v>
      </c>
      <c r="E83" s="368">
        <v>297</v>
      </c>
      <c r="F83" s="368">
        <v>345</v>
      </c>
      <c r="G83" s="368">
        <v>361</v>
      </c>
      <c r="H83" s="368">
        <v>410</v>
      </c>
      <c r="I83" s="368"/>
      <c r="J83" s="368" t="s">
        <v>110</v>
      </c>
      <c r="K83" s="368">
        <v>0.10299999999999999</v>
      </c>
      <c r="L83" s="368">
        <v>0.09</v>
      </c>
      <c r="M83" s="368">
        <v>8.8999999999999996E-2</v>
      </c>
      <c r="N83" s="368">
        <v>0.10199999999999999</v>
      </c>
      <c r="O83" s="368">
        <v>0.1</v>
      </c>
      <c r="P83" s="368">
        <v>0.107</v>
      </c>
    </row>
    <row r="84" spans="2:16" s="367" customFormat="1" outlineLevel="1"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8"/>
      <c r="P84" s="368"/>
    </row>
    <row r="85" spans="2:16" s="367" customFormat="1" outlineLevel="1"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</row>
    <row r="86" spans="2:16" s="367" customFormat="1" outlineLevel="1">
      <c r="B86" s="368"/>
      <c r="C86" s="368" t="s">
        <v>212</v>
      </c>
      <c r="D86" s="368" t="s">
        <v>213</v>
      </c>
      <c r="E86" s="368"/>
      <c r="F86" s="368"/>
      <c r="G86" s="368"/>
      <c r="H86" s="368"/>
      <c r="I86" s="368"/>
      <c r="J86" s="368"/>
      <c r="K86" s="368"/>
      <c r="L86" s="368"/>
      <c r="M86" s="368"/>
      <c r="N86" s="368"/>
      <c r="O86" s="368"/>
      <c r="P86" s="368"/>
    </row>
    <row r="87" spans="2:16" s="367" customFormat="1" outlineLevel="1">
      <c r="B87" s="368" t="s">
        <v>40</v>
      </c>
      <c r="C87" s="368">
        <v>7334</v>
      </c>
      <c r="D87" s="368">
        <v>5639</v>
      </c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</row>
    <row r="88" spans="2:16" s="367" customFormat="1" outlineLevel="1">
      <c r="B88" s="368" t="s">
        <v>214</v>
      </c>
      <c r="C88" s="368">
        <v>8774</v>
      </c>
      <c r="D88" s="368">
        <v>3096</v>
      </c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8"/>
      <c r="P88" s="368"/>
    </row>
    <row r="89" spans="2:16" s="367" customFormat="1" outlineLevel="1">
      <c r="B89" s="368" t="s">
        <v>215</v>
      </c>
      <c r="C89" s="368">
        <v>7095</v>
      </c>
      <c r="D89" s="368">
        <v>2504</v>
      </c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</row>
    <row r="90" spans="2:16" s="367" customFormat="1" outlineLevel="1"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8"/>
      <c r="P90" s="368"/>
    </row>
    <row r="91" spans="2:16" s="367" customFormat="1" outlineLevel="1">
      <c r="B91" s="368"/>
      <c r="C91" s="368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</row>
    <row r="92" spans="2:16" s="367" customFormat="1" outlineLevel="1">
      <c r="B92" s="368"/>
      <c r="C92" s="368" t="s">
        <v>212</v>
      </c>
      <c r="D92" s="368" t="s">
        <v>213</v>
      </c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P92" s="368"/>
    </row>
    <row r="93" spans="2:16" s="367" customFormat="1" outlineLevel="1">
      <c r="B93" s="368" t="s">
        <v>40</v>
      </c>
      <c r="C93" s="368">
        <v>44.04</v>
      </c>
      <c r="D93" s="368">
        <v>36.729999999999997</v>
      </c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</row>
    <row r="94" spans="2:16" s="367" customFormat="1" outlineLevel="1">
      <c r="B94" s="368" t="s">
        <v>214</v>
      </c>
      <c r="C94" s="368">
        <v>53.44</v>
      </c>
      <c r="D94" s="368">
        <v>20.190000000000001</v>
      </c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8"/>
      <c r="P94" s="368"/>
    </row>
    <row r="95" spans="2:16" s="367" customFormat="1" outlineLevel="1">
      <c r="B95" s="368" t="s">
        <v>215</v>
      </c>
      <c r="C95" s="368">
        <v>42.49</v>
      </c>
      <c r="D95" s="368">
        <v>16.32</v>
      </c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</row>
    <row r="96" spans="2:16" s="367" customFormat="1" outlineLevel="1"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</row>
    <row r="97" spans="2:16" s="367" customFormat="1" outlineLevel="1">
      <c r="B97" s="368"/>
      <c r="C97" s="368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</row>
    <row r="98" spans="2:16" s="367" customFormat="1" outlineLevel="1">
      <c r="B98" s="368"/>
      <c r="C98" s="368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</row>
    <row r="99" spans="2:16" hidden="1">
      <c r="B99" s="368"/>
      <c r="C99" s="368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</row>
    <row r="100" spans="2:16" hidden="1">
      <c r="B100" s="368"/>
      <c r="C100" s="368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</row>
    <row r="101" spans="2:16">
      <c r="B101" s="368"/>
      <c r="C101" s="368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96D3-65A8-E34F-9A14-7C604C280FCC}">
  <sheetPr>
    <tabColor rgb="FF548235"/>
  </sheetPr>
  <dimension ref="B4:I109"/>
  <sheetViews>
    <sheetView zoomScale="139" workbookViewId="0">
      <selection activeCell="K16" sqref="K16"/>
    </sheetView>
  </sheetViews>
  <sheetFormatPr baseColWidth="10" defaultColWidth="10.83203125" defaultRowHeight="16"/>
  <cols>
    <col min="1" max="1" width="4.33203125" style="1" customWidth="1"/>
    <col min="2" max="3" width="10.83203125" style="1"/>
    <col min="4" max="4" width="13.83203125" style="1" customWidth="1"/>
    <col min="5" max="8" width="11.83203125" style="1" customWidth="1"/>
    <col min="9" max="16384" width="10.83203125" style="1"/>
  </cols>
  <sheetData>
    <row r="4" spans="2:9" ht="19">
      <c r="B4" s="8" t="s">
        <v>216</v>
      </c>
      <c r="C4" s="8"/>
      <c r="D4" s="8"/>
      <c r="E4" s="8"/>
      <c r="F4" s="8"/>
      <c r="G4" s="8"/>
      <c r="H4" s="8"/>
    </row>
    <row r="7" spans="2:9">
      <c r="E7" s="23" t="s">
        <v>96</v>
      </c>
      <c r="F7" s="10" t="s">
        <v>97</v>
      </c>
      <c r="G7" s="10" t="s">
        <v>98</v>
      </c>
      <c r="H7" s="10" t="s">
        <v>99</v>
      </c>
      <c r="I7" s="23"/>
    </row>
    <row r="10" spans="2:9">
      <c r="B10" s="1" t="s">
        <v>102</v>
      </c>
      <c r="E10" s="31">
        <v>2786.3</v>
      </c>
      <c r="F10" s="31">
        <v>3192.9</v>
      </c>
      <c r="G10" s="31">
        <v>3328.7</v>
      </c>
      <c r="H10" s="31">
        <v>3393.2</v>
      </c>
    </row>
    <row r="11" spans="2:9">
      <c r="B11" s="1" t="s">
        <v>217</v>
      </c>
      <c r="E11" s="31">
        <v>-2142.3000000000002</v>
      </c>
      <c r="F11" s="31">
        <v>-2492.6999999999998</v>
      </c>
      <c r="G11" s="31">
        <v>-2605.5</v>
      </c>
      <c r="H11" s="31">
        <v>-2645.3</v>
      </c>
    </row>
    <row r="12" spans="2:9">
      <c r="B12" s="9" t="s">
        <v>218</v>
      </c>
      <c r="E12" s="27">
        <f>SUM(E10:E11)</f>
        <v>644</v>
      </c>
      <c r="F12" s="27">
        <f t="shared" ref="F12:H12" si="0">SUM(F10:F11)</f>
        <v>700.20000000000027</v>
      </c>
      <c r="G12" s="27">
        <f t="shared" si="0"/>
        <v>723.19999999999982</v>
      </c>
      <c r="H12" s="27">
        <f t="shared" si="0"/>
        <v>747.89999999999964</v>
      </c>
    </row>
    <row r="13" spans="2:9">
      <c r="E13" s="24"/>
      <c r="F13" s="25"/>
      <c r="G13" s="24"/>
      <c r="H13" s="24"/>
    </row>
    <row r="14" spans="2:9">
      <c r="B14" s="1" t="s">
        <v>219</v>
      </c>
      <c r="E14" s="32">
        <v>-198.6</v>
      </c>
      <c r="F14" s="32">
        <v>-215.3</v>
      </c>
      <c r="G14" s="32">
        <v>-209.5</v>
      </c>
      <c r="H14" s="32">
        <v>-194</v>
      </c>
    </row>
    <row r="15" spans="2:9">
      <c r="B15" s="11" t="s">
        <v>109</v>
      </c>
      <c r="E15" s="27">
        <f>SUM(E12:E14)</f>
        <v>445.4</v>
      </c>
      <c r="F15" s="27">
        <f t="shared" ref="F15:H15" si="1">SUM(F12:F14)</f>
        <v>484.90000000000026</v>
      </c>
      <c r="G15" s="27">
        <f t="shared" si="1"/>
        <v>513.69999999999982</v>
      </c>
      <c r="H15" s="27">
        <f t="shared" si="1"/>
        <v>553.89999999999964</v>
      </c>
    </row>
    <row r="16" spans="2:9">
      <c r="E16" s="24"/>
      <c r="F16" s="24"/>
      <c r="G16" s="24"/>
      <c r="H16" s="24"/>
    </row>
    <row r="17" spans="2:8">
      <c r="B17" s="1" t="s">
        <v>220</v>
      </c>
      <c r="E17" s="33">
        <v>-20</v>
      </c>
      <c r="F17" s="33">
        <v>-33.6</v>
      </c>
      <c r="G17" s="33">
        <v>-50.7</v>
      </c>
      <c r="H17" s="33">
        <v>-25.5</v>
      </c>
    </row>
    <row r="18" spans="2:8">
      <c r="B18" s="1" t="s">
        <v>221</v>
      </c>
      <c r="E18" s="33">
        <v>-14.9</v>
      </c>
      <c r="F18" s="33">
        <v>-42.8</v>
      </c>
      <c r="G18" s="33">
        <v>-46.2</v>
      </c>
      <c r="H18" s="33">
        <v>-43.4</v>
      </c>
    </row>
    <row r="19" spans="2:8">
      <c r="B19" s="1" t="s">
        <v>222</v>
      </c>
      <c r="E19" s="33">
        <v>2.9</v>
      </c>
      <c r="F19" s="33">
        <v>11.3</v>
      </c>
      <c r="G19" s="33">
        <v>5.5</v>
      </c>
      <c r="H19" s="33">
        <v>5</v>
      </c>
    </row>
    <row r="20" spans="2:8">
      <c r="B20" s="11" t="s">
        <v>223</v>
      </c>
      <c r="E20" s="27">
        <f>SUM(E15:E19)</f>
        <v>413.4</v>
      </c>
      <c r="F20" s="27">
        <f t="shared" ref="F20:H20" si="2">SUM(F15:F19)</f>
        <v>419.80000000000024</v>
      </c>
      <c r="G20" s="27">
        <f t="shared" si="2"/>
        <v>422.29999999999984</v>
      </c>
      <c r="H20" s="27">
        <f t="shared" si="2"/>
        <v>489.99999999999966</v>
      </c>
    </row>
    <row r="21" spans="2:8">
      <c r="E21" s="24"/>
      <c r="F21" s="24"/>
      <c r="G21" s="24"/>
      <c r="H21" s="24"/>
    </row>
    <row r="22" spans="2:8">
      <c r="B22" s="1" t="s">
        <v>224</v>
      </c>
      <c r="E22" s="33">
        <v>-106.7</v>
      </c>
      <c r="F22" s="33">
        <v>-113</v>
      </c>
      <c r="G22" s="33">
        <v>-104.2</v>
      </c>
      <c r="H22" s="33">
        <v>-122.8</v>
      </c>
    </row>
    <row r="23" spans="2:8">
      <c r="B23" s="51" t="s">
        <v>225</v>
      </c>
      <c r="E23" s="53">
        <f>-E22/E20</f>
        <v>0.25810353168843736</v>
      </c>
      <c r="F23" s="53">
        <f t="shared" ref="F23:H23" si="3">-F22/F20</f>
        <v>0.26917579799904701</v>
      </c>
      <c r="G23" s="53">
        <f t="shared" si="3"/>
        <v>0.24674402083826674</v>
      </c>
      <c r="H23" s="53">
        <f t="shared" si="3"/>
        <v>0.25061224489795936</v>
      </c>
    </row>
    <row r="24" spans="2:8">
      <c r="B24" s="9" t="s">
        <v>226</v>
      </c>
      <c r="E24" s="27">
        <f>SUM(E20:E22)</f>
        <v>306.7</v>
      </c>
      <c r="F24" s="27">
        <f t="shared" ref="F24:H24" si="4">SUM(F20:F22)</f>
        <v>306.80000000000024</v>
      </c>
      <c r="G24" s="27">
        <f t="shared" si="4"/>
        <v>318.09999999999985</v>
      </c>
      <c r="H24" s="27">
        <f t="shared" si="4"/>
        <v>367.19999999999965</v>
      </c>
    </row>
    <row r="25" spans="2:8">
      <c r="B25" s="11"/>
      <c r="E25" s="24"/>
      <c r="F25" s="24"/>
      <c r="G25" s="24"/>
      <c r="H25" s="24"/>
    </row>
    <row r="26" spans="2:8">
      <c r="B26" s="37" t="s">
        <v>227</v>
      </c>
      <c r="E26" s="33">
        <v>-18.600000000000001</v>
      </c>
      <c r="F26" s="33">
        <v>-18</v>
      </c>
      <c r="G26" s="33">
        <v>-20.7</v>
      </c>
      <c r="H26" s="33">
        <v>-21.8</v>
      </c>
    </row>
    <row r="27" spans="2:8">
      <c r="B27" s="9" t="s">
        <v>111</v>
      </c>
      <c r="E27" s="27">
        <f>SUM(E24:E26)</f>
        <v>288.09999999999997</v>
      </c>
      <c r="F27" s="27">
        <f t="shared" ref="F27:H27" si="5">SUM(F24:F26)</f>
        <v>288.80000000000024</v>
      </c>
      <c r="G27" s="27">
        <f t="shared" si="5"/>
        <v>297.39999999999986</v>
      </c>
      <c r="H27" s="27">
        <f t="shared" si="5"/>
        <v>345.39999999999964</v>
      </c>
    </row>
    <row r="29" spans="2:8" ht="19">
      <c r="B29" s="8" t="s">
        <v>228</v>
      </c>
      <c r="C29" s="8"/>
      <c r="D29" s="8"/>
      <c r="E29" s="8"/>
      <c r="F29" s="8"/>
      <c r="G29" s="8"/>
      <c r="H29" s="8"/>
    </row>
    <row r="33" spans="2:8">
      <c r="E33" s="23" t="s">
        <v>96</v>
      </c>
      <c r="F33" s="10" t="s">
        <v>97</v>
      </c>
      <c r="G33" s="10" t="s">
        <v>98</v>
      </c>
      <c r="H33" s="10" t="s">
        <v>99</v>
      </c>
    </row>
    <row r="36" spans="2:8">
      <c r="B36" s="12" t="s">
        <v>229</v>
      </c>
    </row>
    <row r="37" spans="2:8">
      <c r="B37" s="1" t="s">
        <v>230</v>
      </c>
      <c r="E37" s="31">
        <v>265.89999999999998</v>
      </c>
      <c r="F37" s="31">
        <v>321.60000000000002</v>
      </c>
      <c r="G37" s="31">
        <v>299.3</v>
      </c>
      <c r="H37" s="31">
        <v>343</v>
      </c>
    </row>
    <row r="38" spans="2:8">
      <c r="B38" s="1" t="s">
        <v>231</v>
      </c>
      <c r="E38" s="31">
        <v>559</v>
      </c>
      <c r="F38" s="31">
        <v>619.6</v>
      </c>
      <c r="G38" s="31">
        <v>619.9</v>
      </c>
      <c r="H38" s="31">
        <v>634.20000000000005</v>
      </c>
    </row>
    <row r="39" spans="2:8">
      <c r="B39" s="1" t="s">
        <v>232</v>
      </c>
      <c r="E39" s="31">
        <v>78.5</v>
      </c>
      <c r="F39" s="31">
        <v>91.3</v>
      </c>
      <c r="G39" s="31">
        <v>82</v>
      </c>
      <c r="H39" s="31">
        <v>102.7</v>
      </c>
    </row>
    <row r="40" spans="2:8">
      <c r="B40" s="1" t="s">
        <v>233</v>
      </c>
      <c r="E40" s="31">
        <v>14.9</v>
      </c>
      <c r="F40" s="31">
        <v>16.899999999999999</v>
      </c>
      <c r="G40" s="31">
        <v>17.2</v>
      </c>
      <c r="H40" s="31">
        <v>19</v>
      </c>
    </row>
    <row r="41" spans="2:8">
      <c r="B41" s="1" t="s">
        <v>234</v>
      </c>
      <c r="E41" s="31">
        <v>45</v>
      </c>
      <c r="F41" s="31">
        <v>47.4</v>
      </c>
      <c r="G41" s="31">
        <v>53.2</v>
      </c>
      <c r="H41" s="31">
        <v>60.4</v>
      </c>
    </row>
    <row r="42" spans="2:8">
      <c r="B42" s="11" t="s">
        <v>235</v>
      </c>
      <c r="E42" s="27">
        <v>963.3</v>
      </c>
      <c r="F42" s="27">
        <v>1096.8</v>
      </c>
      <c r="G42" s="27">
        <v>1071.5999999999999</v>
      </c>
      <c r="H42" s="27">
        <v>1159.3</v>
      </c>
    </row>
    <row r="43" spans="2:8">
      <c r="E43" s="26"/>
      <c r="F43" s="26"/>
      <c r="G43" s="26"/>
      <c r="H43" s="26"/>
    </row>
    <row r="44" spans="2:8">
      <c r="B44" s="1" t="s">
        <v>236</v>
      </c>
      <c r="E44" s="31">
        <v>641.79999999999995</v>
      </c>
      <c r="F44" s="31">
        <v>694.4</v>
      </c>
      <c r="G44" s="31">
        <v>669.6</v>
      </c>
      <c r="H44" s="31">
        <v>692.8</v>
      </c>
    </row>
    <row r="45" spans="2:8">
      <c r="B45" s="1" t="s">
        <v>237</v>
      </c>
      <c r="E45" s="31">
        <v>1241.4000000000001</v>
      </c>
      <c r="F45" s="31">
        <v>1418.4</v>
      </c>
      <c r="G45" s="31">
        <v>1385.8</v>
      </c>
      <c r="H45" s="31">
        <v>1365.9</v>
      </c>
    </row>
    <row r="46" spans="2:8">
      <c r="B46" s="1" t="s">
        <v>238</v>
      </c>
      <c r="E46" s="31">
        <v>358.5</v>
      </c>
      <c r="F46" s="31">
        <v>362.9</v>
      </c>
      <c r="G46" s="31">
        <v>330.9</v>
      </c>
      <c r="H46" s="31">
        <v>304.2</v>
      </c>
    </row>
    <row r="47" spans="2:8">
      <c r="B47" s="1" t="s">
        <v>239</v>
      </c>
      <c r="E47" s="31">
        <v>0</v>
      </c>
      <c r="F47" s="31">
        <v>21.5</v>
      </c>
      <c r="G47" s="31">
        <v>21.8</v>
      </c>
      <c r="H47" s="31">
        <v>15.4</v>
      </c>
    </row>
    <row r="48" spans="2:8">
      <c r="B48" s="1" t="s">
        <v>240</v>
      </c>
      <c r="E48" s="31">
        <v>39.299999999999997</v>
      </c>
      <c r="F48" s="31">
        <v>45</v>
      </c>
      <c r="G48" s="31">
        <v>36.4</v>
      </c>
      <c r="H48" s="31">
        <v>34.5</v>
      </c>
    </row>
    <row r="49" spans="2:8">
      <c r="B49" s="1" t="s">
        <v>241</v>
      </c>
      <c r="E49" s="31">
        <v>5.4</v>
      </c>
      <c r="F49" s="31">
        <v>21.3</v>
      </c>
      <c r="G49" s="31">
        <v>21.8</v>
      </c>
      <c r="H49" s="31">
        <v>27.2</v>
      </c>
    </row>
    <row r="50" spans="2:8">
      <c r="B50" s="11" t="s">
        <v>242</v>
      </c>
      <c r="E50" s="31">
        <v>2286.4</v>
      </c>
      <c r="F50" s="31">
        <v>2563.5</v>
      </c>
      <c r="G50" s="31">
        <v>2466.3000000000002</v>
      </c>
      <c r="H50" s="31">
        <v>2440</v>
      </c>
    </row>
    <row r="51" spans="2:8">
      <c r="B51" s="11" t="s">
        <v>243</v>
      </c>
      <c r="E51" s="30">
        <v>3249.7</v>
      </c>
      <c r="F51" s="30">
        <v>3660.3</v>
      </c>
      <c r="G51" s="30">
        <v>3537.9</v>
      </c>
      <c r="H51" s="30">
        <v>3599.3</v>
      </c>
    </row>
    <row r="52" spans="2:8">
      <c r="E52" s="26"/>
      <c r="F52" s="26"/>
      <c r="G52" s="26"/>
      <c r="H52" s="26"/>
    </row>
    <row r="53" spans="2:8">
      <c r="B53" s="12" t="s">
        <v>244</v>
      </c>
      <c r="E53" s="26"/>
      <c r="F53" s="26"/>
      <c r="G53" s="26"/>
      <c r="H53" s="26"/>
    </row>
    <row r="54" spans="2:8">
      <c r="B54" s="1" t="s">
        <v>245</v>
      </c>
      <c r="E54" s="31">
        <v>153.4</v>
      </c>
      <c r="F54" s="31">
        <v>172.1</v>
      </c>
      <c r="G54" s="31">
        <v>204.8</v>
      </c>
      <c r="H54" s="31">
        <v>223</v>
      </c>
    </row>
    <row r="55" spans="2:8">
      <c r="B55" s="1" t="s">
        <v>246</v>
      </c>
      <c r="E55" s="31">
        <v>525.5</v>
      </c>
      <c r="F55" s="31">
        <v>333</v>
      </c>
      <c r="G55" s="31">
        <v>167.4</v>
      </c>
      <c r="H55" s="31">
        <v>171.4</v>
      </c>
    </row>
    <row r="56" spans="2:8">
      <c r="B56" s="1" t="s">
        <v>247</v>
      </c>
      <c r="E56" s="31">
        <v>59.1</v>
      </c>
      <c r="F56" s="31">
        <v>71</v>
      </c>
      <c r="G56" s="31">
        <v>60.5</v>
      </c>
      <c r="H56" s="31">
        <v>67.2</v>
      </c>
    </row>
    <row r="57" spans="2:8">
      <c r="B57" s="1" t="s">
        <v>248</v>
      </c>
      <c r="E57" s="31">
        <v>527.6</v>
      </c>
      <c r="F57" s="31">
        <v>566.9</v>
      </c>
      <c r="G57" s="31">
        <v>548.79999999999995</v>
      </c>
      <c r="H57" s="31">
        <v>588.5</v>
      </c>
    </row>
    <row r="58" spans="2:8">
      <c r="B58" s="11" t="s">
        <v>249</v>
      </c>
      <c r="E58" s="30">
        <v>1265.5999999999999</v>
      </c>
      <c r="F58" s="30">
        <v>1143</v>
      </c>
      <c r="G58" s="30">
        <v>981.5</v>
      </c>
      <c r="H58" s="30">
        <v>1050.0999999999999</v>
      </c>
    </row>
    <row r="59" spans="2:8">
      <c r="E59" s="29"/>
      <c r="F59" s="29"/>
      <c r="G59" s="29"/>
      <c r="H59" s="29"/>
    </row>
    <row r="60" spans="2:8">
      <c r="B60" s="1" t="s">
        <v>250</v>
      </c>
      <c r="E60" s="31">
        <v>537.20000000000005</v>
      </c>
      <c r="F60" s="31">
        <v>797.1</v>
      </c>
      <c r="G60" s="31">
        <v>812.4</v>
      </c>
      <c r="H60" s="31">
        <v>741.5</v>
      </c>
    </row>
    <row r="61" spans="2:8">
      <c r="B61" s="1" t="s">
        <v>251</v>
      </c>
      <c r="E61" s="31">
        <v>67.400000000000006</v>
      </c>
      <c r="F61" s="31">
        <v>99.2</v>
      </c>
      <c r="G61" s="31">
        <v>75.3</v>
      </c>
      <c r="H61" s="31">
        <v>69.900000000000006</v>
      </c>
    </row>
    <row r="62" spans="2:8">
      <c r="B62" s="1" t="s">
        <v>252</v>
      </c>
      <c r="E62" s="31">
        <v>265.2</v>
      </c>
      <c r="F62" s="31">
        <v>303</v>
      </c>
      <c r="G62" s="31">
        <v>308.60000000000002</v>
      </c>
      <c r="H62" s="31">
        <v>292.89999999999998</v>
      </c>
    </row>
    <row r="63" spans="2:8">
      <c r="B63" s="11" t="s">
        <v>253</v>
      </c>
      <c r="E63" s="27">
        <v>869.8</v>
      </c>
      <c r="F63" s="27">
        <v>1199.3</v>
      </c>
      <c r="G63" s="27">
        <v>1196.3</v>
      </c>
      <c r="H63" s="27">
        <v>1104.3</v>
      </c>
    </row>
    <row r="64" spans="2:8">
      <c r="B64" s="11" t="s">
        <v>254</v>
      </c>
      <c r="E64" s="30">
        <v>2135.4</v>
      </c>
      <c r="F64" s="30">
        <v>2342.3000000000002</v>
      </c>
      <c r="G64" s="30">
        <v>2177.8000000000002</v>
      </c>
      <c r="H64" s="30">
        <v>2154.4</v>
      </c>
    </row>
    <row r="65" spans="2:9">
      <c r="E65" s="29"/>
      <c r="F65" s="29"/>
      <c r="G65" s="29"/>
      <c r="H65" s="29"/>
    </row>
    <row r="66" spans="2:9">
      <c r="B66" s="12" t="s">
        <v>255</v>
      </c>
      <c r="E66" s="29"/>
      <c r="F66" s="29"/>
      <c r="G66" s="29"/>
      <c r="H66" s="29"/>
    </row>
    <row r="67" spans="2:9">
      <c r="B67" s="1" t="s">
        <v>256</v>
      </c>
      <c r="E67" s="31">
        <v>259.39999999999998</v>
      </c>
      <c r="F67" s="31">
        <v>259.39999999999998</v>
      </c>
      <c r="G67" s="31">
        <v>259.39999999999998</v>
      </c>
      <c r="H67" s="31">
        <v>259.39999999999998</v>
      </c>
    </row>
    <row r="68" spans="2:9">
      <c r="B68" s="1" t="s">
        <v>257</v>
      </c>
      <c r="E68" s="31">
        <v>925.1</v>
      </c>
      <c r="F68" s="31">
        <v>1065.9000000000001</v>
      </c>
      <c r="G68" s="31">
        <v>1191.5</v>
      </c>
      <c r="H68" s="31">
        <v>1333.7</v>
      </c>
    </row>
    <row r="69" spans="2:9">
      <c r="B69" s="1" t="s">
        <v>258</v>
      </c>
      <c r="E69" s="29">
        <v>0</v>
      </c>
      <c r="F69" s="29">
        <v>0</v>
      </c>
      <c r="G69" s="29">
        <v>0</v>
      </c>
      <c r="H69" s="29">
        <v>0</v>
      </c>
    </row>
    <row r="70" spans="2:9">
      <c r="B70" s="1" t="s">
        <v>259</v>
      </c>
      <c r="E70" s="31">
        <v>-108.9</v>
      </c>
      <c r="F70" s="31">
        <v>-47.7</v>
      </c>
      <c r="G70" s="31">
        <v>-133.80000000000001</v>
      </c>
      <c r="H70" s="31">
        <v>-197.5</v>
      </c>
    </row>
    <row r="71" spans="2:9">
      <c r="B71" s="11" t="s">
        <v>260</v>
      </c>
      <c r="E71" s="30">
        <v>1114.3</v>
      </c>
      <c r="F71" s="30">
        <v>1318</v>
      </c>
      <c r="G71" s="30">
        <v>1360.1</v>
      </c>
      <c r="H71" s="30">
        <v>1444.9</v>
      </c>
    </row>
    <row r="72" spans="2:9">
      <c r="E72" s="29"/>
      <c r="F72" s="29"/>
      <c r="G72" s="29"/>
      <c r="H72" s="29"/>
    </row>
    <row r="73" spans="2:9">
      <c r="B73" s="11" t="s">
        <v>261</v>
      </c>
      <c r="E73" s="30">
        <v>3249.7</v>
      </c>
      <c r="F73" s="30">
        <v>3660.3</v>
      </c>
      <c r="G73" s="30">
        <v>3537.9</v>
      </c>
      <c r="H73" s="30">
        <v>3599.3</v>
      </c>
    </row>
    <row r="76" spans="2:9" ht="19">
      <c r="B76" s="8" t="s">
        <v>262</v>
      </c>
      <c r="C76" s="8"/>
      <c r="D76" s="8"/>
      <c r="E76" s="28"/>
      <c r="F76" s="28"/>
      <c r="G76" s="28"/>
      <c r="H76" s="28"/>
    </row>
    <row r="80" spans="2:9">
      <c r="E80" s="23" t="s">
        <v>96</v>
      </c>
      <c r="F80" s="23" t="s">
        <v>97</v>
      </c>
      <c r="G80" s="23" t="s">
        <v>98</v>
      </c>
      <c r="H80" s="23" t="s">
        <v>99</v>
      </c>
      <c r="I80" s="23"/>
    </row>
    <row r="83" spans="2:8">
      <c r="B83" s="12" t="s">
        <v>263</v>
      </c>
    </row>
    <row r="84" spans="2:8">
      <c r="B84" s="1" t="s">
        <v>111</v>
      </c>
      <c r="E84" s="33">
        <v>306.7</v>
      </c>
      <c r="F84" s="33">
        <v>306.8</v>
      </c>
      <c r="G84" s="33">
        <v>318.10000000000002</v>
      </c>
      <c r="H84" s="33">
        <v>367.2</v>
      </c>
    </row>
    <row r="85" spans="2:8">
      <c r="B85" s="1" t="s">
        <v>264</v>
      </c>
      <c r="E85" s="33">
        <v>198.6</v>
      </c>
      <c r="F85" s="33">
        <v>215.3</v>
      </c>
      <c r="G85" s="33">
        <v>209.5</v>
      </c>
      <c r="H85" s="33">
        <v>194</v>
      </c>
    </row>
    <row r="86" spans="2:8">
      <c r="B86" s="1" t="s">
        <v>265</v>
      </c>
      <c r="E86" s="36">
        <v>-7.3</v>
      </c>
      <c r="F86" s="33">
        <v>2.2999999999999998</v>
      </c>
      <c r="G86" s="33">
        <v>-11.8</v>
      </c>
      <c r="H86" s="33">
        <v>-5</v>
      </c>
    </row>
    <row r="87" spans="2:8">
      <c r="B87" s="1" t="s">
        <v>266</v>
      </c>
      <c r="E87" s="33">
        <v>25</v>
      </c>
      <c r="F87" s="33">
        <v>33.700000000000003</v>
      </c>
      <c r="G87" s="33">
        <v>13.1</v>
      </c>
      <c r="H87" s="33">
        <v>24.9</v>
      </c>
    </row>
    <row r="88" spans="2:8">
      <c r="B88" s="1" t="s">
        <v>267</v>
      </c>
      <c r="E88" s="33"/>
      <c r="F88" s="33"/>
      <c r="G88" s="33"/>
      <c r="H88" s="33"/>
    </row>
    <row r="89" spans="2:8">
      <c r="B89" s="1" t="s">
        <v>268</v>
      </c>
      <c r="E89" s="31">
        <v>-29.2</v>
      </c>
      <c r="F89" s="31">
        <v>-54.3</v>
      </c>
      <c r="G89" s="31">
        <v>-41.2</v>
      </c>
      <c r="H89" s="31">
        <v>-45.6</v>
      </c>
    </row>
    <row r="90" spans="2:8">
      <c r="B90" s="1" t="s">
        <v>269</v>
      </c>
      <c r="E90" s="33">
        <v>0.6</v>
      </c>
      <c r="F90" s="33">
        <v>-0.8</v>
      </c>
      <c r="G90" s="33">
        <v>-1.2</v>
      </c>
      <c r="H90" s="33">
        <v>-2.2000000000000002</v>
      </c>
    </row>
    <row r="91" spans="2:8">
      <c r="B91" s="1" t="s">
        <v>270</v>
      </c>
      <c r="E91" s="33">
        <v>62</v>
      </c>
      <c r="F91" s="33">
        <v>61.1</v>
      </c>
      <c r="G91" s="33">
        <v>47.7</v>
      </c>
      <c r="H91" s="33">
        <v>69.8</v>
      </c>
    </row>
    <row r="92" spans="2:8">
      <c r="B92" s="1" t="s">
        <v>271</v>
      </c>
      <c r="E92" s="33">
        <v>-4.7</v>
      </c>
      <c r="F92" s="33">
        <v>-2</v>
      </c>
      <c r="G92" s="33">
        <v>4.3</v>
      </c>
      <c r="H92" s="33">
        <v>-3.3</v>
      </c>
    </row>
    <row r="93" spans="2:8">
      <c r="B93" s="11" t="s">
        <v>272</v>
      </c>
      <c r="E93" s="34">
        <v>551.70000000000005</v>
      </c>
      <c r="F93" s="34">
        <v>562.1</v>
      </c>
      <c r="G93" s="34">
        <v>538.5</v>
      </c>
      <c r="H93" s="34">
        <v>599.79999999999995</v>
      </c>
    </row>
    <row r="94" spans="2:8">
      <c r="E94" s="33"/>
      <c r="F94" s="33"/>
      <c r="G94" s="33"/>
      <c r="H94" s="33"/>
    </row>
    <row r="95" spans="2:8">
      <c r="B95" s="12" t="s">
        <v>273</v>
      </c>
      <c r="E95" s="33"/>
      <c r="F95" s="33"/>
      <c r="G95" s="33"/>
      <c r="H95" s="33"/>
    </row>
    <row r="96" spans="2:8">
      <c r="B96" s="1" t="s">
        <v>274</v>
      </c>
      <c r="E96" s="33">
        <v>-97.1</v>
      </c>
      <c r="F96" s="33">
        <v>-116.5</v>
      </c>
      <c r="G96" s="33">
        <v>-116.9</v>
      </c>
      <c r="H96" s="33">
        <v>-135</v>
      </c>
    </row>
    <row r="97" spans="2:8">
      <c r="B97" s="1" t="s">
        <v>275</v>
      </c>
      <c r="E97" s="33">
        <v>-491.8</v>
      </c>
      <c r="F97" s="33">
        <v>-63.2</v>
      </c>
      <c r="G97" s="33">
        <v>-43.9</v>
      </c>
      <c r="H97" s="33">
        <v>-14.9</v>
      </c>
    </row>
    <row r="98" spans="2:8">
      <c r="B98" s="1" t="s">
        <v>276</v>
      </c>
      <c r="E98" s="35" t="s">
        <v>277</v>
      </c>
      <c r="F98" s="35" t="s">
        <v>277</v>
      </c>
      <c r="G98" s="35" t="s">
        <v>277</v>
      </c>
      <c r="H98" s="35" t="s">
        <v>277</v>
      </c>
    </row>
    <row r="99" spans="2:8">
      <c r="B99" s="1" t="s">
        <v>278</v>
      </c>
      <c r="E99" s="33">
        <v>1</v>
      </c>
      <c r="F99" s="33">
        <v>4.2</v>
      </c>
      <c r="G99" s="33">
        <v>11.5</v>
      </c>
      <c r="H99" s="33">
        <v>5</v>
      </c>
    </row>
    <row r="100" spans="2:8">
      <c r="B100" s="11" t="s">
        <v>279</v>
      </c>
      <c r="E100" s="34">
        <v>-587.9</v>
      </c>
      <c r="F100" s="34">
        <v>-175.5</v>
      </c>
      <c r="G100" s="34">
        <v>-149.30000000000001</v>
      </c>
      <c r="H100" s="34">
        <v>-144.9</v>
      </c>
    </row>
    <row r="101" spans="2:8">
      <c r="E101" s="33"/>
      <c r="F101" s="33"/>
      <c r="G101" s="33"/>
      <c r="H101" s="33"/>
    </row>
    <row r="102" spans="2:8">
      <c r="B102" s="12" t="s">
        <v>280</v>
      </c>
      <c r="E102" s="33"/>
      <c r="F102" s="33"/>
      <c r="G102" s="33"/>
      <c r="H102" s="33"/>
    </row>
    <row r="103" spans="2:8">
      <c r="B103" s="1" t="s">
        <v>281</v>
      </c>
      <c r="E103" s="33">
        <v>-170.6</v>
      </c>
      <c r="F103" s="33">
        <v>-170.6</v>
      </c>
      <c r="G103" s="33">
        <v>-176.3</v>
      </c>
      <c r="H103" s="33">
        <v>-206.1</v>
      </c>
    </row>
    <row r="104" spans="2:8">
      <c r="B104" s="1" t="s">
        <v>282</v>
      </c>
      <c r="E104" s="33">
        <v>-11.4</v>
      </c>
      <c r="F104" s="33">
        <v>-2.2999999999999998</v>
      </c>
      <c r="G104" s="33">
        <v>-11.6</v>
      </c>
      <c r="H104" s="33">
        <v>-24.7</v>
      </c>
    </row>
    <row r="105" spans="2:8">
      <c r="B105" s="1" t="s">
        <v>283</v>
      </c>
      <c r="E105" s="33">
        <v>304.8</v>
      </c>
      <c r="F105" s="33">
        <v>-162</v>
      </c>
      <c r="G105" s="33">
        <v>-187.6</v>
      </c>
      <c r="H105" s="33">
        <v>-171.6</v>
      </c>
    </row>
    <row r="106" spans="2:8">
      <c r="B106" s="11" t="s">
        <v>284</v>
      </c>
      <c r="E106" s="34">
        <v>122.8</v>
      </c>
      <c r="F106" s="34">
        <v>-334.9</v>
      </c>
      <c r="G106" s="34">
        <v>-375.5</v>
      </c>
      <c r="H106" s="34">
        <v>-402.4</v>
      </c>
    </row>
    <row r="107" spans="2:8">
      <c r="E107" s="33"/>
      <c r="F107" s="33"/>
      <c r="G107" s="33"/>
      <c r="H107" s="33"/>
    </row>
    <row r="108" spans="2:8">
      <c r="B108" s="1" t="s">
        <v>285</v>
      </c>
      <c r="E108" s="33">
        <v>-6</v>
      </c>
      <c r="F108" s="33">
        <v>5</v>
      </c>
      <c r="G108" s="33">
        <v>-35.799999999999997</v>
      </c>
      <c r="H108" s="33">
        <v>-14.6</v>
      </c>
    </row>
    <row r="109" spans="2:8">
      <c r="B109" s="11" t="s">
        <v>286</v>
      </c>
      <c r="E109" s="34">
        <v>80.599999999999994</v>
      </c>
      <c r="F109" s="34">
        <v>56.7</v>
      </c>
      <c r="G109" s="34">
        <v>-22.1</v>
      </c>
      <c r="H109" s="34">
        <v>37.9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E4C3-5A3A-394F-B157-38856A18C342}">
  <sheetPr>
    <tabColor rgb="FF548235"/>
  </sheetPr>
  <dimension ref="B3:K108"/>
  <sheetViews>
    <sheetView topLeftCell="A61" zoomScale="150" workbookViewId="0">
      <selection activeCell="D89" sqref="D89"/>
    </sheetView>
  </sheetViews>
  <sheetFormatPr baseColWidth="10" defaultColWidth="10.83203125" defaultRowHeight="16"/>
  <cols>
    <col min="1" max="1" width="4.33203125" style="1" customWidth="1"/>
    <col min="2" max="16384" width="10.83203125" style="1"/>
  </cols>
  <sheetData>
    <row r="3" spans="2:11">
      <c r="B3" s="38" t="s">
        <v>287</v>
      </c>
      <c r="C3" s="39"/>
      <c r="D3" s="39"/>
      <c r="E3" s="39"/>
      <c r="F3" s="39"/>
      <c r="G3" s="39"/>
      <c r="H3" s="39"/>
      <c r="I3" s="39"/>
      <c r="J3" s="39"/>
      <c r="K3" s="40"/>
    </row>
    <row r="5" spans="2:11">
      <c r="B5" s="41" t="s">
        <v>288</v>
      </c>
    </row>
    <row r="6" spans="2:11">
      <c r="F6" s="42" t="s">
        <v>96</v>
      </c>
      <c r="G6" s="42" t="s">
        <v>97</v>
      </c>
      <c r="H6" s="42" t="s">
        <v>98</v>
      </c>
      <c r="I6" s="42" t="s">
        <v>99</v>
      </c>
      <c r="J6" s="10"/>
      <c r="K6" s="9" t="s">
        <v>289</v>
      </c>
    </row>
    <row r="7" spans="2:11">
      <c r="B7" s="9" t="s">
        <v>290</v>
      </c>
      <c r="F7" s="43">
        <f>'Historical Financials'!E10</f>
        <v>2786.3</v>
      </c>
      <c r="G7" s="43">
        <f>'Historical Financials'!F10</f>
        <v>3192.9</v>
      </c>
      <c r="H7" s="43">
        <f>'Historical Financials'!G10</f>
        <v>3328.7</v>
      </c>
      <c r="I7" s="43">
        <f>'Historical Financials'!H10</f>
        <v>3393.2</v>
      </c>
      <c r="K7" s="661"/>
    </row>
    <row r="8" spans="2:11">
      <c r="B8" s="9" t="s">
        <v>291</v>
      </c>
      <c r="F8" s="44"/>
      <c r="G8" s="58">
        <f>(G7-F7)/F7</f>
        <v>0.14592829200014351</v>
      </c>
      <c r="H8" s="58">
        <f>(H7-G7)/G7</f>
        <v>4.253186758119569E-2</v>
      </c>
      <c r="I8" s="58">
        <f>(I7-H7)/H7</f>
        <v>1.9376933938174062E-2</v>
      </c>
      <c r="K8" s="661"/>
    </row>
    <row r="9" spans="2:11">
      <c r="B9" s="9" t="s">
        <v>292</v>
      </c>
      <c r="I9" s="60">
        <f>(I7/F7)^0.333333-1</f>
        <v>6.7891589068550751E-2</v>
      </c>
      <c r="K9" s="9" t="s">
        <v>293</v>
      </c>
    </row>
    <row r="11" spans="2:11">
      <c r="B11" s="41" t="s">
        <v>294</v>
      </c>
    </row>
    <row r="12" spans="2:11">
      <c r="F12" s="42" t="s">
        <v>96</v>
      </c>
      <c r="G12" s="42" t="s">
        <v>97</v>
      </c>
      <c r="H12" s="42" t="s">
        <v>98</v>
      </c>
      <c r="I12" s="42" t="s">
        <v>99</v>
      </c>
      <c r="K12" s="9" t="s">
        <v>289</v>
      </c>
    </row>
    <row r="13" spans="2:11">
      <c r="B13" s="9" t="s">
        <v>295</v>
      </c>
      <c r="F13" s="24">
        <f>'Historical Financials'!E12</f>
        <v>644</v>
      </c>
      <c r="G13" s="24">
        <f>'Historical Financials'!F12</f>
        <v>700.20000000000027</v>
      </c>
      <c r="H13" s="24">
        <f>'Historical Financials'!G12</f>
        <v>723.19999999999982</v>
      </c>
      <c r="I13" s="24">
        <f>'Historical Financials'!H12</f>
        <v>747.89999999999964</v>
      </c>
    </row>
    <row r="14" spans="2:11">
      <c r="B14" s="9" t="s">
        <v>296</v>
      </c>
      <c r="F14" s="58">
        <f>F13/F7</f>
        <v>0.23113089042816637</v>
      </c>
      <c r="G14" s="58">
        <f>G13/G7</f>
        <v>0.21929906981114355</v>
      </c>
      <c r="H14" s="58">
        <f>H13/H7</f>
        <v>0.2172619941718989</v>
      </c>
      <c r="I14" s="58">
        <f>I13/I7</f>
        <v>0.22041141105740883</v>
      </c>
    </row>
    <row r="15" spans="2:11">
      <c r="B15" s="9"/>
      <c r="F15" s="45"/>
      <c r="G15" s="45"/>
      <c r="H15" s="45"/>
      <c r="I15" s="45"/>
    </row>
    <row r="17" spans="2:11">
      <c r="B17" s="41" t="s">
        <v>297</v>
      </c>
    </row>
    <row r="18" spans="2:11">
      <c r="F18" s="42" t="s">
        <v>96</v>
      </c>
      <c r="G18" s="42" t="s">
        <v>97</v>
      </c>
      <c r="H18" s="42" t="s">
        <v>98</v>
      </c>
      <c r="I18" s="42" t="s">
        <v>99</v>
      </c>
      <c r="K18" s="9" t="s">
        <v>289</v>
      </c>
    </row>
    <row r="19" spans="2:11" ht="17" thickBot="1">
      <c r="B19" s="46" t="s">
        <v>298</v>
      </c>
      <c r="C19" s="47"/>
      <c r="D19" s="47"/>
      <c r="E19" s="47"/>
      <c r="F19" s="48">
        <f>'Historical Financials'!E85/'Historical Analysis'!F7</f>
        <v>7.1277321178623981E-2</v>
      </c>
      <c r="G19" s="48">
        <f>'Historical Financials'!F85/'Historical Analysis'!G7</f>
        <v>6.7430862225562965E-2</v>
      </c>
      <c r="H19" s="48">
        <f>'Historical Financials'!G85/'Historical Analysis'!H7</f>
        <v>6.2937483101511107E-2</v>
      </c>
      <c r="I19" s="48">
        <f>'Historical Financials'!H85/'Historical Analysis'!I7</f>
        <v>5.7173169869150067E-2</v>
      </c>
      <c r="J19" s="47"/>
      <c r="K19" s="49"/>
    </row>
    <row r="20" spans="2:11">
      <c r="B20" s="9" t="s">
        <v>299</v>
      </c>
      <c r="F20" s="44">
        <f>F19</f>
        <v>7.1277321178623981E-2</v>
      </c>
      <c r="G20" s="44">
        <f t="shared" ref="G20:I20" si="0">G19</f>
        <v>6.7430862225562965E-2</v>
      </c>
      <c r="H20" s="44">
        <f t="shared" si="0"/>
        <v>6.2937483101511107E-2</v>
      </c>
      <c r="I20" s="44">
        <f t="shared" si="0"/>
        <v>5.7173169869150067E-2</v>
      </c>
    </row>
    <row r="23" spans="2:11">
      <c r="B23" s="41" t="s">
        <v>300</v>
      </c>
    </row>
    <row r="24" spans="2:11">
      <c r="F24" s="42" t="s">
        <v>96</v>
      </c>
      <c r="G24" s="42" t="s">
        <v>97</v>
      </c>
      <c r="H24" s="42" t="s">
        <v>98</v>
      </c>
      <c r="I24" s="42" t="s">
        <v>99</v>
      </c>
      <c r="K24" s="9" t="s">
        <v>289</v>
      </c>
    </row>
    <row r="25" spans="2:11">
      <c r="B25" s="9" t="s">
        <v>301</v>
      </c>
      <c r="F25" s="44">
        <f>'Historical Financials'!E15/'Historical Financials'!E10</f>
        <v>0.15985356924954239</v>
      </c>
      <c r="G25" s="44">
        <f>'Historical Financials'!F15/'Historical Financials'!F10</f>
        <v>0.15186820758558059</v>
      </c>
      <c r="H25" s="44">
        <f>'Historical Financials'!G15/'Historical Financials'!G10</f>
        <v>0.1543245110703878</v>
      </c>
      <c r="I25" s="44">
        <f>'Historical Financials'!H15/'Historical Financials'!H10</f>
        <v>0.16323824118825878</v>
      </c>
    </row>
    <row r="26" spans="2:11">
      <c r="B26" s="9" t="s">
        <v>302</v>
      </c>
      <c r="F26" s="44">
        <f>('Historical Financials'!E15+'Historical Financials'!E14)/'Historical Financials'!E10</f>
        <v>8.8576248070918406E-2</v>
      </c>
      <c r="G26" s="44">
        <f>('Historical Financials'!F15+'Historical Financials'!F14)/'Historical Financials'!F10</f>
        <v>8.443734536001761E-2</v>
      </c>
      <c r="H26" s="44">
        <f>('Historical Financials'!G15+'Historical Financials'!G14)/'Historical Financials'!G10</f>
        <v>9.1387027968876683E-2</v>
      </c>
      <c r="I26" s="44">
        <f>('Historical Financials'!H15+'Historical Financials'!H14)/'Historical Financials'!H10</f>
        <v>0.10606507131910871</v>
      </c>
    </row>
    <row r="27" spans="2:11">
      <c r="B27" s="9" t="s">
        <v>303</v>
      </c>
      <c r="F27" s="44">
        <f>'Historical Financials'!E27/'Historical Financials'!E10</f>
        <v>0.10339877256576821</v>
      </c>
      <c r="G27" s="44">
        <f>'Historical Financials'!F27/'Historical Financials'!F10</f>
        <v>9.0450687462808183E-2</v>
      </c>
      <c r="H27" s="44">
        <f>'Historical Financials'!G27/'Historical Financials'!G10</f>
        <v>8.9344188421906418E-2</v>
      </c>
      <c r="I27" s="44">
        <f>'Historical Financials'!H27/'Historical Financials'!H10</f>
        <v>0.10179181893198151</v>
      </c>
    </row>
    <row r="31" spans="2:11">
      <c r="B31" s="38" t="s">
        <v>304</v>
      </c>
      <c r="C31" s="39"/>
      <c r="D31" s="39"/>
      <c r="E31" s="39"/>
      <c r="F31" s="39"/>
      <c r="G31" s="39"/>
      <c r="H31" s="39"/>
      <c r="I31" s="39"/>
      <c r="J31" s="39"/>
      <c r="K31" s="40"/>
    </row>
    <row r="34" spans="2:11">
      <c r="B34" s="41" t="s">
        <v>305</v>
      </c>
    </row>
    <row r="35" spans="2:11">
      <c r="F35" s="42" t="s">
        <v>96</v>
      </c>
      <c r="G35" s="42" t="s">
        <v>97</v>
      </c>
      <c r="H35" s="42" t="s">
        <v>98</v>
      </c>
      <c r="I35" s="42" t="s">
        <v>99</v>
      </c>
      <c r="K35" s="9" t="s">
        <v>306</v>
      </c>
    </row>
    <row r="36" spans="2:11">
      <c r="B36" s="9" t="s">
        <v>307</v>
      </c>
      <c r="F36" s="24">
        <f>'Historical Financials'!E93</f>
        <v>551.70000000000005</v>
      </c>
      <c r="G36" s="24">
        <f>'Historical Financials'!F93</f>
        <v>562.1</v>
      </c>
      <c r="H36" s="24">
        <f>'Historical Financials'!G93</f>
        <v>538.5</v>
      </c>
      <c r="I36" s="24">
        <f>'Historical Financials'!H93</f>
        <v>599.79999999999995</v>
      </c>
    </row>
    <row r="37" spans="2:11">
      <c r="B37" s="9" t="s">
        <v>308</v>
      </c>
      <c r="F37" s="24">
        <f>F36+'Historical Financials'!E96</f>
        <v>454.6</v>
      </c>
      <c r="G37" s="24">
        <f>G36+'Historical Financials'!F96</f>
        <v>445.6</v>
      </c>
      <c r="H37" s="24">
        <f>H36+'Historical Financials'!G96</f>
        <v>421.6</v>
      </c>
      <c r="I37" s="24">
        <f>I36+'Historical Financials'!H96</f>
        <v>464.79999999999995</v>
      </c>
    </row>
    <row r="38" spans="2:11">
      <c r="B38" s="50"/>
    </row>
    <row r="40" spans="2:11">
      <c r="B40" s="41" t="s">
        <v>309</v>
      </c>
    </row>
    <row r="41" spans="2:11">
      <c r="F41" s="42" t="s">
        <v>96</v>
      </c>
      <c r="G41" s="42" t="s">
        <v>97</v>
      </c>
      <c r="H41" s="42" t="s">
        <v>98</v>
      </c>
      <c r="I41" s="42" t="s">
        <v>99</v>
      </c>
      <c r="K41" s="9" t="s">
        <v>289</v>
      </c>
    </row>
    <row r="42" spans="2:11">
      <c r="B42" s="9" t="s">
        <v>310</v>
      </c>
    </row>
    <row r="43" spans="2:11">
      <c r="B43" s="50" t="s">
        <v>311</v>
      </c>
      <c r="F43" s="24">
        <f>'Historical Financials'!E89</f>
        <v>-29.2</v>
      </c>
      <c r="G43" s="24">
        <f>'Historical Financials'!F89</f>
        <v>-54.3</v>
      </c>
      <c r="H43" s="24">
        <f>'Historical Financials'!G89</f>
        <v>-41.2</v>
      </c>
      <c r="I43" s="24">
        <f>'Historical Financials'!H89</f>
        <v>-45.6</v>
      </c>
    </row>
    <row r="44" spans="2:11">
      <c r="B44" s="51" t="s">
        <v>312</v>
      </c>
      <c r="F44" s="24">
        <f>'Historical Financials'!E91</f>
        <v>62</v>
      </c>
      <c r="G44" s="24">
        <f>'Historical Financials'!F91</f>
        <v>61.1</v>
      </c>
      <c r="H44" s="24">
        <f>'Historical Financials'!G91</f>
        <v>47.7</v>
      </c>
      <c r="I44" s="24">
        <f>'Historical Financials'!H91</f>
        <v>69.8</v>
      </c>
    </row>
    <row r="45" spans="2:11">
      <c r="B45" s="51" t="s">
        <v>313</v>
      </c>
      <c r="F45" s="24">
        <f>'Historical Financials'!E90</f>
        <v>0.6</v>
      </c>
      <c r="G45" s="24">
        <f>'Historical Financials'!F90</f>
        <v>-0.8</v>
      </c>
      <c r="H45" s="24">
        <f>'Historical Financials'!G90</f>
        <v>-1.2</v>
      </c>
      <c r="I45" s="24">
        <f>'Historical Financials'!H90</f>
        <v>-2.2000000000000002</v>
      </c>
    </row>
    <row r="46" spans="2:11">
      <c r="B46" s="51" t="s">
        <v>314</v>
      </c>
      <c r="F46" s="24">
        <f>'Historical Financials'!E92</f>
        <v>-4.7</v>
      </c>
      <c r="G46" s="24">
        <f>'Historical Financials'!F92</f>
        <v>-2</v>
      </c>
      <c r="H46" s="24">
        <f>'Historical Financials'!G92</f>
        <v>4.3</v>
      </c>
      <c r="I46" s="24">
        <f>'Historical Financials'!H92</f>
        <v>-3.3</v>
      </c>
    </row>
    <row r="48" spans="2:11">
      <c r="B48" s="9" t="s">
        <v>315</v>
      </c>
      <c r="F48" s="24">
        <f t="shared" ref="F48:I48" si="1">SUM(F43:F46)</f>
        <v>28.7</v>
      </c>
      <c r="G48" s="24">
        <f t="shared" si="1"/>
        <v>4.0000000000000044</v>
      </c>
      <c r="H48" s="24">
        <f t="shared" si="1"/>
        <v>9.6</v>
      </c>
      <c r="I48" s="24">
        <f t="shared" si="1"/>
        <v>18.699999999999996</v>
      </c>
    </row>
    <row r="50" spans="2:11">
      <c r="B50" s="9" t="s">
        <v>316</v>
      </c>
      <c r="F50" s="52">
        <f>'Historical Financials'!E38/('Historical Financials'!E10/365)</f>
        <v>73.227936690234358</v>
      </c>
      <c r="G50" s="52">
        <f>'Historical Financials'!F38/('Historical Financials'!F10/365)</f>
        <v>70.830279683046768</v>
      </c>
      <c r="H50" s="52">
        <f>'Historical Financials'!G38/('Historical Financials'!G10/365)</f>
        <v>67.973533211163513</v>
      </c>
      <c r="I50" s="52">
        <f>'Historical Financials'!H38/('Historical Financials'!H10/365)</f>
        <v>68.21967464340446</v>
      </c>
    </row>
    <row r="51" spans="2:11">
      <c r="B51" s="9" t="s">
        <v>317</v>
      </c>
      <c r="F51" s="52">
        <f>'Historical Financials'!E54/(-'Historical Financials'!E11/365)</f>
        <v>26.135928674788779</v>
      </c>
      <c r="G51" s="52">
        <f>'Historical Financials'!F54/(-'Historical Financials'!F11/365)</f>
        <v>25.200184538853453</v>
      </c>
      <c r="H51" s="52">
        <f>'Historical Financials'!G54/(-'Historical Financials'!G11/365)</f>
        <v>28.690078679715988</v>
      </c>
      <c r="I51" s="52">
        <f>'Historical Financials'!H54/(-'Historical Financials'!H11/365)</f>
        <v>30.769666956488862</v>
      </c>
    </row>
    <row r="52" spans="2:11">
      <c r="B52" s="9" t="s">
        <v>318</v>
      </c>
      <c r="F52" s="52">
        <f>'Historical Financials'!E40/(-'Historical Financials'!E11/365)</f>
        <v>2.5386267096111657</v>
      </c>
      <c r="G52" s="52">
        <f>'Historical Financials'!F40/(-'Historical Financials'!F11/365)</f>
        <v>2.474625907650339</v>
      </c>
      <c r="H52" s="52">
        <f>'Historical Financials'!G40/(-'Historical Financials'!G11/365)</f>
        <v>2.4095183266167721</v>
      </c>
      <c r="I52" s="52">
        <f>'Historical Financials'!H40/(-'Historical Financials'!H11/365)</f>
        <v>2.6216308169205758</v>
      </c>
    </row>
    <row r="53" spans="2:11">
      <c r="B53" s="9"/>
    </row>
    <row r="54" spans="2:11">
      <c r="B54" s="9" t="s">
        <v>319</v>
      </c>
      <c r="F54" s="52">
        <f t="shared" ref="F54:I54" si="2">F50+F52-F51</f>
        <v>49.630634725056744</v>
      </c>
      <c r="G54" s="52">
        <f t="shared" si="2"/>
        <v>48.104721051843654</v>
      </c>
      <c r="H54" s="52">
        <f t="shared" si="2"/>
        <v>41.692972858064302</v>
      </c>
      <c r="I54" s="52">
        <f t="shared" si="2"/>
        <v>40.071638503836169</v>
      </c>
    </row>
    <row r="56" spans="2:11">
      <c r="B56" s="41" t="s">
        <v>320</v>
      </c>
    </row>
    <row r="57" spans="2:11">
      <c r="F57" s="42" t="s">
        <v>96</v>
      </c>
      <c r="G57" s="42" t="s">
        <v>97</v>
      </c>
      <c r="H57" s="42" t="s">
        <v>98</v>
      </c>
      <c r="I57" s="42" t="s">
        <v>99</v>
      </c>
    </row>
    <row r="58" spans="2:11">
      <c r="F58" s="42"/>
      <c r="G58" s="42"/>
      <c r="H58" s="42"/>
      <c r="I58" s="42"/>
    </row>
    <row r="59" spans="2:11">
      <c r="B59" s="9" t="s">
        <v>321</v>
      </c>
      <c r="F59" s="24">
        <f>-'Historical Financials'!E96</f>
        <v>97.1</v>
      </c>
      <c r="G59" s="24">
        <f>-'Historical Financials'!F96</f>
        <v>116.5</v>
      </c>
      <c r="H59" s="24">
        <f>-'Historical Financials'!G96</f>
        <v>116.9</v>
      </c>
      <c r="I59" s="24">
        <f>-'Historical Financials'!H96</f>
        <v>135</v>
      </c>
    </row>
    <row r="60" spans="2:11">
      <c r="B60" s="50" t="s">
        <v>322</v>
      </c>
      <c r="F60" s="53"/>
      <c r="G60" s="53"/>
      <c r="H60" s="53"/>
      <c r="I60" s="53"/>
    </row>
    <row r="62" spans="2:11">
      <c r="B62" s="9" t="s">
        <v>323</v>
      </c>
      <c r="F62" s="45">
        <f>F59/'Historical Financials'!E85</f>
        <v>0.48892245720040278</v>
      </c>
      <c r="G62" s="45">
        <f>G59/'Historical Financials'!F85</f>
        <v>0.54110543427775193</v>
      </c>
      <c r="H62" s="45">
        <f>H59/'Historical Financials'!G85</f>
        <v>0.55799522673031032</v>
      </c>
      <c r="I62" s="45">
        <f>I59/'Historical Financials'!H85</f>
        <v>0.69587628865979378</v>
      </c>
    </row>
    <row r="64" spans="2:11">
      <c r="B64" s="38" t="s">
        <v>324</v>
      </c>
      <c r="C64" s="39"/>
      <c r="D64" s="39"/>
      <c r="E64" s="39"/>
      <c r="F64" s="39"/>
      <c r="G64" s="39"/>
      <c r="H64" s="39"/>
      <c r="I64" s="39"/>
      <c r="J64" s="39"/>
      <c r="K64" s="40"/>
    </row>
    <row r="67" spans="2:11">
      <c r="B67" s="41" t="s">
        <v>325</v>
      </c>
    </row>
    <row r="68" spans="2:11">
      <c r="F68" s="42" t="s">
        <v>96</v>
      </c>
      <c r="G68" s="42" t="s">
        <v>97</v>
      </c>
      <c r="H68" s="42" t="s">
        <v>98</v>
      </c>
      <c r="I68" s="42" t="s">
        <v>99</v>
      </c>
      <c r="K68" s="9" t="s">
        <v>289</v>
      </c>
    </row>
    <row r="69" spans="2:11">
      <c r="B69" s="9" t="s">
        <v>326</v>
      </c>
      <c r="F69" s="54">
        <f>'Historical Financials'!E42/'Historical Financials'!E58</f>
        <v>0.76114096080910243</v>
      </c>
      <c r="G69" s="54">
        <f>'Historical Financials'!F42/'Historical Financials'!F58</f>
        <v>0.95958005249343825</v>
      </c>
      <c r="H69" s="54">
        <f>'Historical Financials'!G42/'Historical Financials'!G58</f>
        <v>1.0917982679572082</v>
      </c>
      <c r="I69" s="54">
        <f>'Historical Financials'!H42/'Historical Financials'!H58</f>
        <v>1.103990096181316</v>
      </c>
      <c r="K69" s="661"/>
    </row>
    <row r="70" spans="2:11">
      <c r="B70" s="9" t="s">
        <v>327</v>
      </c>
      <c r="F70" s="54">
        <f>('Historical Financials'!E42-'Historical Financials'!E40)/'Historical Financials'!E58</f>
        <v>0.74936788874841975</v>
      </c>
      <c r="G70" s="54">
        <f>('Historical Financials'!F42-'Historical Financials'!F40)/'Historical Financials'!F58</f>
        <v>0.94479440069991238</v>
      </c>
      <c r="H70" s="54">
        <f>('Historical Financials'!G42-'Historical Financials'!G40)/'Historical Financials'!G58</f>
        <v>1.0742740703005602</v>
      </c>
      <c r="I70" s="54">
        <f>('Historical Financials'!H42-'Historical Financials'!H40)/'Historical Financials'!H58</f>
        <v>1.0858965812779735</v>
      </c>
      <c r="K70" s="661"/>
    </row>
    <row r="73" spans="2:11">
      <c r="B73" s="41" t="s">
        <v>328</v>
      </c>
    </row>
    <row r="74" spans="2:11">
      <c r="F74" s="42" t="s">
        <v>96</v>
      </c>
      <c r="G74" s="42" t="s">
        <v>97</v>
      </c>
      <c r="H74" s="42" t="s">
        <v>98</v>
      </c>
      <c r="I74" s="42" t="s">
        <v>99</v>
      </c>
    </row>
    <row r="75" spans="2:11">
      <c r="B75" s="1" t="s">
        <v>329</v>
      </c>
      <c r="F75" s="24">
        <f>'Historical Financials'!E55+'Historical Financials'!E60</f>
        <v>1062.7</v>
      </c>
      <c r="G75" s="24">
        <f>'Historical Financials'!F55+'Historical Financials'!F60</f>
        <v>1130.0999999999999</v>
      </c>
      <c r="H75" s="24">
        <f>'Historical Financials'!G55+'Historical Financials'!G60</f>
        <v>979.8</v>
      </c>
      <c r="I75" s="24">
        <f>'Historical Financials'!H55+'Historical Financials'!H60</f>
        <v>912.9</v>
      </c>
    </row>
    <row r="76" spans="2:11">
      <c r="B76" s="1" t="s">
        <v>330</v>
      </c>
      <c r="F76" s="24">
        <f>'Historical Financials'!E71</f>
        <v>1114.3</v>
      </c>
      <c r="G76" s="24">
        <f>'Historical Financials'!F71</f>
        <v>1318</v>
      </c>
      <c r="H76" s="24">
        <f>'Historical Financials'!G71</f>
        <v>1360.1</v>
      </c>
      <c r="I76" s="24">
        <f>'Historical Financials'!H71</f>
        <v>1444.9</v>
      </c>
    </row>
    <row r="78" spans="2:11">
      <c r="B78" s="9" t="s">
        <v>331</v>
      </c>
      <c r="F78" s="55">
        <f>F75/F76</f>
        <v>0.9536929013730594</v>
      </c>
      <c r="G78" s="55">
        <f t="shared" ref="G78:I78" si="3">G75/G76</f>
        <v>0.8574355083459787</v>
      </c>
      <c r="H78" s="55">
        <f t="shared" si="3"/>
        <v>0.72038820674950377</v>
      </c>
      <c r="I78" s="55">
        <f t="shared" si="3"/>
        <v>0.63180842964911066</v>
      </c>
    </row>
    <row r="79" spans="2:11">
      <c r="B79" s="9" t="s">
        <v>332</v>
      </c>
      <c r="F79" s="56">
        <f>'Historical Financials'!E15/(-'Historical Financials'!E18)</f>
        <v>29.892617449664428</v>
      </c>
      <c r="G79" s="56">
        <f>'Historical Financials'!F15/(-'Historical Financials'!F18)</f>
        <v>11.329439252336455</v>
      </c>
      <c r="H79" s="56">
        <f>'Historical Financials'!G15/(-'Historical Financials'!G18)</f>
        <v>11.119047619047615</v>
      </c>
      <c r="I79" s="56">
        <f>'Historical Financials'!H15/(-'Historical Financials'!H18)</f>
        <v>12.7626728110599</v>
      </c>
    </row>
    <row r="81" spans="2:9">
      <c r="B81" s="41" t="s">
        <v>333</v>
      </c>
    </row>
    <row r="82" spans="2:9">
      <c r="F82" s="42" t="s">
        <v>96</v>
      </c>
      <c r="G82" s="42" t="s">
        <v>97</v>
      </c>
      <c r="H82" s="42" t="s">
        <v>98</v>
      </c>
      <c r="I82" s="42" t="s">
        <v>99</v>
      </c>
    </row>
    <row r="83" spans="2:9">
      <c r="B83" s="9" t="s">
        <v>334</v>
      </c>
      <c r="F83" s="24">
        <f>F76</f>
        <v>1114.3</v>
      </c>
      <c r="G83" s="24">
        <f t="shared" ref="G83:I83" si="4">G76</f>
        <v>1318</v>
      </c>
      <c r="H83" s="24">
        <f t="shared" si="4"/>
        <v>1360.1</v>
      </c>
      <c r="I83" s="24">
        <f t="shared" si="4"/>
        <v>1444.9</v>
      </c>
    </row>
    <row r="84" spans="2:9">
      <c r="B84" s="9"/>
      <c r="F84" s="24"/>
      <c r="G84" s="24"/>
      <c r="H84" s="24"/>
      <c r="I84" s="24"/>
    </row>
    <row r="85" spans="2:9">
      <c r="B85" s="9" t="s">
        <v>335</v>
      </c>
      <c r="F85" s="44"/>
      <c r="G85" s="44">
        <f>(G83/F83-1)</f>
        <v>0.18280534864937636</v>
      </c>
      <c r="H85" s="44">
        <f t="shared" ref="H85:I85" si="5">(H83/G83-1)</f>
        <v>3.1942336874051458E-2</v>
      </c>
      <c r="I85" s="44">
        <f t="shared" si="5"/>
        <v>6.2348356738475275E-2</v>
      </c>
    </row>
    <row r="88" spans="2:9">
      <c r="B88" s="41" t="s">
        <v>336</v>
      </c>
    </row>
    <row r="89" spans="2:9">
      <c r="F89" s="42" t="s">
        <v>96</v>
      </c>
      <c r="G89" s="42" t="s">
        <v>97</v>
      </c>
      <c r="H89" s="42" t="s">
        <v>98</v>
      </c>
      <c r="I89" s="42" t="s">
        <v>99</v>
      </c>
    </row>
    <row r="90" spans="2:9">
      <c r="B90" s="9"/>
    </row>
    <row r="91" spans="2:9">
      <c r="B91" s="9" t="s">
        <v>337</v>
      </c>
      <c r="F91" s="44"/>
      <c r="G91" s="44"/>
      <c r="H91" s="44"/>
      <c r="I91" s="44"/>
    </row>
    <row r="92" spans="2:9">
      <c r="B92" s="50" t="s">
        <v>338</v>
      </c>
      <c r="F92" s="44">
        <f>'Historical Financials'!E27/'Historical Financials'!E71</f>
        <v>0.25854796733375213</v>
      </c>
      <c r="G92" s="44">
        <f>'Historical Financials'!F27/'Historical Financials'!F71</f>
        <v>0.21911987860394555</v>
      </c>
      <c r="H92" s="44">
        <f>'Historical Financials'!G27/'Historical Financials'!G71</f>
        <v>0.21866039261818976</v>
      </c>
      <c r="I92" s="44">
        <f>'Historical Financials'!H27/'Historical Financials'!H71</f>
        <v>0.23904768496089668</v>
      </c>
    </row>
    <row r="93" spans="2:9">
      <c r="F93" s="44"/>
      <c r="G93" s="44"/>
      <c r="H93" s="44"/>
      <c r="I93" s="44"/>
    </row>
    <row r="94" spans="2:9">
      <c r="B94" s="9" t="s">
        <v>339</v>
      </c>
      <c r="F94" s="44"/>
      <c r="G94" s="44"/>
      <c r="H94" s="44"/>
      <c r="I94" s="44"/>
    </row>
    <row r="95" spans="2:9">
      <c r="B95" s="50" t="s">
        <v>340</v>
      </c>
      <c r="F95" s="44">
        <f>'Historical Financials'!E27/'Historical Financials'!E51</f>
        <v>8.8654337323445229E-2</v>
      </c>
      <c r="G95" s="44">
        <f>'Historical Financials'!F27/'Historical Financials'!F51</f>
        <v>7.8900636559844889E-2</v>
      </c>
      <c r="H95" s="44">
        <f>'Historical Financials'!G27/'Historical Financials'!G51</f>
        <v>8.4061166228553627E-2</v>
      </c>
      <c r="I95" s="44">
        <f>'Historical Financials'!H27/'Historical Financials'!H51</f>
        <v>9.5963103936876515E-2</v>
      </c>
    </row>
    <row r="97" spans="2:11">
      <c r="B97" s="9" t="s">
        <v>341</v>
      </c>
    </row>
    <row r="98" spans="2:11">
      <c r="B98" s="9" t="s">
        <v>342</v>
      </c>
      <c r="F98" s="24">
        <f>'Historical Financials'!E15</f>
        <v>445.4</v>
      </c>
      <c r="G98" s="24">
        <f>'Historical Financials'!F15</f>
        <v>484.90000000000026</v>
      </c>
      <c r="H98" s="24">
        <f>'Historical Financials'!G15</f>
        <v>513.69999999999982</v>
      </c>
      <c r="I98" s="24">
        <f>'Historical Financials'!H15</f>
        <v>553.89999999999964</v>
      </c>
    </row>
    <row r="99" spans="2:11">
      <c r="B99" s="9" t="s">
        <v>343</v>
      </c>
      <c r="F99" s="44">
        <f>(1-AVERAGE('Historical Financials'!E23:H23))</f>
        <v>0.74384110114407243</v>
      </c>
      <c r="G99" s="44">
        <f>(1-AVERAGE('Historical Financials'!F23:I23))</f>
        <v>0.74448931208824232</v>
      </c>
      <c r="H99" s="44">
        <f>(1-AVERAGE('Historical Financials'!G23:J23))</f>
        <v>0.75132186713188698</v>
      </c>
      <c r="I99" s="44">
        <f>(1-AVERAGE('Historical Financials'!H23:K23))</f>
        <v>0.7493877551020407</v>
      </c>
    </row>
    <row r="100" spans="2:11">
      <c r="B100" s="9" t="s">
        <v>344</v>
      </c>
      <c r="F100" s="24">
        <f>F98*F99</f>
        <v>331.30682644956983</v>
      </c>
      <c r="G100" s="24">
        <f t="shared" ref="G100:I100" si="6">G98*G99</f>
        <v>361.00286743158887</v>
      </c>
      <c r="H100" s="24">
        <f t="shared" si="6"/>
        <v>385.95404314565019</v>
      </c>
      <c r="I100" s="24">
        <f t="shared" si="6"/>
        <v>415.08587755102008</v>
      </c>
    </row>
    <row r="102" spans="2:11">
      <c r="B102" s="9" t="s">
        <v>345</v>
      </c>
    </row>
    <row r="103" spans="2:11">
      <c r="B103" s="9" t="s">
        <v>346</v>
      </c>
      <c r="F103" s="24">
        <f>'Historical Financials'!E71</f>
        <v>1114.3</v>
      </c>
      <c r="G103" s="24">
        <f>'Historical Financials'!F71</f>
        <v>1318</v>
      </c>
      <c r="H103" s="24">
        <f>'Historical Financials'!G71</f>
        <v>1360.1</v>
      </c>
      <c r="I103" s="24">
        <f>'Historical Financials'!H71</f>
        <v>1444.9</v>
      </c>
    </row>
    <row r="104" spans="2:11">
      <c r="B104" s="9" t="s">
        <v>347</v>
      </c>
      <c r="F104" s="24">
        <f>'Historical Financials'!E55+'Historical Financials'!E60</f>
        <v>1062.7</v>
      </c>
      <c r="G104" s="24">
        <f>'Historical Financials'!F55+'Historical Financials'!F60</f>
        <v>1130.0999999999999</v>
      </c>
      <c r="H104" s="24">
        <f>'Historical Financials'!G55+'Historical Financials'!G60</f>
        <v>979.8</v>
      </c>
      <c r="I104" s="24">
        <f>'Historical Financials'!H55+'Historical Financials'!H60</f>
        <v>912.9</v>
      </c>
    </row>
    <row r="105" spans="2:11">
      <c r="B105" s="9" t="s">
        <v>348</v>
      </c>
      <c r="F105" s="24">
        <f>-2%*'Historical Financials'!E10</f>
        <v>-55.726000000000006</v>
      </c>
      <c r="G105" s="24">
        <f>-2%*'Historical Financials'!F10</f>
        <v>-63.858000000000004</v>
      </c>
      <c r="H105" s="24">
        <f>-2%*'Historical Financials'!G10</f>
        <v>-66.573999999999998</v>
      </c>
      <c r="I105" s="24">
        <f>-2%*'Historical Financials'!H10</f>
        <v>-67.864000000000004</v>
      </c>
      <c r="K105" s="51" t="s">
        <v>349</v>
      </c>
    </row>
    <row r="106" spans="2:11">
      <c r="B106" s="9" t="s">
        <v>350</v>
      </c>
      <c r="F106" s="24">
        <f>F103+F104+F105</f>
        <v>2121.2739999999999</v>
      </c>
      <c r="G106" s="24">
        <f t="shared" ref="G106:I106" si="7">G103+G104+G105</f>
        <v>2384.2419999999997</v>
      </c>
      <c r="H106" s="24">
        <f t="shared" si="7"/>
        <v>2273.3259999999996</v>
      </c>
      <c r="I106" s="24">
        <f t="shared" si="7"/>
        <v>2289.9360000000001</v>
      </c>
    </row>
    <row r="108" spans="2:11">
      <c r="B108" s="50" t="s">
        <v>351</v>
      </c>
      <c r="F108" s="44">
        <f>F100/F106</f>
        <v>0.156182947817948</v>
      </c>
      <c r="G108" s="44">
        <f>G100/G106</f>
        <v>0.15141200743531441</v>
      </c>
      <c r="H108" s="44">
        <f>H100/H106</f>
        <v>0.16977505344400681</v>
      </c>
      <c r="I108" s="44">
        <f>I100/I106</f>
        <v>0.1812652744666314</v>
      </c>
    </row>
  </sheetData>
  <mergeCells count="2">
    <mergeCell ref="K7:K8"/>
    <mergeCell ref="K69:K70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BCBA2AA2-2D8F-A44F-BCA0-F64613BE93AA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Analysis'!F27:I27</xm:f>
              <xm:sqref>K27</xm:sqref>
            </x14:sparkline>
          </x14:sparklines>
        </x14:sparklineGroup>
        <x14:sparklineGroup displayEmptyCellsAs="gap" markers="1" negative="1" xr2:uid="{8F61C525-DED7-F847-9DC8-79FE631AC905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Analysis'!F26:I26</xm:f>
              <xm:sqref>K26</xm:sqref>
            </x14:sparkline>
          </x14:sparklines>
        </x14:sparklineGroup>
        <x14:sparklineGroup displayEmptyCellsAs="gap" markers="1" negative="1" xr2:uid="{F837B773-D778-1A41-A4D2-B40DAFBC6AC1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Analysis'!F25:I25</xm:f>
              <xm:sqref>K25</xm:sqref>
            </x14:sparkline>
          </x14:sparklines>
        </x14:sparklineGroup>
        <x14:sparklineGroup displayEmptyCellsAs="gap" markers="1" xr2:uid="{B2AE5996-4C4F-FB4D-B568-3CAD9B53CFF2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Analysis'!F20:I20</xm:f>
              <xm:sqref>K20</xm:sqref>
            </x14:sparkline>
          </x14:sparklines>
        </x14:sparklineGroup>
        <x14:sparklineGroup type="column" displayEmptyCellsAs="gap" xr2:uid="{32CC8171-DF12-3A46-AC1F-C5FFB6E2FABB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'Historical Analysis'!F19:I19</xm:f>
              <xm:sqref>K19</xm:sqref>
            </x14:sparkline>
          </x14:sparklines>
        </x14:sparklineGroup>
        <x14:sparklineGroup displayEmptyCellsAs="gap" markers="1" xr2:uid="{94C68237-F6F3-F14E-8AC3-232BCD0F6E0E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Analysis'!F14:I14</xm:f>
              <xm:sqref>K14</xm:sqref>
            </x14:sparkline>
          </x14:sparklines>
        </x14:sparklineGroup>
        <x14:sparklineGroup displayEmptyCellsAs="gap" xr2:uid="{C8C20B37-2EDE-4648-998D-3845AD4556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Analysis'!F14:F14</xm:f>
              <xm:sqref>F14</xm:sqref>
            </x14:sparkline>
            <x14:sparkline>
              <xm:f>'Historical Analysis'!G14:G14</xm:f>
              <xm:sqref>G14</xm:sqref>
            </x14:sparkline>
            <x14:sparkline>
              <xm:f>'Historical Analysis'!H14:H14</xm:f>
              <xm:sqref>H14</xm:sqref>
            </x14:sparkline>
            <x14:sparkline>
              <xm:f>'Historical Analysis'!I14:I14</xm:f>
              <xm:sqref>I14</xm:sqref>
            </x14:sparkline>
          </x14:sparklines>
        </x14:sparklineGroup>
        <x14:sparklineGroup displayEmptyCellsAs="gap" markers="1" first="1" last="1" xr2:uid="{06D617EB-304E-BD49-A0F1-C4FEB45BC783}">
          <x14:colorSeries rgb="FFFF000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'Historical Analysis'!F8:I8</xm:f>
              <xm:sqref>K7</xm:sqref>
            </x14:sparkline>
          </x14:sparklines>
        </x14:sparklineGroup>
        <x14:sparklineGroup displayEmptyCellsAs="gap" markers="1" xr2:uid="{80E27F5F-111D-2144-A89E-8CFEE9E0161B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Analysis'!F62:I62</xm:f>
              <xm:sqref>K62</xm:sqref>
            </x14:sparkline>
          </x14:sparklines>
        </x14:sparklineGroup>
        <x14:sparklineGroup displayEmptyCellsAs="gap" markers="1" xr2:uid="{5F0C8052-7622-AE41-97C6-8E9DE9B86923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Analysis'!F60:I60</xm:f>
              <xm:sqref>K60</xm:sqref>
            </x14:sparkline>
          </x14:sparklines>
        </x14:sparklineGroup>
        <x14:sparklineGroup type="column" displayEmptyCellsAs="gap" xr2:uid="{5ADCE227-7E1A-C04E-9ACF-2192184EB7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Analysis'!F54:I54</xm:f>
              <xm:sqref>K54</xm:sqref>
            </x14:sparkline>
          </x14:sparklines>
        </x14:sparklineGroup>
        <x14:sparklineGroup type="column" displayEmptyCellsAs="gap" xr2:uid="{35C0D510-5919-4D49-9CA4-4812384855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'Historical Analysis'!F48:I48</xm:f>
              <xm:sqref>K48</xm:sqref>
            </x14:sparkline>
          </x14:sparklines>
        </x14:sparklineGroup>
        <x14:sparklineGroup displayEmptyCellsAs="gap" markers="1" xr2:uid="{25F921E3-AC60-DD4A-8263-9A1482E61F3D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Analysis'!F37:I37</xm:f>
              <xm:sqref>K37</xm:sqref>
            </x14:sparkline>
          </x14:sparklines>
        </x14:sparklineGroup>
        <x14:sparklineGroup displayEmptyCellsAs="gap" markers="1" xr2:uid="{A21C25AF-0D39-A04A-84BB-7E986772E4EA}">
          <x14:colorSeries theme="9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Analysis'!F36:I36</xm:f>
              <xm:sqref>K36</xm:sqref>
            </x14:sparkline>
          </x14:sparklines>
        </x14:sparklineGroup>
        <x14:sparklineGroup displayEmptyCellsAs="gap" markers="1" negative="1" xr2:uid="{36A20620-BF0F-5147-AFDB-D2324BB64F88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Analysis'!F108:I108</xm:f>
              <xm:sqref>K108</xm:sqref>
            </x14:sparkline>
          </x14:sparklines>
        </x14:sparklineGroup>
        <x14:sparklineGroup displayEmptyCellsAs="gap" markers="1" negative="1" xr2:uid="{9221013B-0088-CD46-ABD2-33E129140431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Analysis'!F95:I95</xm:f>
              <xm:sqref>K95</xm:sqref>
            </x14:sparkline>
          </x14:sparklines>
        </x14:sparklineGroup>
        <x14:sparklineGroup displayEmptyCellsAs="gap" markers="1" negative="1" xr2:uid="{F4B8F2A3-6518-8D41-A600-38000DCBD62E}">
          <x14:colorSeries theme="9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Analysis'!F92:I92</xm:f>
              <xm:sqref>K92</xm:sqref>
            </x14:sparkline>
          </x14:sparklines>
        </x14:sparklineGroup>
        <x14:sparklineGroup displayEmptyCellsAs="gap" markers="1" xr2:uid="{2BCB8177-7B8D-594D-8074-B434A2355645}">
          <x14:colorSeries theme="5" tint="0.39997558519241921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Analysis'!F69:I69</xm:f>
              <xm:sqref>K69</xm:sqref>
            </x14:sparkline>
          </x14:sparklines>
        </x14:sparklineGroup>
        <x14:sparklineGroup displayEmptyCellsAs="gap" markers="1" xr2:uid="{C47D1487-4264-304C-B55C-B6BA8AF7AC69}">
          <x14:colorSeries rgb="FFFF0000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Analysis'!F85:I85</xm:f>
              <xm:sqref>K85</xm:sqref>
            </x14:sparkline>
          </x14:sparklines>
        </x14:sparklineGroup>
        <x14:sparklineGroup displayEmptyCellsAs="gap" markers="1" xr2:uid="{428F8663-678B-2E46-A52E-BCE0BC8F635E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Analysis'!F91:I91</xm:f>
              <xm:sqref>K91</xm:sqref>
            </x14:sparkline>
          </x14:sparklines>
        </x14:sparklineGroup>
        <x14:sparklineGroup displayEmptyCellsAs="gap" markers="1" xr2:uid="{4FBF82BE-2D0A-B644-9352-FB6523B07119}">
          <x14:colorSeries theme="9" tint="-0.249977111117893"/>
          <x14:colorNegative rgb="FFD00000"/>
          <x14:colorAxis rgb="FF000000"/>
          <x14:colorMarkers theme="3"/>
          <x14:colorFirst rgb="FFD00000"/>
          <x14:colorLast rgb="FFD00000"/>
          <x14:colorHigh rgb="FFD00000"/>
          <x14:colorLow rgb="FFD00000"/>
          <x14:sparklines>
            <x14:sparkline>
              <xm:f>'Historical Analysis'!F94:I94</xm:f>
              <xm:sqref>K94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425A-B539-294B-9A37-3B8977317A64}">
  <sheetPr>
    <tabColor rgb="FF2E75B6"/>
  </sheetPr>
  <dimension ref="B2:K81"/>
  <sheetViews>
    <sheetView zoomScale="150" workbookViewId="0">
      <selection activeCell="K25" sqref="K25"/>
    </sheetView>
  </sheetViews>
  <sheetFormatPr baseColWidth="10" defaultColWidth="10.83203125" defaultRowHeight="16"/>
  <cols>
    <col min="1" max="1" width="2.5" style="1" customWidth="1"/>
    <col min="2" max="2" width="30.83203125" style="1" customWidth="1"/>
    <col min="3" max="3" width="4.5" style="1" customWidth="1"/>
    <col min="4" max="4" width="4.6640625" style="1" customWidth="1"/>
    <col min="5" max="5" width="1.6640625" style="1" customWidth="1"/>
    <col min="6" max="10" width="14.1640625" style="1" customWidth="1"/>
    <col min="11" max="16384" width="10.83203125" style="1"/>
  </cols>
  <sheetData>
    <row r="2" spans="2:11" ht="28" customHeight="1">
      <c r="B2" s="14" t="s">
        <v>352</v>
      </c>
      <c r="C2" s="61"/>
      <c r="D2" s="61"/>
      <c r="E2" s="61"/>
      <c r="F2" s="61"/>
      <c r="G2" s="61"/>
      <c r="H2" s="61"/>
      <c r="I2" s="61"/>
      <c r="J2" s="61"/>
      <c r="K2" s="61"/>
    </row>
    <row r="3" spans="2:11">
      <c r="B3" s="62" t="s">
        <v>353</v>
      </c>
      <c r="C3" s="63"/>
      <c r="D3" s="63"/>
      <c r="E3" s="63"/>
      <c r="F3" s="63"/>
      <c r="G3" s="63"/>
      <c r="H3" s="63"/>
      <c r="I3" s="63"/>
      <c r="J3" s="63"/>
      <c r="K3" s="63"/>
    </row>
    <row r="5" spans="2:11">
      <c r="B5" s="64" t="s">
        <v>354</v>
      </c>
    </row>
    <row r="6" spans="2:11" ht="19">
      <c r="B6" s="9" t="s">
        <v>355</v>
      </c>
      <c r="C6" s="65" t="s">
        <v>356</v>
      </c>
    </row>
    <row r="7" spans="2:11">
      <c r="B7" s="66" t="s">
        <v>357</v>
      </c>
      <c r="C7" s="67">
        <f>IF(C6="Bull",1,IF(C6="Base",2,3))</f>
        <v>2</v>
      </c>
      <c r="D7" s="68" t="s">
        <v>358</v>
      </c>
    </row>
    <row r="9" spans="2:11">
      <c r="B9" s="18" t="s">
        <v>359</v>
      </c>
      <c r="C9" s="61"/>
      <c r="D9" s="61"/>
      <c r="E9" s="61"/>
      <c r="F9" s="17" t="s">
        <v>100</v>
      </c>
      <c r="G9" s="17" t="s">
        <v>101</v>
      </c>
      <c r="H9" s="17" t="s">
        <v>360</v>
      </c>
      <c r="I9" s="17" t="s">
        <v>361</v>
      </c>
      <c r="J9" s="17" t="s">
        <v>362</v>
      </c>
      <c r="K9" s="17"/>
    </row>
    <row r="10" spans="2:11">
      <c r="B10" s="69" t="s">
        <v>363</v>
      </c>
    </row>
    <row r="11" spans="2:11">
      <c r="B11" s="70" t="s">
        <v>364</v>
      </c>
      <c r="F11" s="71">
        <f>'Supporting Schedules'!C30</f>
        <v>6.5000000000000002E-2</v>
      </c>
      <c r="G11" s="71">
        <f>'Supporting Schedules'!D30</f>
        <v>0.06</v>
      </c>
      <c r="H11" s="71">
        <f>'Supporting Schedules'!E30</f>
        <v>5.3000000000000005E-2</v>
      </c>
      <c r="I11" s="71">
        <f>'Supporting Schedules'!F30</f>
        <v>5.3000000000000005E-2</v>
      </c>
      <c r="J11" s="71">
        <f>'Supporting Schedules'!G30</f>
        <v>0.05</v>
      </c>
    </row>
    <row r="12" spans="2:11">
      <c r="B12" s="70" t="s">
        <v>365</v>
      </c>
      <c r="F12" s="71">
        <f>'Supporting Schedules'!C46</f>
        <v>0.21883670261465388</v>
      </c>
      <c r="G12" s="71">
        <f>'Supporting Schedules'!D46</f>
        <v>0.21883670261465388</v>
      </c>
      <c r="H12" s="71">
        <f>'Supporting Schedules'!E46</f>
        <v>0.21883670261465388</v>
      </c>
      <c r="I12" s="71">
        <f>'Supporting Schedules'!F46</f>
        <v>0.21883670261465388</v>
      </c>
      <c r="J12" s="71">
        <f>'Supporting Schedules'!G46</f>
        <v>0.21883670261465388</v>
      </c>
    </row>
    <row r="14" spans="2:11">
      <c r="B14" s="69" t="s">
        <v>366</v>
      </c>
    </row>
    <row r="15" spans="2:11">
      <c r="B15" s="70" t="s">
        <v>367</v>
      </c>
      <c r="F15" s="72">
        <f>'Supporting Schedules'!D83</f>
        <v>0.30098276507812999</v>
      </c>
      <c r="G15" s="72">
        <f>F15</f>
        <v>0.30098276507812999</v>
      </c>
      <c r="H15" s="72">
        <f t="shared" ref="H15:J15" si="0">G15</f>
        <v>0.30098276507812999</v>
      </c>
      <c r="I15" s="72">
        <f t="shared" si="0"/>
        <v>0.30098276507812999</v>
      </c>
      <c r="J15" s="72">
        <f t="shared" si="0"/>
        <v>0.30098276507812999</v>
      </c>
    </row>
    <row r="17" spans="2:10">
      <c r="B17" s="69" t="s">
        <v>368</v>
      </c>
    </row>
    <row r="18" spans="2:10">
      <c r="B18" s="70" t="s">
        <v>369</v>
      </c>
      <c r="F18" s="71">
        <f>'Supporting Schedules'!C119*-1</f>
        <v>0.25615889885592763</v>
      </c>
      <c r="G18" s="71">
        <f>F18</f>
        <v>0.25615889885592763</v>
      </c>
      <c r="H18" s="71">
        <f>G18</f>
        <v>0.25615889885592763</v>
      </c>
      <c r="I18" s="71">
        <f>H18</f>
        <v>0.25615889885592763</v>
      </c>
      <c r="J18" s="71">
        <f>I18</f>
        <v>0.25615889885592763</v>
      </c>
    </row>
    <row r="20" spans="2:10">
      <c r="B20" s="69" t="s">
        <v>370</v>
      </c>
    </row>
    <row r="21" spans="2:10">
      <c r="B21" s="70" t="s">
        <v>371</v>
      </c>
      <c r="F21" s="73">
        <f>'Supporting Schedules'!H186</f>
        <v>68.096603927283979</v>
      </c>
      <c r="G21" s="73">
        <f>'Supporting Schedules'!I186</f>
        <v>68.096603927283979</v>
      </c>
      <c r="H21" s="73">
        <f>'Supporting Schedules'!J186</f>
        <v>68.096603927283979</v>
      </c>
      <c r="I21" s="73">
        <f>'Supporting Schedules'!K186</f>
        <v>68.096603927283979</v>
      </c>
      <c r="J21" s="73">
        <f>'Supporting Schedules'!L186</f>
        <v>68.096603927283979</v>
      </c>
    </row>
    <row r="22" spans="2:10">
      <c r="B22" s="70" t="s">
        <v>372</v>
      </c>
      <c r="F22" s="73">
        <f>'Supporting Schedules'!H195</f>
        <v>2.5155745717686742</v>
      </c>
      <c r="G22" s="73">
        <f>'Supporting Schedules'!I195</f>
        <v>2.5155745717686742</v>
      </c>
      <c r="H22" s="73">
        <f>'Supporting Schedules'!J195</f>
        <v>2.5155745717686742</v>
      </c>
      <c r="I22" s="73">
        <f>'Supporting Schedules'!K195</f>
        <v>2.5155745717686742</v>
      </c>
      <c r="J22" s="73">
        <f>'Supporting Schedules'!L195</f>
        <v>2.5155745717686742</v>
      </c>
    </row>
    <row r="23" spans="2:10">
      <c r="B23" s="70" t="s">
        <v>373</v>
      </c>
      <c r="F23" s="73">
        <f>'Supporting Schedules'!H203</f>
        <v>29.717759781368851</v>
      </c>
      <c r="G23" s="73">
        <f>'Supporting Schedules'!I203</f>
        <v>29.717759781368851</v>
      </c>
      <c r="H23" s="73">
        <f>'Supporting Schedules'!J203</f>
        <v>29.717759781368851</v>
      </c>
      <c r="I23" s="73">
        <f>'Supporting Schedules'!K203</f>
        <v>29.717759781368851</v>
      </c>
      <c r="J23" s="73">
        <f>'Supporting Schedules'!L203</f>
        <v>29.717759781368851</v>
      </c>
    </row>
    <row r="24" spans="2:10">
      <c r="B24" s="70" t="s">
        <v>374</v>
      </c>
      <c r="F24" s="74">
        <f>'Supporting Schedules'!C150</f>
        <v>1.61946026272408E-2</v>
      </c>
      <c r="G24" s="74">
        <f>F24</f>
        <v>1.61946026272408E-2</v>
      </c>
      <c r="H24" s="74">
        <f t="shared" ref="H24:J24" si="1">G24</f>
        <v>1.61946026272408E-2</v>
      </c>
      <c r="I24" s="74">
        <f t="shared" si="1"/>
        <v>1.61946026272408E-2</v>
      </c>
      <c r="J24" s="74">
        <f t="shared" si="1"/>
        <v>1.61946026272408E-2</v>
      </c>
    </row>
    <row r="25" spans="2:10">
      <c r="B25" s="70" t="s">
        <v>375</v>
      </c>
      <c r="F25" s="74">
        <f>-'Supporting Schedules'!C171</f>
        <v>0.5775133668608774</v>
      </c>
      <c r="G25" s="74">
        <f>F25</f>
        <v>0.5775133668608774</v>
      </c>
      <c r="H25" s="74">
        <f t="shared" ref="H25:J25" si="2">G25</f>
        <v>0.5775133668608774</v>
      </c>
      <c r="I25" s="74">
        <f t="shared" si="2"/>
        <v>0.5775133668608774</v>
      </c>
      <c r="J25" s="74">
        <f t="shared" si="2"/>
        <v>0.5775133668608774</v>
      </c>
    </row>
    <row r="26" spans="2:10">
      <c r="B26" s="70" t="s">
        <v>376</v>
      </c>
      <c r="F26" s="74">
        <f>'Supporting Schedules'!C161</f>
        <v>0.17630238045293317</v>
      </c>
      <c r="G26" s="74">
        <f>F26</f>
        <v>0.17630238045293317</v>
      </c>
      <c r="H26" s="74">
        <f t="shared" ref="H26:J26" si="3">G26</f>
        <v>0.17630238045293317</v>
      </c>
      <c r="I26" s="74">
        <f t="shared" si="3"/>
        <v>0.17630238045293317</v>
      </c>
      <c r="J26" s="74">
        <f t="shared" si="3"/>
        <v>0.17630238045293317</v>
      </c>
    </row>
    <row r="27" spans="2:10">
      <c r="B27" s="70" t="s">
        <v>377</v>
      </c>
      <c r="F27" s="74">
        <f>'Supporting Schedules'!C73</f>
        <v>3.6560139353531126E-2</v>
      </c>
      <c r="G27" s="74">
        <f>F27</f>
        <v>3.6560139353531126E-2</v>
      </c>
      <c r="H27" s="74">
        <f t="shared" ref="H27:J27" si="4">G27</f>
        <v>3.6560139353531126E-2</v>
      </c>
      <c r="I27" s="74">
        <f t="shared" si="4"/>
        <v>3.6560139353531126E-2</v>
      </c>
      <c r="J27" s="74">
        <f t="shared" si="4"/>
        <v>3.6560139353531126E-2</v>
      </c>
    </row>
    <row r="28" spans="2:10">
      <c r="B28" s="70"/>
      <c r="F28" s="74"/>
      <c r="G28" s="74"/>
      <c r="H28" s="74"/>
      <c r="I28" s="74"/>
      <c r="J28" s="74"/>
    </row>
    <row r="29" spans="2:10">
      <c r="B29" s="69" t="s">
        <v>378</v>
      </c>
      <c r="F29" s="74"/>
      <c r="G29" s="74"/>
      <c r="H29" s="74"/>
      <c r="I29" s="74"/>
      <c r="J29" s="74"/>
    </row>
    <row r="30" spans="2:10">
      <c r="B30" s="70" t="s">
        <v>379</v>
      </c>
      <c r="F30" s="74">
        <f>'Supporting Schedules'!F216</f>
        <v>0.42248040465706627</v>
      </c>
      <c r="G30" s="74">
        <f>F30</f>
        <v>0.42248040465706627</v>
      </c>
      <c r="H30" s="74">
        <f t="shared" ref="H30:J30" si="5">G30</f>
        <v>0.42248040465706627</v>
      </c>
      <c r="I30" s="74">
        <f t="shared" si="5"/>
        <v>0.42248040465706627</v>
      </c>
      <c r="J30" s="74">
        <f t="shared" si="5"/>
        <v>0.42248040465706627</v>
      </c>
    </row>
    <row r="31" spans="2:10">
      <c r="B31" s="70"/>
      <c r="F31" s="74"/>
      <c r="G31" s="74"/>
      <c r="H31" s="74"/>
      <c r="I31" s="74"/>
      <c r="J31" s="74"/>
    </row>
    <row r="32" spans="2:10">
      <c r="B32" s="70"/>
      <c r="F32" s="74"/>
      <c r="G32" s="74"/>
      <c r="H32" s="74"/>
      <c r="I32" s="74"/>
      <c r="J32" s="74"/>
    </row>
    <row r="33" spans="2:10">
      <c r="B33" s="69"/>
    </row>
    <row r="34" spans="2:10">
      <c r="B34" s="70"/>
      <c r="F34" s="71"/>
      <c r="G34" s="71"/>
      <c r="H34" s="71"/>
      <c r="I34" s="71"/>
      <c r="J34" s="71"/>
    </row>
    <row r="35" spans="2:10">
      <c r="B35" s="70"/>
      <c r="F35" s="75"/>
      <c r="G35" s="75"/>
      <c r="H35" s="75"/>
      <c r="I35" s="75"/>
      <c r="J35" s="75"/>
    </row>
    <row r="38" spans="2:10" ht="28" customHeight="1">
      <c r="B38" s="76"/>
    </row>
    <row r="40" spans="2:10">
      <c r="B40" s="77"/>
    </row>
    <row r="41" spans="2:10">
      <c r="F41" s="78"/>
      <c r="G41" s="78"/>
      <c r="H41" s="78"/>
      <c r="I41" s="78"/>
      <c r="J41" s="78"/>
    </row>
    <row r="42" spans="2:10">
      <c r="B42" s="70"/>
      <c r="F42" s="79"/>
      <c r="G42" s="79"/>
      <c r="H42" s="79"/>
      <c r="I42" s="79"/>
      <c r="J42" s="79"/>
    </row>
    <row r="43" spans="2:10">
      <c r="B43" s="70"/>
      <c r="F43" s="79"/>
      <c r="G43" s="79"/>
      <c r="H43" s="79"/>
      <c r="I43" s="79"/>
      <c r="J43" s="79"/>
    </row>
    <row r="44" spans="2:10">
      <c r="B44" s="70"/>
      <c r="F44" s="79"/>
      <c r="G44" s="79"/>
      <c r="H44" s="79"/>
      <c r="I44" s="79"/>
      <c r="J44" s="79"/>
    </row>
    <row r="45" spans="2:10">
      <c r="B45" s="70"/>
      <c r="F45" s="79"/>
      <c r="G45" s="79"/>
      <c r="H45" s="79"/>
      <c r="I45" s="79"/>
      <c r="J45" s="79"/>
    </row>
    <row r="46" spans="2:10">
      <c r="B46" s="70"/>
      <c r="F46" s="79"/>
      <c r="G46" s="79"/>
      <c r="H46" s="79"/>
      <c r="I46" s="79"/>
      <c r="J46" s="79"/>
    </row>
    <row r="47" spans="2:10">
      <c r="B47" s="70"/>
      <c r="F47" s="79"/>
      <c r="G47" s="79"/>
      <c r="H47" s="79"/>
      <c r="I47" s="79"/>
      <c r="J47" s="79"/>
    </row>
    <row r="48" spans="2:10">
      <c r="B48" s="70"/>
      <c r="F48" s="79"/>
      <c r="G48" s="79"/>
      <c r="H48" s="79"/>
      <c r="I48" s="79"/>
      <c r="J48" s="79"/>
    </row>
    <row r="49" spans="2:10">
      <c r="B49" s="70"/>
      <c r="F49" s="80"/>
      <c r="G49" s="80"/>
      <c r="H49" s="80"/>
      <c r="I49" s="80"/>
      <c r="J49" s="80"/>
    </row>
    <row r="50" spans="2:10">
      <c r="B50" s="70"/>
      <c r="F50" s="80"/>
      <c r="G50" s="80"/>
      <c r="H50" s="80"/>
      <c r="I50" s="80"/>
      <c r="J50" s="80"/>
    </row>
    <row r="51" spans="2:10">
      <c r="B51" s="70"/>
      <c r="F51" s="79"/>
      <c r="G51" s="79"/>
      <c r="H51" s="79"/>
      <c r="I51" s="79"/>
      <c r="J51" s="79"/>
    </row>
    <row r="52" spans="2:10">
      <c r="B52" s="70"/>
      <c r="F52" s="79"/>
      <c r="G52" s="79"/>
      <c r="H52" s="79"/>
      <c r="I52" s="79"/>
      <c r="J52" s="79"/>
    </row>
    <row r="53" spans="2:10">
      <c r="B53" s="70"/>
      <c r="F53" s="81"/>
      <c r="G53" s="81"/>
      <c r="H53" s="81"/>
      <c r="I53" s="81"/>
      <c r="J53" s="81"/>
    </row>
    <row r="54" spans="2:10">
      <c r="B54" s="77"/>
    </row>
    <row r="55" spans="2:10">
      <c r="F55" s="78"/>
      <c r="G55" s="78"/>
      <c r="H55" s="78"/>
      <c r="I55" s="78"/>
      <c r="J55" s="78"/>
    </row>
    <row r="56" spans="2:10">
      <c r="B56" s="70"/>
      <c r="F56" s="79"/>
      <c r="G56" s="79"/>
      <c r="H56" s="79"/>
      <c r="I56" s="79"/>
      <c r="J56" s="79"/>
    </row>
    <row r="57" spans="2:10">
      <c r="B57" s="70"/>
      <c r="F57" s="79"/>
      <c r="G57" s="79"/>
      <c r="H57" s="79"/>
      <c r="I57" s="79"/>
      <c r="J57" s="79"/>
    </row>
    <row r="58" spans="2:10">
      <c r="B58" s="70"/>
      <c r="F58" s="79"/>
      <c r="G58" s="79"/>
      <c r="H58" s="79"/>
      <c r="I58" s="79"/>
      <c r="J58" s="79"/>
    </row>
    <row r="59" spans="2:10">
      <c r="B59" s="70"/>
      <c r="F59" s="79"/>
      <c r="G59" s="79"/>
      <c r="H59" s="79"/>
      <c r="I59" s="79"/>
      <c r="J59" s="79"/>
    </row>
    <row r="60" spans="2:10">
      <c r="B60" s="70"/>
      <c r="F60" s="79"/>
      <c r="G60" s="79"/>
      <c r="H60" s="79"/>
      <c r="I60" s="79"/>
      <c r="J60" s="79"/>
    </row>
    <row r="61" spans="2:10">
      <c r="B61" s="70"/>
      <c r="F61" s="79"/>
      <c r="G61" s="79"/>
      <c r="H61" s="79"/>
      <c r="I61" s="79"/>
      <c r="J61" s="79"/>
    </row>
    <row r="62" spans="2:10">
      <c r="B62" s="70"/>
      <c r="F62" s="79"/>
      <c r="G62" s="79"/>
      <c r="H62" s="79"/>
      <c r="I62" s="79"/>
      <c r="J62" s="79"/>
    </row>
    <row r="63" spans="2:10">
      <c r="B63" s="70"/>
      <c r="F63" s="80"/>
      <c r="G63" s="80"/>
      <c r="H63" s="80"/>
      <c r="I63" s="80"/>
      <c r="J63" s="80"/>
    </row>
    <row r="64" spans="2:10">
      <c r="B64" s="70"/>
      <c r="F64" s="80"/>
      <c r="G64" s="80"/>
      <c r="H64" s="80"/>
      <c r="I64" s="80"/>
      <c r="J64" s="80"/>
    </row>
    <row r="65" spans="2:10">
      <c r="B65" s="70"/>
      <c r="F65" s="79"/>
      <c r="G65" s="79"/>
      <c r="H65" s="79"/>
      <c r="I65" s="79"/>
      <c r="J65" s="79"/>
    </row>
    <row r="66" spans="2:10">
      <c r="B66" s="70"/>
      <c r="F66" s="79"/>
      <c r="G66" s="79"/>
      <c r="H66" s="79"/>
      <c r="I66" s="79"/>
      <c r="J66" s="79"/>
    </row>
    <row r="67" spans="2:10">
      <c r="B67" s="70"/>
      <c r="F67" s="81"/>
      <c r="G67" s="81"/>
      <c r="H67" s="81"/>
      <c r="I67" s="81"/>
      <c r="J67" s="81"/>
    </row>
    <row r="68" spans="2:10">
      <c r="B68" s="77"/>
    </row>
    <row r="69" spans="2:10">
      <c r="F69" s="78"/>
      <c r="G69" s="78"/>
      <c r="H69" s="78"/>
      <c r="I69" s="78"/>
      <c r="J69" s="78"/>
    </row>
    <row r="70" spans="2:10">
      <c r="B70" s="70"/>
      <c r="F70" s="79"/>
      <c r="G70" s="79"/>
      <c r="H70" s="79"/>
      <c r="I70" s="79"/>
      <c r="J70" s="79"/>
    </row>
    <row r="71" spans="2:10">
      <c r="B71" s="70"/>
      <c r="F71" s="79"/>
      <c r="G71" s="79"/>
      <c r="H71" s="79"/>
      <c r="I71" s="79"/>
      <c r="J71" s="79"/>
    </row>
    <row r="72" spans="2:10">
      <c r="B72" s="70"/>
      <c r="F72" s="79"/>
      <c r="G72" s="79"/>
      <c r="H72" s="79"/>
      <c r="I72" s="79"/>
      <c r="J72" s="79"/>
    </row>
    <row r="73" spans="2:10">
      <c r="B73" s="70"/>
      <c r="F73" s="79"/>
      <c r="G73" s="79"/>
      <c r="H73" s="79"/>
      <c r="I73" s="79"/>
      <c r="J73" s="79"/>
    </row>
    <row r="74" spans="2:10">
      <c r="B74" s="70"/>
      <c r="F74" s="79"/>
      <c r="G74" s="79"/>
      <c r="H74" s="79"/>
      <c r="I74" s="79"/>
      <c r="J74" s="79"/>
    </row>
    <row r="75" spans="2:10">
      <c r="B75" s="70"/>
      <c r="F75" s="79"/>
      <c r="G75" s="79"/>
      <c r="H75" s="79"/>
      <c r="I75" s="79"/>
      <c r="J75" s="79"/>
    </row>
    <row r="76" spans="2:10">
      <c r="B76" s="70"/>
      <c r="F76" s="79"/>
      <c r="G76" s="79"/>
      <c r="H76" s="79"/>
      <c r="I76" s="79"/>
      <c r="J76" s="79"/>
    </row>
    <row r="77" spans="2:10">
      <c r="B77" s="70"/>
      <c r="F77" s="80"/>
      <c r="G77" s="80"/>
      <c r="H77" s="80"/>
      <c r="I77" s="80"/>
      <c r="J77" s="80"/>
    </row>
    <row r="78" spans="2:10">
      <c r="B78" s="70"/>
      <c r="F78" s="80"/>
      <c r="G78" s="80"/>
      <c r="H78" s="80"/>
      <c r="I78" s="80"/>
      <c r="J78" s="80"/>
    </row>
    <row r="79" spans="2:10">
      <c r="B79" s="70"/>
      <c r="F79" s="79"/>
      <c r="G79" s="79"/>
      <c r="H79" s="79"/>
      <c r="I79" s="79"/>
      <c r="J79" s="79"/>
    </row>
    <row r="80" spans="2:10">
      <c r="B80" s="70"/>
      <c r="F80" s="79"/>
      <c r="G80" s="79"/>
      <c r="H80" s="79"/>
      <c r="I80" s="79"/>
      <c r="J80" s="79"/>
    </row>
    <row r="81" spans="2:10">
      <c r="B81" s="70"/>
      <c r="F81" s="81"/>
      <c r="G81" s="81"/>
      <c r="H81" s="81"/>
      <c r="I81" s="81"/>
      <c r="J81" s="81"/>
    </row>
  </sheetData>
  <dataValidations count="1">
    <dataValidation type="list" allowBlank="1" showInputMessage="1" showErrorMessage="1" promptTitle="Scenario Selection" prompt="Select Bull, Base, or Bear case" sqref="C6" xr:uid="{B122AB97-742B-7A4A-AAFB-DEF2C2BD03E4}">
      <formula1>"Bull,Base,Bear"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9E8-8724-8B49-9587-31710A5CC414}">
  <sheetPr>
    <tabColor rgb="FF2E75B6"/>
  </sheetPr>
  <dimension ref="A2:M226"/>
  <sheetViews>
    <sheetView topLeftCell="A46" zoomScale="150" workbookViewId="0">
      <selection activeCell="G104" sqref="G104"/>
    </sheetView>
  </sheetViews>
  <sheetFormatPr baseColWidth="10" defaultColWidth="11" defaultRowHeight="16"/>
  <cols>
    <col min="1" max="1" width="4.33203125" style="1" customWidth="1"/>
    <col min="2" max="2" width="26.83203125" style="1" customWidth="1"/>
    <col min="3" max="6" width="11" style="1"/>
    <col min="7" max="7" width="14" style="1" customWidth="1"/>
    <col min="8" max="16384" width="11" style="1"/>
  </cols>
  <sheetData>
    <row r="2" spans="1:13" ht="19">
      <c r="A2" s="92"/>
      <c r="B2" s="14" t="s">
        <v>380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>
      <c r="A3" s="92"/>
      <c r="B3" s="62" t="s">
        <v>381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13">
      <c r="A5" s="92"/>
      <c r="B5" s="93" t="s">
        <v>382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7" spans="1:13">
      <c r="B7" s="98" t="s">
        <v>383</v>
      </c>
      <c r="C7" s="61"/>
      <c r="D7" s="61"/>
      <c r="E7" s="61"/>
      <c r="F7" s="61"/>
      <c r="G7" s="61"/>
    </row>
    <row r="8" spans="1:13">
      <c r="B8" s="94"/>
      <c r="C8" s="99" t="s">
        <v>96</v>
      </c>
      <c r="D8" s="99" t="s">
        <v>97</v>
      </c>
      <c r="E8" s="99" t="s">
        <v>98</v>
      </c>
      <c r="F8" s="99" t="s">
        <v>99</v>
      </c>
      <c r="G8" s="95"/>
    </row>
    <row r="9" spans="1:13">
      <c r="B9" s="100" t="s">
        <v>384</v>
      </c>
      <c r="C9" s="101"/>
      <c r="D9" s="102">
        <f>C18</f>
        <v>2786.3</v>
      </c>
      <c r="E9" s="102">
        <f>D18</f>
        <v>3192.9</v>
      </c>
      <c r="F9" s="102">
        <f>E18</f>
        <v>3328.7</v>
      </c>
      <c r="G9" s="96"/>
    </row>
    <row r="10" spans="1:13">
      <c r="B10" s="100" t="s">
        <v>385</v>
      </c>
      <c r="C10" s="104">
        <v>5.6000000000000001E-2</v>
      </c>
      <c r="D10" s="104">
        <v>4.9000000000000002E-2</v>
      </c>
      <c r="E10" s="104">
        <v>6.2E-2</v>
      </c>
      <c r="F10" s="104">
        <v>6.3E-2</v>
      </c>
    </row>
    <row r="11" spans="1:13">
      <c r="B11" s="105" t="s">
        <v>386</v>
      </c>
      <c r="C11" s="106">
        <f>C18*C10</f>
        <v>156.03280000000001</v>
      </c>
      <c r="D11" s="106">
        <f>D9*D10</f>
        <v>136.52870000000001</v>
      </c>
      <c r="E11" s="106">
        <f>E9*E10</f>
        <v>197.9598</v>
      </c>
      <c r="F11" s="106">
        <f>F9*F10</f>
        <v>209.7081</v>
      </c>
    </row>
    <row r="12" spans="1:13">
      <c r="B12" s="100" t="s">
        <v>387</v>
      </c>
      <c r="C12" s="104">
        <v>3.0000000000000001E-3</v>
      </c>
      <c r="D12" s="104">
        <v>4.1000000000000002E-2</v>
      </c>
      <c r="E12" s="104">
        <v>-2.9000000000000001E-2</v>
      </c>
      <c r="F12" s="104">
        <v>-4.7E-2</v>
      </c>
    </row>
    <row r="13" spans="1:13">
      <c r="B13" s="105" t="s">
        <v>388</v>
      </c>
      <c r="C13" s="106">
        <f>C18*C12</f>
        <v>8.3589000000000002</v>
      </c>
      <c r="D13" s="106">
        <f>D9*D12</f>
        <v>114.23830000000001</v>
      </c>
      <c r="E13" s="106">
        <f>E9*E12</f>
        <v>-92.594100000000012</v>
      </c>
      <c r="F13" s="106">
        <f>F9*F12</f>
        <v>-156.44889999999998</v>
      </c>
    </row>
    <row r="14" spans="1:13">
      <c r="B14" s="100" t="s">
        <v>389</v>
      </c>
      <c r="C14" s="104">
        <v>8.6999999999999994E-2</v>
      </c>
      <c r="D14" s="104">
        <v>5.6000000000000001E-2</v>
      </c>
      <c r="E14" s="104">
        <v>0.01</v>
      </c>
      <c r="F14" s="104">
        <v>3.0000000000000001E-3</v>
      </c>
    </row>
    <row r="15" spans="1:13">
      <c r="B15" s="105" t="s">
        <v>390</v>
      </c>
      <c r="C15" s="106">
        <f>C18*C14</f>
        <v>242.40809999999999</v>
      </c>
      <c r="D15" s="106">
        <f>D9*D14</f>
        <v>156.03280000000001</v>
      </c>
      <c r="E15" s="106">
        <f>E9*E14</f>
        <v>31.929000000000002</v>
      </c>
      <c r="F15" s="106">
        <f>F9*F14</f>
        <v>9.9861000000000004</v>
      </c>
    </row>
    <row r="16" spans="1:13">
      <c r="B16" s="107" t="s">
        <v>391</v>
      </c>
      <c r="C16" s="108">
        <f>C10+C12+C14</f>
        <v>0.14599999999999999</v>
      </c>
      <c r="D16" s="108">
        <f>D10+D12+D14</f>
        <v>0.14599999999999999</v>
      </c>
      <c r="E16" s="108">
        <f>E10+E12+E14</f>
        <v>4.3000000000000003E-2</v>
      </c>
      <c r="F16" s="108">
        <f>F10+F12+F14</f>
        <v>1.9E-2</v>
      </c>
    </row>
    <row r="17" spans="2:8">
      <c r="B17" s="107" t="s">
        <v>392</v>
      </c>
      <c r="C17" s="110">
        <f>C18+C11+C13+C15</f>
        <v>3193.0998000000004</v>
      </c>
      <c r="D17" s="111">
        <f>D9+D11+D13+D15</f>
        <v>3193.0998</v>
      </c>
      <c r="E17" s="111">
        <f>E9+E11+E13+E15</f>
        <v>3330.1947000000005</v>
      </c>
      <c r="F17" s="111">
        <f>F9+F11+F13+F15</f>
        <v>3391.9452999999999</v>
      </c>
    </row>
    <row r="18" spans="2:8">
      <c r="B18" s="103" t="s">
        <v>393</v>
      </c>
      <c r="C18" s="112">
        <v>2786.3</v>
      </c>
      <c r="D18" s="112">
        <v>3192.9</v>
      </c>
      <c r="E18" s="112">
        <v>3328.7</v>
      </c>
      <c r="F18" s="112">
        <v>3393.2</v>
      </c>
    </row>
    <row r="20" spans="2:8">
      <c r="B20" s="93" t="s">
        <v>394</v>
      </c>
      <c r="C20" s="61"/>
      <c r="D20" s="61"/>
      <c r="E20" s="61"/>
      <c r="F20" s="61"/>
      <c r="G20" s="61"/>
      <c r="H20" s="61"/>
    </row>
    <row r="21" spans="2:8">
      <c r="B21" s="63"/>
      <c r="C21" s="99" t="s">
        <v>100</v>
      </c>
      <c r="D21" s="99" t="s">
        <v>101</v>
      </c>
      <c r="E21" s="99" t="s">
        <v>360</v>
      </c>
      <c r="F21" s="99" t="s">
        <v>361</v>
      </c>
      <c r="G21" s="99" t="s">
        <v>362</v>
      </c>
      <c r="H21" s="113" t="s">
        <v>395</v>
      </c>
    </row>
    <row r="22" spans="2:8">
      <c r="B22" s="107" t="s">
        <v>385</v>
      </c>
      <c r="C22" s="104">
        <v>0.06</v>
      </c>
      <c r="D22" s="104">
        <v>5.5E-2</v>
      </c>
      <c r="E22" s="104">
        <v>0.05</v>
      </c>
      <c r="F22" s="104">
        <v>0.05</v>
      </c>
      <c r="G22" s="104">
        <v>0.05</v>
      </c>
      <c r="H22" s="472" t="s">
        <v>396</v>
      </c>
    </row>
    <row r="23" spans="2:8">
      <c r="B23" s="472" t="s">
        <v>397</v>
      </c>
      <c r="C23" s="114">
        <v>5.5E-2</v>
      </c>
      <c r="D23" s="114">
        <v>0.05</v>
      </c>
      <c r="E23" s="114">
        <v>0.05</v>
      </c>
      <c r="F23" s="114">
        <v>0.05</v>
      </c>
      <c r="G23" s="114">
        <v>0.05</v>
      </c>
      <c r="H23" s="472" t="s">
        <v>398</v>
      </c>
    </row>
    <row r="24" spans="2:8">
      <c r="B24" s="472" t="s">
        <v>399</v>
      </c>
      <c r="C24" s="114">
        <v>0.04</v>
      </c>
      <c r="D24" s="114">
        <v>0.04</v>
      </c>
      <c r="E24" s="114">
        <v>0.04</v>
      </c>
      <c r="F24" s="114">
        <v>0.04</v>
      </c>
      <c r="G24" s="114">
        <v>0.04</v>
      </c>
      <c r="H24" s="472" t="s">
        <v>400</v>
      </c>
    </row>
    <row r="25" spans="2:8">
      <c r="B25" s="472" t="s">
        <v>401</v>
      </c>
      <c r="C25" s="114">
        <v>6.5000000000000002E-2</v>
      </c>
      <c r="D25" s="114">
        <v>6.5000000000000002E-2</v>
      </c>
      <c r="E25" s="114">
        <v>0.06</v>
      </c>
      <c r="F25" s="114">
        <v>5.5E-2</v>
      </c>
      <c r="G25" s="114">
        <v>0.05</v>
      </c>
      <c r="H25" s="472" t="s">
        <v>402</v>
      </c>
    </row>
    <row r="26" spans="2:8">
      <c r="B26" s="472" t="s">
        <v>403</v>
      </c>
      <c r="C26" s="114">
        <v>7.4999999999999997E-2</v>
      </c>
      <c r="D26" s="114">
        <v>7.0000000000000007E-2</v>
      </c>
      <c r="E26" s="114">
        <v>6.5000000000000002E-2</v>
      </c>
      <c r="F26" s="114">
        <v>0.06</v>
      </c>
      <c r="G26" s="114">
        <v>0.06</v>
      </c>
      <c r="H26" s="472" t="s">
        <v>404</v>
      </c>
    </row>
    <row r="27" spans="2:8">
      <c r="B27" s="472" t="s">
        <v>405</v>
      </c>
      <c r="C27" s="114">
        <v>7.4999999999999997E-2</v>
      </c>
      <c r="D27" s="114">
        <v>7.0000000000000007E-2</v>
      </c>
      <c r="E27" s="114">
        <v>6.5000000000000002E-2</v>
      </c>
      <c r="F27" s="114">
        <v>6.5000000000000002E-2</v>
      </c>
      <c r="G27" s="114">
        <v>6.5000000000000002E-2</v>
      </c>
      <c r="H27" s="472" t="s">
        <v>406</v>
      </c>
    </row>
    <row r="28" spans="2:8">
      <c r="B28" s="107" t="s">
        <v>387</v>
      </c>
      <c r="C28" s="104">
        <v>0</v>
      </c>
      <c r="D28" s="104">
        <v>0</v>
      </c>
      <c r="E28" s="104">
        <v>0</v>
      </c>
      <c r="F28" s="104">
        <v>0</v>
      </c>
      <c r="G28" s="104">
        <v>0</v>
      </c>
      <c r="H28" s="472" t="s">
        <v>407</v>
      </c>
    </row>
    <row r="29" spans="2:8">
      <c r="B29" s="107" t="s">
        <v>389</v>
      </c>
      <c r="C29" s="104">
        <v>5.0000000000000001E-3</v>
      </c>
      <c r="D29" s="104">
        <v>5.0000000000000001E-3</v>
      </c>
      <c r="E29" s="104">
        <v>3.0000000000000001E-3</v>
      </c>
      <c r="F29" s="104">
        <v>3.0000000000000001E-3</v>
      </c>
      <c r="G29" s="104">
        <v>0</v>
      </c>
      <c r="H29" s="472" t="s">
        <v>408</v>
      </c>
    </row>
    <row r="30" spans="2:8">
      <c r="B30" s="107" t="s">
        <v>391</v>
      </c>
      <c r="C30" s="108">
        <f>C22+C28+C29</f>
        <v>6.5000000000000002E-2</v>
      </c>
      <c r="D30" s="108">
        <f>D22+D28+D29</f>
        <v>0.06</v>
      </c>
      <c r="E30" s="108">
        <f>E22+E28+E29</f>
        <v>5.3000000000000005E-2</v>
      </c>
      <c r="F30" s="108">
        <f>F22+F28+F29</f>
        <v>5.3000000000000005E-2</v>
      </c>
      <c r="G30" s="108">
        <f>G22+G28+G29</f>
        <v>0.05</v>
      </c>
    </row>
    <row r="33" spans="2:13">
      <c r="B33" s="93" t="s">
        <v>409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6" spans="2:13">
      <c r="B36" s="98" t="s">
        <v>410</v>
      </c>
      <c r="C36" s="61"/>
      <c r="D36" s="61"/>
      <c r="E36" s="61"/>
      <c r="F36" s="61"/>
      <c r="G36" s="61"/>
    </row>
    <row r="37" spans="2:13">
      <c r="B37" s="94"/>
      <c r="C37" s="99" t="s">
        <v>96</v>
      </c>
      <c r="D37" s="99" t="s">
        <v>97</v>
      </c>
      <c r="E37" s="99" t="s">
        <v>98</v>
      </c>
      <c r="F37" s="99" t="s">
        <v>99</v>
      </c>
      <c r="G37" s="95"/>
    </row>
    <row r="39" spans="2:13">
      <c r="B39" s="1" t="s">
        <v>102</v>
      </c>
      <c r="C39" s="24">
        <f>'Historical Financials'!E10</f>
        <v>2786.3</v>
      </c>
      <c r="D39" s="24">
        <f>'Historical Financials'!F10</f>
        <v>3192.9</v>
      </c>
      <c r="E39" s="24">
        <f>'Historical Financials'!G10</f>
        <v>3328.7</v>
      </c>
      <c r="F39" s="24">
        <f>'Historical Financials'!H10</f>
        <v>3393.2</v>
      </c>
    </row>
    <row r="40" spans="2:13">
      <c r="B40" s="1" t="s">
        <v>218</v>
      </c>
      <c r="C40" s="24">
        <f>'Historical Financials'!E12</f>
        <v>644</v>
      </c>
      <c r="D40" s="24">
        <f>'Historical Financials'!F12</f>
        <v>700.20000000000027</v>
      </c>
      <c r="E40" s="24">
        <f>'Historical Financials'!G12</f>
        <v>723.19999999999982</v>
      </c>
      <c r="F40" s="24">
        <f>'Historical Financials'!H12</f>
        <v>747.89999999999964</v>
      </c>
    </row>
    <row r="41" spans="2:13">
      <c r="B41" s="50" t="s">
        <v>103</v>
      </c>
      <c r="C41" s="115">
        <f>C40/C39</f>
        <v>0.23113089042816637</v>
      </c>
      <c r="D41" s="115">
        <f t="shared" ref="D41:F41" si="0">D40/D39</f>
        <v>0.21929906981114355</v>
      </c>
      <c r="E41" s="115">
        <f t="shared" si="0"/>
        <v>0.2172619941718989</v>
      </c>
      <c r="F41" s="115">
        <f t="shared" si="0"/>
        <v>0.22041141105740883</v>
      </c>
    </row>
    <row r="44" spans="2:13">
      <c r="B44" s="98" t="s">
        <v>411</v>
      </c>
      <c r="C44" s="61"/>
      <c r="D44" s="61"/>
      <c r="E44" s="61"/>
      <c r="F44" s="61"/>
      <c r="G44" s="61"/>
      <c r="H44" s="61"/>
    </row>
    <row r="45" spans="2:13">
      <c r="B45" s="94"/>
      <c r="C45" s="99" t="s">
        <v>100</v>
      </c>
      <c r="D45" s="99" t="s">
        <v>101</v>
      </c>
      <c r="E45" s="99" t="s">
        <v>360</v>
      </c>
      <c r="F45" s="99" t="s">
        <v>361</v>
      </c>
      <c r="G45" s="99" t="s">
        <v>362</v>
      </c>
      <c r="H45" s="113" t="s">
        <v>395</v>
      </c>
    </row>
    <row r="46" spans="2:13">
      <c r="B46" s="1" t="s">
        <v>412</v>
      </c>
      <c r="C46" s="57">
        <f>AVERAGE(E41:F41)</f>
        <v>0.21883670261465388</v>
      </c>
      <c r="D46" s="57">
        <f>C46</f>
        <v>0.21883670261465388</v>
      </c>
      <c r="E46" s="57">
        <f t="shared" ref="E46:G46" si="1">D46</f>
        <v>0.21883670261465388</v>
      </c>
      <c r="F46" s="57">
        <f t="shared" si="1"/>
        <v>0.21883670261465388</v>
      </c>
      <c r="G46" s="57">
        <f t="shared" si="1"/>
        <v>0.21883670261465388</v>
      </c>
      <c r="H46" s="1" t="s">
        <v>413</v>
      </c>
    </row>
    <row r="50" spans="2:13">
      <c r="B50" s="93" t="s">
        <v>414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</row>
    <row r="53" spans="2:13">
      <c r="B53" s="98" t="s">
        <v>415</v>
      </c>
      <c r="C53" s="61"/>
      <c r="D53" s="61"/>
      <c r="E53" s="61"/>
      <c r="F53" s="61"/>
      <c r="G53" s="61"/>
    </row>
    <row r="54" spans="2:13">
      <c r="B54" s="94"/>
      <c r="C54" s="99" t="s">
        <v>96</v>
      </c>
      <c r="D54" s="99" t="s">
        <v>97</v>
      </c>
      <c r="E54" s="99" t="s">
        <v>98</v>
      </c>
      <c r="F54" s="99" t="s">
        <v>99</v>
      </c>
      <c r="G54" s="95"/>
    </row>
    <row r="56" spans="2:13">
      <c r="B56" s="1" t="s">
        <v>416</v>
      </c>
      <c r="D56" s="24">
        <f>'Forecast Model'!G41</f>
        <v>694.4</v>
      </c>
      <c r="E56" s="24">
        <f>'Forecast Model'!H41</f>
        <v>669.6</v>
      </c>
      <c r="F56" s="24">
        <f>'Forecast Model'!I41</f>
        <v>692.8</v>
      </c>
    </row>
    <row r="57" spans="2:13">
      <c r="B57" s="1" t="s">
        <v>417</v>
      </c>
      <c r="D57" s="24">
        <f>-'Historical Financials'!F14</f>
        <v>215.3</v>
      </c>
      <c r="E57" s="24">
        <f>-'Historical Financials'!G14</f>
        <v>209.5</v>
      </c>
      <c r="F57" s="24">
        <f>-'Historical Financials'!H14</f>
        <v>194</v>
      </c>
    </row>
    <row r="58" spans="2:13">
      <c r="B58" s="1" t="s">
        <v>418</v>
      </c>
      <c r="D58" s="59">
        <f>D57/D56</f>
        <v>0.31005184331797236</v>
      </c>
      <c r="E58" s="59">
        <f t="shared" ref="E58:F58" si="2">E57/E56</f>
        <v>0.31287335722819593</v>
      </c>
      <c r="F58" s="59">
        <f t="shared" si="2"/>
        <v>0.28002309468822173</v>
      </c>
    </row>
    <row r="60" spans="2:13">
      <c r="B60" s="116" t="s">
        <v>419</v>
      </c>
      <c r="C60" s="116"/>
      <c r="D60" s="117">
        <f>AVERAGE(D58:F58)</f>
        <v>0.30098276507812999</v>
      </c>
    </row>
    <row r="65" spans="2:13">
      <c r="B65" s="93" t="s">
        <v>420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</row>
    <row r="67" spans="2:13">
      <c r="B67" s="98" t="s">
        <v>421</v>
      </c>
      <c r="C67" s="61"/>
      <c r="D67" s="61"/>
      <c r="E67" s="61"/>
      <c r="F67" s="61"/>
      <c r="G67" s="61"/>
    </row>
    <row r="68" spans="2:13">
      <c r="B68" s="94"/>
      <c r="C68" s="99" t="s">
        <v>96</v>
      </c>
      <c r="D68" s="99" t="s">
        <v>97</v>
      </c>
      <c r="E68" s="99" t="s">
        <v>98</v>
      </c>
      <c r="F68" s="99" t="s">
        <v>99</v>
      </c>
      <c r="G68" s="95"/>
    </row>
    <row r="70" spans="2:13">
      <c r="B70" s="1" t="s">
        <v>422</v>
      </c>
      <c r="C70" s="24">
        <f>-'Historical Financials'!E96</f>
        <v>97.1</v>
      </c>
      <c r="D70" s="24">
        <f>-'Historical Financials'!F96</f>
        <v>116.5</v>
      </c>
      <c r="E70" s="24">
        <f>-'Historical Financials'!G96</f>
        <v>116.9</v>
      </c>
      <c r="F70" s="24">
        <f>-'Historical Financials'!H96</f>
        <v>135</v>
      </c>
    </row>
    <row r="71" spans="2:13">
      <c r="B71" s="1" t="s">
        <v>423</v>
      </c>
      <c r="C71" s="59">
        <f>C70/C39</f>
        <v>3.4849083013315144E-2</v>
      </c>
      <c r="D71" s="59">
        <f>D70/D39</f>
        <v>3.648720598828651E-2</v>
      </c>
      <c r="E71" s="59">
        <f>E70/E39</f>
        <v>3.5118815153062762E-2</v>
      </c>
      <c r="F71" s="59">
        <f>F70/F39</f>
        <v>3.9785453259460098E-2</v>
      </c>
    </row>
    <row r="73" spans="2:13">
      <c r="B73" s="9" t="s">
        <v>424</v>
      </c>
      <c r="C73" s="109">
        <f>AVERAGE(C71:F71)</f>
        <v>3.6560139353531126E-2</v>
      </c>
    </row>
    <row r="76" spans="2:13">
      <c r="B76" s="98" t="s">
        <v>425</v>
      </c>
      <c r="C76" s="61"/>
      <c r="D76" s="61"/>
      <c r="E76" s="61"/>
      <c r="F76" s="61"/>
      <c r="G76" s="61"/>
    </row>
    <row r="77" spans="2:13">
      <c r="B77" s="94"/>
      <c r="C77" s="99" t="s">
        <v>96</v>
      </c>
      <c r="D77" s="99" t="s">
        <v>97</v>
      </c>
      <c r="E77" s="99" t="s">
        <v>98</v>
      </c>
      <c r="F77" s="99" t="s">
        <v>99</v>
      </c>
      <c r="G77" s="95"/>
    </row>
    <row r="79" spans="2:13">
      <c r="B79" s="1" t="s">
        <v>416</v>
      </c>
      <c r="D79" s="24">
        <f t="shared" ref="D79:F81" si="3">D56</f>
        <v>694.4</v>
      </c>
      <c r="E79" s="24">
        <f t="shared" si="3"/>
        <v>669.6</v>
      </c>
      <c r="F79" s="24">
        <f t="shared" si="3"/>
        <v>692.8</v>
      </c>
    </row>
    <row r="80" spans="2:13">
      <c r="B80" s="1" t="s">
        <v>417</v>
      </c>
      <c r="D80" s="24">
        <f t="shared" si="3"/>
        <v>215.3</v>
      </c>
      <c r="E80" s="24">
        <f t="shared" si="3"/>
        <v>209.5</v>
      </c>
      <c r="F80" s="24">
        <f t="shared" si="3"/>
        <v>194</v>
      </c>
    </row>
    <row r="81" spans="2:13">
      <c r="B81" s="1" t="s">
        <v>418</v>
      </c>
      <c r="D81" s="59">
        <f t="shared" si="3"/>
        <v>0.31005184331797236</v>
      </c>
      <c r="E81" s="59">
        <f t="shared" si="3"/>
        <v>0.31287335722819593</v>
      </c>
      <c r="F81" s="59">
        <f t="shared" si="3"/>
        <v>0.28002309468822173</v>
      </c>
    </row>
    <row r="83" spans="2:13">
      <c r="B83" s="116" t="s">
        <v>419</v>
      </c>
      <c r="C83" s="116"/>
      <c r="D83" s="117">
        <f>AVERAGE(D81:F81)</f>
        <v>0.30098276507812999</v>
      </c>
    </row>
    <row r="86" spans="2:13">
      <c r="B86" s="98" t="s">
        <v>426</v>
      </c>
      <c r="C86" s="61"/>
      <c r="D86" s="61"/>
      <c r="E86" s="61"/>
      <c r="F86" s="61"/>
      <c r="G86" s="61"/>
      <c r="H86" s="61"/>
    </row>
    <row r="87" spans="2:13">
      <c r="B87" s="94"/>
      <c r="C87" s="119" t="s">
        <v>99</v>
      </c>
      <c r="D87" s="99" t="s">
        <v>100</v>
      </c>
      <c r="E87" s="99" t="s">
        <v>101</v>
      </c>
      <c r="F87" s="99" t="s">
        <v>360</v>
      </c>
      <c r="G87" s="99" t="s">
        <v>361</v>
      </c>
      <c r="H87" s="99" t="s">
        <v>362</v>
      </c>
    </row>
    <row r="89" spans="2:13">
      <c r="B89" s="9" t="s">
        <v>427</v>
      </c>
      <c r="D89" s="24">
        <f>C92</f>
        <v>692.8</v>
      </c>
      <c r="E89" s="24">
        <f>D92</f>
        <v>616.39863642380942</v>
      </c>
      <c r="F89" s="24">
        <f t="shared" ref="F89:H89" si="4">E92</f>
        <v>570.91993627671661</v>
      </c>
      <c r="G89" s="24">
        <f>F92</f>
        <v>546.552014341264</v>
      </c>
      <c r="H89" s="24">
        <f t="shared" si="4"/>
        <v>537.33428130268908</v>
      </c>
    </row>
    <row r="90" spans="2:13">
      <c r="B90" s="9" t="s">
        <v>428</v>
      </c>
      <c r="D90" s="87">
        <f>$C$73*'Forecast Model'!J8</f>
        <v>132.11949606993792</v>
      </c>
      <c r="E90" s="87">
        <f>$C$73*'Forecast Model'!K8</f>
        <v>140.04666583413422</v>
      </c>
      <c r="F90" s="87">
        <f>$C$73*'Forecast Model'!L8</f>
        <v>147.46913912334333</v>
      </c>
      <c r="G90" s="87">
        <f>$C$73*'Forecast Model'!M8</f>
        <v>155.28500349688051</v>
      </c>
      <c r="H90" s="87">
        <f>$C$73*'Forecast Model'!N8</f>
        <v>163.04925367172453</v>
      </c>
    </row>
    <row r="91" spans="2:13">
      <c r="B91" s="118" t="s">
        <v>429</v>
      </c>
      <c r="D91" s="87">
        <f>-$D$83*D89</f>
        <v>-208.52085964612843</v>
      </c>
      <c r="E91" s="87">
        <f>-$D$83*E89</f>
        <v>-185.52536598122708</v>
      </c>
      <c r="F91" s="87">
        <f>-$D$83*F89</f>
        <v>-171.83706105879594</v>
      </c>
      <c r="G91" s="87">
        <f>-$D$83*G89</f>
        <v>-164.5027365354554</v>
      </c>
      <c r="H91" s="87">
        <f>-$D$83*H89</f>
        <v>-161.72835775775309</v>
      </c>
    </row>
    <row r="92" spans="2:13">
      <c r="B92" s="9" t="s">
        <v>430</v>
      </c>
      <c r="C92" s="24">
        <f>'Forecast Model'!I41</f>
        <v>692.8</v>
      </c>
      <c r="D92" s="24">
        <f>SUM(D89:D91)</f>
        <v>616.39863642380942</v>
      </c>
      <c r="E92" s="24">
        <f>SUM(E89:E91)</f>
        <v>570.91993627671661</v>
      </c>
      <c r="F92" s="24">
        <f t="shared" ref="F92:H92" si="5">SUM(F89:F91)</f>
        <v>546.552014341264</v>
      </c>
      <c r="G92" s="24">
        <f t="shared" si="5"/>
        <v>537.33428130268908</v>
      </c>
      <c r="H92" s="24">
        <f t="shared" si="5"/>
        <v>538.65517721666049</v>
      </c>
    </row>
    <row r="95" spans="2:13">
      <c r="B95" s="93" t="s">
        <v>431</v>
      </c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</row>
    <row r="98" spans="2:13">
      <c r="B98" s="98" t="s">
        <v>432</v>
      </c>
      <c r="C98" s="61"/>
      <c r="D98" s="61"/>
      <c r="E98" s="61"/>
      <c r="F98" s="61"/>
      <c r="G98" s="61"/>
    </row>
    <row r="99" spans="2:13">
      <c r="B99" s="94"/>
      <c r="C99" s="99" t="s">
        <v>96</v>
      </c>
      <c r="D99" s="99" t="s">
        <v>97</v>
      </c>
      <c r="E99" s="99" t="s">
        <v>98</v>
      </c>
      <c r="F99" s="99" t="s">
        <v>99</v>
      </c>
      <c r="G99" s="95"/>
    </row>
    <row r="101" spans="2:13">
      <c r="B101" s="1" t="s">
        <v>220</v>
      </c>
      <c r="C101" s="24">
        <f>'Forecast Model'!F15</f>
        <v>-20</v>
      </c>
      <c r="D101" s="24">
        <f>'Forecast Model'!G15</f>
        <v>-33.6</v>
      </c>
      <c r="E101" s="24">
        <f>'Forecast Model'!H15</f>
        <v>-50.7</v>
      </c>
      <c r="F101" s="24">
        <f>'Forecast Model'!I15</f>
        <v>-25.5</v>
      </c>
    </row>
    <row r="102" spans="2:13">
      <c r="B102" s="1" t="s">
        <v>433</v>
      </c>
      <c r="C102" s="57">
        <f>C101/'Forecast Model'!F8</f>
        <v>-7.1779779636076515E-3</v>
      </c>
      <c r="D102" s="57">
        <f>D101/'Forecast Model'!G8</f>
        <v>-1.0523348679883492E-2</v>
      </c>
      <c r="E102" s="57">
        <f>E101/'Forecast Model'!H8</f>
        <v>-1.5231171328146125E-2</v>
      </c>
      <c r="F102" s="57">
        <f>F101/'Forecast Model'!I8</f>
        <v>-7.5150300601202411E-3</v>
      </c>
    </row>
    <row r="103" spans="2:13">
      <c r="B103" s="1" t="s">
        <v>222</v>
      </c>
      <c r="C103" s="24">
        <f>'Forecast Model'!F17</f>
        <v>2.9</v>
      </c>
      <c r="D103" s="24">
        <f>'Forecast Model'!G17</f>
        <v>11.3</v>
      </c>
      <c r="E103" s="24">
        <f>'Forecast Model'!H17</f>
        <v>5.5</v>
      </c>
      <c r="F103" s="24">
        <f>'Forecast Model'!I17</f>
        <v>5</v>
      </c>
    </row>
    <row r="104" spans="2:13">
      <c r="B104" s="1" t="s">
        <v>433</v>
      </c>
      <c r="C104" s="57">
        <f>C103/'Forecast Model'!F8</f>
        <v>1.0408068047231094E-3</v>
      </c>
      <c r="D104" s="57">
        <f>D103/'Forecast Model'!G8</f>
        <v>3.539102383413198E-3</v>
      </c>
      <c r="E104" s="57">
        <f>E103/'Forecast Model'!H8</f>
        <v>1.6522966924024396E-3</v>
      </c>
      <c r="F104" s="57">
        <f>F103/'Forecast Model'!I8</f>
        <v>1.4735353059059295E-3</v>
      </c>
    </row>
    <row r="106" spans="2:13">
      <c r="B106" s="116" t="s">
        <v>434</v>
      </c>
      <c r="C106" s="121">
        <f>AVERAGE(C102:F102)</f>
        <v>-1.0111882007939377E-2</v>
      </c>
    </row>
    <row r="107" spans="2:13">
      <c r="B107" s="116" t="s">
        <v>435</v>
      </c>
      <c r="C107" s="121">
        <f>AVERAGE(C104:F104)</f>
        <v>1.926435296611169E-3</v>
      </c>
    </row>
    <row r="110" spans="2:13">
      <c r="B110" s="93" t="s">
        <v>436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</row>
    <row r="113" spans="2:13">
      <c r="B113" s="93" t="s">
        <v>432</v>
      </c>
      <c r="C113" s="61"/>
      <c r="D113" s="61"/>
      <c r="E113" s="61"/>
      <c r="F113" s="61"/>
      <c r="G113" s="61"/>
    </row>
    <row r="114" spans="2:13">
      <c r="B114" s="120"/>
      <c r="C114" s="99" t="s">
        <v>96</v>
      </c>
      <c r="D114" s="99" t="s">
        <v>97</v>
      </c>
      <c r="E114" s="99" t="s">
        <v>98</v>
      </c>
      <c r="F114" s="99" t="s">
        <v>99</v>
      </c>
      <c r="G114" s="95"/>
    </row>
    <row r="115" spans="2:13">
      <c r="B115" s="1" t="s">
        <v>224</v>
      </c>
      <c r="C115" s="24">
        <f>'Forecast Model'!F20</f>
        <v>-106.7</v>
      </c>
      <c r="D115" s="24">
        <f>'Forecast Model'!G20</f>
        <v>-113</v>
      </c>
      <c r="E115" s="24">
        <f>'Forecast Model'!H20</f>
        <v>-104.2</v>
      </c>
      <c r="F115" s="24">
        <f>'Forecast Model'!I20</f>
        <v>-122.8</v>
      </c>
    </row>
    <row r="116" spans="2:13">
      <c r="B116" s="1" t="s">
        <v>223</v>
      </c>
      <c r="C116" s="24">
        <f>'Forecast Model'!F18</f>
        <v>413.4</v>
      </c>
      <c r="D116" s="24">
        <f>'Forecast Model'!G18</f>
        <v>419.80000000000024</v>
      </c>
      <c r="E116" s="24">
        <f>'Forecast Model'!H18</f>
        <v>422.29999999999984</v>
      </c>
      <c r="F116" s="24">
        <f>'Forecast Model'!I18</f>
        <v>489.99999999999966</v>
      </c>
    </row>
    <row r="117" spans="2:13">
      <c r="B117" s="1" t="s">
        <v>437</v>
      </c>
      <c r="C117" s="57">
        <f>C115/C116</f>
        <v>-0.25810353168843736</v>
      </c>
      <c r="D117" s="57">
        <f>D115/D116</f>
        <v>-0.26917579799904701</v>
      </c>
      <c r="E117" s="57">
        <f>E115/E116</f>
        <v>-0.24674402083826674</v>
      </c>
      <c r="F117" s="57">
        <f>F115/F116</f>
        <v>-0.25061224489795936</v>
      </c>
    </row>
    <row r="119" spans="2:13">
      <c r="B119" s="1" t="s">
        <v>438</v>
      </c>
      <c r="C119" s="57">
        <f>AVERAGE(C117:F117)</f>
        <v>-0.25615889885592763</v>
      </c>
    </row>
    <row r="121" spans="2:13">
      <c r="B121" s="93" t="s">
        <v>439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</row>
    <row r="123" spans="2:13">
      <c r="B123" s="93" t="s">
        <v>440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</row>
    <row r="124" spans="2:13">
      <c r="B124" s="120"/>
      <c r="C124" s="99" t="s">
        <v>96</v>
      </c>
      <c r="D124" s="99" t="s">
        <v>97</v>
      </c>
      <c r="E124" s="99" t="s">
        <v>98</v>
      </c>
      <c r="F124" s="99" t="s">
        <v>99</v>
      </c>
      <c r="G124" s="95"/>
    </row>
    <row r="125" spans="2:13">
      <c r="B125" s="1" t="s">
        <v>227</v>
      </c>
      <c r="C125" s="24">
        <f>'Forecast Model'!F23</f>
        <v>-18.600000000000001</v>
      </c>
      <c r="D125" s="24">
        <f>'Forecast Model'!G23</f>
        <v>-18</v>
      </c>
      <c r="E125" s="24">
        <f>'Forecast Model'!H23</f>
        <v>-20.7</v>
      </c>
      <c r="F125" s="24">
        <f>'Forecast Model'!I23</f>
        <v>-21.8</v>
      </c>
    </row>
    <row r="126" spans="2:13">
      <c r="B126" s="1" t="s">
        <v>226</v>
      </c>
      <c r="C126" s="24">
        <f>'Forecast Model'!F24</f>
        <v>288.09999999999997</v>
      </c>
      <c r="D126" s="24">
        <f>'Forecast Model'!G24</f>
        <v>288.80000000000024</v>
      </c>
      <c r="E126" s="24">
        <f>'Forecast Model'!H24</f>
        <v>297.39999999999986</v>
      </c>
      <c r="F126" s="24">
        <f>'Forecast Model'!I24</f>
        <v>345.39999999999964</v>
      </c>
    </row>
    <row r="127" spans="2:13">
      <c r="B127" s="1" t="s">
        <v>441</v>
      </c>
      <c r="C127" s="57">
        <f>C125/C126</f>
        <v>-6.4560916348490122E-2</v>
      </c>
      <c r="D127" s="57">
        <f>D125/D126</f>
        <v>-6.2326869806094129E-2</v>
      </c>
      <c r="E127" s="57">
        <f>E125/E126</f>
        <v>-6.9603227975790216E-2</v>
      </c>
      <c r="F127" s="57">
        <f>F125/F126</f>
        <v>-6.3115228720324323E-2</v>
      </c>
    </row>
    <row r="129" spans="2:13">
      <c r="B129" s="1" t="s">
        <v>442</v>
      </c>
      <c r="C129" s="57">
        <f>AVERAGE(C127:F127)</f>
        <v>-6.4901560712674694E-2</v>
      </c>
    </row>
    <row r="132" spans="2:13">
      <c r="B132" s="93" t="s">
        <v>232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</row>
    <row r="134" spans="2:13">
      <c r="B134" s="93" t="s">
        <v>443</v>
      </c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</row>
    <row r="135" spans="2:13">
      <c r="B135" s="120"/>
      <c r="C135" s="99" t="s">
        <v>96</v>
      </c>
      <c r="D135" s="99" t="s">
        <v>97</v>
      </c>
      <c r="E135" s="99" t="s">
        <v>98</v>
      </c>
      <c r="F135" s="99" t="s">
        <v>99</v>
      </c>
      <c r="G135" s="95"/>
    </row>
    <row r="136" spans="2:13">
      <c r="B136" s="1" t="s">
        <v>232</v>
      </c>
      <c r="C136" s="24">
        <f>'Forecast Model'!F36</f>
        <v>78.5</v>
      </c>
      <c r="D136" s="24">
        <f>'Forecast Model'!G36</f>
        <v>91.3</v>
      </c>
      <c r="E136" s="24">
        <f>'Forecast Model'!H36</f>
        <v>82</v>
      </c>
      <c r="F136" s="24">
        <f>'Forecast Model'!I36</f>
        <v>102.7</v>
      </c>
    </row>
    <row r="137" spans="2:13">
      <c r="B137" s="1" t="s">
        <v>102</v>
      </c>
      <c r="C137" s="24">
        <f>'Forecast Model'!F8</f>
        <v>2786.3</v>
      </c>
      <c r="D137" s="24">
        <f>'Forecast Model'!G8</f>
        <v>3192.9</v>
      </c>
      <c r="E137" s="24">
        <f>'Forecast Model'!H8</f>
        <v>3328.7</v>
      </c>
      <c r="F137" s="24">
        <f>'Forecast Model'!I8</f>
        <v>3393.2</v>
      </c>
    </row>
    <row r="138" spans="2:13">
      <c r="B138" s="1" t="s">
        <v>433</v>
      </c>
      <c r="C138" s="57">
        <f>C136/C137</f>
        <v>2.8173563507160031E-2</v>
      </c>
      <c r="D138" s="57">
        <f>D136/D137</f>
        <v>2.8594694478373889E-2</v>
      </c>
      <c r="E138" s="57">
        <f>E136/E137</f>
        <v>2.4634241595818188E-2</v>
      </c>
      <c r="F138" s="57">
        <f>F136/F137</f>
        <v>3.0266415183307794E-2</v>
      </c>
    </row>
    <row r="139" spans="2:13">
      <c r="C139" s="57"/>
      <c r="D139" s="57"/>
      <c r="E139" s="57"/>
      <c r="F139" s="57"/>
    </row>
    <row r="140" spans="2:13">
      <c r="B140" s="1" t="s">
        <v>442</v>
      </c>
      <c r="C140" s="57">
        <f>AVERAGE(C138:F138)</f>
        <v>2.7917228691164975E-2</v>
      </c>
      <c r="D140" s="57"/>
      <c r="E140" s="57"/>
      <c r="F140" s="57"/>
    </row>
    <row r="141" spans="2:13">
      <c r="C141" s="57"/>
      <c r="D141" s="57"/>
      <c r="E141" s="57"/>
      <c r="F141" s="57"/>
    </row>
    <row r="142" spans="2:13">
      <c r="B142" s="93" t="s">
        <v>234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</row>
    <row r="144" spans="2:13">
      <c r="B144" s="93" t="s">
        <v>444</v>
      </c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</row>
    <row r="145" spans="2:13">
      <c r="B145" s="120"/>
      <c r="C145" s="99" t="s">
        <v>96</v>
      </c>
      <c r="D145" s="99" t="s">
        <v>97</v>
      </c>
      <c r="E145" s="99" t="s">
        <v>98</v>
      </c>
      <c r="F145" s="99" t="s">
        <v>99</v>
      </c>
      <c r="G145" s="95"/>
    </row>
    <row r="146" spans="2:13">
      <c r="B146" s="1" t="s">
        <v>234</v>
      </c>
      <c r="C146" s="24">
        <f>'Forecast Model'!F38</f>
        <v>45</v>
      </c>
      <c r="D146" s="24">
        <f>'Forecast Model'!G38</f>
        <v>47.4</v>
      </c>
      <c r="E146" s="24">
        <f>'Forecast Model'!H38</f>
        <v>53.2</v>
      </c>
      <c r="F146" s="24">
        <f>'Forecast Model'!I38</f>
        <v>60.4</v>
      </c>
    </row>
    <row r="147" spans="2:13">
      <c r="B147" s="1" t="str">
        <f>B137</f>
        <v>Revenue</v>
      </c>
      <c r="C147" s="1">
        <f>C137</f>
        <v>2786.3</v>
      </c>
      <c r="D147" s="1">
        <f>D137</f>
        <v>3192.9</v>
      </c>
      <c r="E147" s="1">
        <f>E137</f>
        <v>3328.7</v>
      </c>
      <c r="F147" s="1">
        <f>F137</f>
        <v>3393.2</v>
      </c>
    </row>
    <row r="148" spans="2:13">
      <c r="B148" s="1" t="str" cm="1">
        <f t="array" ref="B148:B149">B138:B139</f>
        <v>% of Revenue</v>
      </c>
      <c r="C148" s="57">
        <f>C146/C147</f>
        <v>1.6150450418117215E-2</v>
      </c>
      <c r="D148" s="57">
        <f>D146/D147</f>
        <v>1.484543831626421E-2</v>
      </c>
      <c r="E148" s="57">
        <f>E146/E147</f>
        <v>1.5982215279238144E-2</v>
      </c>
      <c r="F148" s="57">
        <f>F146/F147</f>
        <v>1.7800306495343629E-2</v>
      </c>
    </row>
    <row r="149" spans="2:13">
      <c r="B149" s="1">
        <v>0</v>
      </c>
      <c r="C149" s="57"/>
      <c r="D149" s="57"/>
      <c r="E149" s="57"/>
      <c r="F149" s="57"/>
    </row>
    <row r="150" spans="2:13">
      <c r="B150" s="1" t="s">
        <v>442</v>
      </c>
      <c r="C150" s="57">
        <f>AVERAGE(C148:F148)</f>
        <v>1.61946026272408E-2</v>
      </c>
      <c r="D150" s="57"/>
      <c r="E150" s="57"/>
      <c r="F150" s="57"/>
    </row>
    <row r="151" spans="2:13">
      <c r="C151" s="57"/>
      <c r="D151" s="57"/>
      <c r="E151" s="57"/>
      <c r="F151" s="57"/>
    </row>
    <row r="152" spans="2:13">
      <c r="C152" s="57"/>
      <c r="D152" s="57"/>
      <c r="E152" s="57"/>
      <c r="F152" s="57"/>
    </row>
    <row r="153" spans="2:13">
      <c r="B153" s="93" t="s">
        <v>248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</row>
    <row r="155" spans="2:13">
      <c r="B155" s="93" t="s">
        <v>445</v>
      </c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</row>
    <row r="156" spans="2:13">
      <c r="B156" s="120"/>
      <c r="C156" s="99" t="s">
        <v>96</v>
      </c>
      <c r="D156" s="99" t="s">
        <v>97</v>
      </c>
      <c r="E156" s="99" t="s">
        <v>98</v>
      </c>
      <c r="F156" s="99" t="s">
        <v>99</v>
      </c>
      <c r="G156" s="95"/>
    </row>
    <row r="157" spans="2:13">
      <c r="B157" s="1" t="s">
        <v>248</v>
      </c>
      <c r="C157" s="24">
        <f>'Forecast Model'!F54</f>
        <v>527.6</v>
      </c>
      <c r="D157" s="24">
        <f>'Forecast Model'!G54</f>
        <v>566.9</v>
      </c>
      <c r="E157" s="24">
        <f>'Forecast Model'!H54</f>
        <v>548.79999999999995</v>
      </c>
      <c r="F157" s="24">
        <f>'Forecast Model'!I54</f>
        <v>588.5</v>
      </c>
    </row>
    <row r="158" spans="2:13">
      <c r="B158" s="1" t="str">
        <f>B147</f>
        <v>Revenue</v>
      </c>
      <c r="C158" s="1">
        <f>C147</f>
        <v>2786.3</v>
      </c>
      <c r="D158" s="1">
        <f>D147</f>
        <v>3192.9</v>
      </c>
      <c r="E158" s="1">
        <f>E147</f>
        <v>3328.7</v>
      </c>
      <c r="F158" s="1">
        <f>F147</f>
        <v>3393.2</v>
      </c>
    </row>
    <row r="159" spans="2:13">
      <c r="B159" s="1" t="s">
        <v>433</v>
      </c>
      <c r="C159" s="57">
        <f>C157/C158</f>
        <v>0.18935505867996985</v>
      </c>
      <c r="D159" s="57">
        <f>D157/D158</f>
        <v>0.1775501894829152</v>
      </c>
      <c r="E159" s="57">
        <f>E157/E158</f>
        <v>0.16486916814371977</v>
      </c>
      <c r="F159" s="57">
        <f>F157/F158</f>
        <v>0.17343510550512792</v>
      </c>
    </row>
    <row r="160" spans="2:13">
      <c r="C160" s="57"/>
      <c r="D160" s="57"/>
      <c r="E160" s="57"/>
      <c r="F160" s="57"/>
    </row>
    <row r="161" spans="2:13">
      <c r="B161" s="1" t="s">
        <v>442</v>
      </c>
      <c r="C161" s="57">
        <f>AVERAGE(C159:F159)</f>
        <v>0.17630238045293317</v>
      </c>
      <c r="D161" s="57"/>
      <c r="E161" s="57"/>
      <c r="F161" s="57"/>
    </row>
    <row r="162" spans="2:13">
      <c r="C162" s="57"/>
      <c r="D162" s="57"/>
      <c r="E162" s="57"/>
      <c r="F162" s="57"/>
    </row>
    <row r="163" spans="2:13">
      <c r="B163" s="93" t="s">
        <v>247</v>
      </c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</row>
    <row r="165" spans="2:13">
      <c r="B165" s="93" t="s">
        <v>446</v>
      </c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</row>
    <row r="166" spans="2:13">
      <c r="B166" s="120"/>
      <c r="C166" s="99" t="s">
        <v>96</v>
      </c>
      <c r="D166" s="99" t="s">
        <v>97</v>
      </c>
      <c r="E166" s="99" t="s">
        <v>98</v>
      </c>
      <c r="F166" s="99" t="s">
        <v>99</v>
      </c>
      <c r="G166" s="95"/>
    </row>
    <row r="167" spans="2:13">
      <c r="B167" s="1" t="s">
        <v>247</v>
      </c>
      <c r="C167" s="24">
        <f>'Forecast Model'!F53</f>
        <v>59.1</v>
      </c>
      <c r="D167" s="24">
        <f>'Forecast Model'!G53</f>
        <v>71</v>
      </c>
      <c r="E167" s="24">
        <f>'Forecast Model'!H53</f>
        <v>60.5</v>
      </c>
      <c r="F167" s="24">
        <f>'Forecast Model'!I53</f>
        <v>67.2</v>
      </c>
    </row>
    <row r="168" spans="2:13">
      <c r="B168" s="1" t="s">
        <v>447</v>
      </c>
      <c r="C168" s="24">
        <f>C115</f>
        <v>-106.7</v>
      </c>
      <c r="D168" s="24">
        <f>D115</f>
        <v>-113</v>
      </c>
      <c r="E168" s="24">
        <f>E115</f>
        <v>-104.2</v>
      </c>
      <c r="F168" s="24">
        <f>F115</f>
        <v>-122.8</v>
      </c>
    </row>
    <row r="169" spans="2:13">
      <c r="B169" s="1" t="s">
        <v>448</v>
      </c>
      <c r="C169" s="57">
        <f>C167/C168</f>
        <v>-0.5538894095595126</v>
      </c>
      <c r="D169" s="57">
        <f>D167/D168</f>
        <v>-0.62831858407079644</v>
      </c>
      <c r="E169" s="57">
        <f>E167/E168</f>
        <v>-0.58061420345489445</v>
      </c>
      <c r="F169" s="57">
        <f>F167/F168</f>
        <v>-0.54723127035830621</v>
      </c>
    </row>
    <row r="170" spans="2:13">
      <c r="C170" s="57"/>
      <c r="D170" s="57"/>
      <c r="E170" s="57"/>
      <c r="F170" s="57"/>
    </row>
    <row r="171" spans="2:13">
      <c r="B171" s="1" t="s">
        <v>442</v>
      </c>
      <c r="C171" s="57">
        <f>AVERAGE(C169:F169)</f>
        <v>-0.5775133668608774</v>
      </c>
      <c r="D171" s="57"/>
      <c r="E171" s="57"/>
      <c r="F171" s="57"/>
    </row>
    <row r="172" spans="2:13">
      <c r="C172" s="57"/>
      <c r="D172" s="57"/>
      <c r="E172" s="57"/>
      <c r="F172" s="57"/>
    </row>
    <row r="173" spans="2:13">
      <c r="C173" s="57"/>
      <c r="D173" s="57"/>
      <c r="E173" s="57"/>
      <c r="F173" s="57"/>
    </row>
    <row r="175" spans="2:13">
      <c r="B175" s="93" t="s">
        <v>449</v>
      </c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</row>
    <row r="177" spans="2:12">
      <c r="B177" s="122"/>
      <c r="C177" s="42"/>
      <c r="D177" s="42" t="s">
        <v>96</v>
      </c>
      <c r="E177" s="42" t="s">
        <v>97</v>
      </c>
      <c r="F177" s="42" t="s">
        <v>98</v>
      </c>
      <c r="G177" s="42" t="s">
        <v>99</v>
      </c>
      <c r="H177" s="123" t="s">
        <v>100</v>
      </c>
      <c r="I177" s="123" t="s">
        <v>101</v>
      </c>
      <c r="J177" s="123" t="s">
        <v>360</v>
      </c>
      <c r="K177" s="123" t="s">
        <v>361</v>
      </c>
      <c r="L177" s="123" t="s">
        <v>362</v>
      </c>
    </row>
    <row r="178" spans="2:12">
      <c r="B178" s="70" t="s">
        <v>450</v>
      </c>
      <c r="C178" s="124"/>
      <c r="D178" s="124">
        <v>365</v>
      </c>
      <c r="E178" s="124">
        <v>365</v>
      </c>
      <c r="F178" s="124">
        <v>365</v>
      </c>
      <c r="G178" s="124">
        <v>365</v>
      </c>
      <c r="H178" s="125">
        <v>365</v>
      </c>
      <c r="I178" s="125">
        <f>H178</f>
        <v>365</v>
      </c>
      <c r="J178" s="125">
        <f t="shared" ref="J178:L178" si="6">I178</f>
        <v>365</v>
      </c>
      <c r="K178" s="125">
        <f t="shared" si="6"/>
        <v>365</v>
      </c>
      <c r="L178" s="125">
        <f t="shared" si="6"/>
        <v>365</v>
      </c>
    </row>
    <row r="181" spans="2:12">
      <c r="B181" s="41" t="s">
        <v>451</v>
      </c>
      <c r="F181" s="80"/>
      <c r="G181" s="80"/>
    </row>
    <row r="183" spans="2:12">
      <c r="B183" s="9" t="s">
        <v>452</v>
      </c>
      <c r="C183" s="56"/>
      <c r="D183" s="56">
        <f>'Historical Financials'!E38</f>
        <v>559</v>
      </c>
      <c r="E183" s="56">
        <f>'Historical Financials'!F38</f>
        <v>619.6</v>
      </c>
      <c r="F183" s="56">
        <f>'Historical Financials'!G38</f>
        <v>619.9</v>
      </c>
      <c r="G183" s="56">
        <f>'Historical Financials'!H38</f>
        <v>634.20000000000005</v>
      </c>
      <c r="H183" s="90">
        <f>H186*H185</f>
        <v>674.20451291795587</v>
      </c>
      <c r="I183" s="90">
        <f t="shared" ref="I183:L183" si="7">I186*I185</f>
        <v>714.65678369303316</v>
      </c>
      <c r="J183" s="90">
        <f t="shared" si="7"/>
        <v>752.53359322876395</v>
      </c>
      <c r="K183" s="90">
        <f t="shared" si="7"/>
        <v>792.41787366988842</v>
      </c>
      <c r="L183" s="90">
        <f t="shared" si="7"/>
        <v>832.03876735338281</v>
      </c>
    </row>
    <row r="184" spans="2:12">
      <c r="B184" s="9" t="s">
        <v>102</v>
      </c>
      <c r="C184" s="56"/>
      <c r="D184" s="56">
        <f>'Forecast Model'!F8</f>
        <v>2786.3</v>
      </c>
      <c r="E184" s="56">
        <f>'Forecast Model'!G8</f>
        <v>3192.9</v>
      </c>
      <c r="F184" s="56">
        <f>'Forecast Model'!H8</f>
        <v>3328.7</v>
      </c>
      <c r="G184" s="56">
        <f>'Forecast Model'!I8</f>
        <v>3393.2</v>
      </c>
      <c r="H184" s="56">
        <f>'Forecast Model'!J8</f>
        <v>3613.7579999999998</v>
      </c>
      <c r="I184" s="56">
        <f>'Forecast Model'!K8</f>
        <v>3830.5834799999998</v>
      </c>
      <c r="J184" s="56">
        <f>'Forecast Model'!L8</f>
        <v>4033.6044044399996</v>
      </c>
      <c r="K184" s="56">
        <f>'Forecast Model'!M8</f>
        <v>4247.3854378753194</v>
      </c>
      <c r="L184" s="56">
        <f>'Forecast Model'!N8</f>
        <v>4459.7547097690858</v>
      </c>
    </row>
    <row r="185" spans="2:12">
      <c r="B185" s="9" t="s">
        <v>453</v>
      </c>
      <c r="C185" s="126"/>
      <c r="D185" s="126">
        <f>D184/D178</f>
        <v>7.6336986301369869</v>
      </c>
      <c r="E185" s="126">
        <f t="shared" ref="E185:L185" si="8">E184/E178</f>
        <v>8.7476712328767121</v>
      </c>
      <c r="F185" s="126">
        <f t="shared" si="8"/>
        <v>9.1197260273972596</v>
      </c>
      <c r="G185" s="126">
        <f t="shared" si="8"/>
        <v>9.2964383561643835</v>
      </c>
      <c r="H185" s="126">
        <f t="shared" si="8"/>
        <v>9.9007068493150676</v>
      </c>
      <c r="I185" s="126">
        <f t="shared" si="8"/>
        <v>10.494749260273972</v>
      </c>
      <c r="J185" s="126">
        <f t="shared" si="8"/>
        <v>11.050970971068493</v>
      </c>
      <c r="K185" s="126">
        <f t="shared" si="8"/>
        <v>11.636672432535121</v>
      </c>
      <c r="L185" s="126">
        <f t="shared" si="8"/>
        <v>12.218506054161878</v>
      </c>
    </row>
    <row r="186" spans="2:12">
      <c r="B186" s="9" t="s">
        <v>316</v>
      </c>
      <c r="C186" s="127"/>
      <c r="D186" s="127">
        <f>D183/D185</f>
        <v>73.227936690234358</v>
      </c>
      <c r="E186" s="127">
        <f t="shared" ref="E186:G186" si="9">E183/E185</f>
        <v>70.830279683046768</v>
      </c>
      <c r="F186" s="127">
        <f t="shared" si="9"/>
        <v>67.973533211163513</v>
      </c>
      <c r="G186" s="127">
        <f t="shared" si="9"/>
        <v>68.21967464340446</v>
      </c>
      <c r="H186" s="128">
        <f>AVERAGE(F186:G186)</f>
        <v>68.096603927283979</v>
      </c>
      <c r="I186" s="128">
        <f>H186</f>
        <v>68.096603927283979</v>
      </c>
      <c r="J186" s="128">
        <f t="shared" ref="J186:L186" si="10">I186</f>
        <v>68.096603927283979</v>
      </c>
      <c r="K186" s="128">
        <f t="shared" si="10"/>
        <v>68.096603927283979</v>
      </c>
      <c r="L186" s="128">
        <f t="shared" si="10"/>
        <v>68.096603927283979</v>
      </c>
    </row>
    <row r="187" spans="2:12">
      <c r="B187" s="129" t="s">
        <v>454</v>
      </c>
    </row>
    <row r="190" spans="2:12">
      <c r="B190" s="41" t="s">
        <v>455</v>
      </c>
    </row>
    <row r="192" spans="2:12">
      <c r="B192" s="9" t="s">
        <v>456</v>
      </c>
      <c r="C192" s="24"/>
      <c r="D192" s="24">
        <f>'Forecast Model'!F37</f>
        <v>14.9</v>
      </c>
      <c r="E192" s="24">
        <f>'Forecast Model'!G37</f>
        <v>16.899999999999999</v>
      </c>
      <c r="F192" s="24">
        <f>'Forecast Model'!H37</f>
        <v>17.2</v>
      </c>
      <c r="G192" s="24">
        <f>'Forecast Model'!I37</f>
        <v>19</v>
      </c>
      <c r="H192" s="90">
        <f>H195*H194</f>
        <v>19.455626831869001</v>
      </c>
      <c r="I192" s="90">
        <f t="shared" ref="I192:L192" si="11">I195*I194</f>
        <v>20.622964441781143</v>
      </c>
      <c r="J192" s="90">
        <f t="shared" si="11"/>
        <v>21.715981557195541</v>
      </c>
      <c r="K192" s="90">
        <f t="shared" si="11"/>
        <v>22.866928579726906</v>
      </c>
      <c r="L192" s="90">
        <f t="shared" si="11"/>
        <v>24.010275008713251</v>
      </c>
    </row>
    <row r="193" spans="2:13">
      <c r="B193" s="9" t="s">
        <v>457</v>
      </c>
      <c r="C193" s="24"/>
      <c r="D193" s="24">
        <f>-'Forecast Model'!F9</f>
        <v>2142.3000000000002</v>
      </c>
      <c r="E193" s="24">
        <f>-'Forecast Model'!G9</f>
        <v>2492.6999999999998</v>
      </c>
      <c r="F193" s="24">
        <f>-'Forecast Model'!H9</f>
        <v>2605.5</v>
      </c>
      <c r="G193" s="24">
        <f>-'Forecast Model'!I9</f>
        <v>2645.3</v>
      </c>
      <c r="H193" s="24">
        <f>-'Forecast Model'!J9</f>
        <v>2822.9351152326735</v>
      </c>
      <c r="I193" s="24">
        <f>-'Forecast Model'!K9</f>
        <v>2992.311222146634</v>
      </c>
      <c r="J193" s="24">
        <f>-'Forecast Model'!L9</f>
        <v>3150.9037169204053</v>
      </c>
      <c r="K193" s="24">
        <f>-'Forecast Model'!M9</f>
        <v>3317.9016139171868</v>
      </c>
      <c r="L193" s="24">
        <f>-'Forecast Model'!N9</f>
        <v>3483.7966946130464</v>
      </c>
    </row>
    <row r="194" spans="2:13">
      <c r="B194" s="9" t="s">
        <v>458</v>
      </c>
      <c r="C194" s="87"/>
      <c r="D194" s="87">
        <f>D193/D178</f>
        <v>5.869315068493151</v>
      </c>
      <c r="E194" s="87">
        <f t="shared" ref="E194:L194" si="12">E193/E178</f>
        <v>6.8293150684931501</v>
      </c>
      <c r="F194" s="87">
        <f t="shared" si="12"/>
        <v>7.1383561643835618</v>
      </c>
      <c r="G194" s="87">
        <f t="shared" si="12"/>
        <v>7.2473972602739734</v>
      </c>
      <c r="H194" s="87">
        <f t="shared" si="12"/>
        <v>7.7340688088566401</v>
      </c>
      <c r="I194" s="87">
        <f t="shared" si="12"/>
        <v>8.1981129373880393</v>
      </c>
      <c r="J194" s="87">
        <f t="shared" si="12"/>
        <v>8.6326129230696029</v>
      </c>
      <c r="K194" s="87">
        <f t="shared" si="12"/>
        <v>9.0901414079922933</v>
      </c>
      <c r="L194" s="87">
        <f t="shared" si="12"/>
        <v>9.5446484783919079</v>
      </c>
    </row>
    <row r="195" spans="2:13">
      <c r="B195" s="9" t="s">
        <v>318</v>
      </c>
      <c r="C195" s="45"/>
      <c r="D195" s="45">
        <f>D192/D194</f>
        <v>2.5386267096111657</v>
      </c>
      <c r="E195" s="45">
        <f t="shared" ref="E195:G195" si="13">E192/E194</f>
        <v>2.474625907650339</v>
      </c>
      <c r="F195" s="45">
        <f t="shared" si="13"/>
        <v>2.4095183266167721</v>
      </c>
      <c r="G195" s="45">
        <f t="shared" si="13"/>
        <v>2.6216308169205758</v>
      </c>
      <c r="H195" s="128">
        <f>AVERAGE(F195:G195)</f>
        <v>2.5155745717686742</v>
      </c>
      <c r="I195" s="128">
        <f>H195</f>
        <v>2.5155745717686742</v>
      </c>
      <c r="J195" s="128">
        <f t="shared" ref="J195:L195" si="14">I195</f>
        <v>2.5155745717686742</v>
      </c>
      <c r="K195" s="128">
        <f t="shared" si="14"/>
        <v>2.5155745717686742</v>
      </c>
      <c r="L195" s="128">
        <f t="shared" si="14"/>
        <v>2.5155745717686742</v>
      </c>
    </row>
    <row r="196" spans="2:13">
      <c r="B196" s="129" t="s">
        <v>454</v>
      </c>
    </row>
    <row r="198" spans="2:13">
      <c r="B198" s="41" t="s">
        <v>459</v>
      </c>
    </row>
    <row r="200" spans="2:13">
      <c r="B200" s="9" t="s">
        <v>460</v>
      </c>
      <c r="C200" s="24"/>
      <c r="D200" s="24"/>
      <c r="E200" s="24">
        <f>'Forecast Model'!G51</f>
        <v>172.1</v>
      </c>
      <c r="F200" s="24">
        <f>'Forecast Model'!H51</f>
        <v>204.8</v>
      </c>
      <c r="G200" s="24">
        <f>'Forecast Model'!I51</f>
        <v>223</v>
      </c>
      <c r="H200" s="130">
        <f>H202*H203</f>
        <v>229.87629545647894</v>
      </c>
      <c r="I200" s="130">
        <f t="shared" ref="I200:L200" si="15">I202*I203</f>
        <v>243.72459383430967</v>
      </c>
      <c r="J200" s="130">
        <f t="shared" si="15"/>
        <v>256.63090896913877</v>
      </c>
      <c r="K200" s="130">
        <f t="shared" si="15"/>
        <v>270.23234714450314</v>
      </c>
      <c r="L200" s="130">
        <f t="shared" si="15"/>
        <v>283.73866025249538</v>
      </c>
    </row>
    <row r="201" spans="2:13">
      <c r="B201" s="9" t="s">
        <v>461</v>
      </c>
      <c r="D201" s="24"/>
      <c r="E201" s="24">
        <f>E192-D192+E193</f>
        <v>2494.6999999999998</v>
      </c>
      <c r="F201" s="24">
        <f t="shared" ref="F201:L201" si="16">F192-E192+F193</f>
        <v>2605.8000000000002</v>
      </c>
      <c r="G201" s="24">
        <f t="shared" si="16"/>
        <v>2647.1000000000004</v>
      </c>
      <c r="H201" s="24">
        <f t="shared" si="16"/>
        <v>2823.3907420645423</v>
      </c>
      <c r="I201" s="24">
        <f t="shared" si="16"/>
        <v>2993.478559756546</v>
      </c>
      <c r="J201" s="24">
        <f t="shared" si="16"/>
        <v>3151.9967340358198</v>
      </c>
      <c r="K201" s="24">
        <f t="shared" si="16"/>
        <v>3319.0525609397182</v>
      </c>
      <c r="L201" s="24">
        <f t="shared" si="16"/>
        <v>3484.9400410420326</v>
      </c>
    </row>
    <row r="202" spans="2:13">
      <c r="B202" s="9" t="s">
        <v>462</v>
      </c>
      <c r="D202" s="87"/>
      <c r="E202" s="87">
        <f>E201/E178</f>
        <v>6.8347945205479448</v>
      </c>
      <c r="F202" s="87">
        <f t="shared" ref="F202:L202" si="17">F201/F178</f>
        <v>7.1391780821917816</v>
      </c>
      <c r="G202" s="87">
        <f t="shared" si="17"/>
        <v>7.2523287671232888</v>
      </c>
      <c r="H202" s="87">
        <f t="shared" si="17"/>
        <v>7.7353171015466913</v>
      </c>
      <c r="I202" s="87">
        <f t="shared" si="17"/>
        <v>8.2013111226206732</v>
      </c>
      <c r="J202" s="87">
        <f t="shared" si="17"/>
        <v>8.6356074905090949</v>
      </c>
      <c r="K202" s="87">
        <f t="shared" si="17"/>
        <v>9.0932946875060772</v>
      </c>
      <c r="L202" s="87">
        <f t="shared" si="17"/>
        <v>9.5477809343617324</v>
      </c>
    </row>
    <row r="203" spans="2:13">
      <c r="B203" s="9" t="s">
        <v>317</v>
      </c>
      <c r="D203" s="131"/>
      <c r="E203" s="131">
        <f>E200/E202</f>
        <v>25.179981560909127</v>
      </c>
      <c r="F203" s="131">
        <f t="shared" ref="F203:G203" si="18">F200/F202</f>
        <v>28.686775654309617</v>
      </c>
      <c r="G203" s="131">
        <f t="shared" si="18"/>
        <v>30.748743908428086</v>
      </c>
      <c r="H203" s="132">
        <f>AVERAGE(F203:G203)</f>
        <v>29.717759781368851</v>
      </c>
      <c r="I203" s="132">
        <f>H203</f>
        <v>29.717759781368851</v>
      </c>
      <c r="J203" s="132">
        <f t="shared" ref="J203:L203" si="19">I203</f>
        <v>29.717759781368851</v>
      </c>
      <c r="K203" s="132">
        <f t="shared" si="19"/>
        <v>29.717759781368851</v>
      </c>
      <c r="L203" s="132">
        <f t="shared" si="19"/>
        <v>29.717759781368851</v>
      </c>
    </row>
    <row r="204" spans="2:13">
      <c r="B204" s="129" t="s">
        <v>454</v>
      </c>
    </row>
    <row r="208" spans="2:13">
      <c r="B208" s="93" t="s">
        <v>463</v>
      </c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</row>
    <row r="211" spans="2:8">
      <c r="B211" s="93" t="s">
        <v>464</v>
      </c>
      <c r="C211" s="61"/>
      <c r="D211" s="61"/>
      <c r="E211" s="61"/>
      <c r="F211" s="61"/>
      <c r="G211" s="61"/>
    </row>
    <row r="212" spans="2:8">
      <c r="B212" s="120"/>
      <c r="C212" s="99" t="s">
        <v>96</v>
      </c>
      <c r="D212" s="99" t="s">
        <v>97</v>
      </c>
      <c r="E212" s="99" t="s">
        <v>98</v>
      </c>
      <c r="F212" s="99" t="s">
        <v>99</v>
      </c>
      <c r="G212" s="95"/>
    </row>
    <row r="214" spans="2:8">
      <c r="B214" s="1" t="s">
        <v>465</v>
      </c>
      <c r="C214" s="24">
        <f>-'Forecast Model'!F99</f>
        <v>170.6</v>
      </c>
      <c r="D214" s="24">
        <f>-'Forecast Model'!G99</f>
        <v>170.6</v>
      </c>
      <c r="E214" s="24">
        <f>-'Forecast Model'!H99</f>
        <v>176.3</v>
      </c>
      <c r="F214" s="24">
        <f>-'Forecast Model'!I99</f>
        <v>206.1</v>
      </c>
    </row>
    <row r="215" spans="2:8">
      <c r="B215" s="1" t="s">
        <v>466</v>
      </c>
      <c r="C215" s="24">
        <f>'Forecast Model'!J24</f>
        <v>360.76817782003508</v>
      </c>
      <c r="D215" s="24">
        <f>'Forecast Model'!K24</f>
        <v>409.76713710020783</v>
      </c>
      <c r="E215" s="24">
        <f>'Forecast Model'!L24</f>
        <v>450.1910834137737</v>
      </c>
      <c r="F215" s="24">
        <f>'Forecast Model'!M24</f>
        <v>487.83327635584538</v>
      </c>
    </row>
    <row r="216" spans="2:8">
      <c r="B216" s="1" t="s">
        <v>151</v>
      </c>
      <c r="C216" s="59">
        <f>C214/C215</f>
        <v>0.47287984497652058</v>
      </c>
      <c r="D216" s="59">
        <f t="shared" ref="D216:F216" si="20">D214/D215</f>
        <v>0.41633402133534214</v>
      </c>
      <c r="E216" s="59">
        <f t="shared" si="20"/>
        <v>0.39161148786672323</v>
      </c>
      <c r="F216" s="137">
        <f t="shared" si="20"/>
        <v>0.42248040465706627</v>
      </c>
    </row>
    <row r="219" spans="2:8">
      <c r="B219" s="93" t="s">
        <v>467</v>
      </c>
      <c r="C219" s="61"/>
      <c r="D219" s="61"/>
      <c r="E219" s="61"/>
      <c r="F219" s="61"/>
      <c r="G219" s="61"/>
      <c r="H219" s="61"/>
    </row>
    <row r="220" spans="2:8">
      <c r="B220" s="120"/>
      <c r="C220" s="99" t="s">
        <v>99</v>
      </c>
      <c r="D220" s="99" t="s">
        <v>100</v>
      </c>
      <c r="E220" s="99" t="s">
        <v>101</v>
      </c>
      <c r="F220" s="99" t="s">
        <v>360</v>
      </c>
      <c r="G220" s="99" t="s">
        <v>361</v>
      </c>
      <c r="H220" s="99" t="s">
        <v>362</v>
      </c>
    </row>
    <row r="222" spans="2:8">
      <c r="B222" s="1" t="s">
        <v>468</v>
      </c>
      <c r="D222" s="24">
        <f>C226</f>
        <v>1444.9</v>
      </c>
      <c r="E222" s="24">
        <f>D226</f>
        <v>1653.2506920672345</v>
      </c>
      <c r="F222" s="24">
        <f t="shared" ref="F222:H222" si="21">E226</f>
        <v>1889.8992432701791</v>
      </c>
      <c r="G222" s="24">
        <f t="shared" si="21"/>
        <v>2149.8934155902984</v>
      </c>
      <c r="H222" s="24">
        <f t="shared" si="21"/>
        <v>2431.6266919461441</v>
      </c>
    </row>
    <row r="223" spans="2:8">
      <c r="B223" s="1" t="s">
        <v>469</v>
      </c>
      <c r="D223" s="24">
        <f>'Forecast Model'!J24</f>
        <v>360.76817782003508</v>
      </c>
      <c r="E223" s="24">
        <f>'Forecast Model'!K24</f>
        <v>409.76713710020783</v>
      </c>
      <c r="F223" s="24">
        <f>'Forecast Model'!L24</f>
        <v>450.1910834137737</v>
      </c>
      <c r="G223" s="24">
        <f>'Forecast Model'!M24</f>
        <v>487.83327635584538</v>
      </c>
      <c r="H223" s="24">
        <f>'Forecast Model'!N24</f>
        <v>522.08884082973759</v>
      </c>
    </row>
    <row r="224" spans="2:8">
      <c r="B224" s="1" t="s">
        <v>470</v>
      </c>
      <c r="D224" s="87">
        <f>-$F$216*D223</f>
        <v>-152.41748575280087</v>
      </c>
      <c r="E224" s="87">
        <f>-$F$216*E223</f>
        <v>-173.11858589726336</v>
      </c>
      <c r="F224" s="87">
        <f t="shared" ref="F224:H224" si="22">-$F$216*F223</f>
        <v>-190.19691109365419</v>
      </c>
      <c r="G224" s="87">
        <f t="shared" si="22"/>
        <v>-206.1</v>
      </c>
      <c r="H224" s="87">
        <f t="shared" si="22"/>
        <v>-220.57230474068621</v>
      </c>
    </row>
    <row r="225" spans="2:8">
      <c r="B225"/>
    </row>
    <row r="226" spans="2:8">
      <c r="B226" s="1" t="s">
        <v>471</v>
      </c>
      <c r="C226" s="24">
        <f>'Forecast Model'!I68</f>
        <v>1444.9</v>
      </c>
      <c r="D226" s="139">
        <f>SUM(D222:D224)</f>
        <v>1653.2506920672345</v>
      </c>
      <c r="E226" s="139">
        <f>SUM(E222:E224)</f>
        <v>1889.8992432701791</v>
      </c>
      <c r="F226" s="139">
        <f>SUM(F222:F224)</f>
        <v>2149.8934155902984</v>
      </c>
      <c r="G226" s="139">
        <f>SUM(G222:G224)</f>
        <v>2431.6266919461441</v>
      </c>
      <c r="H226" s="139">
        <f>SUM(H222:H224)</f>
        <v>2733.1432280351955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E258-AB41-1742-929B-40699BF92EDB}">
  <sheetPr>
    <tabColor rgb="FFBF8F00"/>
  </sheetPr>
  <dimension ref="B3:N107"/>
  <sheetViews>
    <sheetView zoomScale="143" workbookViewId="0">
      <selection activeCell="O87" sqref="O87"/>
    </sheetView>
  </sheetViews>
  <sheetFormatPr baseColWidth="10" defaultColWidth="10.83203125" defaultRowHeight="16"/>
  <cols>
    <col min="1" max="1" width="3.1640625" style="1" customWidth="1"/>
    <col min="2" max="5" width="10.83203125" style="1"/>
    <col min="6" max="6" width="13" style="1" customWidth="1"/>
    <col min="7" max="16384" width="10.83203125" style="1"/>
  </cols>
  <sheetData>
    <row r="3" spans="2:14" ht="19">
      <c r="B3" s="662" t="s">
        <v>472</v>
      </c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</row>
    <row r="4" spans="2:14">
      <c r="J4" s="82"/>
      <c r="K4" s="82"/>
      <c r="L4" s="82"/>
      <c r="M4" s="82"/>
      <c r="N4" s="82"/>
    </row>
    <row r="5" spans="2:14">
      <c r="B5" s="51" t="s">
        <v>473</v>
      </c>
      <c r="F5" s="83" t="s">
        <v>96</v>
      </c>
      <c r="G5" s="84" t="s">
        <v>97</v>
      </c>
      <c r="H5" s="84" t="s">
        <v>98</v>
      </c>
      <c r="I5" s="84" t="s">
        <v>99</v>
      </c>
      <c r="J5" s="84" t="s">
        <v>100</v>
      </c>
      <c r="K5" s="84" t="s">
        <v>101</v>
      </c>
      <c r="L5" s="84" t="s">
        <v>360</v>
      </c>
      <c r="M5" s="84" t="s">
        <v>361</v>
      </c>
      <c r="N5" s="84" t="s">
        <v>362</v>
      </c>
    </row>
    <row r="6" spans="2:14">
      <c r="B6" s="51" t="s">
        <v>474</v>
      </c>
    </row>
    <row r="8" spans="2:14">
      <c r="B8" s="1" t="s">
        <v>102</v>
      </c>
      <c r="F8" s="31">
        <v>2786.3</v>
      </c>
      <c r="G8" s="31">
        <v>3192.9</v>
      </c>
      <c r="H8" s="31">
        <v>3328.7</v>
      </c>
      <c r="I8" s="31">
        <v>3393.2</v>
      </c>
      <c r="J8" s="85">
        <f>I8*(1+'Master Assumptions'!F11)</f>
        <v>3613.7579999999998</v>
      </c>
      <c r="K8" s="85">
        <f>J8*(1+'Master Assumptions'!G11)</f>
        <v>3830.5834799999998</v>
      </c>
      <c r="L8" s="85">
        <f>K8*(1+'Master Assumptions'!H11)</f>
        <v>4033.6044044399996</v>
      </c>
      <c r="M8" s="85">
        <f>L8*(1+'Master Assumptions'!I11)</f>
        <v>4247.3854378753194</v>
      </c>
      <c r="N8" s="85">
        <f>M8*(1+'Master Assumptions'!J11)</f>
        <v>4459.7547097690858</v>
      </c>
    </row>
    <row r="9" spans="2:14">
      <c r="B9" s="1" t="s">
        <v>217</v>
      </c>
      <c r="F9" s="31">
        <v>-2142.3000000000002</v>
      </c>
      <c r="G9" s="31">
        <v>-2492.6999999999998</v>
      </c>
      <c r="H9" s="31">
        <v>-2605.5</v>
      </c>
      <c r="I9" s="31">
        <v>-2645.3</v>
      </c>
      <c r="J9" s="85">
        <f>J10-J8</f>
        <v>-2822.9351152326735</v>
      </c>
      <c r="K9" s="85">
        <f t="shared" ref="K9:N9" si="0">K10-K8</f>
        <v>-2992.311222146634</v>
      </c>
      <c r="L9" s="85">
        <f t="shared" si="0"/>
        <v>-3150.9037169204053</v>
      </c>
      <c r="M9" s="85">
        <f t="shared" si="0"/>
        <v>-3317.9016139171868</v>
      </c>
      <c r="N9" s="85">
        <f t="shared" si="0"/>
        <v>-3483.7966946130464</v>
      </c>
    </row>
    <row r="10" spans="2:14">
      <c r="B10" s="9" t="s">
        <v>218</v>
      </c>
      <c r="F10" s="27">
        <f>SUM(F8:F9)</f>
        <v>644</v>
      </c>
      <c r="G10" s="27">
        <f t="shared" ref="G10:I10" si="1">SUM(G8:G9)</f>
        <v>700.20000000000027</v>
      </c>
      <c r="H10" s="27">
        <f t="shared" si="1"/>
        <v>723.19999999999982</v>
      </c>
      <c r="I10" s="27">
        <f t="shared" si="1"/>
        <v>747.89999999999964</v>
      </c>
      <c r="J10" s="86">
        <f>J8*'Master Assumptions'!F12</f>
        <v>790.82288476732629</v>
      </c>
      <c r="K10" s="86">
        <f>K8*'Master Assumptions'!G12</f>
        <v>838.27225785336589</v>
      </c>
      <c r="L10" s="86">
        <f>L8*'Master Assumptions'!H12</f>
        <v>882.70068751959423</v>
      </c>
      <c r="M10" s="86">
        <f>M8*'Master Assumptions'!I12</f>
        <v>929.48382395813269</v>
      </c>
      <c r="N10" s="86">
        <f>N8*'Master Assumptions'!J12</f>
        <v>975.95801515603944</v>
      </c>
    </row>
    <row r="11" spans="2:14">
      <c r="F11" s="24"/>
      <c r="G11" s="25"/>
      <c r="H11" s="24"/>
      <c r="I11" s="24"/>
    </row>
    <row r="12" spans="2:14">
      <c r="B12" s="1" t="s">
        <v>219</v>
      </c>
      <c r="F12" s="32">
        <v>-198.6</v>
      </c>
      <c r="G12" s="32">
        <v>-215.3</v>
      </c>
      <c r="H12" s="32">
        <v>-209.5</v>
      </c>
      <c r="I12" s="32">
        <v>-194</v>
      </c>
      <c r="J12" s="85">
        <f>'Supporting Schedules'!D91</f>
        <v>-208.52085964612843</v>
      </c>
      <c r="K12" s="85">
        <f>'Supporting Schedules'!E91</f>
        <v>-185.52536598122708</v>
      </c>
      <c r="L12" s="85">
        <f>'Supporting Schedules'!F91</f>
        <v>-171.83706105879594</v>
      </c>
      <c r="M12" s="85">
        <f>'Supporting Schedules'!G91</f>
        <v>-164.5027365354554</v>
      </c>
      <c r="N12" s="85">
        <f>'Supporting Schedules'!H91</f>
        <v>-161.72835775775309</v>
      </c>
    </row>
    <row r="13" spans="2:14">
      <c r="B13" s="11" t="s">
        <v>109</v>
      </c>
      <c r="F13" s="27">
        <f>SUM(F10:F12)</f>
        <v>445.4</v>
      </c>
      <c r="G13" s="27">
        <f t="shared" ref="G13:I13" si="2">SUM(G10:G12)</f>
        <v>484.90000000000026</v>
      </c>
      <c r="H13" s="27">
        <f t="shared" si="2"/>
        <v>513.69999999999982</v>
      </c>
      <c r="I13" s="27">
        <f t="shared" si="2"/>
        <v>553.89999999999964</v>
      </c>
      <c r="J13" s="86">
        <f>SUM(J10:J12)</f>
        <v>582.30202512119786</v>
      </c>
      <c r="K13" s="86">
        <f t="shared" ref="K13:N13" si="3">SUM(K10:K12)</f>
        <v>652.7468918721388</v>
      </c>
      <c r="L13" s="86">
        <f t="shared" si="3"/>
        <v>710.86362646079829</v>
      </c>
      <c r="M13" s="86">
        <f t="shared" si="3"/>
        <v>764.98108742267732</v>
      </c>
      <c r="N13" s="86">
        <f t="shared" si="3"/>
        <v>814.22965739828635</v>
      </c>
    </row>
    <row r="14" spans="2:14">
      <c r="F14" s="24"/>
      <c r="G14" s="24"/>
      <c r="H14" s="24"/>
      <c r="I14" s="24"/>
      <c r="J14" s="85"/>
      <c r="K14" s="85"/>
      <c r="L14" s="85"/>
      <c r="M14" s="85"/>
      <c r="N14" s="85"/>
    </row>
    <row r="15" spans="2:14">
      <c r="B15" s="1" t="s">
        <v>220</v>
      </c>
      <c r="F15" s="33">
        <v>-20</v>
      </c>
      <c r="G15" s="33">
        <v>-33.6</v>
      </c>
      <c r="H15" s="33">
        <v>-50.7</v>
      </c>
      <c r="I15" s="33">
        <v>-25.5</v>
      </c>
      <c r="J15" s="89">
        <f>I15*(1+'Supporting Schedules'!C106)</f>
        <v>-25.242147008797549</v>
      </c>
      <c r="K15" s="89">
        <f>J15*(1+'Supporting Schedules'!D106)</f>
        <v>-25.242147008797549</v>
      </c>
      <c r="L15" s="89">
        <f>K15*(1+'Supporting Schedules'!E106)</f>
        <v>-25.242147008797549</v>
      </c>
      <c r="M15" s="89">
        <f>L15*(1+'Supporting Schedules'!F106)</f>
        <v>-25.242147008797549</v>
      </c>
      <c r="N15" s="89">
        <f>M15*(1+'Supporting Schedules'!G106)</f>
        <v>-25.242147008797549</v>
      </c>
    </row>
    <row r="16" spans="2:14">
      <c r="B16" s="1" t="s">
        <v>221</v>
      </c>
      <c r="F16" s="33">
        <v>-14.9</v>
      </c>
      <c r="G16" s="33">
        <v>-42.8</v>
      </c>
      <c r="H16" s="33">
        <v>-46.2</v>
      </c>
      <c r="I16" s="33">
        <v>-43.4</v>
      </c>
      <c r="J16" s="88">
        <f>I16</f>
        <v>-43.4</v>
      </c>
      <c r="K16" s="88">
        <f t="shared" ref="K16:N16" si="4">J16</f>
        <v>-43.4</v>
      </c>
      <c r="L16" s="88">
        <f t="shared" si="4"/>
        <v>-43.4</v>
      </c>
      <c r="M16" s="88">
        <f t="shared" si="4"/>
        <v>-43.4</v>
      </c>
      <c r="N16" s="88">
        <f t="shared" si="4"/>
        <v>-43.4</v>
      </c>
    </row>
    <row r="17" spans="2:14">
      <c r="B17" s="1" t="s">
        <v>222</v>
      </c>
      <c r="F17" s="33">
        <v>2.9</v>
      </c>
      <c r="G17" s="33">
        <v>11.3</v>
      </c>
      <c r="H17" s="33">
        <v>5.5</v>
      </c>
      <c r="I17" s="33">
        <v>5</v>
      </c>
      <c r="J17" s="85">
        <f>'Forecast Model'!I17*(1+'Supporting Schedules'!C107)</f>
        <v>5.0096321764830556</v>
      </c>
      <c r="K17" s="85">
        <f>'Forecast Model'!J17*(1+'Supporting Schedules'!D107)</f>
        <v>5.0096321764830556</v>
      </c>
      <c r="L17" s="85">
        <f>'Forecast Model'!K17*(1+'Supporting Schedules'!E107)</f>
        <v>5.0096321764830556</v>
      </c>
      <c r="M17" s="85">
        <f>'Forecast Model'!L17*(1+'Supporting Schedules'!F107)</f>
        <v>5.0096321764830556</v>
      </c>
      <c r="N17" s="85">
        <f>'Forecast Model'!M17*(1+'Supporting Schedules'!G107)</f>
        <v>5.0096321764830556</v>
      </c>
    </row>
    <row r="18" spans="2:14">
      <c r="B18" s="11" t="s">
        <v>223</v>
      </c>
      <c r="F18" s="27">
        <f>SUM(F13:F17)</f>
        <v>413.4</v>
      </c>
      <c r="G18" s="27">
        <f t="shared" ref="G18:I18" si="5">SUM(G13:G17)</f>
        <v>419.80000000000024</v>
      </c>
      <c r="H18" s="27">
        <f t="shared" si="5"/>
        <v>422.29999999999984</v>
      </c>
      <c r="I18" s="27">
        <f t="shared" si="5"/>
        <v>489.99999999999966</v>
      </c>
      <c r="J18" s="86">
        <f>SUM(J13:J17)</f>
        <v>518.66951028888332</v>
      </c>
      <c r="K18" s="86">
        <f t="shared" ref="K18:N18" si="6">SUM(K13:K17)</f>
        <v>589.11437703982426</v>
      </c>
      <c r="L18" s="86">
        <f t="shared" si="6"/>
        <v>647.23111162848375</v>
      </c>
      <c r="M18" s="86">
        <f t="shared" si="6"/>
        <v>701.34857259036278</v>
      </c>
      <c r="N18" s="86">
        <f t="shared" si="6"/>
        <v>750.59714256597181</v>
      </c>
    </row>
    <row r="19" spans="2:14">
      <c r="F19" s="24"/>
      <c r="G19" s="24"/>
      <c r="H19" s="24"/>
      <c r="I19" s="24"/>
      <c r="J19" s="136"/>
      <c r="K19" s="136"/>
      <c r="L19" s="136"/>
      <c r="M19" s="136"/>
      <c r="N19" s="136"/>
    </row>
    <row r="20" spans="2:14">
      <c r="B20" s="1" t="s">
        <v>224</v>
      </c>
      <c r="F20" s="33">
        <v>-106.7</v>
      </c>
      <c r="G20" s="33">
        <v>-113</v>
      </c>
      <c r="H20" s="33">
        <v>-104.2</v>
      </c>
      <c r="I20" s="33">
        <v>-122.8</v>
      </c>
      <c r="J20" s="136">
        <f>'Supporting Schedules'!$C$119*'Forecast Model'!J18</f>
        <v>-132.86181062574357</v>
      </c>
      <c r="K20" s="136">
        <f>'Supporting Schedules'!$C$119*'Forecast Model'!K18</f>
        <v>-150.90689012271716</v>
      </c>
      <c r="L20" s="136">
        <f>'Supporting Schedules'!$C$119*'Forecast Model'!L18</f>
        <v>-165.79400886005038</v>
      </c>
      <c r="M20" s="136">
        <f>'Supporting Schedules'!$C$119*'Forecast Model'!M18</f>
        <v>-179.65667806892395</v>
      </c>
      <c r="N20" s="136">
        <f>'Supporting Schedules'!$C$119*'Forecast Model'!N18</f>
        <v>-192.27213752410506</v>
      </c>
    </row>
    <row r="21" spans="2:14">
      <c r="B21" s="9" t="s">
        <v>226</v>
      </c>
      <c r="F21" s="97">
        <f>SUM(F18:F20)</f>
        <v>306.7</v>
      </c>
      <c r="G21" s="97">
        <f t="shared" ref="G21:H21" si="7">SUM(G18:G20)</f>
        <v>306.80000000000024</v>
      </c>
      <c r="H21" s="97">
        <f t="shared" si="7"/>
        <v>318.09999999999985</v>
      </c>
      <c r="I21" s="97">
        <f t="shared" ref="I21:N21" si="8">SUM(I18:I20)</f>
        <v>367.19999999999965</v>
      </c>
      <c r="J21" s="133">
        <f t="shared" si="8"/>
        <v>385.80769966313972</v>
      </c>
      <c r="K21" s="133">
        <f t="shared" si="8"/>
        <v>438.20748691710708</v>
      </c>
      <c r="L21" s="133">
        <f t="shared" si="8"/>
        <v>481.43710276843336</v>
      </c>
      <c r="M21" s="133">
        <f t="shared" si="8"/>
        <v>521.69189452143883</v>
      </c>
      <c r="N21" s="133">
        <f t="shared" si="8"/>
        <v>558.32500504186669</v>
      </c>
    </row>
    <row r="22" spans="2:14">
      <c r="B22" s="11"/>
      <c r="F22" s="27"/>
      <c r="G22" s="27"/>
      <c r="H22" s="27"/>
      <c r="I22" s="27"/>
      <c r="J22" s="85"/>
      <c r="K22" s="85"/>
      <c r="L22" s="85"/>
      <c r="M22" s="85"/>
      <c r="N22" s="85"/>
    </row>
    <row r="23" spans="2:14">
      <c r="B23" s="37" t="s">
        <v>227</v>
      </c>
      <c r="F23" s="33">
        <v>-18.600000000000001</v>
      </c>
      <c r="G23" s="33">
        <v>-18</v>
      </c>
      <c r="H23" s="33">
        <v>-20.7</v>
      </c>
      <c r="I23" s="33">
        <v>-21.8</v>
      </c>
      <c r="J23" s="89">
        <f>'Supporting Schedules'!$C$129*'Forecast Model'!J21</f>
        <v>-25.039521843104627</v>
      </c>
      <c r="K23" s="89">
        <f>'Supporting Schedules'!$C$129*'Forecast Model'!K21</f>
        <v>-28.440349816899225</v>
      </c>
      <c r="L23" s="89">
        <f>'Supporting Schedules'!$C$129*'Forecast Model'!L21</f>
        <v>-31.246019354659683</v>
      </c>
      <c r="M23" s="89">
        <f>'Supporting Schedules'!$C$129*'Forecast Model'!M21</f>
        <v>-33.858618165593441</v>
      </c>
      <c r="N23" s="89">
        <f>'Supporting Schedules'!$C$129*'Forecast Model'!N21</f>
        <v>-36.236164212129118</v>
      </c>
    </row>
    <row r="24" spans="2:14">
      <c r="B24" s="9" t="s">
        <v>111</v>
      </c>
      <c r="F24" s="27">
        <f>SUM(F21:F23)</f>
        <v>288.09999999999997</v>
      </c>
      <c r="G24" s="27">
        <f t="shared" ref="G24:H24" si="9">SUM(G21:G23)</f>
        <v>288.80000000000024</v>
      </c>
      <c r="H24" s="27">
        <f t="shared" si="9"/>
        <v>297.39999999999986</v>
      </c>
      <c r="I24" s="27">
        <f t="shared" ref="I24:N24" si="10">SUM(I21:I23)</f>
        <v>345.39999999999964</v>
      </c>
      <c r="J24" s="34">
        <f t="shared" si="10"/>
        <v>360.76817782003508</v>
      </c>
      <c r="K24" s="34">
        <f t="shared" si="10"/>
        <v>409.76713710020783</v>
      </c>
      <c r="L24" s="34">
        <f t="shared" si="10"/>
        <v>450.1910834137737</v>
      </c>
      <c r="M24" s="34">
        <f t="shared" si="10"/>
        <v>487.83327635584538</v>
      </c>
      <c r="N24" s="34">
        <f t="shared" si="10"/>
        <v>522.08884082973759</v>
      </c>
    </row>
    <row r="25" spans="2:14">
      <c r="F25" s="27"/>
      <c r="G25" s="27"/>
      <c r="H25" s="27"/>
      <c r="I25" s="27"/>
    </row>
    <row r="27" spans="2:14" ht="19">
      <c r="B27" s="662" t="s">
        <v>475</v>
      </c>
      <c r="C27" s="662"/>
      <c r="D27" s="662"/>
      <c r="E27" s="662"/>
      <c r="F27" s="662"/>
      <c r="G27" s="662"/>
      <c r="H27" s="662"/>
      <c r="I27" s="662"/>
      <c r="J27" s="662"/>
      <c r="K27" s="662"/>
      <c r="L27" s="662"/>
      <c r="M27" s="662"/>
      <c r="N27" s="662"/>
    </row>
    <row r="28" spans="2:14">
      <c r="J28" s="82"/>
      <c r="K28" s="82"/>
      <c r="L28" s="82"/>
      <c r="M28" s="82"/>
      <c r="N28" s="82"/>
    </row>
    <row r="29" spans="2:14">
      <c r="B29" s="51" t="s">
        <v>473</v>
      </c>
      <c r="F29" s="83" t="s">
        <v>96</v>
      </c>
      <c r="G29" s="84" t="s">
        <v>97</v>
      </c>
      <c r="H29" s="84" t="s">
        <v>98</v>
      </c>
      <c r="I29" s="84" t="s">
        <v>99</v>
      </c>
      <c r="J29" s="84" t="s">
        <v>100</v>
      </c>
      <c r="K29" s="84" t="s">
        <v>101</v>
      </c>
      <c r="L29" s="84" t="s">
        <v>360</v>
      </c>
      <c r="M29" s="84" t="s">
        <v>361</v>
      </c>
      <c r="N29" s="84" t="s">
        <v>362</v>
      </c>
    </row>
    <row r="30" spans="2:14">
      <c r="B30" s="51" t="s">
        <v>474</v>
      </c>
    </row>
    <row r="32" spans="2:14">
      <c r="B32" s="12"/>
      <c r="J32" s="85"/>
      <c r="K32" s="85"/>
      <c r="L32" s="85"/>
      <c r="M32" s="85"/>
      <c r="N32" s="85"/>
    </row>
    <row r="33" spans="2:14">
      <c r="B33" s="12" t="s">
        <v>229</v>
      </c>
      <c r="F33" s="33"/>
      <c r="G33" s="33"/>
      <c r="H33" s="33"/>
      <c r="I33" s="33"/>
      <c r="J33" s="85"/>
      <c r="K33" s="85"/>
      <c r="L33" s="85"/>
      <c r="M33" s="85"/>
      <c r="N33" s="85"/>
    </row>
    <row r="34" spans="2:14">
      <c r="B34" s="1" t="s">
        <v>230</v>
      </c>
      <c r="F34" s="31">
        <v>265.89999999999998</v>
      </c>
      <c r="G34" s="31">
        <v>321.60000000000002</v>
      </c>
      <c r="H34" s="31">
        <v>299.3</v>
      </c>
      <c r="I34" s="31">
        <v>343</v>
      </c>
      <c r="J34" s="85">
        <f>I34+J105</f>
        <v>703.60638044306745</v>
      </c>
      <c r="K34" s="85">
        <f t="shared" ref="K34:N34" si="11">J34+K105</f>
        <v>1086.488480152685</v>
      </c>
      <c r="L34" s="85">
        <f t="shared" si="11"/>
        <v>1492.9080871004107</v>
      </c>
      <c r="M34" s="85">
        <f t="shared" si="11"/>
        <v>1929.1642698839523</v>
      </c>
      <c r="N34" s="85">
        <f t="shared" si="11"/>
        <v>2403.7899131213362</v>
      </c>
    </row>
    <row r="35" spans="2:14">
      <c r="B35" s="1" t="s">
        <v>231</v>
      </c>
      <c r="F35" s="31">
        <v>559</v>
      </c>
      <c r="G35" s="31">
        <v>619.6</v>
      </c>
      <c r="H35" s="31">
        <v>619.9</v>
      </c>
      <c r="I35" s="31">
        <v>634.20000000000005</v>
      </c>
      <c r="J35" s="85">
        <f>'Supporting Schedules'!H183</f>
        <v>674.20451291795587</v>
      </c>
      <c r="K35" s="85">
        <f>'Supporting Schedules'!I183</f>
        <v>714.65678369303316</v>
      </c>
      <c r="L35" s="85">
        <f>'Supporting Schedules'!J183</f>
        <v>752.53359322876395</v>
      </c>
      <c r="M35" s="85">
        <f>'Supporting Schedules'!K183</f>
        <v>792.41787366988842</v>
      </c>
      <c r="N35" s="85">
        <f>'Supporting Schedules'!L183</f>
        <v>832.03876735338281</v>
      </c>
    </row>
    <row r="36" spans="2:14">
      <c r="B36" s="1" t="s">
        <v>232</v>
      </c>
      <c r="F36" s="31">
        <v>78.5</v>
      </c>
      <c r="G36" s="31">
        <v>91.3</v>
      </c>
      <c r="H36" s="31">
        <v>82</v>
      </c>
      <c r="I36" s="31">
        <v>102.7</v>
      </c>
      <c r="J36" s="85">
        <f>I36*(1+'Supporting Schedules'!$C$140)</f>
        <v>105.56709938658265</v>
      </c>
      <c r="K36" s="85">
        <f>J36*(1+'Supporting Schedules'!$C$140)</f>
        <v>108.51424024242084</v>
      </c>
      <c r="L36" s="85">
        <f>K36*(1+'Supporting Schedules'!$C$140)</f>
        <v>111.54365710351654</v>
      </c>
      <c r="M36" s="85">
        <f>L36*(1+'Supporting Schedules'!$C$140)</f>
        <v>114.65764688792432</v>
      </c>
      <c r="N36" s="85">
        <f>M36*(1+'Supporting Schedules'!$C$140)</f>
        <v>117.85857063728535</v>
      </c>
    </row>
    <row r="37" spans="2:14">
      <c r="B37" s="1" t="s">
        <v>233</v>
      </c>
      <c r="F37" s="31">
        <v>14.9</v>
      </c>
      <c r="G37" s="31">
        <v>16.899999999999999</v>
      </c>
      <c r="H37" s="31">
        <v>17.2</v>
      </c>
      <c r="I37" s="31">
        <v>19</v>
      </c>
      <c r="J37" s="89">
        <f>'Supporting Schedules'!H192</f>
        <v>19.455626831869001</v>
      </c>
      <c r="K37" s="89">
        <f>'Supporting Schedules'!I192</f>
        <v>20.622964441781143</v>
      </c>
      <c r="L37" s="89">
        <f>'Supporting Schedules'!J192</f>
        <v>21.715981557195541</v>
      </c>
      <c r="M37" s="89">
        <f>'Supporting Schedules'!K192</f>
        <v>22.866928579726906</v>
      </c>
      <c r="N37" s="89">
        <f>'Supporting Schedules'!L192</f>
        <v>24.010275008713251</v>
      </c>
    </row>
    <row r="38" spans="2:14">
      <c r="B38" s="1" t="s">
        <v>234</v>
      </c>
      <c r="F38" s="31">
        <v>45</v>
      </c>
      <c r="G38" s="31">
        <v>47.4</v>
      </c>
      <c r="H38" s="31">
        <v>53.2</v>
      </c>
      <c r="I38" s="31">
        <v>60.4</v>
      </c>
      <c r="J38" s="89">
        <f>I38*(1+'Supporting Schedules'!$C$150)</f>
        <v>61.378153998685342</v>
      </c>
      <c r="K38" s="89">
        <f>J38*(1+'Supporting Schedules'!$C$150)</f>
        <v>62.372148812687641</v>
      </c>
      <c r="L38" s="89">
        <f>K38*(1+'Supporting Schedules'!$C$150)</f>
        <v>63.382240977716251</v>
      </c>
      <c r="M38" s="89">
        <f>L38*(1+'Supporting Schedules'!$C$150)</f>
        <v>64.408691183974383</v>
      </c>
      <c r="N38" s="89">
        <f>M38*(1+'Supporting Schedules'!$C$150)</f>
        <v>65.451764343439521</v>
      </c>
    </row>
    <row r="39" spans="2:14">
      <c r="B39" s="11" t="s">
        <v>235</v>
      </c>
      <c r="F39" s="27">
        <v>963.3</v>
      </c>
      <c r="G39" s="27">
        <v>1096.8</v>
      </c>
      <c r="H39" s="27">
        <v>1071.5999999999999</v>
      </c>
      <c r="I39" s="27">
        <v>1159.3</v>
      </c>
      <c r="J39" s="86">
        <f>SUM(J34:J38)</f>
        <v>1564.2117735781603</v>
      </c>
      <c r="K39" s="86">
        <f t="shared" ref="K39:N39" si="12">SUM(K34:K38)</f>
        <v>1992.6546173426075</v>
      </c>
      <c r="L39" s="86">
        <f t="shared" si="12"/>
        <v>2442.0835599676029</v>
      </c>
      <c r="M39" s="86">
        <f t="shared" si="12"/>
        <v>2923.5154102054667</v>
      </c>
      <c r="N39" s="86">
        <f t="shared" si="12"/>
        <v>3443.1492904641573</v>
      </c>
    </row>
    <row r="40" spans="2:14">
      <c r="F40" s="26"/>
      <c r="G40" s="26"/>
      <c r="H40" s="26"/>
      <c r="I40" s="26"/>
      <c r="J40" s="85"/>
      <c r="K40" s="85"/>
      <c r="L40" s="85"/>
      <c r="M40" s="85"/>
      <c r="N40" s="85"/>
    </row>
    <row r="41" spans="2:14">
      <c r="B41" s="1" t="s">
        <v>236</v>
      </c>
      <c r="F41" s="31">
        <v>641.79999999999995</v>
      </c>
      <c r="G41" s="31">
        <v>694.4</v>
      </c>
      <c r="H41" s="31">
        <v>669.6</v>
      </c>
      <c r="I41" s="31">
        <v>692.8</v>
      </c>
      <c r="J41" s="85">
        <f>'Supporting Schedules'!D92</f>
        <v>616.39863642380942</v>
      </c>
      <c r="K41" s="85">
        <f>'Supporting Schedules'!E92</f>
        <v>570.91993627671661</v>
      </c>
      <c r="L41" s="85">
        <f>'Supporting Schedules'!F92</f>
        <v>546.552014341264</v>
      </c>
      <c r="M41" s="85">
        <f>'Supporting Schedules'!G92</f>
        <v>537.33428130268908</v>
      </c>
      <c r="N41" s="85">
        <f>'Supporting Schedules'!H92</f>
        <v>538.65517721666049</v>
      </c>
    </row>
    <row r="42" spans="2:14">
      <c r="B42" s="1" t="s">
        <v>237</v>
      </c>
      <c r="F42" s="31">
        <v>1241.4000000000001</v>
      </c>
      <c r="G42" s="31">
        <v>1418.4</v>
      </c>
      <c r="H42" s="31">
        <v>1385.8</v>
      </c>
      <c r="I42" s="31">
        <v>1365.9</v>
      </c>
      <c r="J42" s="85">
        <f>I42</f>
        <v>1365.9</v>
      </c>
      <c r="K42" s="85">
        <f>J42</f>
        <v>1365.9</v>
      </c>
      <c r="L42" s="85">
        <f t="shared" ref="L42:N42" si="13">K42</f>
        <v>1365.9</v>
      </c>
      <c r="M42" s="85">
        <f t="shared" si="13"/>
        <v>1365.9</v>
      </c>
      <c r="N42" s="85">
        <f t="shared" si="13"/>
        <v>1365.9</v>
      </c>
    </row>
    <row r="43" spans="2:14">
      <c r="B43" s="1" t="s">
        <v>238</v>
      </c>
      <c r="F43" s="31">
        <v>358.5</v>
      </c>
      <c r="G43" s="31">
        <v>362.9</v>
      </c>
      <c r="H43" s="31">
        <v>330.9</v>
      </c>
      <c r="I43" s="31">
        <v>304.2</v>
      </c>
      <c r="J43" s="85">
        <f>I43</f>
        <v>304.2</v>
      </c>
      <c r="K43" s="85">
        <f t="shared" ref="K43:N43" si="14">J43</f>
        <v>304.2</v>
      </c>
      <c r="L43" s="85">
        <f t="shared" si="14"/>
        <v>304.2</v>
      </c>
      <c r="M43" s="85">
        <f t="shared" si="14"/>
        <v>304.2</v>
      </c>
      <c r="N43" s="85">
        <f t="shared" si="14"/>
        <v>304.2</v>
      </c>
    </row>
    <row r="44" spans="2:14">
      <c r="B44" s="1" t="s">
        <v>239</v>
      </c>
      <c r="F44" s="31">
        <v>0</v>
      </c>
      <c r="G44" s="31">
        <v>21.5</v>
      </c>
      <c r="H44" s="31">
        <v>21.8</v>
      </c>
      <c r="I44" s="31">
        <v>15.4</v>
      </c>
      <c r="J44" s="85">
        <f>I44</f>
        <v>15.4</v>
      </c>
      <c r="K44" s="85">
        <f t="shared" ref="K44:N44" si="15">J44</f>
        <v>15.4</v>
      </c>
      <c r="L44" s="85">
        <f t="shared" si="15"/>
        <v>15.4</v>
      </c>
      <c r="M44" s="85">
        <f t="shared" si="15"/>
        <v>15.4</v>
      </c>
      <c r="N44" s="85">
        <f t="shared" si="15"/>
        <v>15.4</v>
      </c>
    </row>
    <row r="45" spans="2:14">
      <c r="B45" s="1" t="s">
        <v>240</v>
      </c>
      <c r="F45" s="31">
        <v>39.299999999999997</v>
      </c>
      <c r="G45" s="31">
        <v>45</v>
      </c>
      <c r="H45" s="31">
        <v>36.4</v>
      </c>
      <c r="I45" s="31">
        <v>34.5</v>
      </c>
      <c r="J45" s="85">
        <f>I45</f>
        <v>34.5</v>
      </c>
      <c r="K45" s="85">
        <f t="shared" ref="K45:N46" si="16">J45</f>
        <v>34.5</v>
      </c>
      <c r="L45" s="85">
        <f t="shared" si="16"/>
        <v>34.5</v>
      </c>
      <c r="M45" s="85">
        <f t="shared" si="16"/>
        <v>34.5</v>
      </c>
      <c r="N45" s="85">
        <f t="shared" si="16"/>
        <v>34.5</v>
      </c>
    </row>
    <row r="46" spans="2:14">
      <c r="B46" s="1" t="s">
        <v>241</v>
      </c>
      <c r="F46" s="31">
        <v>5.4</v>
      </c>
      <c r="G46" s="31">
        <v>21.3</v>
      </c>
      <c r="H46" s="31">
        <v>21.8</v>
      </c>
      <c r="I46" s="31">
        <v>27.2</v>
      </c>
      <c r="J46" s="89">
        <f>I46</f>
        <v>27.2</v>
      </c>
      <c r="K46" s="89">
        <f t="shared" si="16"/>
        <v>27.2</v>
      </c>
      <c r="L46" s="89">
        <f t="shared" si="16"/>
        <v>27.2</v>
      </c>
      <c r="M46" s="89">
        <f t="shared" si="16"/>
        <v>27.2</v>
      </c>
      <c r="N46" s="89">
        <f t="shared" si="16"/>
        <v>27.2</v>
      </c>
    </row>
    <row r="47" spans="2:14">
      <c r="B47" s="11" t="s">
        <v>242</v>
      </c>
      <c r="F47" s="27">
        <v>2286.4</v>
      </c>
      <c r="G47" s="27">
        <v>2563.5</v>
      </c>
      <c r="H47" s="27">
        <v>2466.3000000000002</v>
      </c>
      <c r="I47" s="27">
        <v>2440</v>
      </c>
      <c r="J47" s="86">
        <f>SUM(J41:J46)</f>
        <v>2363.5986364238092</v>
      </c>
      <c r="K47" s="86">
        <f t="shared" ref="K47:N47" si="17">SUM(K41:K46)</f>
        <v>2318.1199362767165</v>
      </c>
      <c r="L47" s="86">
        <f t="shared" si="17"/>
        <v>2293.7520143412639</v>
      </c>
      <c r="M47" s="86">
        <f t="shared" si="17"/>
        <v>2284.5342813026891</v>
      </c>
      <c r="N47" s="86">
        <f t="shared" si="17"/>
        <v>2285.8551772166602</v>
      </c>
    </row>
    <row r="48" spans="2:14">
      <c r="B48" s="11" t="s">
        <v>243</v>
      </c>
      <c r="F48" s="30">
        <v>3249.7</v>
      </c>
      <c r="G48" s="30">
        <v>3660.3</v>
      </c>
      <c r="H48" s="30">
        <v>3537.9</v>
      </c>
      <c r="I48" s="30">
        <v>3599.3</v>
      </c>
      <c r="J48" s="86">
        <f>SUM(J47+J39)</f>
        <v>3927.8104100019696</v>
      </c>
      <c r="K48" s="86">
        <f t="shared" ref="K48:N48" si="18">SUM(K47+K39)</f>
        <v>4310.7745536193243</v>
      </c>
      <c r="L48" s="86">
        <f t="shared" si="18"/>
        <v>4735.8355743088669</v>
      </c>
      <c r="M48" s="86">
        <f t="shared" si="18"/>
        <v>5208.0496915081558</v>
      </c>
      <c r="N48" s="86">
        <f t="shared" si="18"/>
        <v>5729.0044676808175</v>
      </c>
    </row>
    <row r="49" spans="2:14">
      <c r="F49" s="26"/>
      <c r="G49" s="26"/>
      <c r="H49" s="26"/>
      <c r="I49" s="26"/>
      <c r="J49" s="85"/>
      <c r="K49" s="85"/>
      <c r="L49" s="85"/>
      <c r="M49" s="85"/>
      <c r="N49" s="85"/>
    </row>
    <row r="50" spans="2:14">
      <c r="B50" s="12" t="s">
        <v>244</v>
      </c>
      <c r="F50" s="26"/>
      <c r="G50" s="26"/>
      <c r="H50" s="26"/>
      <c r="I50" s="26"/>
      <c r="J50" s="85"/>
      <c r="K50" s="85"/>
      <c r="L50" s="85"/>
      <c r="M50" s="85"/>
      <c r="N50" s="85"/>
    </row>
    <row r="51" spans="2:14">
      <c r="B51" s="1" t="s">
        <v>245</v>
      </c>
      <c r="F51" s="31">
        <v>153.4</v>
      </c>
      <c r="G51" s="31">
        <v>172.1</v>
      </c>
      <c r="H51" s="31">
        <v>204.8</v>
      </c>
      <c r="I51" s="31">
        <v>223</v>
      </c>
      <c r="J51" s="85">
        <f>'Supporting Schedules'!H200</f>
        <v>229.87629545647894</v>
      </c>
      <c r="K51" s="85">
        <f>'Supporting Schedules'!I200</f>
        <v>243.72459383430967</v>
      </c>
      <c r="L51" s="85">
        <f>'Supporting Schedules'!J200</f>
        <v>256.63090896913877</v>
      </c>
      <c r="M51" s="85">
        <f>'Supporting Schedules'!K200</f>
        <v>270.23234714450314</v>
      </c>
      <c r="N51" s="85">
        <f>'Supporting Schedules'!L200</f>
        <v>283.73866025249538</v>
      </c>
    </row>
    <row r="52" spans="2:14">
      <c r="B52" s="1" t="s">
        <v>246</v>
      </c>
      <c r="F52" s="31">
        <v>525.5</v>
      </c>
      <c r="G52" s="31">
        <v>333</v>
      </c>
      <c r="H52" s="31">
        <v>167.4</v>
      </c>
      <c r="I52" s="31">
        <v>171.4</v>
      </c>
      <c r="J52" s="85">
        <f>I52</f>
        <v>171.4</v>
      </c>
      <c r="K52" s="85">
        <f t="shared" ref="K52:N52" si="19">J52</f>
        <v>171.4</v>
      </c>
      <c r="L52" s="85">
        <f t="shared" si="19"/>
        <v>171.4</v>
      </c>
      <c r="M52" s="85">
        <f t="shared" si="19"/>
        <v>171.4</v>
      </c>
      <c r="N52" s="85">
        <f t="shared" si="19"/>
        <v>171.4</v>
      </c>
    </row>
    <row r="53" spans="2:14">
      <c r="B53" s="1" t="s">
        <v>247</v>
      </c>
      <c r="F53" s="31">
        <v>59.1</v>
      </c>
      <c r="G53" s="31">
        <v>71</v>
      </c>
      <c r="H53" s="31">
        <v>60.5</v>
      </c>
      <c r="I53" s="31">
        <v>67.2</v>
      </c>
      <c r="J53" s="85">
        <f>'Supporting Schedules'!$C$171*'Forecast Model'!J20</f>
        <v>76.729471581705468</v>
      </c>
      <c r="K53" s="85">
        <f>'Supporting Schedules'!$C$171*'Forecast Model'!K20</f>
        <v>87.15074619727487</v>
      </c>
      <c r="L53" s="85">
        <f>'Supporting Schedules'!$C$171*'Forecast Model'!L20</f>
        <v>95.748256262129829</v>
      </c>
      <c r="M53" s="85">
        <f>'Supporting Schedules'!$C$171*'Forecast Model'!M20</f>
        <v>103.75413303062503</v>
      </c>
      <c r="N53" s="85">
        <f>'Supporting Schedules'!$C$171*'Forecast Model'!N20</f>
        <v>111.03972949508356</v>
      </c>
    </row>
    <row r="54" spans="2:14">
      <c r="B54" s="1" t="s">
        <v>248</v>
      </c>
      <c r="F54" s="31">
        <v>527.6</v>
      </c>
      <c r="G54" s="31">
        <v>566.9</v>
      </c>
      <c r="H54" s="31">
        <v>548.79999999999995</v>
      </c>
      <c r="I54" s="31">
        <v>588.5</v>
      </c>
      <c r="J54" s="89">
        <f>I54*(1+'Supporting Schedules'!$C$161)</f>
        <v>692.25395089655115</v>
      </c>
      <c r="K54" s="89">
        <f>J54*(1+'Supporting Schedules'!$C$161)</f>
        <v>814.29997031756102</v>
      </c>
      <c r="L54" s="89">
        <f>K54*(1+'Supporting Schedules'!$C$161)</f>
        <v>957.86299348729983</v>
      </c>
      <c r="M54" s="89">
        <f>L54*(1+'Supporting Schedules'!$C$161)</f>
        <v>1126.7365193868832</v>
      </c>
      <c r="N54" s="89">
        <f>M54*(1+'Supporting Schedules'!$C$161)</f>
        <v>1325.3828498980431</v>
      </c>
    </row>
    <row r="55" spans="2:14">
      <c r="B55" s="11" t="s">
        <v>249</v>
      </c>
      <c r="F55" s="30">
        <v>1265.5999999999999</v>
      </c>
      <c r="G55" s="30">
        <v>1143</v>
      </c>
      <c r="H55" s="30">
        <v>981.5</v>
      </c>
      <c r="I55" s="30">
        <v>1050.0999999999999</v>
      </c>
      <c r="J55" s="85">
        <f>SUM(J51:J54)</f>
        <v>1170.2597179347356</v>
      </c>
      <c r="K55" s="85">
        <f t="shared" ref="K55:N55" si="20">SUM(K51:K54)</f>
        <v>1316.5753103491456</v>
      </c>
      <c r="L55" s="85">
        <f t="shared" si="20"/>
        <v>1481.6421587185685</v>
      </c>
      <c r="M55" s="85">
        <f t="shared" si="20"/>
        <v>1672.1229995620113</v>
      </c>
      <c r="N55" s="85">
        <f t="shared" si="20"/>
        <v>1891.561239645622</v>
      </c>
    </row>
    <row r="56" spans="2:14">
      <c r="F56" s="29"/>
      <c r="G56" s="29"/>
      <c r="H56" s="29"/>
      <c r="I56" s="29"/>
      <c r="J56" s="86"/>
      <c r="K56" s="86"/>
      <c r="L56" s="86"/>
      <c r="M56" s="86"/>
      <c r="N56" s="86"/>
    </row>
    <row r="57" spans="2:14">
      <c r="B57" s="1" t="s">
        <v>250</v>
      </c>
      <c r="F57" s="31">
        <v>537.20000000000005</v>
      </c>
      <c r="G57" s="31">
        <v>797.1</v>
      </c>
      <c r="H57" s="31">
        <v>812.4</v>
      </c>
      <c r="I57" s="31">
        <v>741.5</v>
      </c>
      <c r="J57" s="85">
        <f>I57</f>
        <v>741.5</v>
      </c>
      <c r="K57" s="85">
        <f t="shared" ref="K57:N57" si="21">J57</f>
        <v>741.5</v>
      </c>
      <c r="L57" s="85">
        <f t="shared" si="21"/>
        <v>741.5</v>
      </c>
      <c r="M57" s="85">
        <f t="shared" si="21"/>
        <v>741.5</v>
      </c>
      <c r="N57" s="85">
        <f t="shared" si="21"/>
        <v>741.5</v>
      </c>
    </row>
    <row r="58" spans="2:14">
      <c r="B58" s="1" t="s">
        <v>251</v>
      </c>
      <c r="F58" s="31">
        <v>67.400000000000006</v>
      </c>
      <c r="G58" s="31">
        <v>99.2</v>
      </c>
      <c r="H58" s="31">
        <v>75.3</v>
      </c>
      <c r="I58" s="31">
        <v>69.900000000000006</v>
      </c>
      <c r="J58" s="85">
        <f>I58</f>
        <v>69.900000000000006</v>
      </c>
      <c r="K58" s="85">
        <f t="shared" ref="K58:N58" si="22">J58</f>
        <v>69.900000000000006</v>
      </c>
      <c r="L58" s="85">
        <f t="shared" si="22"/>
        <v>69.900000000000006</v>
      </c>
      <c r="M58" s="85">
        <f t="shared" si="22"/>
        <v>69.900000000000006</v>
      </c>
      <c r="N58" s="85">
        <f t="shared" si="22"/>
        <v>69.900000000000006</v>
      </c>
    </row>
    <row r="59" spans="2:14">
      <c r="B59" s="1" t="s">
        <v>252</v>
      </c>
      <c r="F59" s="31">
        <v>265.2</v>
      </c>
      <c r="G59" s="31">
        <v>303</v>
      </c>
      <c r="H59" s="31">
        <v>308.60000000000002</v>
      </c>
      <c r="I59" s="31">
        <v>292.89999999999998</v>
      </c>
      <c r="J59" s="85">
        <f>I59</f>
        <v>292.89999999999998</v>
      </c>
      <c r="K59" s="85">
        <f t="shared" ref="K59:N59" si="23">J59</f>
        <v>292.89999999999998</v>
      </c>
      <c r="L59" s="85">
        <f t="shared" si="23"/>
        <v>292.89999999999998</v>
      </c>
      <c r="M59" s="85">
        <f t="shared" si="23"/>
        <v>292.89999999999998</v>
      </c>
      <c r="N59" s="85">
        <f t="shared" si="23"/>
        <v>292.89999999999998</v>
      </c>
    </row>
    <row r="60" spans="2:14">
      <c r="B60" s="11" t="s">
        <v>253</v>
      </c>
      <c r="F60" s="27">
        <v>869.8</v>
      </c>
      <c r="G60" s="27">
        <v>1199.3</v>
      </c>
      <c r="H60" s="27">
        <v>1196.3</v>
      </c>
      <c r="I60" s="27">
        <v>1104.3</v>
      </c>
      <c r="J60" s="86">
        <f>SUM(J57:J59)</f>
        <v>1104.3</v>
      </c>
      <c r="K60" s="86">
        <f t="shared" ref="K60:N60" si="24">SUM(K57:K59)</f>
        <v>1104.3</v>
      </c>
      <c r="L60" s="86">
        <f t="shared" si="24"/>
        <v>1104.3</v>
      </c>
      <c r="M60" s="86">
        <f t="shared" si="24"/>
        <v>1104.3</v>
      </c>
      <c r="N60" s="86">
        <f t="shared" si="24"/>
        <v>1104.3</v>
      </c>
    </row>
    <row r="61" spans="2:14">
      <c r="B61" s="11" t="s">
        <v>254</v>
      </c>
      <c r="F61" s="30">
        <v>2135.4</v>
      </c>
      <c r="G61" s="30">
        <v>2342.3000000000002</v>
      </c>
      <c r="H61" s="30">
        <v>2177.8000000000002</v>
      </c>
      <c r="I61" s="30">
        <v>2154.4</v>
      </c>
      <c r="J61" s="86">
        <f>J55+J60</f>
        <v>2274.5597179347355</v>
      </c>
      <c r="K61" s="86">
        <f t="shared" ref="K61:N61" si="25">K55+K60</f>
        <v>2420.8753103491454</v>
      </c>
      <c r="L61" s="86">
        <f t="shared" si="25"/>
        <v>2585.9421587185684</v>
      </c>
      <c r="M61" s="86">
        <f t="shared" si="25"/>
        <v>2776.4229995620112</v>
      </c>
      <c r="N61" s="86">
        <f t="shared" si="25"/>
        <v>2995.8612396456219</v>
      </c>
    </row>
    <row r="62" spans="2:14">
      <c r="F62" s="29"/>
      <c r="G62" s="29"/>
      <c r="H62" s="29"/>
      <c r="I62" s="29"/>
      <c r="J62" s="86"/>
      <c r="K62" s="86"/>
      <c r="L62" s="86"/>
      <c r="M62" s="86"/>
      <c r="N62" s="86"/>
    </row>
    <row r="63" spans="2:14">
      <c r="B63" s="12" t="s">
        <v>255</v>
      </c>
      <c r="F63" s="29"/>
      <c r="G63" s="29"/>
      <c r="H63" s="29"/>
      <c r="I63" s="29"/>
      <c r="J63" s="85"/>
      <c r="K63" s="85"/>
      <c r="L63" s="85"/>
      <c r="M63" s="85"/>
      <c r="N63" s="85"/>
    </row>
    <row r="64" spans="2:14">
      <c r="B64" s="1" t="s">
        <v>256</v>
      </c>
      <c r="F64" s="31">
        <v>259.39999999999998</v>
      </c>
      <c r="G64" s="31">
        <v>259.39999999999998</v>
      </c>
      <c r="H64" s="31">
        <v>259.39999999999998</v>
      </c>
      <c r="I64" s="31">
        <v>259.39999999999998</v>
      </c>
      <c r="J64" s="134"/>
      <c r="K64" s="134"/>
      <c r="L64" s="134"/>
      <c r="M64" s="134"/>
      <c r="N64" s="134"/>
    </row>
    <row r="65" spans="2:14">
      <c r="B65" s="1" t="s">
        <v>257</v>
      </c>
      <c r="F65" s="31">
        <v>925.1</v>
      </c>
      <c r="G65" s="31">
        <v>1065.9000000000001</v>
      </c>
      <c r="H65" s="31">
        <v>1191.5</v>
      </c>
      <c r="I65" s="31">
        <v>1333.7</v>
      </c>
      <c r="J65" s="135"/>
      <c r="K65" s="135"/>
      <c r="L65" s="135"/>
      <c r="M65" s="135"/>
      <c r="N65" s="135"/>
    </row>
    <row r="66" spans="2:14">
      <c r="B66" s="1" t="s">
        <v>258</v>
      </c>
      <c r="F66" s="29">
        <v>0</v>
      </c>
      <c r="G66" s="29">
        <v>0</v>
      </c>
      <c r="H66" s="29">
        <v>0</v>
      </c>
      <c r="I66" s="29">
        <v>0</v>
      </c>
      <c r="J66" s="135"/>
      <c r="K66" s="135"/>
      <c r="L66" s="135"/>
      <c r="M66" s="135"/>
      <c r="N66" s="135"/>
    </row>
    <row r="67" spans="2:14">
      <c r="B67" s="1" t="s">
        <v>259</v>
      </c>
      <c r="F67" s="31">
        <v>-108.9</v>
      </c>
      <c r="G67" s="31">
        <v>-47.7</v>
      </c>
      <c r="H67" s="31">
        <v>-133.80000000000001</v>
      </c>
      <c r="I67" s="31">
        <v>-197.5</v>
      </c>
      <c r="J67" s="135"/>
      <c r="K67" s="135"/>
      <c r="L67" s="135"/>
      <c r="M67" s="135"/>
      <c r="N67" s="135"/>
    </row>
    <row r="68" spans="2:14">
      <c r="B68" s="11" t="s">
        <v>260</v>
      </c>
      <c r="F68" s="30">
        <v>1114.3</v>
      </c>
      <c r="G68" s="30">
        <v>1318</v>
      </c>
      <c r="H68" s="30">
        <v>1360.1</v>
      </c>
      <c r="I68" s="30">
        <v>1444.9</v>
      </c>
      <c r="J68" s="86">
        <f>'Supporting Schedules'!D226</f>
        <v>1653.2506920672345</v>
      </c>
      <c r="K68" s="86">
        <f>'Supporting Schedules'!E226</f>
        <v>1889.8992432701791</v>
      </c>
      <c r="L68" s="86">
        <f>'Supporting Schedules'!F226</f>
        <v>2149.8934155902984</v>
      </c>
      <c r="M68" s="86">
        <f>'Supporting Schedules'!G226</f>
        <v>2431.6266919461441</v>
      </c>
      <c r="N68" s="86">
        <f>'Supporting Schedules'!H226</f>
        <v>2733.1432280351955</v>
      </c>
    </row>
    <row r="69" spans="2:14">
      <c r="F69" s="29"/>
      <c r="G69" s="29"/>
      <c r="H69" s="29"/>
      <c r="I69" s="29"/>
      <c r="J69" s="85"/>
      <c r="K69" s="85"/>
      <c r="L69" s="85"/>
      <c r="M69" s="85"/>
      <c r="N69" s="85"/>
    </row>
    <row r="70" spans="2:14">
      <c r="B70" s="11" t="s">
        <v>261</v>
      </c>
      <c r="F70" s="30">
        <v>3249.7</v>
      </c>
      <c r="G70" s="30">
        <v>3660.3</v>
      </c>
      <c r="H70" s="30">
        <v>3537.9</v>
      </c>
      <c r="I70" s="30">
        <v>3599.3</v>
      </c>
      <c r="J70" s="86">
        <f>J68+J61</f>
        <v>3927.81041000197</v>
      </c>
      <c r="K70" s="86">
        <f t="shared" ref="K70:N70" si="26">K68+K61</f>
        <v>4310.7745536193243</v>
      </c>
      <c r="L70" s="86">
        <f t="shared" si="26"/>
        <v>4735.8355743088669</v>
      </c>
      <c r="M70" s="86">
        <f t="shared" si="26"/>
        <v>5208.0496915081549</v>
      </c>
      <c r="N70" s="86">
        <f t="shared" si="26"/>
        <v>5729.0044676808175</v>
      </c>
    </row>
    <row r="71" spans="2:14">
      <c r="B71" s="1" t="s">
        <v>476</v>
      </c>
      <c r="F71" s="33">
        <f>F70-F48</f>
        <v>0</v>
      </c>
      <c r="G71" s="33">
        <f t="shared" ref="G71:N71" si="27">G70-G48</f>
        <v>0</v>
      </c>
      <c r="H71" s="33">
        <f t="shared" si="27"/>
        <v>0</v>
      </c>
      <c r="I71" s="33">
        <f t="shared" si="27"/>
        <v>0</v>
      </c>
      <c r="J71" s="138">
        <f>J70-J48</f>
        <v>0</v>
      </c>
      <c r="K71" s="138">
        <f t="shared" si="27"/>
        <v>0</v>
      </c>
      <c r="L71" s="138">
        <f t="shared" si="27"/>
        <v>0</v>
      </c>
      <c r="M71" s="138">
        <f t="shared" si="27"/>
        <v>0</v>
      </c>
      <c r="N71" s="138">
        <f t="shared" si="27"/>
        <v>0</v>
      </c>
    </row>
    <row r="73" spans="2:14" ht="19">
      <c r="B73" s="662" t="s">
        <v>477</v>
      </c>
      <c r="C73" s="662"/>
      <c r="D73" s="662"/>
      <c r="E73" s="662"/>
      <c r="F73" s="662"/>
      <c r="G73" s="662"/>
      <c r="H73" s="662"/>
      <c r="I73" s="662"/>
      <c r="J73" s="662"/>
      <c r="K73" s="662"/>
      <c r="L73" s="662"/>
      <c r="M73" s="662"/>
      <c r="N73" s="662"/>
    </row>
    <row r="74" spans="2:14">
      <c r="J74" s="82"/>
      <c r="K74" s="82"/>
      <c r="L74" s="82"/>
      <c r="M74" s="82"/>
      <c r="N74" s="82"/>
    </row>
    <row r="75" spans="2:14">
      <c r="B75" s="51" t="s">
        <v>478</v>
      </c>
      <c r="F75" s="83" t="s">
        <v>96</v>
      </c>
      <c r="G75" s="84" t="s">
        <v>97</v>
      </c>
      <c r="H75" s="84" t="s">
        <v>98</v>
      </c>
      <c r="I75" s="84" t="s">
        <v>99</v>
      </c>
      <c r="J75" s="84" t="s">
        <v>100</v>
      </c>
      <c r="K75" s="84" t="s">
        <v>101</v>
      </c>
      <c r="L75" s="84" t="s">
        <v>360</v>
      </c>
      <c r="M75" s="84" t="s">
        <v>361</v>
      </c>
      <c r="N75" s="84" t="s">
        <v>362</v>
      </c>
    </row>
    <row r="76" spans="2:14">
      <c r="B76" s="51" t="s">
        <v>474</v>
      </c>
    </row>
    <row r="78" spans="2:14">
      <c r="B78" s="12"/>
    </row>
    <row r="79" spans="2:14">
      <c r="B79" s="12" t="s">
        <v>263</v>
      </c>
      <c r="J79" s="56"/>
      <c r="K79" s="24"/>
      <c r="L79" s="24"/>
      <c r="M79" s="24"/>
      <c r="N79" s="24"/>
    </row>
    <row r="80" spans="2:14">
      <c r="B80" s="1" t="s">
        <v>111</v>
      </c>
      <c r="F80" s="33">
        <v>306.7</v>
      </c>
      <c r="G80" s="33">
        <v>306.8</v>
      </c>
      <c r="H80" s="33">
        <v>318.10000000000002</v>
      </c>
      <c r="I80" s="33">
        <v>367.2</v>
      </c>
      <c r="J80" s="56">
        <f>J24</f>
        <v>360.76817782003508</v>
      </c>
      <c r="K80" s="56">
        <f>K24</f>
        <v>409.76713710020783</v>
      </c>
      <c r="L80" s="56">
        <f>L24</f>
        <v>450.1910834137737</v>
      </c>
      <c r="M80" s="56">
        <f>M24</f>
        <v>487.83327635584538</v>
      </c>
      <c r="N80" s="56">
        <f>N24</f>
        <v>522.08884082973759</v>
      </c>
    </row>
    <row r="81" spans="2:14">
      <c r="B81" s="1" t="s">
        <v>264</v>
      </c>
      <c r="F81" s="33">
        <v>198.6</v>
      </c>
      <c r="G81" s="33">
        <v>215.3</v>
      </c>
      <c r="H81" s="33">
        <v>209.5</v>
      </c>
      <c r="I81" s="33">
        <v>194</v>
      </c>
      <c r="J81" s="56">
        <f>J12*-1</f>
        <v>208.52085964612843</v>
      </c>
      <c r="K81" s="56">
        <f>K12*-1</f>
        <v>185.52536598122708</v>
      </c>
      <c r="L81" s="56">
        <f>L12*-1</f>
        <v>171.83706105879594</v>
      </c>
      <c r="M81" s="56">
        <f>M12*-1</f>
        <v>164.5027365354554</v>
      </c>
      <c r="N81" s="56">
        <f>N12*-1</f>
        <v>161.72835775775309</v>
      </c>
    </row>
    <row r="82" spans="2:14">
      <c r="B82" s="1" t="s">
        <v>265</v>
      </c>
      <c r="F82" s="36">
        <v>-7.3</v>
      </c>
      <c r="G82" s="33">
        <v>2.2999999999999998</v>
      </c>
      <c r="H82" s="33">
        <v>-11.8</v>
      </c>
      <c r="I82" s="33">
        <v>-5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</row>
    <row r="83" spans="2:14">
      <c r="B83" s="1" t="s">
        <v>266</v>
      </c>
      <c r="F83" s="33">
        <v>25</v>
      </c>
      <c r="G83" s="33">
        <v>33.700000000000003</v>
      </c>
      <c r="H83" s="33">
        <v>13.1</v>
      </c>
      <c r="I83" s="33">
        <v>24.7</v>
      </c>
      <c r="J83" s="56">
        <f>I83</f>
        <v>24.7</v>
      </c>
      <c r="K83" s="56">
        <f t="shared" ref="K83:N83" si="28">J83</f>
        <v>24.7</v>
      </c>
      <c r="L83" s="56">
        <f t="shared" si="28"/>
        <v>24.7</v>
      </c>
      <c r="M83" s="56">
        <f t="shared" si="28"/>
        <v>24.7</v>
      </c>
      <c r="N83" s="56">
        <f t="shared" si="28"/>
        <v>24.7</v>
      </c>
    </row>
    <row r="84" spans="2:14">
      <c r="B84" s="1" t="s">
        <v>267</v>
      </c>
      <c r="F84" s="33"/>
      <c r="G84" s="33"/>
      <c r="H84" s="33"/>
      <c r="I84" s="33"/>
      <c r="J84" s="56"/>
      <c r="K84" s="24"/>
      <c r="L84" s="24"/>
      <c r="M84" s="24"/>
      <c r="N84" s="24"/>
    </row>
    <row r="85" spans="2:14">
      <c r="B85" s="1" t="s">
        <v>268</v>
      </c>
      <c r="F85" s="31">
        <v>-29.2</v>
      </c>
      <c r="G85" s="31">
        <v>-54.3</v>
      </c>
      <c r="H85" s="31">
        <v>-41.2</v>
      </c>
      <c r="I85" s="31">
        <v>-45.6</v>
      </c>
      <c r="J85" s="56">
        <f>-(J35-I35)</f>
        <v>-40.004512917955822</v>
      </c>
      <c r="K85" s="56">
        <f>-(K35-J35)</f>
        <v>-40.452270775077295</v>
      </c>
      <c r="L85" s="56">
        <f>-(L35-K35)</f>
        <v>-37.876809535730786</v>
      </c>
      <c r="M85" s="56">
        <f>-(M35-L35)</f>
        <v>-39.884280441124474</v>
      </c>
      <c r="N85" s="56">
        <f>-(N35-M35)</f>
        <v>-39.620893683494387</v>
      </c>
    </row>
    <row r="86" spans="2:14">
      <c r="B86" s="1" t="s">
        <v>269</v>
      </c>
      <c r="F86" s="33">
        <v>0.6</v>
      </c>
      <c r="G86" s="33">
        <v>-0.8</v>
      </c>
      <c r="H86" s="33">
        <v>-1.2</v>
      </c>
      <c r="I86" s="33">
        <v>-2.2000000000000002</v>
      </c>
      <c r="J86" s="56">
        <f>-(J37-I37)</f>
        <v>-0.45562683186900088</v>
      </c>
      <c r="K86" s="56">
        <f>-(K37-J37)</f>
        <v>-1.167337609912142</v>
      </c>
      <c r="L86" s="56">
        <f>-(L37-K37)</f>
        <v>-1.0930171154143977</v>
      </c>
      <c r="M86" s="56">
        <f>-(M37-L37)</f>
        <v>-1.1509470225313656</v>
      </c>
      <c r="N86" s="56">
        <f>-(N37-M37)</f>
        <v>-1.1433464289863444</v>
      </c>
    </row>
    <row r="87" spans="2:14">
      <c r="B87" s="1" t="s">
        <v>270</v>
      </c>
      <c r="F87" s="33">
        <v>62</v>
      </c>
      <c r="G87" s="33">
        <v>61.1</v>
      </c>
      <c r="H87" s="33">
        <v>47.7</v>
      </c>
      <c r="I87" s="33">
        <v>69.8</v>
      </c>
      <c r="J87" s="56">
        <f>J51-I51</f>
        <v>6.8762954564789425</v>
      </c>
      <c r="K87" s="56">
        <f>K51-J51</f>
        <v>13.84829837783073</v>
      </c>
      <c r="L87" s="56">
        <f>L51-K51</f>
        <v>12.9063151348291</v>
      </c>
      <c r="M87" s="56">
        <f>M51-L51</f>
        <v>13.601438175364365</v>
      </c>
      <c r="N87" s="56">
        <f>N51-M51</f>
        <v>13.506313107992241</v>
      </c>
    </row>
    <row r="88" spans="2:14">
      <c r="B88" s="1" t="s">
        <v>271</v>
      </c>
      <c r="F88" s="33">
        <v>-4.7</v>
      </c>
      <c r="G88" s="33">
        <v>-2</v>
      </c>
      <c r="H88" s="33">
        <v>4.3</v>
      </c>
      <c r="I88" s="33">
        <v>-3.3</v>
      </c>
      <c r="J88" s="56">
        <f>(I38-J38)+(J54-I54)+(I36-J36)+(J53-I53)</f>
        <v>109.43816909298862</v>
      </c>
      <c r="K88" s="56">
        <f>(J38-K38)+(K54-J54)+(J36-K36)+(K53-J53)</f>
        <v>128.5261583667388</v>
      </c>
      <c r="L88" s="56">
        <f>(K38-L38)+(L54-K54)+(K36-L36)+(L53-K53)</f>
        <v>148.12102420846949</v>
      </c>
      <c r="M88" s="56">
        <f>(L38-M38)+(M54-L54)+(L36-M36)+(M53-L53)</f>
        <v>172.73896267741264</v>
      </c>
      <c r="N88" s="56">
        <f>(M38-N38)+(N54-M54)+(M36-N36)+(N53-M53)</f>
        <v>201.68793006679229</v>
      </c>
    </row>
    <row r="89" spans="2:14">
      <c r="B89" s="11" t="s">
        <v>272</v>
      </c>
      <c r="F89" s="34">
        <v>551.70000000000005</v>
      </c>
      <c r="G89" s="34">
        <v>562.1</v>
      </c>
      <c r="H89" s="34">
        <v>538.5</v>
      </c>
      <c r="I89" s="34">
        <v>599.79999999999995</v>
      </c>
      <c r="J89" s="91">
        <f>SUM(J80:J88)</f>
        <v>669.84336226580626</v>
      </c>
      <c r="K89" s="91">
        <f t="shared" ref="K89:N89" si="29">SUM(K80:K88)</f>
        <v>720.7473514410151</v>
      </c>
      <c r="L89" s="91">
        <f t="shared" si="29"/>
        <v>768.78565716472315</v>
      </c>
      <c r="M89" s="91">
        <f t="shared" si="29"/>
        <v>822.34118628042211</v>
      </c>
      <c r="N89" s="91">
        <f t="shared" si="29"/>
        <v>882.94720164979458</v>
      </c>
    </row>
    <row r="90" spans="2:14">
      <c r="F90" s="33"/>
      <c r="G90" s="33"/>
      <c r="H90" s="33"/>
      <c r="I90" s="33"/>
    </row>
    <row r="91" spans="2:14">
      <c r="B91" s="12" t="s">
        <v>273</v>
      </c>
      <c r="F91" s="33"/>
      <c r="G91" s="33"/>
      <c r="H91" s="33"/>
      <c r="I91" s="33"/>
    </row>
    <row r="92" spans="2:14">
      <c r="B92" s="1" t="s">
        <v>274</v>
      </c>
      <c r="F92" s="33">
        <v>-97.1</v>
      </c>
      <c r="G92" s="33">
        <v>-116.5</v>
      </c>
      <c r="H92" s="33">
        <v>-116.9</v>
      </c>
      <c r="I92" s="33">
        <v>-135</v>
      </c>
      <c r="J92" s="24">
        <f>-'Supporting Schedules'!D90</f>
        <v>-132.11949606993792</v>
      </c>
      <c r="K92" s="24">
        <f>-'Supporting Schedules'!E90</f>
        <v>-140.04666583413422</v>
      </c>
      <c r="L92" s="24">
        <f>-'Supporting Schedules'!F90</f>
        <v>-147.46913912334333</v>
      </c>
      <c r="M92" s="24">
        <f>-'Supporting Schedules'!G90</f>
        <v>-155.28500349688051</v>
      </c>
      <c r="N92" s="24">
        <f>-'Supporting Schedules'!H90</f>
        <v>-163.04925367172453</v>
      </c>
    </row>
    <row r="93" spans="2:14">
      <c r="B93" s="1" t="s">
        <v>275</v>
      </c>
      <c r="F93" s="33">
        <v>-491.8</v>
      </c>
      <c r="G93" s="33">
        <v>-63.2</v>
      </c>
      <c r="H93" s="33">
        <v>-43.9</v>
      </c>
      <c r="I93" s="33">
        <v>-14.9</v>
      </c>
      <c r="J93" s="24">
        <f>0</f>
        <v>0</v>
      </c>
      <c r="K93" s="24">
        <f>0</f>
        <v>0</v>
      </c>
      <c r="L93" s="24">
        <f>0</f>
        <v>0</v>
      </c>
      <c r="M93" s="24">
        <f>0</f>
        <v>0</v>
      </c>
      <c r="N93" s="24">
        <f>0</f>
        <v>0</v>
      </c>
    </row>
    <row r="94" spans="2:14">
      <c r="B94" s="1" t="s">
        <v>276</v>
      </c>
      <c r="F94" s="35" t="s">
        <v>277</v>
      </c>
      <c r="G94" s="35" t="s">
        <v>277</v>
      </c>
      <c r="H94" s="35" t="s">
        <v>277</v>
      </c>
      <c r="I94" s="35" t="s">
        <v>277</v>
      </c>
      <c r="J94" s="24">
        <f>0</f>
        <v>0</v>
      </c>
      <c r="K94" s="24">
        <f>0</f>
        <v>0</v>
      </c>
      <c r="L94" s="24">
        <f>0</f>
        <v>0</v>
      </c>
      <c r="M94" s="24">
        <f>0</f>
        <v>0</v>
      </c>
      <c r="N94" s="24">
        <f>0</f>
        <v>0</v>
      </c>
    </row>
    <row r="95" spans="2:14">
      <c r="B95" s="1" t="s">
        <v>278</v>
      </c>
      <c r="F95" s="33">
        <v>1</v>
      </c>
      <c r="G95" s="33">
        <v>4.2</v>
      </c>
      <c r="H95" s="33">
        <v>11.5</v>
      </c>
      <c r="I95" s="33">
        <v>5</v>
      </c>
      <c r="J95" s="24">
        <f>0</f>
        <v>0</v>
      </c>
      <c r="K95" s="24">
        <f>0</f>
        <v>0</v>
      </c>
      <c r="L95" s="24">
        <f>0</f>
        <v>0</v>
      </c>
      <c r="M95" s="24">
        <f>0</f>
        <v>0</v>
      </c>
      <c r="N95" s="24">
        <f>0</f>
        <v>0</v>
      </c>
    </row>
    <row r="96" spans="2:14">
      <c r="B96" s="11" t="s">
        <v>279</v>
      </c>
      <c r="F96" s="34">
        <v>-587.9</v>
      </c>
      <c r="G96" s="34">
        <v>-175.5</v>
      </c>
      <c r="H96" s="34">
        <v>-149.30000000000001</v>
      </c>
      <c r="I96" s="34">
        <v>-144.9</v>
      </c>
      <c r="J96" s="27">
        <f>SUM(J92:J95)</f>
        <v>-132.11949606993792</v>
      </c>
      <c r="K96" s="27">
        <f t="shared" ref="K96:N96" si="30">SUM(K92:K95)</f>
        <v>-140.04666583413422</v>
      </c>
      <c r="L96" s="27">
        <f t="shared" si="30"/>
        <v>-147.46913912334333</v>
      </c>
      <c r="M96" s="27">
        <f t="shared" si="30"/>
        <v>-155.28500349688051</v>
      </c>
      <c r="N96" s="27">
        <f t="shared" si="30"/>
        <v>-163.04925367172453</v>
      </c>
    </row>
    <row r="97" spans="2:14">
      <c r="F97" s="33"/>
      <c r="G97" s="33"/>
      <c r="H97" s="33"/>
      <c r="I97" s="33"/>
      <c r="J97" s="24"/>
      <c r="K97" s="24"/>
      <c r="L97" s="24"/>
      <c r="M97" s="24"/>
      <c r="N97" s="24"/>
    </row>
    <row r="98" spans="2:14">
      <c r="B98" s="12" t="s">
        <v>280</v>
      </c>
      <c r="F98" s="33"/>
      <c r="G98" s="33"/>
      <c r="H98" s="33"/>
      <c r="I98" s="33"/>
      <c r="J98" s="24"/>
      <c r="K98" s="24"/>
      <c r="L98" s="24"/>
      <c r="M98" s="24"/>
      <c r="N98" s="24"/>
    </row>
    <row r="99" spans="2:14">
      <c r="B99" s="1" t="s">
        <v>281</v>
      </c>
      <c r="F99" s="33">
        <v>-170.6</v>
      </c>
      <c r="G99" s="33">
        <v>-170.6</v>
      </c>
      <c r="H99" s="33">
        <v>-176.3</v>
      </c>
      <c r="I99" s="33">
        <v>-206.1</v>
      </c>
      <c r="J99" s="24">
        <f>'Supporting Schedules'!D224</f>
        <v>-152.41748575280087</v>
      </c>
      <c r="K99" s="24">
        <f>'Supporting Schedules'!E224</f>
        <v>-173.11858589726336</v>
      </c>
      <c r="L99" s="24">
        <f>'Supporting Schedules'!F224</f>
        <v>-190.19691109365419</v>
      </c>
      <c r="M99" s="24">
        <f>'Supporting Schedules'!G224</f>
        <v>-206.1</v>
      </c>
      <c r="N99" s="24">
        <f>'Supporting Schedules'!H224</f>
        <v>-220.57230474068621</v>
      </c>
    </row>
    <row r="100" spans="2:14">
      <c r="B100" s="1" t="s">
        <v>282</v>
      </c>
      <c r="F100" s="33">
        <v>-11.4</v>
      </c>
      <c r="G100" s="33">
        <v>-2.2999999999999998</v>
      </c>
      <c r="H100" s="33">
        <v>-11.6</v>
      </c>
      <c r="I100" s="33">
        <v>-24.7</v>
      </c>
      <c r="J100" s="24">
        <f>I100</f>
        <v>-24.7</v>
      </c>
      <c r="K100" s="24">
        <f t="shared" ref="K100:N100" si="31">J100</f>
        <v>-24.7</v>
      </c>
      <c r="L100" s="24">
        <f t="shared" si="31"/>
        <v>-24.7</v>
      </c>
      <c r="M100" s="24">
        <f t="shared" si="31"/>
        <v>-24.7</v>
      </c>
      <c r="N100" s="24">
        <f t="shared" si="31"/>
        <v>-24.7</v>
      </c>
    </row>
    <row r="101" spans="2:14">
      <c r="B101" s="1" t="s">
        <v>283</v>
      </c>
      <c r="F101" s="33">
        <v>304.8</v>
      </c>
      <c r="G101" s="33">
        <v>-162</v>
      </c>
      <c r="H101" s="33">
        <v>-187.6</v>
      </c>
      <c r="I101" s="33">
        <v>-171.6</v>
      </c>
      <c r="J101" s="24">
        <f>0</f>
        <v>0</v>
      </c>
      <c r="K101" s="24">
        <f>0</f>
        <v>0</v>
      </c>
      <c r="L101" s="24">
        <f>0</f>
        <v>0</v>
      </c>
      <c r="M101" s="24">
        <f>0</f>
        <v>0</v>
      </c>
      <c r="N101" s="24">
        <f>0</f>
        <v>0</v>
      </c>
    </row>
    <row r="102" spans="2:14">
      <c r="B102" s="11" t="s">
        <v>284</v>
      </c>
      <c r="F102" s="34">
        <v>122.8</v>
      </c>
      <c r="G102" s="34">
        <v>-334.9</v>
      </c>
      <c r="H102" s="34">
        <v>-375.5</v>
      </c>
      <c r="I102" s="34">
        <v>-402.4</v>
      </c>
      <c r="J102" s="27">
        <f>SUM(J99:J101)</f>
        <v>-177.11748575280086</v>
      </c>
      <c r="K102" s="27">
        <f t="shared" ref="K102:N102" si="32">SUM(K99:K101)</f>
        <v>-197.81858589726335</v>
      </c>
      <c r="L102" s="27">
        <f t="shared" si="32"/>
        <v>-214.89691109365418</v>
      </c>
      <c r="M102" s="27">
        <f t="shared" si="32"/>
        <v>-230.79999999999998</v>
      </c>
      <c r="N102" s="27">
        <f t="shared" si="32"/>
        <v>-245.2723047406862</v>
      </c>
    </row>
    <row r="103" spans="2:14">
      <c r="F103" s="33"/>
      <c r="G103" s="33"/>
      <c r="H103" s="33"/>
      <c r="I103" s="33"/>
      <c r="J103" s="24"/>
      <c r="K103" s="24"/>
      <c r="L103" s="24"/>
      <c r="M103" s="24"/>
      <c r="N103" s="24"/>
    </row>
    <row r="104" spans="2:14">
      <c r="B104" s="1" t="s">
        <v>285</v>
      </c>
      <c r="F104" s="33">
        <v>-6</v>
      </c>
      <c r="G104" s="33">
        <v>5</v>
      </c>
      <c r="H104" s="33">
        <v>-35.799999999999997</v>
      </c>
      <c r="I104" s="33">
        <v>-14.6</v>
      </c>
      <c r="J104" s="27">
        <f>0</f>
        <v>0</v>
      </c>
      <c r="K104" s="27">
        <f>0</f>
        <v>0</v>
      </c>
      <c r="L104" s="27">
        <f>0</f>
        <v>0</v>
      </c>
      <c r="M104" s="27">
        <f>0</f>
        <v>0</v>
      </c>
      <c r="N104" s="27">
        <f>0</f>
        <v>0</v>
      </c>
    </row>
    <row r="105" spans="2:14">
      <c r="B105" s="11" t="s">
        <v>286</v>
      </c>
      <c r="F105" s="34">
        <v>80.599999999999994</v>
      </c>
      <c r="G105" s="34">
        <v>56.7</v>
      </c>
      <c r="H105" s="34">
        <v>-22.1</v>
      </c>
      <c r="I105" s="34">
        <v>37.9</v>
      </c>
      <c r="J105" s="27">
        <f>J102+J96+J89</f>
        <v>360.60638044306745</v>
      </c>
      <c r="K105" s="27">
        <f t="shared" ref="K105:N105" si="33">K102+K96+K89</f>
        <v>382.88209970961753</v>
      </c>
      <c r="L105" s="27">
        <f t="shared" si="33"/>
        <v>406.41960694772564</v>
      </c>
      <c r="M105" s="27">
        <f t="shared" si="33"/>
        <v>436.25618278354159</v>
      </c>
      <c r="N105" s="27">
        <f t="shared" si="33"/>
        <v>474.62564323738388</v>
      </c>
    </row>
    <row r="106" spans="2:14">
      <c r="F106" s="33"/>
      <c r="G106" s="33"/>
      <c r="H106" s="33"/>
      <c r="I106" s="33"/>
      <c r="J106" s="24"/>
      <c r="K106" s="24"/>
      <c r="L106" s="24"/>
      <c r="M106" s="24"/>
      <c r="N106" s="24"/>
    </row>
    <row r="107" spans="2:14">
      <c r="B107" s="11"/>
      <c r="F107" s="27"/>
      <c r="G107" s="27"/>
      <c r="H107" s="27"/>
      <c r="I107" s="27"/>
      <c r="J107" s="27"/>
      <c r="K107" s="27"/>
      <c r="L107" s="27"/>
      <c r="M107" s="27"/>
      <c r="N107" s="27"/>
    </row>
  </sheetData>
  <mergeCells count="3">
    <mergeCell ref="B3:N3"/>
    <mergeCell ref="B27:N27"/>
    <mergeCell ref="B73:N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706-D37F-CA43-A6F0-EB69BEB4EAEF}">
  <sheetPr>
    <tabColor rgb="FFC00000"/>
  </sheetPr>
  <dimension ref="B3:L78"/>
  <sheetViews>
    <sheetView topLeftCell="A47" zoomScale="135" workbookViewId="0">
      <selection activeCell="K23" sqref="K23"/>
    </sheetView>
  </sheetViews>
  <sheetFormatPr baseColWidth="10" defaultColWidth="11" defaultRowHeight="16"/>
  <cols>
    <col min="1" max="1" width="5.5" style="1" customWidth="1"/>
    <col min="2" max="3" width="11" style="1"/>
    <col min="4" max="4" width="12.33203125" style="1" customWidth="1"/>
    <col min="5" max="5" width="17" style="1" customWidth="1"/>
    <col min="6" max="6" width="17.1640625" style="1" customWidth="1"/>
    <col min="7" max="7" width="15.5" style="1" customWidth="1"/>
    <col min="8" max="10" width="11" style="1"/>
    <col min="11" max="11" width="10" style="1" customWidth="1"/>
    <col min="12" max="16384" width="11" style="1"/>
  </cols>
  <sheetData>
    <row r="3" spans="2:12" ht="19">
      <c r="B3" s="663" t="s">
        <v>479</v>
      </c>
      <c r="C3" s="663"/>
      <c r="D3" s="663"/>
      <c r="E3" s="663"/>
      <c r="F3" s="663"/>
      <c r="G3" s="663"/>
      <c r="H3" s="663"/>
      <c r="I3" s="663"/>
      <c r="J3" s="663"/>
      <c r="K3" s="663"/>
      <c r="L3" s="664"/>
    </row>
    <row r="5" spans="2:12">
      <c r="B5" s="147" t="s">
        <v>480</v>
      </c>
      <c r="C5" s="148"/>
      <c r="D5" s="148"/>
      <c r="E5" s="148"/>
      <c r="F5" s="148"/>
      <c r="G5" s="148"/>
      <c r="H5" s="148"/>
      <c r="I5" s="148"/>
      <c r="J5" s="148"/>
      <c r="K5" s="148"/>
    </row>
    <row r="7" spans="2:12">
      <c r="B7" s="41" t="s">
        <v>481</v>
      </c>
      <c r="H7" s="41" t="s">
        <v>482</v>
      </c>
    </row>
    <row r="9" spans="2:12">
      <c r="B9" s="37" t="s">
        <v>483</v>
      </c>
      <c r="E9" s="140">
        <v>4.5499999999999999E-2</v>
      </c>
      <c r="H9" s="1" t="s">
        <v>484</v>
      </c>
      <c r="J9" s="87"/>
      <c r="K9" s="149">
        <v>5.5E-2</v>
      </c>
    </row>
    <row r="10" spans="2:12">
      <c r="B10" s="150" t="s">
        <v>485</v>
      </c>
      <c r="E10" s="140"/>
      <c r="H10" s="150" t="s">
        <v>1149</v>
      </c>
      <c r="J10" s="87"/>
      <c r="K10" s="141"/>
    </row>
    <row r="11" spans="2:12">
      <c r="B11" s="37" t="s">
        <v>486</v>
      </c>
      <c r="E11" s="140">
        <v>5.5E-2</v>
      </c>
      <c r="H11" s="9" t="s">
        <v>487</v>
      </c>
      <c r="J11" s="87"/>
      <c r="K11" s="152">
        <f>ABS('Supporting Schedules'!$C$119)</f>
        <v>0.25615889885592763</v>
      </c>
    </row>
    <row r="12" spans="2:12">
      <c r="B12" s="153" t="s">
        <v>488</v>
      </c>
      <c r="E12" s="142"/>
      <c r="H12" s="11" t="s">
        <v>489</v>
      </c>
      <c r="K12" s="154">
        <f>K9*(1-K11)</f>
        <v>4.0911260562923983E-2</v>
      </c>
    </row>
    <row r="13" spans="2:12">
      <c r="H13" s="151" t="s">
        <v>490</v>
      </c>
    </row>
    <row r="14" spans="2:12">
      <c r="B14" s="12" t="s">
        <v>491</v>
      </c>
      <c r="H14" s="641" t="s">
        <v>1150</v>
      </c>
    </row>
    <row r="15" spans="2:12">
      <c r="B15" s="9"/>
      <c r="C15" s="1" t="s">
        <v>492</v>
      </c>
      <c r="E15" s="155" t="s">
        <v>493</v>
      </c>
      <c r="F15" s="11" t="s">
        <v>395</v>
      </c>
      <c r="H15" s="642" t="s">
        <v>1151</v>
      </c>
      <c r="J15" s="143"/>
      <c r="K15" s="144"/>
    </row>
    <row r="16" spans="2:12">
      <c r="B16" s="1">
        <v>1</v>
      </c>
      <c r="C16" s="1" t="s">
        <v>494</v>
      </c>
      <c r="E16" s="156">
        <v>0.66</v>
      </c>
      <c r="F16" s="473" t="s">
        <v>495</v>
      </c>
      <c r="H16" s="150" t="s">
        <v>1152</v>
      </c>
    </row>
    <row r="17" spans="2:11">
      <c r="B17" s="1">
        <v>2</v>
      </c>
      <c r="C17" s="1" t="s">
        <v>496</v>
      </c>
      <c r="E17" s="156">
        <v>0.72</v>
      </c>
      <c r="F17" s="473" t="s">
        <v>497</v>
      </c>
      <c r="H17" s="150" t="s">
        <v>1153</v>
      </c>
    </row>
    <row r="18" spans="2:11">
      <c r="B18" s="145">
        <v>3</v>
      </c>
      <c r="C18" s="146" t="s">
        <v>498</v>
      </c>
      <c r="D18" s="146"/>
      <c r="E18" s="157">
        <v>0.75</v>
      </c>
      <c r="F18" s="473" t="s">
        <v>499</v>
      </c>
      <c r="H18" s="642" t="s">
        <v>1154</v>
      </c>
    </row>
    <row r="19" spans="2:11">
      <c r="H19" s="150" t="s">
        <v>1160</v>
      </c>
    </row>
    <row r="20" spans="2:11">
      <c r="B20" s="11" t="s">
        <v>500</v>
      </c>
      <c r="E20" s="158">
        <f>AVERAGE(E16:E18)</f>
        <v>0.71</v>
      </c>
      <c r="F20" s="473" t="s">
        <v>501</v>
      </c>
      <c r="H20" s="150" t="s">
        <v>1162</v>
      </c>
    </row>
    <row r="21" spans="2:11">
      <c r="H21" s="643" t="s">
        <v>1161</v>
      </c>
    </row>
    <row r="22" spans="2:11">
      <c r="B22" s="12" t="s">
        <v>502</v>
      </c>
    </row>
    <row r="23" spans="2:11">
      <c r="B23" s="1" t="s">
        <v>503</v>
      </c>
      <c r="E23" s="159">
        <f>('Historical Financials'!H55+'Historical Financials'!H60)/('Historical Financials'!H71*160*0.01)</f>
        <v>0.39488026853069413</v>
      </c>
      <c r="H23" s="1" t="s">
        <v>504</v>
      </c>
      <c r="K23" s="149">
        <v>0.2</v>
      </c>
    </row>
    <row r="24" spans="2:11">
      <c r="B24" s="1" t="s">
        <v>505</v>
      </c>
      <c r="E24" s="160">
        <f>E20/(1+(1-K11)*E23)</f>
        <v>0.54880152909891788</v>
      </c>
      <c r="H24" s="1" t="s">
        <v>506</v>
      </c>
      <c r="K24" s="158">
        <f>E24*(1+(1-K11)*K23)</f>
        <v>0.63044575584181584</v>
      </c>
    </row>
    <row r="25" spans="2:11">
      <c r="B25" s="151" t="s">
        <v>507</v>
      </c>
      <c r="H25" s="151" t="s">
        <v>508</v>
      </c>
    </row>
    <row r="27" spans="2:11">
      <c r="B27" s="12" t="s">
        <v>509</v>
      </c>
      <c r="H27" s="12" t="s">
        <v>510</v>
      </c>
    </row>
    <row r="28" spans="2:11">
      <c r="B28" s="11" t="s">
        <v>191</v>
      </c>
      <c r="E28" s="154">
        <f>E9+K24*E11</f>
        <v>8.017451657129987E-2</v>
      </c>
      <c r="H28" s="1" t="s">
        <v>511</v>
      </c>
      <c r="K28" s="161">
        <f>1/(1+K23)</f>
        <v>0.83333333333333337</v>
      </c>
    </row>
    <row r="29" spans="2:11">
      <c r="B29" s="151" t="s">
        <v>512</v>
      </c>
      <c r="H29" s="1" t="s">
        <v>513</v>
      </c>
      <c r="K29" s="161">
        <f>K23/(1+K23)</f>
        <v>0.16666666666666669</v>
      </c>
    </row>
    <row r="31" spans="2:11">
      <c r="B31" s="162" t="s">
        <v>514</v>
      </c>
      <c r="C31" s="163"/>
      <c r="D31" s="163"/>
      <c r="E31" s="163"/>
      <c r="F31" s="163"/>
      <c r="G31" s="163"/>
      <c r="H31" s="163"/>
      <c r="I31" s="163"/>
      <c r="J31" s="163"/>
      <c r="K31" s="163"/>
    </row>
    <row r="32" spans="2:11">
      <c r="B32" s="164" t="s">
        <v>515</v>
      </c>
      <c r="E32" s="165">
        <f>IF('Sensitivity Tables'!K10="",(K28*E28)+(K29*K12),'Sensitivity Tables'!K10)</f>
        <v>7.3630640569903899E-2</v>
      </c>
      <c r="F32" s="163"/>
    </row>
    <row r="34" spans="2:11">
      <c r="B34" s="166" t="s">
        <v>516</v>
      </c>
      <c r="C34" s="148"/>
      <c r="D34" s="148"/>
      <c r="E34" s="148"/>
      <c r="F34" s="148"/>
      <c r="G34" s="148"/>
      <c r="H34" s="148"/>
      <c r="I34" s="148"/>
      <c r="J34" s="148"/>
      <c r="K34" s="148"/>
    </row>
    <row r="36" spans="2:11">
      <c r="B36" s="1" t="s">
        <v>517</v>
      </c>
      <c r="E36" s="172" t="s">
        <v>100</v>
      </c>
      <c r="F36" s="172" t="s">
        <v>101</v>
      </c>
      <c r="G36" s="172" t="s">
        <v>360</v>
      </c>
      <c r="H36" s="172" t="s">
        <v>361</v>
      </c>
      <c r="I36" s="172" t="s">
        <v>362</v>
      </c>
      <c r="J36" s="172"/>
    </row>
    <row r="37" spans="2:11">
      <c r="B37" s="1" t="s">
        <v>109</v>
      </c>
      <c r="E37" s="167">
        <f>'Forecast Model'!J13</f>
        <v>582.30202512119786</v>
      </c>
      <c r="F37" s="167">
        <f>'Forecast Model'!K13</f>
        <v>652.7468918721388</v>
      </c>
      <c r="G37" s="167">
        <f>'Forecast Model'!L13</f>
        <v>710.86362646079829</v>
      </c>
      <c r="H37" s="167">
        <f>'Forecast Model'!M13</f>
        <v>764.98108742267732</v>
      </c>
      <c r="I37" s="167">
        <f>'Forecast Model'!N13</f>
        <v>814.22965739828635</v>
      </c>
    </row>
    <row r="38" spans="2:11">
      <c r="B38" s="11" t="s">
        <v>134</v>
      </c>
      <c r="E38" s="185">
        <f>-E37*$K$11</f>
        <v>-149.16184555662275</v>
      </c>
      <c r="F38" s="185">
        <f t="shared" ref="F38:I38" si="0">-F37*$K$11</f>
        <v>-167.20692505359634</v>
      </c>
      <c r="G38" s="185">
        <f t="shared" si="0"/>
        <v>-182.09404379092956</v>
      </c>
      <c r="H38" s="185">
        <f t="shared" si="0"/>
        <v>-195.95671299980313</v>
      </c>
      <c r="I38" s="185">
        <f t="shared" si="0"/>
        <v>-208.57217245498424</v>
      </c>
    </row>
    <row r="39" spans="2:11">
      <c r="B39" s="11" t="s">
        <v>518</v>
      </c>
      <c r="E39" s="168">
        <f>SUM(E37:E38)</f>
        <v>433.14017956457508</v>
      </c>
      <c r="F39" s="168">
        <f t="shared" ref="F39:I39" si="1">SUM(F37:F38)</f>
        <v>485.53996681854244</v>
      </c>
      <c r="G39" s="168">
        <f t="shared" si="1"/>
        <v>528.76958266986867</v>
      </c>
      <c r="H39" s="168">
        <f t="shared" si="1"/>
        <v>569.02437442287419</v>
      </c>
      <c r="I39" s="168">
        <f t="shared" si="1"/>
        <v>605.65748494330205</v>
      </c>
    </row>
    <row r="40" spans="2:11">
      <c r="B40" s="1" t="s">
        <v>142</v>
      </c>
      <c r="E40" s="167">
        <f>'Forecast Model'!J81</f>
        <v>208.52085964612843</v>
      </c>
      <c r="F40" s="167">
        <f>'Forecast Model'!K81</f>
        <v>185.52536598122708</v>
      </c>
      <c r="G40" s="167">
        <f>'Forecast Model'!L81</f>
        <v>171.83706105879594</v>
      </c>
      <c r="H40" s="167">
        <f>'Forecast Model'!M81</f>
        <v>164.5027365354554</v>
      </c>
      <c r="I40" s="167">
        <f>'Forecast Model'!N81</f>
        <v>161.72835775775309</v>
      </c>
    </row>
    <row r="41" spans="2:11">
      <c r="B41" s="1" t="s">
        <v>150</v>
      </c>
      <c r="E41" s="167">
        <f>'Forecast Model'!J92</f>
        <v>-132.11949606993792</v>
      </c>
      <c r="F41" s="167">
        <f>'Forecast Model'!K92</f>
        <v>-140.04666583413422</v>
      </c>
      <c r="G41" s="167">
        <f>'Forecast Model'!L92</f>
        <v>-147.46913912334333</v>
      </c>
      <c r="H41" s="167">
        <f>'Forecast Model'!M92</f>
        <v>-155.28500349688051</v>
      </c>
      <c r="I41" s="167">
        <f>'Forecast Model'!N92</f>
        <v>-163.04925367172453</v>
      </c>
    </row>
    <row r="42" spans="2:11">
      <c r="B42" s="169" t="s">
        <v>158</v>
      </c>
      <c r="C42" s="170"/>
      <c r="D42" s="170"/>
      <c r="E42" s="171">
        <f>-SUM('Forecast Model'!J85:J88)</f>
        <v>-75.85432479964274</v>
      </c>
      <c r="F42" s="171">
        <f>-SUM('Forecast Model'!K85:K88)</f>
        <v>-100.75484835958009</v>
      </c>
      <c r="G42" s="171">
        <f>-SUM('Forecast Model'!L85:L88)</f>
        <v>-122.05751269215341</v>
      </c>
      <c r="H42" s="171">
        <f>-SUM('Forecast Model'!M85:M88)</f>
        <v>-145.30517338912117</v>
      </c>
      <c r="I42" s="171">
        <f>-SUM('Forecast Model'!N85:N88)</f>
        <v>-174.4300030623038</v>
      </c>
    </row>
    <row r="43" spans="2:11">
      <c r="B43" s="169" t="s">
        <v>519</v>
      </c>
      <c r="C43" s="170"/>
      <c r="D43" s="170"/>
      <c r="E43" s="171">
        <f>SUM(E39:E42)</f>
        <v>433.68721834112284</v>
      </c>
      <c r="F43" s="171">
        <f>SUM(F39:F42)</f>
        <v>430.26381860605517</v>
      </c>
      <c r="G43" s="171">
        <f>SUM(G39:G42)</f>
        <v>431.07999191316787</v>
      </c>
      <c r="H43" s="171">
        <f>SUM(H39:H42)</f>
        <v>432.93693407232786</v>
      </c>
      <c r="I43" s="171">
        <f>SUM(I39:I42)</f>
        <v>429.90658596702684</v>
      </c>
    </row>
    <row r="44" spans="2:11">
      <c r="B44" s="1" t="s">
        <v>520</v>
      </c>
      <c r="E44" s="184">
        <v>0.5</v>
      </c>
      <c r="F44" s="184">
        <v>1.5</v>
      </c>
      <c r="G44" s="184">
        <v>2.5</v>
      </c>
      <c r="H44" s="184">
        <v>3.5</v>
      </c>
      <c r="I44" s="184">
        <v>4.5</v>
      </c>
    </row>
    <row r="45" spans="2:11">
      <c r="B45" s="37" t="s">
        <v>521</v>
      </c>
      <c r="E45" s="186">
        <f>1/(1+$E$32)^E44</f>
        <v>0.9651005237048742</v>
      </c>
      <c r="F45" s="186">
        <f t="shared" ref="F45:I45" si="2">1/(1+$E$32)^F44</f>
        <v>0.89891298481624959</v>
      </c>
      <c r="G45" s="186">
        <f t="shared" si="2"/>
        <v>0.83726465215177648</v>
      </c>
      <c r="H45" s="186">
        <f t="shared" si="2"/>
        <v>0.7798442225040636</v>
      </c>
      <c r="I45" s="186">
        <f t="shared" si="2"/>
        <v>0.72636174214449334</v>
      </c>
    </row>
    <row r="46" spans="2:11">
      <c r="B46" s="162" t="s">
        <v>522</v>
      </c>
      <c r="C46" s="163"/>
      <c r="D46" s="163"/>
      <c r="E46" s="173">
        <f>E43*E45</f>
        <v>418.55176154512776</v>
      </c>
      <c r="F46" s="173">
        <f>F43*F45</f>
        <v>386.76973344160643</v>
      </c>
      <c r="G46" s="173">
        <f>G43*G45</f>
        <v>360.92803947876911</v>
      </c>
      <c r="H46" s="173">
        <f>H43*H45</f>
        <v>337.62336674492758</v>
      </c>
      <c r="I46" s="173">
        <f>I43*I45</f>
        <v>312.26769674240103</v>
      </c>
    </row>
    <row r="47" spans="2:11">
      <c r="B47" s="9" t="s">
        <v>523</v>
      </c>
      <c r="E47" s="173">
        <f>SUM(E46:I46)</f>
        <v>1816.140597952832</v>
      </c>
      <c r="F47" s="163"/>
      <c r="G47" s="163"/>
      <c r="H47" s="163"/>
      <c r="I47" s="163"/>
    </row>
    <row r="48" spans="2:11">
      <c r="B48" s="9"/>
    </row>
    <row r="49" spans="2:11">
      <c r="B49" s="166" t="s">
        <v>524</v>
      </c>
      <c r="C49" s="148"/>
      <c r="D49" s="148"/>
      <c r="E49" s="148"/>
      <c r="F49" s="148"/>
      <c r="G49" s="148"/>
      <c r="H49" s="148"/>
      <c r="I49" s="148"/>
      <c r="J49" s="148"/>
      <c r="K49" s="148"/>
    </row>
    <row r="51" spans="2:11">
      <c r="B51" s="12" t="s">
        <v>525</v>
      </c>
      <c r="H51" s="12" t="s">
        <v>526</v>
      </c>
    </row>
    <row r="53" spans="2:11">
      <c r="B53" s="1" t="s">
        <v>527</v>
      </c>
      <c r="E53" s="188">
        <f>IF('Sensitivity Tables'!K11="",2.5%,'Sensitivity Tables'!K11)</f>
        <v>2.5000000000000001E-2</v>
      </c>
      <c r="H53" s="1" t="s">
        <v>528</v>
      </c>
      <c r="K53" s="174">
        <f>IF('Sensitivity Tables'!K24="",12,'Sensitivity Tables'!K24)</f>
        <v>12</v>
      </c>
    </row>
    <row r="54" spans="2:11">
      <c r="B54" s="151" t="s">
        <v>529</v>
      </c>
      <c r="E54" s="188"/>
      <c r="H54" s="151" t="s">
        <v>530</v>
      </c>
      <c r="K54" s="181"/>
    </row>
    <row r="56" spans="2:11">
      <c r="B56" s="1" t="s">
        <v>531</v>
      </c>
      <c r="E56" s="167">
        <f>I43*(1+E53)</f>
        <v>440.65425061620249</v>
      </c>
      <c r="H56" s="1" t="s">
        <v>532</v>
      </c>
      <c r="K56" s="167">
        <f>I37-I41</f>
        <v>977.27891107001085</v>
      </c>
    </row>
    <row r="57" spans="2:11">
      <c r="B57" s="1" t="s">
        <v>533</v>
      </c>
      <c r="E57" s="167">
        <f>E56/(E32-E53)</f>
        <v>9061.2470954970449</v>
      </c>
      <c r="H57" s="1" t="s">
        <v>533</v>
      </c>
      <c r="K57" s="167">
        <f>K53*K56</f>
        <v>11727.34693284013</v>
      </c>
    </row>
    <row r="58" spans="2:11">
      <c r="B58" s="151" t="s">
        <v>534</v>
      </c>
      <c r="E58" s="167"/>
      <c r="H58" s="151" t="s">
        <v>535</v>
      </c>
      <c r="K58" s="167"/>
    </row>
    <row r="59" spans="2:11">
      <c r="E59" s="151"/>
      <c r="K59" s="151"/>
    </row>
    <row r="60" spans="2:11">
      <c r="B60" s="1" t="s">
        <v>192</v>
      </c>
      <c r="E60" s="168">
        <f>E57*I45</f>
        <v>6581.7432262869634</v>
      </c>
      <c r="H60" s="1" t="s">
        <v>192</v>
      </c>
      <c r="K60" s="168">
        <f>K57*I45</f>
        <v>8518.2961488706369</v>
      </c>
    </row>
    <row r="61" spans="2:11">
      <c r="E61" s="168"/>
      <c r="K61" s="168"/>
    </row>
    <row r="62" spans="2:11">
      <c r="B62" s="166" t="s">
        <v>536</v>
      </c>
      <c r="C62" s="148"/>
      <c r="D62" s="148"/>
      <c r="E62" s="148"/>
      <c r="F62" s="148"/>
      <c r="G62" s="148"/>
      <c r="H62" s="148"/>
      <c r="I62" s="148"/>
      <c r="J62" s="148"/>
      <c r="K62" s="148"/>
    </row>
    <row r="64" spans="2:11">
      <c r="E64" s="23" t="s">
        <v>537</v>
      </c>
      <c r="F64" s="23" t="s">
        <v>538</v>
      </c>
      <c r="G64" s="23"/>
    </row>
    <row r="66" spans="2:7">
      <c r="B66" s="11" t="s">
        <v>539</v>
      </c>
      <c r="E66" s="168">
        <f>E47+E60</f>
        <v>8397.883824239796</v>
      </c>
      <c r="F66" s="168">
        <f>E47+K60</f>
        <v>10334.436746823469</v>
      </c>
      <c r="G66" s="168"/>
    </row>
    <row r="67" spans="2:7">
      <c r="B67" s="1" t="s">
        <v>540</v>
      </c>
      <c r="E67" s="168">
        <f>-('Historical Financials'!H55+'Historical Financials'!H60-'Historical Financials'!H37)</f>
        <v>-569.9</v>
      </c>
      <c r="F67" s="168">
        <f>E67</f>
        <v>-569.9</v>
      </c>
      <c r="G67" s="168"/>
    </row>
    <row r="68" spans="2:7">
      <c r="B68" s="1" t="s">
        <v>541</v>
      </c>
      <c r="E68" s="167">
        <v>0</v>
      </c>
      <c r="F68" s="167">
        <v>0</v>
      </c>
      <c r="G68" s="167"/>
    </row>
    <row r="69" spans="2:7">
      <c r="B69" s="169" t="s">
        <v>542</v>
      </c>
      <c r="C69" s="170"/>
      <c r="D69" s="170"/>
      <c r="E69" s="171">
        <f>E66+E67+E68</f>
        <v>7827.9838242397964</v>
      </c>
      <c r="F69" s="171">
        <f>F66+F67+F68</f>
        <v>9764.536746823469</v>
      </c>
      <c r="G69" s="168"/>
    </row>
    <row r="70" spans="2:7">
      <c r="E70" s="168"/>
      <c r="F70" s="168"/>
      <c r="G70" s="168"/>
    </row>
    <row r="71" spans="2:7">
      <c r="B71" s="1" t="s">
        <v>543</v>
      </c>
      <c r="E71" s="175">
        <v>153.53</v>
      </c>
      <c r="F71" s="175">
        <v>153.53</v>
      </c>
      <c r="G71" s="176"/>
    </row>
    <row r="72" spans="2:7">
      <c r="B72" s="162" t="s">
        <v>544</v>
      </c>
      <c r="C72" s="163"/>
      <c r="D72" s="163"/>
      <c r="E72" s="182">
        <f>E69/E71</f>
        <v>50.986672469483466</v>
      </c>
      <c r="F72" s="177">
        <f>F69/F71</f>
        <v>63.600187239128957</v>
      </c>
      <c r="G72" s="187"/>
    </row>
    <row r="73" spans="2:7">
      <c r="E73" s="187"/>
      <c r="F73" s="187"/>
      <c r="G73" s="187"/>
    </row>
    <row r="74" spans="2:7">
      <c r="B74" s="1" t="s">
        <v>545</v>
      </c>
      <c r="E74" s="178">
        <v>37.340000000000003</v>
      </c>
    </row>
    <row r="75" spans="2:7">
      <c r="B75" s="11" t="s">
        <v>546</v>
      </c>
      <c r="E75" s="183">
        <f>E72/E74-1</f>
        <v>0.36547060710989454</v>
      </c>
      <c r="F75" s="179">
        <f>F72/E74-1</f>
        <v>0.7032722881395006</v>
      </c>
      <c r="G75" s="179"/>
    </row>
    <row r="76" spans="2:7">
      <c r="E76" s="179"/>
      <c r="F76" s="179"/>
      <c r="G76" s="179"/>
    </row>
    <row r="77" spans="2:7">
      <c r="B77" s="164"/>
      <c r="E77" s="180"/>
      <c r="F77" s="180"/>
    </row>
    <row r="78" spans="2:7">
      <c r="B78" s="164"/>
      <c r="E78" s="180"/>
      <c r="F78" s="180"/>
    </row>
  </sheetData>
  <mergeCells count="1">
    <mergeCell ref="B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FC3-075A-2844-A387-1BFB3F87E1D5}">
  <sheetPr>
    <tabColor rgb="FFC00000"/>
  </sheetPr>
  <dimension ref="B3:Y21"/>
  <sheetViews>
    <sheetView showGridLines="0" topLeftCell="M1" zoomScale="118" workbookViewId="0">
      <selection activeCell="N25" sqref="N25"/>
    </sheetView>
  </sheetViews>
  <sheetFormatPr baseColWidth="10" defaultColWidth="11" defaultRowHeight="15.75" customHeight="1"/>
  <cols>
    <col min="1" max="1" width="11" style="1"/>
    <col min="2" max="2" width="19" style="1" bestFit="1" customWidth="1"/>
    <col min="3" max="6" width="11" style="1"/>
    <col min="7" max="7" width="24" style="1" bestFit="1" customWidth="1"/>
    <col min="8" max="16384" width="11" style="1"/>
  </cols>
  <sheetData>
    <row r="3" spans="2:25" ht="16"/>
    <row r="4" spans="2:25" ht="16" customHeight="1">
      <c r="B4" s="667" t="s">
        <v>547</v>
      </c>
      <c r="C4" s="668"/>
      <c r="D4" s="665" t="s">
        <v>548</v>
      </c>
      <c r="E4" s="665"/>
      <c r="F4" s="223"/>
      <c r="G4" s="640" t="s">
        <v>549</v>
      </c>
      <c r="H4" s="224" t="s">
        <v>550</v>
      </c>
      <c r="I4" s="665" t="s">
        <v>551</v>
      </c>
      <c r="J4" s="665"/>
      <c r="K4" s="665"/>
      <c r="L4" s="223"/>
      <c r="M4" s="665" t="s">
        <v>552</v>
      </c>
      <c r="N4" s="665"/>
      <c r="O4" s="223"/>
      <c r="P4" s="665" t="s">
        <v>553</v>
      </c>
      <c r="Q4" s="665"/>
      <c r="R4" s="665"/>
      <c r="S4" s="665"/>
      <c r="T4" s="665"/>
      <c r="U4" s="225"/>
      <c r="V4" s="665" t="s">
        <v>554</v>
      </c>
      <c r="W4" s="665"/>
      <c r="X4" s="665"/>
      <c r="Y4" s="665"/>
    </row>
    <row r="5" spans="2:25" ht="16">
      <c r="B5" s="226" t="s">
        <v>550</v>
      </c>
      <c r="C5" s="227" t="s">
        <v>550</v>
      </c>
      <c r="D5" s="246" t="s">
        <v>555</v>
      </c>
      <c r="E5" s="246" t="s">
        <v>556</v>
      </c>
      <c r="F5" s="228"/>
      <c r="G5" s="246" t="s">
        <v>557</v>
      </c>
      <c r="H5" s="228"/>
      <c r="I5" s="246" t="s">
        <v>558</v>
      </c>
      <c r="J5" s="246" t="s">
        <v>559</v>
      </c>
      <c r="K5" s="246" t="s">
        <v>560</v>
      </c>
      <c r="L5" s="228"/>
      <c r="M5" s="666" t="s">
        <v>561</v>
      </c>
      <c r="N5" s="666"/>
      <c r="O5" s="471" t="s">
        <v>550</v>
      </c>
      <c r="P5" s="246"/>
      <c r="Q5" s="246"/>
      <c r="R5" s="246"/>
      <c r="S5" s="246"/>
      <c r="T5" s="246"/>
      <c r="U5" s="471" t="s">
        <v>550</v>
      </c>
      <c r="V5" s="246"/>
      <c r="W5" s="246"/>
      <c r="X5" s="246"/>
      <c r="Y5" s="246"/>
    </row>
    <row r="6" spans="2:25" ht="16">
      <c r="B6" s="229" t="s">
        <v>562</v>
      </c>
      <c r="C6" s="230" t="s">
        <v>121</v>
      </c>
      <c r="D6" s="230" t="s">
        <v>550</v>
      </c>
      <c r="E6" s="230" t="s">
        <v>550</v>
      </c>
      <c r="F6" s="230" t="s">
        <v>550</v>
      </c>
      <c r="G6" s="248" t="s">
        <v>550</v>
      </c>
      <c r="H6" s="230" t="s">
        <v>550</v>
      </c>
      <c r="I6" s="248" t="s">
        <v>550</v>
      </c>
      <c r="J6" s="249" t="s">
        <v>561</v>
      </c>
      <c r="K6" s="248" t="s">
        <v>563</v>
      </c>
      <c r="L6" s="230" t="s">
        <v>550</v>
      </c>
      <c r="M6" s="248" t="s">
        <v>550</v>
      </c>
      <c r="N6" s="248" t="s">
        <v>550</v>
      </c>
      <c r="O6" s="230" t="s">
        <v>550</v>
      </c>
      <c r="P6" s="248" t="s">
        <v>102</v>
      </c>
      <c r="Q6" s="248" t="s">
        <v>107</v>
      </c>
      <c r="R6" s="248" t="s">
        <v>109</v>
      </c>
      <c r="S6" s="248" t="s">
        <v>564</v>
      </c>
      <c r="T6" s="248" t="s">
        <v>565</v>
      </c>
      <c r="U6" s="230" t="s">
        <v>550</v>
      </c>
      <c r="V6" s="248" t="s">
        <v>123</v>
      </c>
      <c r="W6" s="248" t="s">
        <v>124</v>
      </c>
      <c r="X6" s="248" t="s">
        <v>125</v>
      </c>
      <c r="Y6" s="248" t="s">
        <v>126</v>
      </c>
    </row>
    <row r="7" spans="2:25" ht="16"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</row>
    <row r="8" spans="2:25" ht="16" customHeight="1">
      <c r="B8" s="471" t="s">
        <v>566</v>
      </c>
      <c r="C8" s="471" t="s">
        <v>550</v>
      </c>
      <c r="D8" s="471" t="s">
        <v>550</v>
      </c>
      <c r="E8" s="471" t="s">
        <v>550</v>
      </c>
      <c r="F8" s="471" t="s">
        <v>550</v>
      </c>
      <c r="G8" s="471" t="s">
        <v>550</v>
      </c>
      <c r="H8" s="471" t="s">
        <v>550</v>
      </c>
      <c r="I8" s="471" t="s">
        <v>550</v>
      </c>
      <c r="J8" s="471" t="s">
        <v>550</v>
      </c>
      <c r="K8" s="471" t="s">
        <v>550</v>
      </c>
      <c r="L8" s="471" t="s">
        <v>550</v>
      </c>
      <c r="M8" s="671" t="s">
        <v>550</v>
      </c>
      <c r="N8" s="671"/>
      <c r="O8" s="471" t="s">
        <v>550</v>
      </c>
      <c r="P8" s="471" t="s">
        <v>550</v>
      </c>
      <c r="Q8" s="471" t="s">
        <v>550</v>
      </c>
      <c r="R8" s="471" t="s">
        <v>550</v>
      </c>
      <c r="S8" s="471" t="s">
        <v>550</v>
      </c>
      <c r="T8" s="471" t="s">
        <v>550</v>
      </c>
      <c r="U8" s="471" t="s">
        <v>550</v>
      </c>
      <c r="V8" s="471" t="s">
        <v>550</v>
      </c>
      <c r="W8" s="471" t="s">
        <v>550</v>
      </c>
      <c r="X8" s="471" t="s">
        <v>550</v>
      </c>
      <c r="Y8" s="471" t="s">
        <v>550</v>
      </c>
    </row>
    <row r="9" spans="2:25" ht="16">
      <c r="B9" s="233" t="s">
        <v>128</v>
      </c>
      <c r="C9" s="233" t="s">
        <v>129</v>
      </c>
      <c r="D9" s="233" t="s">
        <v>567</v>
      </c>
      <c r="E9" s="233" t="s">
        <v>568</v>
      </c>
      <c r="F9" s="233" t="s">
        <v>550</v>
      </c>
      <c r="G9" s="232" t="s">
        <v>569</v>
      </c>
      <c r="H9" s="233" t="s">
        <v>550</v>
      </c>
      <c r="I9" s="233">
        <v>37.340000000000003</v>
      </c>
      <c r="J9" s="233">
        <v>155.38999999999999</v>
      </c>
      <c r="K9" s="233">
        <v>5802.31</v>
      </c>
      <c r="L9" s="233" t="s">
        <v>550</v>
      </c>
      <c r="M9" s="672">
        <v>6843.7</v>
      </c>
      <c r="N9" s="672"/>
      <c r="O9" s="233" t="s">
        <v>550</v>
      </c>
      <c r="P9" s="233">
        <v>3396.4</v>
      </c>
      <c r="Q9" s="233">
        <v>763.9</v>
      </c>
      <c r="R9" s="233">
        <v>568.20000000000005</v>
      </c>
      <c r="S9" s="233">
        <v>343.5</v>
      </c>
      <c r="T9" s="233">
        <v>0.19</v>
      </c>
      <c r="U9" s="233" t="s">
        <v>550</v>
      </c>
      <c r="V9" s="233">
        <v>2.57</v>
      </c>
      <c r="W9" s="233">
        <v>11.2</v>
      </c>
      <c r="X9" s="233">
        <v>15.09</v>
      </c>
      <c r="Y9" s="233">
        <v>21.21</v>
      </c>
    </row>
    <row r="10" spans="2:25" ht="16">
      <c r="B10" s="234" t="s">
        <v>136</v>
      </c>
      <c r="C10" s="234" t="s">
        <v>137</v>
      </c>
      <c r="D10" s="234" t="s">
        <v>570</v>
      </c>
      <c r="E10" s="244" t="s">
        <v>568</v>
      </c>
      <c r="F10" s="234"/>
      <c r="G10" s="234" t="s">
        <v>569</v>
      </c>
      <c r="H10" s="234"/>
      <c r="I10" s="234">
        <v>85.8</v>
      </c>
      <c r="J10" s="234">
        <v>195.08</v>
      </c>
      <c r="K10" s="234">
        <v>16738.57</v>
      </c>
      <c r="L10" s="234"/>
      <c r="M10" s="669">
        <v>18520.7</v>
      </c>
      <c r="N10" s="669"/>
      <c r="O10" s="234"/>
      <c r="P10" s="234">
        <v>6345.4</v>
      </c>
      <c r="Q10" s="234">
        <v>1387.9</v>
      </c>
      <c r="R10" s="234">
        <v>962.1</v>
      </c>
      <c r="S10" s="234">
        <v>668</v>
      </c>
      <c r="T10" s="234">
        <v>0.24</v>
      </c>
      <c r="U10" s="234"/>
      <c r="V10" s="234">
        <v>2.52</v>
      </c>
      <c r="W10" s="234">
        <v>13.49</v>
      </c>
      <c r="X10" s="234">
        <v>19.46</v>
      </c>
      <c r="Y10" s="234">
        <v>26.12</v>
      </c>
    </row>
    <row r="11" spans="2:25" ht="16">
      <c r="B11" s="234" t="s">
        <v>144</v>
      </c>
      <c r="C11" s="234" t="s">
        <v>145</v>
      </c>
      <c r="D11" s="234" t="s">
        <v>571</v>
      </c>
      <c r="E11" s="244" t="s">
        <v>568</v>
      </c>
      <c r="F11" s="234"/>
      <c r="G11" s="234" t="s">
        <v>569</v>
      </c>
      <c r="H11" s="234"/>
      <c r="I11" s="234">
        <v>24.33</v>
      </c>
      <c r="J11" s="234">
        <v>447.7</v>
      </c>
      <c r="K11" s="234">
        <v>10096.15</v>
      </c>
      <c r="L11" s="234"/>
      <c r="M11" s="669">
        <v>14059.85</v>
      </c>
      <c r="N11" s="669"/>
      <c r="O11" s="234"/>
      <c r="P11" s="234">
        <v>6466.4</v>
      </c>
      <c r="Q11" s="234">
        <v>1036</v>
      </c>
      <c r="R11" s="234">
        <v>779.5</v>
      </c>
      <c r="S11" s="234">
        <v>503.5</v>
      </c>
      <c r="T11" s="234">
        <v>0.22</v>
      </c>
      <c r="U11" s="234"/>
      <c r="V11" s="234">
        <v>2.14</v>
      </c>
      <c r="W11" s="234">
        <v>11.42</v>
      </c>
      <c r="X11" s="234">
        <v>15.18</v>
      </c>
      <c r="Y11" s="234">
        <v>20.6</v>
      </c>
    </row>
    <row r="12" spans="2:25" ht="16">
      <c r="B12" s="234" t="s">
        <v>572</v>
      </c>
      <c r="C12" s="234" t="s">
        <v>153</v>
      </c>
      <c r="D12" s="234" t="s">
        <v>573</v>
      </c>
      <c r="E12" s="244" t="s">
        <v>568</v>
      </c>
      <c r="F12" s="234"/>
      <c r="G12" s="234" t="s">
        <v>569</v>
      </c>
      <c r="H12" s="234"/>
      <c r="I12" s="234">
        <v>53.15</v>
      </c>
      <c r="J12" s="245" t="s">
        <v>574</v>
      </c>
      <c r="K12" s="234">
        <v>9742.9</v>
      </c>
      <c r="L12" s="234"/>
      <c r="M12" s="669">
        <v>12971.1</v>
      </c>
      <c r="N12" s="669"/>
      <c r="O12" s="234"/>
      <c r="P12" s="234">
        <v>6248</v>
      </c>
      <c r="Q12" s="234">
        <v>1319.8</v>
      </c>
      <c r="R12" s="234">
        <v>700.8</v>
      </c>
      <c r="S12" s="234">
        <v>406.6</v>
      </c>
      <c r="T12" s="234">
        <v>0.35</v>
      </c>
      <c r="U12" s="234"/>
      <c r="V12" s="234">
        <v>2.15</v>
      </c>
      <c r="W12" s="234">
        <v>9.83</v>
      </c>
      <c r="X12" s="234">
        <v>18.510000000000002</v>
      </c>
      <c r="Y12" s="234">
        <v>23.63</v>
      </c>
    </row>
    <row r="13" spans="2:25" ht="16">
      <c r="B13" s="234" t="s">
        <v>575</v>
      </c>
      <c r="C13" s="234" t="s">
        <v>576</v>
      </c>
      <c r="D13" s="234" t="s">
        <v>577</v>
      </c>
      <c r="E13" s="244" t="s">
        <v>568</v>
      </c>
      <c r="F13" s="234"/>
      <c r="G13" s="234" t="s">
        <v>569</v>
      </c>
      <c r="H13" s="234"/>
      <c r="I13" s="234">
        <v>11.44</v>
      </c>
      <c r="J13" s="234">
        <v>510.03</v>
      </c>
      <c r="K13" s="234">
        <v>5836.1</v>
      </c>
      <c r="L13" s="234"/>
      <c r="M13" s="669">
        <v>6387.7</v>
      </c>
      <c r="N13" s="669"/>
      <c r="O13" s="234"/>
      <c r="P13" s="234">
        <v>1575.7</v>
      </c>
      <c r="Q13" s="234">
        <v>376.2</v>
      </c>
      <c r="R13" s="234">
        <v>254.9</v>
      </c>
      <c r="S13" s="234">
        <v>133.69999999999999</v>
      </c>
      <c r="T13" s="234">
        <v>0.22</v>
      </c>
      <c r="U13" s="234"/>
      <c r="V13" s="234">
        <v>3.1</v>
      </c>
      <c r="W13" s="234">
        <v>16.98</v>
      </c>
      <c r="X13" s="234">
        <v>25.06</v>
      </c>
      <c r="Y13" s="234">
        <v>29.12</v>
      </c>
    </row>
    <row r="14" spans="2:25" ht="16">
      <c r="B14" s="234" t="s">
        <v>578</v>
      </c>
      <c r="C14" s="234" t="s">
        <v>161</v>
      </c>
      <c r="D14" s="234" t="s">
        <v>579</v>
      </c>
      <c r="E14" s="244" t="s">
        <v>568</v>
      </c>
      <c r="F14" s="234"/>
      <c r="G14" s="234" t="s">
        <v>569</v>
      </c>
      <c r="H14" s="234"/>
      <c r="I14" s="234">
        <v>58.14</v>
      </c>
      <c r="J14" s="234">
        <v>226.71</v>
      </c>
      <c r="K14" s="234">
        <v>13181.45</v>
      </c>
      <c r="L14" s="234"/>
      <c r="M14" s="669">
        <v>16514.3</v>
      </c>
      <c r="N14" s="669"/>
      <c r="O14" s="234"/>
      <c r="P14" s="234">
        <v>5245.2</v>
      </c>
      <c r="Q14" s="234">
        <v>1719.6</v>
      </c>
      <c r="R14" s="234">
        <v>1323.1</v>
      </c>
      <c r="S14" s="234">
        <v>1120.0999999999999</v>
      </c>
      <c r="T14" s="234">
        <v>0.21</v>
      </c>
      <c r="U14" s="234"/>
      <c r="V14" s="234">
        <v>3.92</v>
      </c>
      <c r="W14" s="234">
        <v>9.6</v>
      </c>
      <c r="X14" s="234">
        <v>12.48</v>
      </c>
      <c r="Y14" s="234">
        <v>15.6</v>
      </c>
    </row>
    <row r="15" spans="2:25" ht="16"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670" t="s">
        <v>550</v>
      </c>
      <c r="N15" s="670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</row>
    <row r="16" spans="2:25" ht="16">
      <c r="B16" s="235" t="s">
        <v>580</v>
      </c>
      <c r="C16" s="236" t="s">
        <v>550</v>
      </c>
      <c r="D16" s="236" t="s">
        <v>550</v>
      </c>
      <c r="E16" s="236" t="s">
        <v>550</v>
      </c>
      <c r="F16" s="236" t="s">
        <v>550</v>
      </c>
      <c r="G16" s="236" t="s">
        <v>550</v>
      </c>
      <c r="H16" s="236" t="s">
        <v>550</v>
      </c>
      <c r="I16" s="236" t="s">
        <v>550</v>
      </c>
      <c r="J16" s="236" t="s">
        <v>550</v>
      </c>
      <c r="K16" s="236" t="s">
        <v>550</v>
      </c>
      <c r="L16" s="236" t="s">
        <v>550</v>
      </c>
      <c r="M16" s="234" t="s">
        <v>550</v>
      </c>
      <c r="N16" s="234" t="s">
        <v>550</v>
      </c>
      <c r="O16" s="236" t="s">
        <v>550</v>
      </c>
      <c r="P16" s="236" t="s">
        <v>550</v>
      </c>
      <c r="Q16" s="236" t="s">
        <v>550</v>
      </c>
      <c r="R16" s="236" t="s">
        <v>550</v>
      </c>
      <c r="S16" s="236" t="s">
        <v>550</v>
      </c>
      <c r="T16" s="236" t="s">
        <v>550</v>
      </c>
      <c r="U16" s="236" t="s">
        <v>550</v>
      </c>
      <c r="V16" s="236">
        <v>3.92</v>
      </c>
      <c r="W16" s="236">
        <v>16.98</v>
      </c>
      <c r="X16" s="236">
        <v>25.06</v>
      </c>
      <c r="Y16" s="236">
        <v>29.12</v>
      </c>
    </row>
    <row r="17" spans="2:25" ht="16">
      <c r="B17" s="237" t="s">
        <v>581</v>
      </c>
      <c r="C17" s="234"/>
      <c r="D17" s="234"/>
      <c r="E17" s="234"/>
      <c r="F17" s="470" t="s">
        <v>550</v>
      </c>
      <c r="G17" s="234"/>
      <c r="H17" s="234"/>
      <c r="I17" s="234"/>
      <c r="J17" s="234"/>
      <c r="K17" s="234"/>
      <c r="L17" s="470" t="s">
        <v>550</v>
      </c>
      <c r="M17" s="470" t="s">
        <v>550</v>
      </c>
      <c r="N17" s="470" t="s">
        <v>550</v>
      </c>
      <c r="O17" s="470" t="s">
        <v>550</v>
      </c>
      <c r="P17" s="470" t="s">
        <v>550</v>
      </c>
      <c r="Q17" s="234"/>
      <c r="R17" s="234"/>
      <c r="S17" s="234"/>
      <c r="T17" s="234"/>
      <c r="U17" s="234"/>
      <c r="V17" s="234">
        <v>3.1</v>
      </c>
      <c r="W17" s="234">
        <v>13.49</v>
      </c>
      <c r="X17" s="234">
        <v>19.46</v>
      </c>
      <c r="Y17" s="234">
        <v>26.12</v>
      </c>
    </row>
    <row r="18" spans="2:25" ht="16">
      <c r="B18" s="238" t="s">
        <v>582</v>
      </c>
      <c r="C18" s="239" t="s">
        <v>550</v>
      </c>
      <c r="D18" s="239" t="s">
        <v>550</v>
      </c>
      <c r="E18" s="239" t="s">
        <v>550</v>
      </c>
      <c r="F18" s="239" t="s">
        <v>550</v>
      </c>
      <c r="G18" s="239" t="s">
        <v>550</v>
      </c>
      <c r="H18" s="239" t="s">
        <v>550</v>
      </c>
      <c r="I18" s="239" t="s">
        <v>550</v>
      </c>
      <c r="J18" s="239" t="s">
        <v>550</v>
      </c>
      <c r="K18" s="239" t="s">
        <v>550</v>
      </c>
      <c r="L18" s="239" t="s">
        <v>550</v>
      </c>
      <c r="M18" s="240" t="s">
        <v>550</v>
      </c>
      <c r="N18" s="240" t="s">
        <v>550</v>
      </c>
      <c r="O18" s="240" t="s">
        <v>550</v>
      </c>
      <c r="P18" s="240" t="s">
        <v>550</v>
      </c>
      <c r="Q18" s="239" t="s">
        <v>550</v>
      </c>
      <c r="R18" s="239" t="s">
        <v>550</v>
      </c>
      <c r="S18" s="239" t="s">
        <v>550</v>
      </c>
      <c r="T18" s="239" t="s">
        <v>550</v>
      </c>
      <c r="U18" s="239" t="s">
        <v>550</v>
      </c>
      <c r="V18" s="239">
        <v>2.766</v>
      </c>
      <c r="W18" s="239">
        <v>12.263999999999999</v>
      </c>
      <c r="X18" s="239">
        <v>18.138000000000002</v>
      </c>
      <c r="Y18" s="239">
        <v>23.013999999999999</v>
      </c>
    </row>
    <row r="19" spans="2:25" ht="16">
      <c r="B19" s="237" t="s">
        <v>583</v>
      </c>
      <c r="C19" s="241"/>
      <c r="D19" s="234"/>
      <c r="E19" s="234"/>
      <c r="F19" s="236" t="s">
        <v>550</v>
      </c>
      <c r="G19" s="234"/>
      <c r="H19" s="234"/>
      <c r="I19" s="234"/>
      <c r="J19" s="234"/>
      <c r="K19" s="234"/>
      <c r="L19" s="236" t="s">
        <v>550</v>
      </c>
      <c r="M19" s="236" t="s">
        <v>550</v>
      </c>
      <c r="N19" s="236" t="s">
        <v>550</v>
      </c>
      <c r="O19" s="236" t="s">
        <v>550</v>
      </c>
      <c r="P19" s="236" t="s">
        <v>550</v>
      </c>
      <c r="Q19" s="234"/>
      <c r="R19" s="234"/>
      <c r="S19" s="234"/>
      <c r="T19" s="234"/>
      <c r="U19" s="234"/>
      <c r="V19" s="234">
        <v>2.15</v>
      </c>
      <c r="W19" s="234">
        <v>9.83</v>
      </c>
      <c r="X19" s="234">
        <v>15.18</v>
      </c>
      <c r="Y19" s="234">
        <v>20.6</v>
      </c>
    </row>
    <row r="20" spans="2:25" ht="16">
      <c r="B20" s="242" t="s">
        <v>584</v>
      </c>
      <c r="C20" s="243" t="s">
        <v>550</v>
      </c>
      <c r="D20" s="470" t="s">
        <v>550</v>
      </c>
      <c r="E20" s="470" t="s">
        <v>550</v>
      </c>
      <c r="F20" s="470" t="s">
        <v>550</v>
      </c>
      <c r="G20" s="470" t="s">
        <v>550</v>
      </c>
      <c r="H20" s="470" t="s">
        <v>550</v>
      </c>
      <c r="I20" s="470" t="s">
        <v>550</v>
      </c>
      <c r="J20" s="470" t="s">
        <v>550</v>
      </c>
      <c r="K20" s="470" t="s">
        <v>550</v>
      </c>
      <c r="L20" s="470" t="s">
        <v>550</v>
      </c>
      <c r="M20" s="470" t="s">
        <v>550</v>
      </c>
      <c r="N20" s="470" t="s">
        <v>550</v>
      </c>
      <c r="O20" s="470" t="s">
        <v>550</v>
      </c>
      <c r="P20" s="470" t="s">
        <v>550</v>
      </c>
      <c r="Q20" s="470" t="s">
        <v>550</v>
      </c>
      <c r="R20" s="470" t="s">
        <v>550</v>
      </c>
      <c r="S20" s="470" t="s">
        <v>550</v>
      </c>
      <c r="T20" s="470" t="s">
        <v>550</v>
      </c>
      <c r="U20" s="470" t="s">
        <v>550</v>
      </c>
      <c r="V20" s="470">
        <v>2.14</v>
      </c>
      <c r="W20" s="470">
        <v>9.6</v>
      </c>
      <c r="X20" s="470">
        <v>12.48</v>
      </c>
      <c r="Y20" s="470">
        <v>15.6</v>
      </c>
    </row>
    <row r="21" spans="2:25" ht="15.75" customHeight="1">
      <c r="B21" s="247"/>
    </row>
  </sheetData>
  <mergeCells count="15">
    <mergeCell ref="M14:N14"/>
    <mergeCell ref="M15:N15"/>
    <mergeCell ref="M8:N8"/>
    <mergeCell ref="M9:N9"/>
    <mergeCell ref="M10:N10"/>
    <mergeCell ref="M11:N11"/>
    <mergeCell ref="M12:N12"/>
    <mergeCell ref="M13:N13"/>
    <mergeCell ref="V4:Y4"/>
    <mergeCell ref="M5:N5"/>
    <mergeCell ref="B4:C4"/>
    <mergeCell ref="D4:E4"/>
    <mergeCell ref="I4:K4"/>
    <mergeCell ref="M4:N4"/>
    <mergeCell ref="P4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7EF0-1099-6A4D-B1BC-E61E93C8F669}">
  <sheetPr>
    <tabColor rgb="FFC00000"/>
  </sheetPr>
  <dimension ref="B2:N50"/>
  <sheetViews>
    <sheetView workbookViewId="0">
      <selection activeCell="L41" sqref="L41"/>
    </sheetView>
  </sheetViews>
  <sheetFormatPr baseColWidth="10" defaultColWidth="11" defaultRowHeight="16"/>
  <cols>
    <col min="1" max="1" width="3.33203125" style="1" customWidth="1"/>
    <col min="2" max="2" width="30" style="1" customWidth="1"/>
    <col min="3" max="5" width="13.33203125" style="1" customWidth="1"/>
    <col min="6" max="6" width="23.33203125" style="1" customWidth="1"/>
    <col min="7" max="7" width="5" style="1" customWidth="1"/>
    <col min="8" max="10" width="0" style="1" hidden="1" customWidth="1"/>
    <col min="11" max="11" width="15" style="1" customWidth="1"/>
    <col min="12" max="12" width="23.33203125" style="1" customWidth="1"/>
    <col min="13" max="16384" width="11" style="1"/>
  </cols>
  <sheetData>
    <row r="2" spans="2:14" ht="20">
      <c r="B2" s="673" t="s">
        <v>585</v>
      </c>
      <c r="C2" s="673"/>
      <c r="D2" s="673"/>
      <c r="E2" s="673"/>
      <c r="F2" s="673"/>
      <c r="G2" s="673"/>
      <c r="H2" s="673"/>
      <c r="I2" s="673"/>
      <c r="J2" s="673"/>
      <c r="K2" s="673"/>
    </row>
    <row r="3" spans="2:14">
      <c r="B3" s="674" t="s">
        <v>586</v>
      </c>
      <c r="C3" s="674"/>
      <c r="D3" s="674"/>
      <c r="E3" s="674"/>
      <c r="F3" s="674"/>
      <c r="G3" s="674"/>
      <c r="H3" s="674"/>
      <c r="I3" s="674"/>
      <c r="J3" s="674"/>
      <c r="K3" s="674"/>
    </row>
    <row r="6" spans="2:14">
      <c r="B6" s="250" t="s">
        <v>587</v>
      </c>
      <c r="I6" s="1" t="s">
        <v>212</v>
      </c>
      <c r="J6" s="1" t="s">
        <v>213</v>
      </c>
    </row>
    <row r="7" spans="2:14">
      <c r="B7" s="252" t="s">
        <v>178</v>
      </c>
      <c r="C7" s="252" t="s">
        <v>176</v>
      </c>
      <c r="D7" s="252" t="s">
        <v>588</v>
      </c>
      <c r="E7" s="252" t="s">
        <v>177</v>
      </c>
      <c r="F7" s="252" t="s">
        <v>492</v>
      </c>
      <c r="H7" s="1" t="s">
        <v>40</v>
      </c>
      <c r="I7" s="1">
        <v>7334</v>
      </c>
      <c r="J7" s="1">
        <v>5639</v>
      </c>
      <c r="L7"/>
    </row>
    <row r="8" spans="2:14">
      <c r="B8" s="275" t="s">
        <v>215</v>
      </c>
      <c r="C8" s="276">
        <v>7095</v>
      </c>
      <c r="D8" s="277">
        <v>8347</v>
      </c>
      <c r="E8" s="276">
        <v>9599</v>
      </c>
      <c r="F8" s="275" t="s">
        <v>589</v>
      </c>
      <c r="H8" s="1" t="s">
        <v>214</v>
      </c>
      <c r="I8" s="1">
        <v>8774</v>
      </c>
      <c r="J8" s="1">
        <v>3096</v>
      </c>
    </row>
    <row r="9" spans="2:14">
      <c r="B9" s="253" t="s">
        <v>214</v>
      </c>
      <c r="C9" s="254">
        <v>8774</v>
      </c>
      <c r="D9" s="273">
        <v>10322</v>
      </c>
      <c r="E9" s="254">
        <v>11870</v>
      </c>
      <c r="F9" s="253" t="s">
        <v>590</v>
      </c>
      <c r="H9" s="1" t="s">
        <v>215</v>
      </c>
      <c r="I9" s="1">
        <v>7095</v>
      </c>
      <c r="J9" s="1">
        <v>2504</v>
      </c>
    </row>
    <row r="10" spans="2:14">
      <c r="B10" s="280" t="s">
        <v>591</v>
      </c>
      <c r="C10" s="281">
        <v>7333</v>
      </c>
      <c r="D10" s="282">
        <v>9365</v>
      </c>
      <c r="E10" s="281">
        <v>12971</v>
      </c>
      <c r="F10" s="280" t="s">
        <v>592</v>
      </c>
      <c r="H10" s="1" t="s">
        <v>593</v>
      </c>
      <c r="I10" s="1">
        <v>6844</v>
      </c>
      <c r="J10" s="1">
        <v>0</v>
      </c>
    </row>
    <row r="11" spans="2:14">
      <c r="B11" s="255" t="s">
        <v>593</v>
      </c>
      <c r="C11" s="256"/>
      <c r="D11" s="257">
        <v>6844</v>
      </c>
      <c r="E11" s="256"/>
      <c r="F11" s="256" t="s">
        <v>594</v>
      </c>
    </row>
    <row r="14" spans="2:14">
      <c r="G14" s="272"/>
    </row>
    <row r="16" spans="2:14">
      <c r="N16" s="272" t="s">
        <v>595</v>
      </c>
    </row>
    <row r="21" spans="2:12">
      <c r="B21" s="250" t="s">
        <v>596</v>
      </c>
      <c r="I21" s="1" t="s">
        <v>212</v>
      </c>
      <c r="J21" s="1" t="s">
        <v>213</v>
      </c>
    </row>
    <row r="22" spans="2:12">
      <c r="B22" s="252" t="s">
        <v>178</v>
      </c>
      <c r="C22" s="252" t="s">
        <v>176</v>
      </c>
      <c r="D22" s="252" t="s">
        <v>588</v>
      </c>
      <c r="E22" s="252" t="s">
        <v>177</v>
      </c>
      <c r="F22" s="252" t="s">
        <v>492</v>
      </c>
      <c r="H22" s="1" t="s">
        <v>40</v>
      </c>
      <c r="I22" s="1">
        <v>44.04</v>
      </c>
      <c r="J22" s="1">
        <v>36.729999999999997</v>
      </c>
      <c r="L22"/>
    </row>
    <row r="23" spans="2:12">
      <c r="B23" s="275" t="s">
        <v>215</v>
      </c>
      <c r="C23" s="278">
        <v>42.500488503875467</v>
      </c>
      <c r="D23" s="279">
        <v>50.655246531622488</v>
      </c>
      <c r="E23" s="278">
        <v>58.810004559369503</v>
      </c>
      <c r="F23" s="275" t="s">
        <v>589</v>
      </c>
      <c r="H23" s="1" t="s">
        <v>214</v>
      </c>
      <c r="I23" s="1">
        <v>53.44</v>
      </c>
      <c r="J23" s="1">
        <v>20.190000000000001</v>
      </c>
      <c r="K23" s="272"/>
    </row>
    <row r="24" spans="2:12">
      <c r="B24" s="253" t="s">
        <v>214</v>
      </c>
      <c r="C24" s="258">
        <v>53.436461929264638</v>
      </c>
      <c r="D24" s="274">
        <v>63.519181918843223</v>
      </c>
      <c r="E24" s="258">
        <v>73.601901908421809</v>
      </c>
      <c r="F24" s="253" t="s">
        <v>590</v>
      </c>
      <c r="H24" s="1" t="s">
        <v>215</v>
      </c>
      <c r="I24" s="1">
        <v>42.49</v>
      </c>
      <c r="J24" s="1">
        <v>16.32</v>
      </c>
      <c r="K24" s="272"/>
    </row>
    <row r="25" spans="2:12">
      <c r="B25" s="280" t="s">
        <v>591</v>
      </c>
      <c r="C25" s="283">
        <v>44.050674135348146</v>
      </c>
      <c r="D25" s="284">
        <v>57.285872467921578</v>
      </c>
      <c r="E25" s="283">
        <v>80.773138800234477</v>
      </c>
      <c r="F25" s="280" t="s">
        <v>592</v>
      </c>
      <c r="H25" s="1" t="s">
        <v>597</v>
      </c>
      <c r="I25" s="1">
        <v>37.340000000000003</v>
      </c>
      <c r="J25" s="1">
        <v>0</v>
      </c>
    </row>
    <row r="26" spans="2:12">
      <c r="B26" s="255" t="s">
        <v>597</v>
      </c>
      <c r="C26" s="256"/>
      <c r="D26" s="259">
        <v>37.340000000000003</v>
      </c>
      <c r="E26" s="256"/>
      <c r="F26" s="256" t="s">
        <v>598</v>
      </c>
    </row>
    <row r="35" spans="2:5">
      <c r="B35" s="250" t="s">
        <v>599</v>
      </c>
    </row>
    <row r="36" spans="2:5">
      <c r="B36" s="260" t="s">
        <v>178</v>
      </c>
      <c r="C36" s="260" t="s">
        <v>600</v>
      </c>
      <c r="D36" s="260" t="s">
        <v>601</v>
      </c>
      <c r="E36" s="260" t="s">
        <v>602</v>
      </c>
    </row>
    <row r="37" spans="2:5">
      <c r="B37" s="261" t="s">
        <v>215</v>
      </c>
      <c r="C37" s="262">
        <v>8347</v>
      </c>
      <c r="D37" s="263">
        <v>50.65</v>
      </c>
      <c r="E37" s="264">
        <f>(D37-37.34)/37.34</f>
        <v>0.35645420460632016</v>
      </c>
    </row>
    <row r="38" spans="2:5">
      <c r="B38" s="261" t="s">
        <v>214</v>
      </c>
      <c r="C38" s="262">
        <v>10322</v>
      </c>
      <c r="D38" s="263">
        <v>63.52</v>
      </c>
      <c r="E38" s="264">
        <f>(D38-37.34)/37.34</f>
        <v>0.70112479914301007</v>
      </c>
    </row>
    <row r="39" spans="2:5">
      <c r="B39" s="261" t="s">
        <v>603</v>
      </c>
      <c r="C39" s="262">
        <v>9369</v>
      </c>
      <c r="D39" s="263">
        <v>57.3</v>
      </c>
      <c r="E39" s="264">
        <f>(D39-37.34)/37.34</f>
        <v>0.53454740224959807</v>
      </c>
    </row>
    <row r="41" spans="2:5">
      <c r="B41" s="267" t="s">
        <v>604</v>
      </c>
      <c r="C41" s="265">
        <f>AVERAGE(C37:C39)</f>
        <v>9346</v>
      </c>
      <c r="D41" s="266">
        <f>AVERAGE(D37:D39)</f>
        <v>57.156666666666666</v>
      </c>
      <c r="E41" s="268">
        <f>(D41-37.34)/37.34</f>
        <v>0.53070880199964277</v>
      </c>
    </row>
    <row r="43" spans="2:5">
      <c r="B43" s="269" t="s">
        <v>605</v>
      </c>
    </row>
    <row r="44" spans="2:5">
      <c r="B44" s="675" t="s">
        <v>606</v>
      </c>
      <c r="C44" s="676"/>
      <c r="D44" s="676"/>
      <c r="E44" s="676"/>
    </row>
    <row r="45" spans="2:5">
      <c r="B45" s="677" t="s">
        <v>607</v>
      </c>
      <c r="C45" s="676"/>
      <c r="D45" s="676"/>
      <c r="E45" s="676"/>
    </row>
    <row r="47" spans="2:5">
      <c r="B47" s="270" t="s">
        <v>608</v>
      </c>
    </row>
    <row r="48" spans="2:5">
      <c r="B48" s="271" t="s">
        <v>609</v>
      </c>
    </row>
    <row r="49" spans="2:2">
      <c r="B49" s="271" t="s">
        <v>610</v>
      </c>
    </row>
    <row r="50" spans="2:2">
      <c r="B50" s="271" t="s">
        <v>611</v>
      </c>
    </row>
  </sheetData>
  <mergeCells count="4">
    <mergeCell ref="B2:K2"/>
    <mergeCell ref="B3:K3"/>
    <mergeCell ref="B44:E44"/>
    <mergeCell ref="B45:E4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4B6A-E00C-EF4B-9B35-66203C831086}">
  <sheetPr>
    <tabColor rgb="FF7030A0"/>
  </sheetPr>
  <dimension ref="B3:L28"/>
  <sheetViews>
    <sheetView topLeftCell="A4" zoomScale="159" workbookViewId="0">
      <selection activeCell="J40" sqref="J40"/>
    </sheetView>
  </sheetViews>
  <sheetFormatPr baseColWidth="10" defaultColWidth="11" defaultRowHeight="16"/>
  <cols>
    <col min="1" max="1" width="4.33203125" style="1" customWidth="1"/>
    <col min="2" max="16384" width="11" style="1"/>
  </cols>
  <sheetData>
    <row r="3" spans="2:12" ht="19">
      <c r="B3" s="678" t="s">
        <v>612</v>
      </c>
      <c r="C3" s="678"/>
      <c r="D3" s="678"/>
      <c r="E3" s="678"/>
      <c r="F3" s="678"/>
      <c r="G3" s="678"/>
      <c r="H3" s="678"/>
      <c r="I3" s="678"/>
      <c r="J3" s="678"/>
      <c r="K3" s="678"/>
      <c r="L3" s="678"/>
    </row>
    <row r="5" spans="2:12">
      <c r="B5" s="189" t="s">
        <v>613</v>
      </c>
      <c r="C5" s="190"/>
      <c r="D5" s="190"/>
      <c r="E5" s="190"/>
      <c r="F5" s="190"/>
      <c r="G5" s="190"/>
    </row>
    <row r="7" spans="2:12" ht="17" thickBot="1"/>
    <row r="8" spans="2:12" ht="17" thickTop="1">
      <c r="D8" s="190"/>
      <c r="E8" s="191" t="s">
        <v>614</v>
      </c>
      <c r="F8" s="679" t="s">
        <v>615</v>
      </c>
      <c r="G8" s="680"/>
      <c r="H8" s="679"/>
      <c r="I8" s="679"/>
      <c r="J8" s="681"/>
    </row>
    <row r="9" spans="2:12" ht="17" thickBot="1">
      <c r="D9" s="190"/>
      <c r="E9" s="201">
        <f>'DCF Valuation'!E72</f>
        <v>50.986672469483466</v>
      </c>
      <c r="F9" s="192">
        <v>1.4999999999999999E-2</v>
      </c>
      <c r="G9" s="192">
        <v>0.02</v>
      </c>
      <c r="H9" s="192">
        <v>2.5000000000000001E-2</v>
      </c>
      <c r="I9" s="192">
        <v>0.03</v>
      </c>
      <c r="J9" s="193">
        <v>3.5000000000000003E-2</v>
      </c>
    </row>
    <row r="10" spans="2:12">
      <c r="D10" s="682" t="s">
        <v>79</v>
      </c>
      <c r="E10" s="194">
        <f>E11-1%</f>
        <v>5.3899999999999997E-2</v>
      </c>
      <c r="F10" s="202">
        <f t="dataTable" ref="F10:J14" dt2D="1" dtr="1" r1="K11" r2="K10" ca="1"/>
        <v>66.33977631562604</v>
      </c>
      <c r="G10" s="195">
        <v>75.174716986687258</v>
      </c>
      <c r="H10" s="203">
        <v>87.066730554309459</v>
      </c>
      <c r="I10" s="203">
        <v>103.93448201633424</v>
      </c>
      <c r="J10" s="204">
        <v>129.72696970165259</v>
      </c>
      <c r="K10" s="57"/>
    </row>
    <row r="11" spans="2:12" ht="17" thickBot="1">
      <c r="D11" s="682"/>
      <c r="E11" s="194">
        <f>E12-1%</f>
        <v>6.3899999999999998E-2</v>
      </c>
      <c r="F11" s="205">
        <v>52.35766701384857</v>
      </c>
      <c r="G11" s="196">
        <v>57.608456927049062</v>
      </c>
      <c r="H11" s="206">
        <v>64.209064298655832</v>
      </c>
      <c r="I11" s="207">
        <v>72.756753490795603</v>
      </c>
      <c r="J11" s="208">
        <v>84.262120604090981</v>
      </c>
      <c r="K11" s="57"/>
    </row>
    <row r="12" spans="2:12" ht="18" thickTop="1" thickBot="1">
      <c r="D12" s="683"/>
      <c r="E12" s="209">
        <v>7.3899999999999993E-2</v>
      </c>
      <c r="F12" s="210">
        <v>43.120433599846471</v>
      </c>
      <c r="G12" s="197">
        <v>46.5565933350004</v>
      </c>
      <c r="H12" s="211">
        <v>50.695444222537539</v>
      </c>
      <c r="I12" s="210">
        <v>55.777085745048971</v>
      </c>
      <c r="J12" s="212">
        <v>62.165061849182862</v>
      </c>
    </row>
    <row r="13" spans="2:12" ht="17" thickTop="1">
      <c r="D13" s="682"/>
      <c r="E13" s="194">
        <f>E12+1%</f>
        <v>8.3899999999999988E-2</v>
      </c>
      <c r="F13" s="213">
        <v>36.562174477157932</v>
      </c>
      <c r="G13" s="198">
        <v>38.960833498407439</v>
      </c>
      <c r="H13" s="214">
        <v>41.76673513786568</v>
      </c>
      <c r="I13" s="215">
        <v>45.093212220637149</v>
      </c>
      <c r="J13" s="216">
        <v>49.099950465529567</v>
      </c>
    </row>
    <row r="14" spans="2:12" ht="17" thickBot="1">
      <c r="D14" s="682"/>
      <c r="E14" s="194">
        <f>E13+1%</f>
        <v>9.3899999999999983E-2</v>
      </c>
      <c r="F14" s="217">
        <v>31.66433633483593</v>
      </c>
      <c r="G14" s="199">
        <v>33.418248066370033</v>
      </c>
      <c r="H14" s="218">
        <v>35.426718830057133</v>
      </c>
      <c r="I14" s="218">
        <v>37.749504267247687</v>
      </c>
      <c r="J14" s="219">
        <v>40.466650559648862</v>
      </c>
    </row>
    <row r="15" spans="2:12" ht="17" thickTop="1"/>
    <row r="18" spans="2:11">
      <c r="B18" s="189" t="s">
        <v>616</v>
      </c>
      <c r="C18" s="190"/>
      <c r="D18" s="190"/>
      <c r="E18" s="190"/>
      <c r="F18" s="190"/>
      <c r="G18" s="190"/>
    </row>
    <row r="20" spans="2:11" ht="17" thickBot="1"/>
    <row r="21" spans="2:11" ht="17" thickTop="1">
      <c r="D21" s="190"/>
      <c r="E21" s="191" t="s">
        <v>614</v>
      </c>
      <c r="F21" s="679" t="s">
        <v>617</v>
      </c>
      <c r="G21" s="680"/>
      <c r="H21" s="679"/>
      <c r="I21" s="679"/>
      <c r="J21" s="681"/>
    </row>
    <row r="22" spans="2:11" ht="17" thickBot="1">
      <c r="D22" s="190"/>
      <c r="E22" s="201">
        <f>'DCF Valuation'!F72</f>
        <v>63.600187239128957</v>
      </c>
      <c r="F22" s="220">
        <v>10</v>
      </c>
      <c r="G22" s="200">
        <v>11</v>
      </c>
      <c r="H22" s="220">
        <v>12</v>
      </c>
      <c r="I22" s="220">
        <v>13</v>
      </c>
      <c r="J22" s="221">
        <v>14</v>
      </c>
    </row>
    <row r="23" spans="2:11">
      <c r="D23" s="682" t="s">
        <v>79</v>
      </c>
      <c r="E23" s="194">
        <f>E24-1%</f>
        <v>5.3899999999999997E-2</v>
      </c>
      <c r="F23" s="202">
        <f t="dataTable" ref="F23:J27" dt2D="1" dtr="1" r1="K24" r2="K10"/>
        <v>58.910485361568732</v>
      </c>
      <c r="G23" s="195">
        <v>63.936548695809265</v>
      </c>
      <c r="H23" s="203">
        <v>68.962612030049797</v>
      </c>
      <c r="I23" s="203">
        <v>73.988675364290344</v>
      </c>
      <c r="J23" s="204">
        <v>79.014738698530877</v>
      </c>
      <c r="K23" s="45"/>
    </row>
    <row r="24" spans="2:11" ht="17" thickBot="1">
      <c r="D24" s="682"/>
      <c r="E24" s="194">
        <f>E25-1%</f>
        <v>6.3899999999999998E-2</v>
      </c>
      <c r="F24" s="205">
        <v>56.544157702456708</v>
      </c>
      <c r="G24" s="196">
        <v>61.361102143952998</v>
      </c>
      <c r="H24" s="206">
        <v>66.17804658544928</v>
      </c>
      <c r="I24" s="207">
        <v>70.99499102694557</v>
      </c>
      <c r="J24" s="208">
        <v>75.81193546844186</v>
      </c>
      <c r="K24" s="222"/>
    </row>
    <row r="25" spans="2:11" ht="18" thickTop="1" thickBot="1">
      <c r="D25" s="683"/>
      <c r="E25" s="209">
        <v>7.3899999999999993E-2</v>
      </c>
      <c r="F25" s="210">
        <v>54.293878335037924</v>
      </c>
      <c r="G25" s="197">
        <v>58.912240498671018</v>
      </c>
      <c r="H25" s="211">
        <v>63.530602662304105</v>
      </c>
      <c r="I25" s="210">
        <v>68.148964825937199</v>
      </c>
      <c r="J25" s="212">
        <v>72.767326989570293</v>
      </c>
    </row>
    <row r="26" spans="2:11" ht="17" thickTop="1">
      <c r="D26" s="682"/>
      <c r="E26" s="194">
        <f>E25+1%</f>
        <v>8.3899999999999988E-2</v>
      </c>
      <c r="F26" s="213">
        <v>52.152890038389465</v>
      </c>
      <c r="G26" s="198">
        <v>56.582584827831397</v>
      </c>
      <c r="H26" s="214">
        <v>61.012279617273322</v>
      </c>
      <c r="I26" s="215">
        <v>65.441974406715232</v>
      </c>
      <c r="J26" s="216">
        <v>69.871669196157157</v>
      </c>
    </row>
    <row r="27" spans="2:11" ht="17" thickBot="1">
      <c r="D27" s="682"/>
      <c r="E27" s="194">
        <f>E26+1%</f>
        <v>9.3899999999999983E-2</v>
      </c>
      <c r="F27" s="217">
        <v>50.114887894261223</v>
      </c>
      <c r="G27" s="199">
        <v>54.36525044785941</v>
      </c>
      <c r="H27" s="218">
        <v>58.615613001457589</v>
      </c>
      <c r="I27" s="218">
        <v>62.865975555055762</v>
      </c>
      <c r="J27" s="219">
        <v>67.116338108653963</v>
      </c>
    </row>
    <row r="28" spans="2:11" ht="17" thickTop="1"/>
  </sheetData>
  <mergeCells count="5">
    <mergeCell ref="B3:L3"/>
    <mergeCell ref="F8:J8"/>
    <mergeCell ref="D10:D14"/>
    <mergeCell ref="F21:J21"/>
    <mergeCell ref="D23:D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8501-B850-C94F-BC2B-623D3876DEE9}">
  <sheetPr>
    <tabColor rgb="FF833C0B"/>
  </sheetPr>
  <dimension ref="B2:N142"/>
  <sheetViews>
    <sheetView zoomScale="167" workbookViewId="0">
      <pane ySplit="4" topLeftCell="A132" activePane="bottomLeft" state="frozen"/>
      <selection pane="bottomLeft" activeCell="B126" sqref="B126"/>
    </sheetView>
  </sheetViews>
  <sheetFormatPr baseColWidth="10" defaultColWidth="10.83203125" defaultRowHeight="16"/>
  <cols>
    <col min="1" max="1" width="2.5" style="1" customWidth="1"/>
    <col min="2" max="2" width="29.1640625" style="1" customWidth="1"/>
    <col min="3" max="4" width="26.6640625" style="1" customWidth="1"/>
    <col min="5" max="6" width="19.1640625" style="1" customWidth="1"/>
    <col min="7" max="8" width="16.6640625" style="1" customWidth="1"/>
    <col min="9" max="9" width="15" style="1" customWidth="1"/>
    <col min="10" max="11" width="13.33203125" style="1" customWidth="1"/>
    <col min="12" max="12" width="29.1640625" style="1" customWidth="1"/>
    <col min="13" max="16384" width="10.83203125" style="1"/>
  </cols>
  <sheetData>
    <row r="2" spans="2:14" ht="19">
      <c r="B2" s="687" t="s">
        <v>618</v>
      </c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</row>
    <row r="3" spans="2:14">
      <c r="B3" s="474"/>
    </row>
    <row r="5" spans="2:14">
      <c r="B5" s="615" t="s">
        <v>1169</v>
      </c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6"/>
    </row>
    <row r="7" spans="2:14">
      <c r="B7" s="623" t="s">
        <v>619</v>
      </c>
    </row>
    <row r="8" spans="2:14">
      <c r="B8" s="626" t="s">
        <v>119</v>
      </c>
      <c r="C8" s="627" t="s">
        <v>620</v>
      </c>
      <c r="D8" s="628" t="s">
        <v>492</v>
      </c>
    </row>
    <row r="9" spans="2:14">
      <c r="B9" s="511" t="s">
        <v>621</v>
      </c>
      <c r="C9" s="512" t="s">
        <v>622</v>
      </c>
      <c r="D9" s="513" t="s">
        <v>623</v>
      </c>
    </row>
    <row r="10" spans="2:14">
      <c r="B10" s="511" t="s">
        <v>624</v>
      </c>
      <c r="C10" s="512" t="s">
        <v>625</v>
      </c>
      <c r="D10" s="513" t="s">
        <v>626</v>
      </c>
    </row>
    <row r="11" spans="2:14">
      <c r="B11" s="511" t="s">
        <v>627</v>
      </c>
      <c r="C11" s="512" t="s">
        <v>628</v>
      </c>
      <c r="D11" s="513" t="s">
        <v>629</v>
      </c>
    </row>
    <row r="12" spans="2:14">
      <c r="B12" s="511" t="s">
        <v>630</v>
      </c>
      <c r="C12" s="512" t="s">
        <v>631</v>
      </c>
      <c r="D12" s="513" t="s">
        <v>632</v>
      </c>
    </row>
    <row r="13" spans="2:14">
      <c r="B13" s="511" t="s">
        <v>633</v>
      </c>
      <c r="C13" s="512" t="s">
        <v>634</v>
      </c>
      <c r="D13" s="513" t="s">
        <v>635</v>
      </c>
    </row>
    <row r="14" spans="2:14">
      <c r="B14" s="511" t="s">
        <v>636</v>
      </c>
      <c r="C14" s="512" t="s">
        <v>637</v>
      </c>
      <c r="D14" s="513" t="s">
        <v>635</v>
      </c>
    </row>
    <row r="15" spans="2:14" ht="28">
      <c r="B15" s="514" t="s">
        <v>638</v>
      </c>
      <c r="C15" s="515" t="s">
        <v>639</v>
      </c>
      <c r="D15" s="516" t="s">
        <v>640</v>
      </c>
    </row>
    <row r="17" spans="2:14">
      <c r="B17" s="615" t="s">
        <v>641</v>
      </c>
      <c r="C17" s="616"/>
      <c r="D17" s="616"/>
      <c r="E17" s="616"/>
      <c r="F17" s="616"/>
      <c r="G17" s="616"/>
      <c r="H17" s="616"/>
      <c r="I17" s="616"/>
      <c r="J17" s="616"/>
      <c r="K17" s="616"/>
      <c r="L17" s="616"/>
      <c r="M17" s="616"/>
      <c r="N17" s="616"/>
    </row>
    <row r="19" spans="2:14">
      <c r="B19" s="629" t="s">
        <v>5</v>
      </c>
      <c r="C19" s="630" t="s">
        <v>642</v>
      </c>
      <c r="D19" s="630" t="s">
        <v>643</v>
      </c>
      <c r="E19" s="630" t="s">
        <v>644</v>
      </c>
      <c r="F19" s="630" t="s">
        <v>645</v>
      </c>
      <c r="G19" s="630" t="s">
        <v>646</v>
      </c>
      <c r="H19" s="630" t="s">
        <v>123</v>
      </c>
      <c r="I19" s="630" t="s">
        <v>124</v>
      </c>
      <c r="J19" s="630" t="s">
        <v>647</v>
      </c>
      <c r="K19" s="630" t="s">
        <v>16</v>
      </c>
      <c r="L19" s="631" t="s">
        <v>648</v>
      </c>
    </row>
    <row r="20" spans="2:14" ht="42" customHeight="1">
      <c r="B20" s="517">
        <v>45658</v>
      </c>
      <c r="C20" s="518" t="s">
        <v>649</v>
      </c>
      <c r="D20" s="518" t="s">
        <v>650</v>
      </c>
      <c r="E20" s="518" t="s">
        <v>651</v>
      </c>
      <c r="F20" s="518" t="s">
        <v>652</v>
      </c>
      <c r="G20" s="518" t="s">
        <v>653</v>
      </c>
      <c r="H20" s="518" t="s">
        <v>654</v>
      </c>
      <c r="I20" s="518" t="s">
        <v>655</v>
      </c>
      <c r="J20" s="518" t="s">
        <v>656</v>
      </c>
      <c r="K20" s="518" t="s">
        <v>657</v>
      </c>
      <c r="L20" s="519" t="s">
        <v>658</v>
      </c>
    </row>
    <row r="21" spans="2:14" ht="42" customHeight="1">
      <c r="B21" s="547" t="s">
        <v>659</v>
      </c>
      <c r="C21" s="521" t="s">
        <v>660</v>
      </c>
      <c r="D21" s="521" t="s">
        <v>144</v>
      </c>
      <c r="E21" s="521" t="s">
        <v>651</v>
      </c>
      <c r="F21" s="521" t="s">
        <v>661</v>
      </c>
      <c r="G21" s="521" t="s">
        <v>84</v>
      </c>
      <c r="H21" s="521" t="s">
        <v>662</v>
      </c>
      <c r="I21" s="521" t="s">
        <v>663</v>
      </c>
      <c r="J21" s="521" t="s">
        <v>656</v>
      </c>
      <c r="K21" s="521" t="s">
        <v>664</v>
      </c>
      <c r="L21" s="522" t="s">
        <v>665</v>
      </c>
    </row>
    <row r="22" spans="2:14" ht="42" customHeight="1">
      <c r="B22" s="517">
        <v>45444</v>
      </c>
      <c r="C22" s="518" t="s">
        <v>666</v>
      </c>
      <c r="D22" s="518" t="s">
        <v>667</v>
      </c>
      <c r="E22" s="518" t="s">
        <v>668</v>
      </c>
      <c r="F22" s="518" t="s">
        <v>669</v>
      </c>
      <c r="G22" s="518">
        <v>2100</v>
      </c>
      <c r="H22" s="518" t="s">
        <v>670</v>
      </c>
      <c r="I22" s="518" t="s">
        <v>671</v>
      </c>
      <c r="J22" s="518" t="s">
        <v>672</v>
      </c>
      <c r="K22" s="518" t="s">
        <v>673</v>
      </c>
      <c r="L22" s="519" t="s">
        <v>674</v>
      </c>
    </row>
    <row r="23" spans="2:14" ht="42" customHeight="1">
      <c r="B23" s="523">
        <v>44562</v>
      </c>
      <c r="C23" s="521" t="s">
        <v>675</v>
      </c>
      <c r="D23" s="521" t="s">
        <v>676</v>
      </c>
      <c r="E23" s="521" t="s">
        <v>677</v>
      </c>
      <c r="F23" s="521" t="s">
        <v>678</v>
      </c>
      <c r="G23" s="521" t="s">
        <v>679</v>
      </c>
      <c r="H23" s="521" t="s">
        <v>680</v>
      </c>
      <c r="I23" s="521" t="s">
        <v>681</v>
      </c>
      <c r="J23" s="521" t="s">
        <v>682</v>
      </c>
      <c r="K23" s="521" t="s">
        <v>673</v>
      </c>
      <c r="L23" s="522" t="s">
        <v>683</v>
      </c>
    </row>
    <row r="24" spans="2:14" ht="42" customHeight="1">
      <c r="B24" s="517">
        <v>44986</v>
      </c>
      <c r="C24" s="518" t="s">
        <v>666</v>
      </c>
      <c r="D24" s="518" t="s">
        <v>684</v>
      </c>
      <c r="E24" s="518" t="s">
        <v>685</v>
      </c>
      <c r="F24" s="518" t="s">
        <v>686</v>
      </c>
      <c r="G24" s="518">
        <v>2100</v>
      </c>
      <c r="H24" s="518" t="s">
        <v>687</v>
      </c>
      <c r="I24" s="518" t="s">
        <v>688</v>
      </c>
      <c r="J24" s="518" t="s">
        <v>689</v>
      </c>
      <c r="K24" s="518" t="s">
        <v>690</v>
      </c>
      <c r="L24" s="519" t="s">
        <v>691</v>
      </c>
    </row>
    <row r="25" spans="2:14" ht="42" customHeight="1">
      <c r="B25" s="523">
        <v>44317</v>
      </c>
      <c r="C25" s="521" t="s">
        <v>692</v>
      </c>
      <c r="D25" s="521" t="s">
        <v>660</v>
      </c>
      <c r="E25" s="521" t="s">
        <v>693</v>
      </c>
      <c r="F25" s="521" t="s">
        <v>694</v>
      </c>
      <c r="G25" s="521" t="s">
        <v>694</v>
      </c>
      <c r="H25" s="521" t="s">
        <v>694</v>
      </c>
      <c r="I25" s="521" t="s">
        <v>694</v>
      </c>
      <c r="J25" s="521" t="s">
        <v>656</v>
      </c>
      <c r="K25" s="521" t="s">
        <v>673</v>
      </c>
      <c r="L25" s="522" t="s">
        <v>695</v>
      </c>
    </row>
    <row r="26" spans="2:14" ht="42" customHeight="1">
      <c r="B26" s="524">
        <v>2024</v>
      </c>
      <c r="C26" s="525" t="s">
        <v>696</v>
      </c>
      <c r="D26" s="525" t="s">
        <v>697</v>
      </c>
      <c r="E26" s="525" t="s">
        <v>698</v>
      </c>
      <c r="F26" s="525">
        <v>360</v>
      </c>
      <c r="G26" s="525" t="s">
        <v>699</v>
      </c>
      <c r="H26" s="525" t="s">
        <v>700</v>
      </c>
      <c r="I26" s="525" t="s">
        <v>694</v>
      </c>
      <c r="J26" s="525" t="s">
        <v>656</v>
      </c>
      <c r="K26" s="525" t="s">
        <v>673</v>
      </c>
      <c r="L26" s="526" t="s">
        <v>701</v>
      </c>
    </row>
    <row r="28" spans="2:14" ht="50" customHeight="1">
      <c r="B28" s="480" t="s">
        <v>702</v>
      </c>
      <c r="C28" s="686" t="s">
        <v>703</v>
      </c>
      <c r="D28" s="686"/>
      <c r="E28" s="481"/>
      <c r="F28" s="481"/>
      <c r="G28" s="481"/>
      <c r="H28" s="481"/>
      <c r="I28" s="481"/>
      <c r="J28" s="481"/>
      <c r="K28" s="481"/>
      <c r="L28" s="481"/>
    </row>
    <row r="30" spans="2:14">
      <c r="B30" s="615" t="s">
        <v>1170</v>
      </c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616"/>
    </row>
    <row r="32" spans="2:14">
      <c r="B32" s="624" t="s">
        <v>704</v>
      </c>
    </row>
    <row r="33" spans="2:9">
      <c r="B33" s="632" t="s">
        <v>705</v>
      </c>
      <c r="C33" s="632" t="s">
        <v>5</v>
      </c>
      <c r="D33" s="632" t="s">
        <v>620</v>
      </c>
    </row>
    <row r="34" spans="2:9" ht="45" customHeight="1">
      <c r="B34" s="527" t="s">
        <v>706</v>
      </c>
      <c r="C34" s="527" t="s">
        <v>659</v>
      </c>
      <c r="D34" s="527" t="s">
        <v>707</v>
      </c>
    </row>
    <row r="35" spans="2:9" ht="43" customHeight="1">
      <c r="B35" s="527" t="s">
        <v>708</v>
      </c>
      <c r="C35" s="550">
        <v>45684</v>
      </c>
      <c r="D35" s="527" t="s">
        <v>709</v>
      </c>
    </row>
    <row r="36" spans="2:9" ht="48" customHeight="1">
      <c r="B36" s="527" t="s">
        <v>710</v>
      </c>
      <c r="C36" s="527" t="s">
        <v>711</v>
      </c>
      <c r="D36" s="527" t="s">
        <v>712</v>
      </c>
    </row>
    <row r="37" spans="2:9" ht="30" customHeight="1">
      <c r="B37" s="528" t="s">
        <v>713</v>
      </c>
      <c r="C37" s="551">
        <v>45658</v>
      </c>
      <c r="D37" s="528" t="s">
        <v>714</v>
      </c>
    </row>
    <row r="39" spans="2:9">
      <c r="B39" s="559" t="s">
        <v>715</v>
      </c>
    </row>
    <row r="40" spans="2:9">
      <c r="B40" s="629" t="s">
        <v>120</v>
      </c>
      <c r="C40" s="630" t="s">
        <v>121</v>
      </c>
      <c r="D40" s="630" t="s">
        <v>716</v>
      </c>
      <c r="E40" s="630" t="s">
        <v>717</v>
      </c>
      <c r="F40" s="630" t="s">
        <v>718</v>
      </c>
      <c r="G40" s="630" t="s">
        <v>123</v>
      </c>
      <c r="H40" s="630" t="s">
        <v>124</v>
      </c>
      <c r="I40" s="631" t="s">
        <v>126</v>
      </c>
    </row>
    <row r="41" spans="2:9">
      <c r="B41" s="482" t="s">
        <v>660</v>
      </c>
      <c r="C41" s="483" t="s">
        <v>719</v>
      </c>
      <c r="D41" s="483">
        <v>6844</v>
      </c>
      <c r="E41" s="483">
        <v>3396</v>
      </c>
      <c r="F41" s="483">
        <v>764</v>
      </c>
      <c r="G41" s="483" t="s">
        <v>720</v>
      </c>
      <c r="H41" s="483" t="s">
        <v>721</v>
      </c>
      <c r="I41" s="484" t="s">
        <v>133</v>
      </c>
    </row>
    <row r="42" spans="2:9">
      <c r="B42" s="475" t="s">
        <v>722</v>
      </c>
      <c r="C42" s="476" t="s">
        <v>137</v>
      </c>
      <c r="D42" s="476">
        <v>18521</v>
      </c>
      <c r="E42" s="476">
        <v>6345</v>
      </c>
      <c r="F42" s="476">
        <v>1388</v>
      </c>
      <c r="G42" s="476" t="s">
        <v>723</v>
      </c>
      <c r="H42" s="476" t="s">
        <v>724</v>
      </c>
      <c r="I42" s="477" t="s">
        <v>141</v>
      </c>
    </row>
    <row r="43" spans="2:9">
      <c r="B43" s="475" t="s">
        <v>144</v>
      </c>
      <c r="C43" s="476" t="s">
        <v>145</v>
      </c>
      <c r="D43" s="476">
        <v>14060</v>
      </c>
      <c r="E43" s="476">
        <v>6466</v>
      </c>
      <c r="F43" s="476">
        <v>1036</v>
      </c>
      <c r="G43" s="476" t="s">
        <v>725</v>
      </c>
      <c r="H43" s="476" t="s">
        <v>726</v>
      </c>
      <c r="I43" s="477" t="s">
        <v>149</v>
      </c>
    </row>
    <row r="44" spans="2:9">
      <c r="B44" s="475" t="s">
        <v>572</v>
      </c>
      <c r="C44" s="476" t="s">
        <v>153</v>
      </c>
      <c r="D44" s="476">
        <v>12971</v>
      </c>
      <c r="E44" s="476">
        <v>6248</v>
      </c>
      <c r="F44" s="476">
        <v>1320</v>
      </c>
      <c r="G44" s="476" t="s">
        <v>727</v>
      </c>
      <c r="H44" s="476" t="s">
        <v>155</v>
      </c>
      <c r="I44" s="477" t="s">
        <v>157</v>
      </c>
    </row>
    <row r="45" spans="2:9">
      <c r="B45" s="475" t="s">
        <v>728</v>
      </c>
      <c r="C45" s="476" t="s">
        <v>576</v>
      </c>
      <c r="D45" s="476">
        <v>6388</v>
      </c>
      <c r="E45" s="476">
        <v>1576</v>
      </c>
      <c r="F45" s="476">
        <v>376</v>
      </c>
      <c r="G45" s="476" t="s">
        <v>729</v>
      </c>
      <c r="H45" s="476" t="s">
        <v>730</v>
      </c>
      <c r="I45" s="477" t="s">
        <v>731</v>
      </c>
    </row>
    <row r="46" spans="2:9">
      <c r="B46" s="475" t="s">
        <v>160</v>
      </c>
      <c r="C46" s="476" t="s">
        <v>732</v>
      </c>
      <c r="D46" s="476">
        <v>16514</v>
      </c>
      <c r="E46" s="476">
        <v>5245</v>
      </c>
      <c r="F46" s="476">
        <v>1720</v>
      </c>
      <c r="G46" s="476" t="s">
        <v>733</v>
      </c>
      <c r="H46" s="476" t="s">
        <v>163</v>
      </c>
      <c r="I46" s="477" t="s">
        <v>165</v>
      </c>
    </row>
    <row r="47" spans="2:9">
      <c r="B47" s="475"/>
      <c r="C47" s="476"/>
      <c r="D47" s="476"/>
      <c r="E47" s="476"/>
      <c r="F47" s="476"/>
      <c r="G47" s="476"/>
      <c r="H47" s="476"/>
      <c r="I47" s="477"/>
    </row>
    <row r="48" spans="2:9">
      <c r="B48" s="485" t="s">
        <v>734</v>
      </c>
      <c r="C48" s="486"/>
      <c r="D48" s="486"/>
      <c r="E48" s="486"/>
      <c r="F48" s="486"/>
      <c r="G48" s="486" t="s">
        <v>735</v>
      </c>
      <c r="H48" s="486" t="s">
        <v>736</v>
      </c>
      <c r="I48" s="487" t="s">
        <v>172</v>
      </c>
    </row>
    <row r="49" spans="2:14">
      <c r="B49" s="488" t="s">
        <v>737</v>
      </c>
      <c r="C49" s="489"/>
      <c r="D49" s="489"/>
      <c r="E49" s="489"/>
      <c r="F49" s="489"/>
      <c r="G49" s="552">
        <v>-0.3</v>
      </c>
      <c r="H49" s="552">
        <v>-0.28999999999999998</v>
      </c>
      <c r="I49" s="553">
        <v>-0.08</v>
      </c>
    </row>
    <row r="51" spans="2:14">
      <c r="B51" s="559" t="s">
        <v>1171</v>
      </c>
    </row>
    <row r="52" spans="2:14">
      <c r="B52" s="633" t="s">
        <v>738</v>
      </c>
      <c r="C52" s="634" t="s">
        <v>620</v>
      </c>
      <c r="D52" s="635" t="s">
        <v>739</v>
      </c>
    </row>
    <row r="53" spans="2:14" ht="30" customHeight="1">
      <c r="B53" s="511" t="s">
        <v>740</v>
      </c>
      <c r="C53" s="512" t="s">
        <v>741</v>
      </c>
      <c r="D53" s="513" t="s">
        <v>742</v>
      </c>
    </row>
    <row r="54" spans="2:14" ht="30" customHeight="1">
      <c r="B54" s="511" t="s">
        <v>743</v>
      </c>
      <c r="C54" s="512" t="s">
        <v>1167</v>
      </c>
      <c r="D54" s="513" t="s">
        <v>744</v>
      </c>
    </row>
    <row r="55" spans="2:14" ht="30" customHeight="1">
      <c r="B55" s="511" t="s">
        <v>745</v>
      </c>
      <c r="C55" s="512" t="s">
        <v>746</v>
      </c>
      <c r="D55" s="513" t="s">
        <v>747</v>
      </c>
    </row>
    <row r="56" spans="2:14" ht="30" customHeight="1">
      <c r="B56" s="511" t="s">
        <v>748</v>
      </c>
      <c r="C56" s="512" t="s">
        <v>749</v>
      </c>
      <c r="D56" s="513" t="s">
        <v>750</v>
      </c>
    </row>
    <row r="57" spans="2:14" ht="30" customHeight="1">
      <c r="B57" s="511" t="s">
        <v>751</v>
      </c>
      <c r="C57" s="512" t="s">
        <v>1166</v>
      </c>
      <c r="D57" s="513" t="s">
        <v>752</v>
      </c>
    </row>
    <row r="58" spans="2:14" ht="30" customHeight="1">
      <c r="B58" s="511" t="s">
        <v>753</v>
      </c>
      <c r="C58" s="512" t="s">
        <v>754</v>
      </c>
      <c r="D58" s="513" t="s">
        <v>755</v>
      </c>
    </row>
    <row r="59" spans="2:14" ht="30" customHeight="1">
      <c r="B59" s="511" t="s">
        <v>756</v>
      </c>
      <c r="C59" s="512" t="s">
        <v>757</v>
      </c>
      <c r="D59" s="513" t="s">
        <v>758</v>
      </c>
    </row>
    <row r="60" spans="2:14" ht="30" customHeight="1">
      <c r="B60" s="514" t="s">
        <v>759</v>
      </c>
      <c r="C60" s="515" t="s">
        <v>1168</v>
      </c>
      <c r="D60" s="516" t="s">
        <v>760</v>
      </c>
    </row>
    <row r="62" spans="2:14">
      <c r="B62" s="615" t="s">
        <v>761</v>
      </c>
      <c r="C62" s="616"/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</row>
    <row r="64" spans="2:14">
      <c r="B64" s="629" t="s">
        <v>762</v>
      </c>
      <c r="C64" s="630" t="s">
        <v>763</v>
      </c>
      <c r="D64" s="630" t="s">
        <v>764</v>
      </c>
      <c r="E64" s="630" t="s">
        <v>765</v>
      </c>
      <c r="F64" s="630" t="s">
        <v>766</v>
      </c>
      <c r="G64" s="630" t="s">
        <v>767</v>
      </c>
      <c r="H64" s="631" t="s">
        <v>768</v>
      </c>
    </row>
    <row r="65" spans="2:14" ht="48" customHeight="1">
      <c r="B65" s="520" t="s">
        <v>769</v>
      </c>
      <c r="C65" s="521" t="s">
        <v>770</v>
      </c>
      <c r="D65" s="521" t="s">
        <v>771</v>
      </c>
      <c r="E65" s="521" t="s">
        <v>772</v>
      </c>
      <c r="F65" s="529" t="s">
        <v>773</v>
      </c>
      <c r="G65" s="521" t="s">
        <v>774</v>
      </c>
      <c r="H65" s="522" t="s">
        <v>775</v>
      </c>
    </row>
    <row r="66" spans="2:14" ht="48" customHeight="1">
      <c r="B66" s="520" t="s">
        <v>722</v>
      </c>
      <c r="C66" s="521" t="s">
        <v>770</v>
      </c>
      <c r="D66" s="521" t="s">
        <v>776</v>
      </c>
      <c r="E66" s="521" t="s">
        <v>777</v>
      </c>
      <c r="F66" s="529" t="s">
        <v>778</v>
      </c>
      <c r="G66" s="521" t="s">
        <v>779</v>
      </c>
      <c r="H66" s="522" t="s">
        <v>780</v>
      </c>
    </row>
    <row r="67" spans="2:14" ht="48" customHeight="1">
      <c r="B67" s="520" t="s">
        <v>781</v>
      </c>
      <c r="C67" s="521" t="s">
        <v>782</v>
      </c>
      <c r="D67" s="521" t="s">
        <v>783</v>
      </c>
      <c r="E67" s="521" t="s">
        <v>784</v>
      </c>
      <c r="F67" s="530" t="s">
        <v>785</v>
      </c>
      <c r="G67" s="521" t="s">
        <v>786</v>
      </c>
      <c r="H67" s="522" t="s">
        <v>787</v>
      </c>
    </row>
    <row r="68" spans="2:14" ht="48" customHeight="1">
      <c r="B68" s="520" t="s">
        <v>788</v>
      </c>
      <c r="C68" s="521" t="s">
        <v>789</v>
      </c>
      <c r="D68" s="521" t="s">
        <v>790</v>
      </c>
      <c r="E68" s="521" t="s">
        <v>791</v>
      </c>
      <c r="F68" s="530" t="s">
        <v>785</v>
      </c>
      <c r="G68" s="521" t="s">
        <v>779</v>
      </c>
      <c r="H68" s="522" t="s">
        <v>792</v>
      </c>
    </row>
    <row r="69" spans="2:14" ht="48" customHeight="1">
      <c r="B69" s="520" t="s">
        <v>793</v>
      </c>
      <c r="C69" s="521" t="s">
        <v>794</v>
      </c>
      <c r="D69" s="521" t="s">
        <v>795</v>
      </c>
      <c r="E69" s="521" t="s">
        <v>796</v>
      </c>
      <c r="F69" s="531" t="s">
        <v>797</v>
      </c>
      <c r="G69" s="521" t="s">
        <v>798</v>
      </c>
      <c r="H69" s="522" t="s">
        <v>799</v>
      </c>
    </row>
    <row r="70" spans="2:14" ht="48" customHeight="1">
      <c r="B70" s="532" t="s">
        <v>800</v>
      </c>
      <c r="C70" s="533" t="s">
        <v>801</v>
      </c>
      <c r="D70" s="533" t="s">
        <v>802</v>
      </c>
      <c r="E70" s="533" t="s">
        <v>803</v>
      </c>
      <c r="F70" s="534" t="s">
        <v>804</v>
      </c>
      <c r="G70" s="533" t="s">
        <v>805</v>
      </c>
      <c r="H70" s="535" t="s">
        <v>806</v>
      </c>
    </row>
    <row r="72" spans="2:14">
      <c r="B72" s="615" t="s">
        <v>807</v>
      </c>
      <c r="C72" s="616"/>
      <c r="D72" s="616"/>
      <c r="E72" s="616"/>
      <c r="F72" s="616"/>
      <c r="G72" s="616"/>
      <c r="H72" s="616"/>
      <c r="I72" s="616"/>
      <c r="J72" s="616"/>
      <c r="K72" s="616"/>
      <c r="L72" s="616"/>
      <c r="M72" s="616"/>
      <c r="N72" s="616"/>
    </row>
    <row r="74" spans="2:14">
      <c r="B74" s="558" t="s">
        <v>808</v>
      </c>
    </row>
    <row r="75" spans="2:14">
      <c r="B75" s="633" t="s">
        <v>119</v>
      </c>
      <c r="C75" s="634" t="s">
        <v>809</v>
      </c>
      <c r="D75" s="635" t="s">
        <v>492</v>
      </c>
    </row>
    <row r="76" spans="2:14">
      <c r="B76" s="475" t="s">
        <v>597</v>
      </c>
      <c r="C76" s="490">
        <v>37.340000000000003</v>
      </c>
      <c r="D76" s="477" t="s">
        <v>810</v>
      </c>
    </row>
    <row r="77" spans="2:14">
      <c r="B77" s="475" t="s">
        <v>543</v>
      </c>
      <c r="C77" s="491">
        <v>153.53</v>
      </c>
      <c r="D77" s="477" t="s">
        <v>811</v>
      </c>
    </row>
    <row r="78" spans="2:14">
      <c r="B78" s="475" t="s">
        <v>812</v>
      </c>
      <c r="C78" s="492">
        <f>C76*C77</f>
        <v>5732.8102000000008</v>
      </c>
      <c r="D78" s="477"/>
    </row>
    <row r="79" spans="2:14">
      <c r="B79" s="475" t="s">
        <v>813</v>
      </c>
      <c r="C79" s="492">
        <v>569.9</v>
      </c>
      <c r="D79" s="477" t="s">
        <v>814</v>
      </c>
    </row>
    <row r="80" spans="2:14">
      <c r="B80" s="475" t="s">
        <v>815</v>
      </c>
      <c r="C80" s="492">
        <f>C78+C79</f>
        <v>6302.7102000000004</v>
      </c>
      <c r="D80" s="477"/>
    </row>
    <row r="81" spans="2:9">
      <c r="B81" s="475" t="s">
        <v>816</v>
      </c>
      <c r="C81" s="492">
        <v>3393</v>
      </c>
      <c r="D81" s="477" t="s">
        <v>817</v>
      </c>
    </row>
    <row r="82" spans="2:9">
      <c r="B82" s="475" t="s">
        <v>818</v>
      </c>
      <c r="C82" s="492">
        <v>764</v>
      </c>
      <c r="D82" s="477" t="s">
        <v>40</v>
      </c>
    </row>
    <row r="83" spans="2:9">
      <c r="B83" s="475" t="s">
        <v>819</v>
      </c>
      <c r="C83" s="492">
        <v>554</v>
      </c>
      <c r="D83" s="477" t="s">
        <v>817</v>
      </c>
    </row>
    <row r="84" spans="2:9">
      <c r="B84" s="475" t="s">
        <v>135</v>
      </c>
      <c r="C84" s="493">
        <f>C79/764</f>
        <v>0.74594240837696335</v>
      </c>
      <c r="D84" s="477"/>
    </row>
    <row r="85" spans="2:9">
      <c r="B85" s="475" t="s">
        <v>820</v>
      </c>
      <c r="C85" s="493">
        <f>C80/764</f>
        <v>8.2496206806282721</v>
      </c>
      <c r="D85" s="477"/>
    </row>
    <row r="86" spans="2:9">
      <c r="B86" s="478" t="s">
        <v>821</v>
      </c>
      <c r="C86" s="494">
        <f>'Forecast Model'!J13-'Forecast Model'!J12</f>
        <v>790.82288476732629</v>
      </c>
      <c r="D86" s="479"/>
    </row>
    <row r="88" spans="2:9">
      <c r="B88" s="558" t="s">
        <v>822</v>
      </c>
    </row>
    <row r="89" spans="2:9">
      <c r="B89" s="629" t="s">
        <v>823</v>
      </c>
      <c r="C89" s="630" t="s">
        <v>824</v>
      </c>
      <c r="D89" s="630" t="s">
        <v>544</v>
      </c>
      <c r="E89" s="630" t="s">
        <v>825</v>
      </c>
      <c r="F89" s="630" t="s">
        <v>826</v>
      </c>
      <c r="G89" s="630" t="s">
        <v>827</v>
      </c>
      <c r="H89" s="630" t="s">
        <v>828</v>
      </c>
      <c r="I89" s="631" t="s">
        <v>829</v>
      </c>
    </row>
    <row r="90" spans="2:9">
      <c r="B90" s="475" t="s">
        <v>830</v>
      </c>
      <c r="C90" s="495">
        <v>0.2</v>
      </c>
      <c r="D90" s="490">
        <f t="shared" ref="D90:D95" si="0">$C$76*(1+C90)</f>
        <v>44.808</v>
      </c>
      <c r="E90" s="492">
        <f t="shared" ref="E90:E95" si="1">D90*$C$77</f>
        <v>6879.3722399999997</v>
      </c>
      <c r="F90" s="492">
        <f t="shared" ref="F90:F95" si="2">E90+$C$79</f>
        <v>7449.2722399999993</v>
      </c>
      <c r="G90" s="493">
        <f t="shared" ref="G90:G95" si="3">F90/764</f>
        <v>9.7503563350785338</v>
      </c>
      <c r="H90" s="493">
        <f t="shared" ref="H90:H95" si="4">F90/$C$86</f>
        <v>9.4196467799382209</v>
      </c>
      <c r="I90" s="496">
        <f t="shared" ref="I90:I95" si="5">C90</f>
        <v>0.2</v>
      </c>
    </row>
    <row r="91" spans="2:9">
      <c r="B91" s="475" t="s">
        <v>831</v>
      </c>
      <c r="C91" s="495">
        <v>0.25</v>
      </c>
      <c r="D91" s="490">
        <f t="shared" si="0"/>
        <v>46.675000000000004</v>
      </c>
      <c r="E91" s="492">
        <f t="shared" si="1"/>
        <v>7166.0127500000008</v>
      </c>
      <c r="F91" s="492">
        <f t="shared" si="2"/>
        <v>7735.9127500000004</v>
      </c>
      <c r="G91" s="493">
        <f t="shared" si="3"/>
        <v>10.125540248691101</v>
      </c>
      <c r="H91" s="493">
        <f t="shared" si="4"/>
        <v>9.7821053221999748</v>
      </c>
      <c r="I91" s="496">
        <f t="shared" si="5"/>
        <v>0.25</v>
      </c>
    </row>
    <row r="92" spans="2:9">
      <c r="B92" s="497" t="s">
        <v>832</v>
      </c>
      <c r="C92" s="498">
        <v>0.3</v>
      </c>
      <c r="D92" s="499">
        <f t="shared" si="0"/>
        <v>48.542000000000009</v>
      </c>
      <c r="E92" s="500">
        <f t="shared" si="1"/>
        <v>7452.653260000001</v>
      </c>
      <c r="F92" s="500">
        <f t="shared" si="2"/>
        <v>8022.5532600000006</v>
      </c>
      <c r="G92" s="501">
        <f t="shared" si="3"/>
        <v>10.500724162303666</v>
      </c>
      <c r="H92" s="501">
        <f t="shared" si="4"/>
        <v>10.14456386446173</v>
      </c>
      <c r="I92" s="502">
        <f t="shared" si="5"/>
        <v>0.3</v>
      </c>
    </row>
    <row r="93" spans="2:9">
      <c r="B93" s="475" t="s">
        <v>833</v>
      </c>
      <c r="C93" s="495">
        <v>0.35</v>
      </c>
      <c r="D93" s="490">
        <f t="shared" si="0"/>
        <v>50.409000000000006</v>
      </c>
      <c r="E93" s="492">
        <f t="shared" si="1"/>
        <v>7739.2937700000011</v>
      </c>
      <c r="F93" s="492">
        <f t="shared" si="2"/>
        <v>8309.1937700000017</v>
      </c>
      <c r="G93" s="493">
        <f t="shared" si="3"/>
        <v>10.875908075916232</v>
      </c>
      <c r="H93" s="493">
        <f t="shared" si="4"/>
        <v>10.507022406723484</v>
      </c>
      <c r="I93" s="496">
        <f t="shared" si="5"/>
        <v>0.35</v>
      </c>
    </row>
    <row r="94" spans="2:9">
      <c r="B94" s="475" t="s">
        <v>834</v>
      </c>
      <c r="C94" s="495">
        <v>0.4</v>
      </c>
      <c r="D94" s="490">
        <f t="shared" si="0"/>
        <v>52.276000000000003</v>
      </c>
      <c r="E94" s="492">
        <f t="shared" si="1"/>
        <v>8025.9342800000004</v>
      </c>
      <c r="F94" s="492">
        <f t="shared" si="2"/>
        <v>8595.8342800000009</v>
      </c>
      <c r="G94" s="493">
        <f t="shared" si="3"/>
        <v>11.251091989528797</v>
      </c>
      <c r="H94" s="493">
        <f t="shared" si="4"/>
        <v>10.869480948985238</v>
      </c>
      <c r="I94" s="496">
        <f t="shared" si="5"/>
        <v>0.4</v>
      </c>
    </row>
    <row r="95" spans="2:9">
      <c r="B95" s="478" t="s">
        <v>835</v>
      </c>
      <c r="C95" s="503">
        <v>0.5</v>
      </c>
      <c r="D95" s="504">
        <f t="shared" si="0"/>
        <v>56.010000000000005</v>
      </c>
      <c r="E95" s="494">
        <f t="shared" si="1"/>
        <v>8599.2153000000017</v>
      </c>
      <c r="F95" s="494">
        <f t="shared" si="2"/>
        <v>9169.1153000000013</v>
      </c>
      <c r="G95" s="505">
        <f t="shared" si="3"/>
        <v>12.001459816753929</v>
      </c>
      <c r="H95" s="505">
        <f t="shared" si="4"/>
        <v>11.594398033508746</v>
      </c>
      <c r="I95" s="506">
        <f t="shared" si="5"/>
        <v>0.5</v>
      </c>
    </row>
    <row r="97" spans="2:14">
      <c r="B97" s="617" t="s">
        <v>836</v>
      </c>
      <c r="C97" s="618">
        <f>C81+6466</f>
        <v>9859</v>
      </c>
      <c r="D97" s="619" t="s">
        <v>837</v>
      </c>
      <c r="E97" s="554"/>
      <c r="F97" s="554"/>
      <c r="G97" s="554"/>
      <c r="H97" s="554"/>
      <c r="I97" s="554"/>
      <c r="J97" s="554"/>
      <c r="K97" s="554"/>
      <c r="L97" s="554"/>
      <c r="M97" s="554"/>
      <c r="N97" s="554"/>
    </row>
    <row r="99" spans="2:14">
      <c r="B99" s="629" t="s">
        <v>838</v>
      </c>
      <c r="C99" s="630" t="s">
        <v>15</v>
      </c>
      <c r="D99" s="630" t="s">
        <v>839</v>
      </c>
      <c r="E99" s="630" t="s">
        <v>840</v>
      </c>
      <c r="F99" s="631" t="s">
        <v>841</v>
      </c>
    </row>
    <row r="100" spans="2:14" ht="30" customHeight="1">
      <c r="B100" s="511" t="s">
        <v>842</v>
      </c>
      <c r="C100" s="512" t="s">
        <v>843</v>
      </c>
      <c r="D100" s="536">
        <v>40</v>
      </c>
      <c r="E100" s="537">
        <f t="shared" ref="E100:E105" si="6">D100/$C$97</f>
        <v>4.0572066132467796E-3</v>
      </c>
      <c r="F100" s="513" t="s">
        <v>844</v>
      </c>
    </row>
    <row r="101" spans="2:14" ht="30" customHeight="1">
      <c r="B101" s="511" t="s">
        <v>845</v>
      </c>
      <c r="C101" s="512" t="s">
        <v>846</v>
      </c>
      <c r="D101" s="536">
        <v>60</v>
      </c>
      <c r="E101" s="537">
        <f t="shared" si="6"/>
        <v>6.0858099198701698E-3</v>
      </c>
      <c r="F101" s="513" t="s">
        <v>847</v>
      </c>
    </row>
    <row r="102" spans="2:14" ht="30" customHeight="1">
      <c r="B102" s="511" t="s">
        <v>848</v>
      </c>
      <c r="C102" s="512" t="s">
        <v>849</v>
      </c>
      <c r="D102" s="536">
        <v>35</v>
      </c>
      <c r="E102" s="537">
        <f t="shared" si="6"/>
        <v>3.550055786590932E-3</v>
      </c>
      <c r="F102" s="513" t="s">
        <v>850</v>
      </c>
    </row>
    <row r="103" spans="2:14" ht="30" customHeight="1">
      <c r="B103" s="511" t="s">
        <v>851</v>
      </c>
      <c r="C103" s="512" t="s">
        <v>852</v>
      </c>
      <c r="D103" s="536">
        <v>50</v>
      </c>
      <c r="E103" s="537">
        <f t="shared" si="6"/>
        <v>5.0715082665584747E-3</v>
      </c>
      <c r="F103" s="513" t="s">
        <v>853</v>
      </c>
    </row>
    <row r="104" spans="2:14" ht="30" customHeight="1">
      <c r="B104" s="511" t="s">
        <v>854</v>
      </c>
      <c r="C104" s="512" t="s">
        <v>855</v>
      </c>
      <c r="D104" s="536">
        <v>25</v>
      </c>
      <c r="E104" s="537">
        <f t="shared" si="6"/>
        <v>2.5357541332792373E-3</v>
      </c>
      <c r="F104" s="513" t="s">
        <v>847</v>
      </c>
    </row>
    <row r="105" spans="2:14" ht="30" customHeight="1">
      <c r="B105" s="538" t="s">
        <v>856</v>
      </c>
      <c r="C105" s="515"/>
      <c r="D105" s="539">
        <f>SUM(D100:D104)</f>
        <v>210</v>
      </c>
      <c r="E105" s="540">
        <f t="shared" si="6"/>
        <v>2.1300334719545594E-2</v>
      </c>
      <c r="F105" s="516"/>
    </row>
    <row r="107" spans="2:14">
      <c r="B107" s="558" t="s">
        <v>857</v>
      </c>
      <c r="E107" s="507">
        <f>D105*10</f>
        <v>2100</v>
      </c>
      <c r="F107" s="508" t="s">
        <v>858</v>
      </c>
    </row>
    <row r="108" spans="2:14">
      <c r="B108" s="558" t="s">
        <v>859</v>
      </c>
      <c r="C108" s="509" t="s">
        <v>860</v>
      </c>
    </row>
    <row r="110" spans="2:14">
      <c r="B110" s="615" t="s">
        <v>861</v>
      </c>
      <c r="C110" s="616"/>
      <c r="D110" s="616"/>
      <c r="E110" s="616"/>
      <c r="F110" s="616"/>
      <c r="G110" s="616"/>
      <c r="H110" s="616"/>
      <c r="I110" s="616"/>
      <c r="J110" s="616"/>
      <c r="K110" s="616"/>
      <c r="L110" s="616"/>
      <c r="M110" s="616"/>
      <c r="N110" s="616"/>
    </row>
    <row r="112" spans="2:14">
      <c r="B112" s="510" t="s">
        <v>862</v>
      </c>
    </row>
    <row r="114" spans="2:14" ht="29" customHeight="1">
      <c r="B114" s="548">
        <v>1</v>
      </c>
      <c r="C114" s="689" t="s">
        <v>863</v>
      </c>
      <c r="D114" s="689"/>
    </row>
    <row r="115" spans="2:14" ht="40" customHeight="1">
      <c r="B115" s="548">
        <v>2</v>
      </c>
      <c r="C115" s="684" t="s">
        <v>1172</v>
      </c>
      <c r="D115" s="684"/>
    </row>
    <row r="116" spans="2:14" ht="48" customHeight="1">
      <c r="B116" s="548">
        <v>3</v>
      </c>
      <c r="C116" s="690" t="s">
        <v>864</v>
      </c>
      <c r="D116" s="690"/>
    </row>
    <row r="117" spans="2:14" ht="60" customHeight="1">
      <c r="B117" s="548">
        <v>4</v>
      </c>
      <c r="C117" s="690" t="s">
        <v>865</v>
      </c>
      <c r="D117" s="690"/>
    </row>
    <row r="118" spans="2:14" ht="41" customHeight="1">
      <c r="B118" s="548">
        <v>5</v>
      </c>
      <c r="C118" s="684" t="s">
        <v>1173</v>
      </c>
      <c r="D118" s="684"/>
    </row>
    <row r="119" spans="2:14" ht="44" customHeight="1">
      <c r="B119" s="548">
        <v>6</v>
      </c>
      <c r="C119" s="684" t="s">
        <v>1174</v>
      </c>
      <c r="D119" s="684"/>
    </row>
    <row r="121" spans="2:14" ht="64" customHeight="1">
      <c r="B121" s="549" t="s">
        <v>866</v>
      </c>
      <c r="C121" s="685" t="s">
        <v>867</v>
      </c>
      <c r="D121" s="685"/>
      <c r="E121" s="685"/>
      <c r="F121" s="481"/>
      <c r="G121" s="481"/>
      <c r="H121" s="481"/>
      <c r="I121" s="481"/>
      <c r="J121" s="481"/>
      <c r="K121" s="481"/>
      <c r="L121" s="481"/>
    </row>
    <row r="123" spans="2:14" ht="56">
      <c r="B123" s="541" t="s">
        <v>868</v>
      </c>
    </row>
    <row r="125" spans="2:14">
      <c r="B125" s="620" t="s">
        <v>1175</v>
      </c>
      <c r="C125" s="616"/>
      <c r="D125" s="616"/>
      <c r="E125" s="616"/>
      <c r="F125" s="616"/>
      <c r="G125" s="616"/>
      <c r="H125" s="616"/>
      <c r="I125" s="616"/>
      <c r="J125" s="616"/>
      <c r="K125" s="616"/>
      <c r="L125" s="616"/>
      <c r="M125" s="616"/>
      <c r="N125" s="616"/>
    </row>
    <row r="127" spans="2:14">
      <c r="B127" s="636" t="s">
        <v>869</v>
      </c>
      <c r="C127" s="637" t="s">
        <v>642</v>
      </c>
      <c r="D127" s="637" t="s">
        <v>548</v>
      </c>
      <c r="E127" s="637" t="s">
        <v>870</v>
      </c>
      <c r="F127" s="638" t="s">
        <v>871</v>
      </c>
    </row>
    <row r="128" spans="2:14" ht="42">
      <c r="B128" s="517">
        <v>46054</v>
      </c>
      <c r="C128" s="518" t="s">
        <v>872</v>
      </c>
      <c r="D128" s="518" t="s">
        <v>873</v>
      </c>
      <c r="E128" s="518" t="s">
        <v>874</v>
      </c>
      <c r="F128" s="519" t="s">
        <v>875</v>
      </c>
    </row>
    <row r="129" spans="2:6" ht="42">
      <c r="B129" s="523">
        <v>45962</v>
      </c>
      <c r="C129" s="521" t="s">
        <v>876</v>
      </c>
      <c r="D129" s="521" t="s">
        <v>877</v>
      </c>
      <c r="E129" s="521" t="s">
        <v>878</v>
      </c>
      <c r="F129" s="522" t="s">
        <v>879</v>
      </c>
    </row>
    <row r="130" spans="2:6" ht="42">
      <c r="B130" s="517">
        <v>45901</v>
      </c>
      <c r="C130" s="518" t="s">
        <v>880</v>
      </c>
      <c r="D130" s="518" t="s">
        <v>577</v>
      </c>
      <c r="E130" s="518" t="s">
        <v>881</v>
      </c>
      <c r="F130" s="519" t="s">
        <v>882</v>
      </c>
    </row>
    <row r="131" spans="2:6" ht="42">
      <c r="B131" s="523">
        <v>45778</v>
      </c>
      <c r="C131" s="521" t="s">
        <v>883</v>
      </c>
      <c r="D131" s="521" t="s">
        <v>884</v>
      </c>
      <c r="E131" s="521" t="s">
        <v>885</v>
      </c>
      <c r="F131" s="522" t="s">
        <v>886</v>
      </c>
    </row>
    <row r="132" spans="2:6" ht="28">
      <c r="B132" s="517">
        <v>45352</v>
      </c>
      <c r="C132" s="518" t="s">
        <v>887</v>
      </c>
      <c r="D132" s="518" t="s">
        <v>888</v>
      </c>
      <c r="E132" s="518" t="s">
        <v>889</v>
      </c>
      <c r="F132" s="519" t="s">
        <v>890</v>
      </c>
    </row>
    <row r="133" spans="2:6" ht="42">
      <c r="B133" s="542">
        <v>44317</v>
      </c>
      <c r="C133" s="533" t="s">
        <v>692</v>
      </c>
      <c r="D133" s="533" t="s">
        <v>891</v>
      </c>
      <c r="E133" s="533" t="s">
        <v>892</v>
      </c>
      <c r="F133" s="535" t="s">
        <v>893</v>
      </c>
    </row>
    <row r="135" spans="2:6" ht="42" customHeight="1">
      <c r="B135" s="11" t="s">
        <v>894</v>
      </c>
      <c r="C135" s="543" t="s">
        <v>895</v>
      </c>
    </row>
    <row r="137" spans="2:6">
      <c r="B137" s="613" t="s">
        <v>896</v>
      </c>
    </row>
    <row r="138" spans="2:6">
      <c r="B138" s="636" t="s">
        <v>120</v>
      </c>
      <c r="C138" s="637" t="s">
        <v>897</v>
      </c>
      <c r="D138" s="638" t="s">
        <v>898</v>
      </c>
    </row>
    <row r="139" spans="2:6">
      <c r="B139" s="475" t="s">
        <v>572</v>
      </c>
      <c r="C139" s="476">
        <v>378</v>
      </c>
      <c r="D139" s="477" t="s">
        <v>899</v>
      </c>
    </row>
    <row r="140" spans="2:6">
      <c r="B140" s="475" t="s">
        <v>722</v>
      </c>
      <c r="C140" s="476">
        <v>97</v>
      </c>
      <c r="D140" s="477" t="s">
        <v>900</v>
      </c>
    </row>
    <row r="141" spans="2:6">
      <c r="B141" s="475" t="s">
        <v>144</v>
      </c>
      <c r="C141" s="476">
        <v>61</v>
      </c>
      <c r="D141" s="477" t="s">
        <v>901</v>
      </c>
    </row>
    <row r="142" spans="2:6">
      <c r="B142" s="544" t="s">
        <v>660</v>
      </c>
      <c r="C142" s="545">
        <v>36</v>
      </c>
      <c r="D142" s="546" t="s">
        <v>902</v>
      </c>
    </row>
  </sheetData>
  <mergeCells count="9">
    <mergeCell ref="C119:D119"/>
    <mergeCell ref="C121:E121"/>
    <mergeCell ref="C28:D28"/>
    <mergeCell ref="B2:N2"/>
    <mergeCell ref="C114:D114"/>
    <mergeCell ref="C115:D115"/>
    <mergeCell ref="C116:D116"/>
    <mergeCell ref="C117:D117"/>
    <mergeCell ref="C118:D1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4B26-4ED4-B141-A8CA-59E0ACA15F90}">
  <sheetPr>
    <tabColor rgb="FF833C0B"/>
  </sheetPr>
  <dimension ref="B1:N102"/>
  <sheetViews>
    <sheetView zoomScale="167" workbookViewId="0">
      <pane ySplit="1" topLeftCell="A94" activePane="bottomLeft" state="frozen"/>
      <selection pane="bottomLeft" activeCell="D105" sqref="D105"/>
    </sheetView>
  </sheetViews>
  <sheetFormatPr baseColWidth="10" defaultColWidth="10.83203125" defaultRowHeight="16"/>
  <cols>
    <col min="1" max="1" width="2.5" style="1" customWidth="1"/>
    <col min="2" max="2" width="29.1640625" style="1" customWidth="1"/>
    <col min="3" max="4" width="26.6640625" style="1" customWidth="1"/>
    <col min="5" max="6" width="19.1640625" style="1" customWidth="1"/>
    <col min="7" max="8" width="16.6640625" style="1" customWidth="1"/>
    <col min="9" max="9" width="15" style="1" customWidth="1"/>
    <col min="10" max="11" width="13.33203125" style="1" customWidth="1"/>
    <col min="12" max="12" width="29.1640625" style="1" customWidth="1"/>
    <col min="13" max="16384" width="10.83203125" style="1"/>
  </cols>
  <sheetData>
    <row r="1" spans="2:14" ht="30" customHeight="1">
      <c r="B1" s="555" t="s">
        <v>903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</row>
    <row r="2" spans="2:14" ht="47" customHeight="1">
      <c r="B2" s="692" t="s">
        <v>904</v>
      </c>
      <c r="C2" s="692"/>
      <c r="D2" s="692"/>
      <c r="E2" s="556"/>
      <c r="F2" s="556"/>
      <c r="G2" s="556"/>
      <c r="H2" s="556"/>
      <c r="I2" s="556"/>
      <c r="J2" s="556"/>
      <c r="K2" s="556"/>
      <c r="L2" s="556"/>
      <c r="M2" s="556"/>
      <c r="N2" s="556"/>
    </row>
    <row r="4" spans="2:14">
      <c r="B4" s="557" t="s">
        <v>1177</v>
      </c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</row>
    <row r="6" spans="2:14">
      <c r="B6" s="559" t="s">
        <v>905</v>
      </c>
    </row>
    <row r="7" spans="2:14">
      <c r="B7" s="572" t="s">
        <v>906</v>
      </c>
      <c r="C7" s="573" t="s">
        <v>809</v>
      </c>
      <c r="D7" s="574" t="s">
        <v>764</v>
      </c>
    </row>
    <row r="8" spans="2:14">
      <c r="B8" s="560" t="s">
        <v>907</v>
      </c>
      <c r="C8" s="561">
        <v>0.3</v>
      </c>
      <c r="D8" s="562" t="s">
        <v>1176</v>
      </c>
    </row>
    <row r="9" spans="2:14">
      <c r="B9" s="560" t="s">
        <v>908</v>
      </c>
      <c r="C9" s="625">
        <f>'Deal Scenario A - M&amp;A'!C76*(1+C8)</f>
        <v>48.542000000000009</v>
      </c>
      <c r="D9" s="562"/>
    </row>
    <row r="10" spans="2:14">
      <c r="B10" s="560" t="s">
        <v>909</v>
      </c>
      <c r="C10" s="563">
        <f>C9*'Deal Scenario A - M&amp;A'!C77</f>
        <v>7452.653260000001</v>
      </c>
      <c r="D10" s="562"/>
    </row>
    <row r="11" spans="2:14">
      <c r="B11" s="560" t="s">
        <v>910</v>
      </c>
      <c r="C11" s="563">
        <f>C10+'Deal Scenario A - M&amp;A'!C79</f>
        <v>8022.5532600000006</v>
      </c>
      <c r="D11" s="562"/>
      <c r="F11"/>
    </row>
    <row r="12" spans="2:14">
      <c r="B12" s="560" t="s">
        <v>911</v>
      </c>
      <c r="C12" s="564">
        <f>C11/'Deal Scenario A - M&amp;A'!C82</f>
        <v>10.500724162303666</v>
      </c>
      <c r="D12" s="562"/>
    </row>
    <row r="13" spans="2:14">
      <c r="B13" s="560" t="s">
        <v>912</v>
      </c>
      <c r="C13" s="564">
        <f>C11/'Deal Scenario A - M&amp;A'!C86</f>
        <v>10.14456386446173</v>
      </c>
      <c r="D13" s="562"/>
    </row>
    <row r="14" spans="2:14">
      <c r="B14" s="560"/>
      <c r="C14" s="565"/>
      <c r="D14" s="562"/>
    </row>
    <row r="15" spans="2:14">
      <c r="B15" s="560" t="s">
        <v>913</v>
      </c>
      <c r="C15" s="566">
        <v>4.5</v>
      </c>
      <c r="D15" s="562" t="s">
        <v>914</v>
      </c>
    </row>
    <row r="16" spans="2:14">
      <c r="B16" s="560" t="s">
        <v>915</v>
      </c>
      <c r="C16" s="563">
        <f>C15*'Deal Scenario A - M&amp;A'!C86</f>
        <v>3558.7029814529683</v>
      </c>
      <c r="D16" s="562"/>
    </row>
    <row r="17" spans="2:14">
      <c r="B17" s="560" t="s">
        <v>916</v>
      </c>
      <c r="C17" s="563">
        <f>C11-C16</f>
        <v>4463.8502785470318</v>
      </c>
      <c r="D17" s="562"/>
    </row>
    <row r="18" spans="2:14">
      <c r="B18" s="560" t="s">
        <v>917</v>
      </c>
      <c r="C18" s="567">
        <f>C17/C11</f>
        <v>0.55641266986702831</v>
      </c>
      <c r="D18" s="562"/>
    </row>
    <row r="19" spans="2:14">
      <c r="B19" s="560" t="s">
        <v>918</v>
      </c>
      <c r="C19" s="568">
        <v>6.5000000000000002E-2</v>
      </c>
      <c r="D19" s="562" t="s">
        <v>919</v>
      </c>
    </row>
    <row r="20" spans="2:14">
      <c r="B20" s="569" t="s">
        <v>920</v>
      </c>
      <c r="C20" s="570">
        <v>150</v>
      </c>
      <c r="D20" s="571" t="s">
        <v>921</v>
      </c>
    </row>
    <row r="23" spans="2:14">
      <c r="B23" s="557" t="s">
        <v>922</v>
      </c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</row>
    <row r="25" spans="2:14">
      <c r="B25" s="559" t="s">
        <v>923</v>
      </c>
    </row>
    <row r="26" spans="2:14">
      <c r="B26" s="572" t="s">
        <v>906</v>
      </c>
      <c r="C26" s="573" t="s">
        <v>809</v>
      </c>
      <c r="D26" s="574" t="s">
        <v>764</v>
      </c>
    </row>
    <row r="27" spans="2:14">
      <c r="B27" s="560" t="s">
        <v>924</v>
      </c>
      <c r="C27" s="568">
        <v>0.05</v>
      </c>
      <c r="D27" s="562" t="s">
        <v>925</v>
      </c>
    </row>
    <row r="28" spans="2:14">
      <c r="B28" s="560" t="s">
        <v>926</v>
      </c>
      <c r="C28" s="575">
        <v>75</v>
      </c>
      <c r="D28" s="562" t="s">
        <v>927</v>
      </c>
    </row>
    <row r="29" spans="2:14">
      <c r="B29" s="560" t="s">
        <v>928</v>
      </c>
      <c r="C29" s="568">
        <v>0.22500000000000001</v>
      </c>
      <c r="D29" s="562" t="s">
        <v>929</v>
      </c>
    </row>
    <row r="30" spans="2:14">
      <c r="B30" s="560" t="s">
        <v>930</v>
      </c>
      <c r="C30" s="576">
        <v>30</v>
      </c>
      <c r="D30" s="562" t="s">
        <v>931</v>
      </c>
    </row>
    <row r="31" spans="2:14">
      <c r="B31" s="560" t="s">
        <v>932</v>
      </c>
      <c r="C31" s="568">
        <v>0.04</v>
      </c>
      <c r="D31" s="562" t="s">
        <v>933</v>
      </c>
    </row>
    <row r="32" spans="2:14">
      <c r="B32" s="560" t="s">
        <v>934</v>
      </c>
      <c r="C32" s="568">
        <v>0.25</v>
      </c>
      <c r="D32" s="562" t="s">
        <v>935</v>
      </c>
    </row>
    <row r="33" spans="2:8">
      <c r="B33" s="560" t="s">
        <v>936</v>
      </c>
      <c r="C33" s="568">
        <v>0.05</v>
      </c>
      <c r="D33" s="562" t="s">
        <v>937</v>
      </c>
    </row>
    <row r="34" spans="2:8">
      <c r="B34" s="569" t="s">
        <v>938</v>
      </c>
      <c r="C34" s="577">
        <v>0.15</v>
      </c>
      <c r="D34" s="571" t="s">
        <v>939</v>
      </c>
    </row>
    <row r="37" spans="2:8">
      <c r="B37" s="559" t="s">
        <v>940</v>
      </c>
    </row>
    <row r="38" spans="2:8">
      <c r="B38" s="578"/>
      <c r="C38" s="579" t="s">
        <v>941</v>
      </c>
      <c r="D38" s="579" t="s">
        <v>942</v>
      </c>
      <c r="E38" s="579" t="s">
        <v>943</v>
      </c>
      <c r="F38" s="579" t="s">
        <v>944</v>
      </c>
      <c r="G38" s="579" t="s">
        <v>945</v>
      </c>
      <c r="H38" s="580" t="s">
        <v>946</v>
      </c>
    </row>
    <row r="39" spans="2:8">
      <c r="B39" s="581" t="s">
        <v>102</v>
      </c>
      <c r="C39" s="563">
        <f>'Deal Scenario A - M&amp;A'!C81</f>
        <v>3393</v>
      </c>
      <c r="D39" s="563">
        <f>C39*(1+$C$27)+$C$28</f>
        <v>3637.65</v>
      </c>
      <c r="E39" s="563">
        <f>D39*(1+$C$27)+$C$28</f>
        <v>3894.5325000000003</v>
      </c>
      <c r="F39" s="563">
        <f>E39*(1+$C$27)+$C$28</f>
        <v>4164.2591250000005</v>
      </c>
      <c r="G39" s="563">
        <f>F39*(1+$C$27)+$C$28</f>
        <v>4447.4720812500009</v>
      </c>
      <c r="H39" s="582">
        <f>G39*(1+$C$27)+$C$28</f>
        <v>4744.8456853125008</v>
      </c>
    </row>
    <row r="40" spans="2:8">
      <c r="B40" s="583" t="s">
        <v>104</v>
      </c>
      <c r="C40" s="567"/>
      <c r="D40" s="567">
        <f>D39/C39-1</f>
        <v>7.2104332449160147E-2</v>
      </c>
      <c r="E40" s="567">
        <f>E39/D39-1</f>
        <v>7.0617706486330478E-2</v>
      </c>
      <c r="F40" s="567">
        <f>F39/E39-1</f>
        <v>6.9257767138931392E-2</v>
      </c>
      <c r="G40" s="567">
        <f>G39/F39-1</f>
        <v>6.801040659303359E-2</v>
      </c>
      <c r="H40" s="584">
        <f>H39/G39-1</f>
        <v>6.6863512267157477E-2</v>
      </c>
    </row>
    <row r="41" spans="2:8">
      <c r="B41" s="585" t="s">
        <v>106</v>
      </c>
      <c r="C41" s="567">
        <f>$C$29</f>
        <v>0.22500000000000001</v>
      </c>
      <c r="D41" s="567">
        <f>C41+$C$30/10000</f>
        <v>0.22800000000000001</v>
      </c>
      <c r="E41" s="567">
        <f>D41+$C$30/10000</f>
        <v>0.23100000000000001</v>
      </c>
      <c r="F41" s="567">
        <f>E41+$C$30/10000</f>
        <v>0.23400000000000001</v>
      </c>
      <c r="G41" s="567">
        <f>F41+$C$30/10000</f>
        <v>0.23700000000000002</v>
      </c>
      <c r="H41" s="584">
        <f>G41+$C$30/10000</f>
        <v>0.24000000000000002</v>
      </c>
    </row>
    <row r="42" spans="2:8">
      <c r="B42" s="581" t="s">
        <v>107</v>
      </c>
      <c r="C42" s="563">
        <f t="shared" ref="C42:H42" si="0">C39*C41</f>
        <v>763.42500000000007</v>
      </c>
      <c r="D42" s="563">
        <f t="shared" si="0"/>
        <v>829.38420000000008</v>
      </c>
      <c r="E42" s="563">
        <f t="shared" si="0"/>
        <v>899.6370075000001</v>
      </c>
      <c r="F42" s="563">
        <f t="shared" si="0"/>
        <v>974.43663525000022</v>
      </c>
      <c r="G42" s="563">
        <f t="shared" si="0"/>
        <v>1054.0508832562502</v>
      </c>
      <c r="H42" s="582">
        <f t="shared" si="0"/>
        <v>1138.7629644750002</v>
      </c>
    </row>
    <row r="43" spans="2:8">
      <c r="B43" s="560" t="s">
        <v>947</v>
      </c>
      <c r="C43" s="563">
        <f t="shared" ref="C43:H43" si="1">-C39*$C$33</f>
        <v>-169.65</v>
      </c>
      <c r="D43" s="563">
        <f t="shared" si="1"/>
        <v>-181.88250000000002</v>
      </c>
      <c r="E43" s="563">
        <f t="shared" si="1"/>
        <v>-194.72662500000001</v>
      </c>
      <c r="F43" s="563">
        <f t="shared" si="1"/>
        <v>-208.21295625000005</v>
      </c>
      <c r="G43" s="563">
        <f t="shared" si="1"/>
        <v>-222.37360406250005</v>
      </c>
      <c r="H43" s="582">
        <f t="shared" si="1"/>
        <v>-237.24228426562505</v>
      </c>
    </row>
    <row r="44" spans="2:8">
      <c r="B44" s="560" t="s">
        <v>109</v>
      </c>
      <c r="C44" s="563">
        <f t="shared" ref="C44:H44" si="2">C42+C43</f>
        <v>593.77500000000009</v>
      </c>
      <c r="D44" s="563">
        <f t="shared" si="2"/>
        <v>647.50170000000003</v>
      </c>
      <c r="E44" s="563">
        <f t="shared" si="2"/>
        <v>704.91038250000008</v>
      </c>
      <c r="F44" s="563">
        <f t="shared" si="2"/>
        <v>766.22367900000017</v>
      </c>
      <c r="G44" s="563">
        <f t="shared" si="2"/>
        <v>831.67727919375022</v>
      </c>
      <c r="H44" s="582">
        <f t="shared" si="2"/>
        <v>901.5206802093752</v>
      </c>
    </row>
    <row r="45" spans="2:8">
      <c r="B45" s="560" t="s">
        <v>948</v>
      </c>
      <c r="C45" s="563">
        <f t="shared" ref="C45:H45" si="3">-C60*$C$19</f>
        <v>-231.31569379444295</v>
      </c>
      <c r="D45" s="563">
        <f t="shared" si="3"/>
        <v>-211.44035261692204</v>
      </c>
      <c r="E45" s="563">
        <f t="shared" si="3"/>
        <v>-199.95322693199697</v>
      </c>
      <c r="F45" s="563">
        <f t="shared" si="3"/>
        <v>-185.05972384805682</v>
      </c>
      <c r="G45" s="563">
        <f t="shared" si="3"/>
        <v>-166.40104719689955</v>
      </c>
      <c r="H45" s="582">
        <f t="shared" si="3"/>
        <v>-143.5893003576781</v>
      </c>
    </row>
    <row r="46" spans="2:8">
      <c r="B46" s="560" t="s">
        <v>949</v>
      </c>
      <c r="C46" s="563">
        <f t="shared" ref="C46:H46" si="4">-(C44+C45)*$C$32</f>
        <v>-90.614826551389285</v>
      </c>
      <c r="D46" s="563">
        <f t="shared" si="4"/>
        <v>-109.0153368457695</v>
      </c>
      <c r="E46" s="563">
        <f t="shared" si="4"/>
        <v>-126.23928889200079</v>
      </c>
      <c r="F46" s="563">
        <f t="shared" si="4"/>
        <v>-145.29098878798584</v>
      </c>
      <c r="G46" s="563">
        <f t="shared" si="4"/>
        <v>-166.31905799921267</v>
      </c>
      <c r="H46" s="582">
        <f t="shared" si="4"/>
        <v>-189.48284496292428</v>
      </c>
    </row>
    <row r="47" spans="2:8">
      <c r="B47" s="581" t="s">
        <v>111</v>
      </c>
      <c r="C47" s="563">
        <f t="shared" ref="C47:H47" si="5">C44+C45+C46</f>
        <v>271.84447965416786</v>
      </c>
      <c r="D47" s="563">
        <f t="shared" si="5"/>
        <v>327.04601053730846</v>
      </c>
      <c r="E47" s="563">
        <f t="shared" si="5"/>
        <v>378.71786667600236</v>
      </c>
      <c r="F47" s="563">
        <f t="shared" si="5"/>
        <v>435.87296636395752</v>
      </c>
      <c r="G47" s="563">
        <f t="shared" si="5"/>
        <v>498.95717399763805</v>
      </c>
      <c r="H47" s="582">
        <f t="shared" si="5"/>
        <v>568.44853488877288</v>
      </c>
    </row>
    <row r="48" spans="2:8">
      <c r="B48" s="560"/>
      <c r="C48" s="565"/>
      <c r="D48" s="565"/>
      <c r="E48" s="565"/>
      <c r="F48" s="565"/>
      <c r="G48" s="565"/>
      <c r="H48" s="562"/>
    </row>
    <row r="49" spans="2:8">
      <c r="B49" s="586" t="s">
        <v>950</v>
      </c>
      <c r="C49" s="587"/>
      <c r="D49" s="587"/>
      <c r="E49" s="587"/>
      <c r="F49" s="587"/>
      <c r="G49" s="587"/>
      <c r="H49" s="588"/>
    </row>
    <row r="50" spans="2:8">
      <c r="B50" s="560" t="s">
        <v>107</v>
      </c>
      <c r="C50" s="563">
        <f t="shared" ref="C50:H50" si="6">C42</f>
        <v>763.42500000000007</v>
      </c>
      <c r="D50" s="563">
        <f t="shared" si="6"/>
        <v>829.38420000000008</v>
      </c>
      <c r="E50" s="563">
        <f t="shared" si="6"/>
        <v>899.6370075000001</v>
      </c>
      <c r="F50" s="563">
        <f t="shared" si="6"/>
        <v>974.43663525000022</v>
      </c>
      <c r="G50" s="563">
        <f t="shared" si="6"/>
        <v>1054.0508832562502</v>
      </c>
      <c r="H50" s="582">
        <f t="shared" si="6"/>
        <v>1138.7629644750002</v>
      </c>
    </row>
    <row r="51" spans="2:8">
      <c r="B51" s="560" t="s">
        <v>951</v>
      </c>
      <c r="C51" s="563">
        <f t="shared" ref="C51:H51" si="7">-C44*$C$32</f>
        <v>-148.44375000000002</v>
      </c>
      <c r="D51" s="563">
        <f t="shared" si="7"/>
        <v>-161.87542500000001</v>
      </c>
      <c r="E51" s="563">
        <f t="shared" si="7"/>
        <v>-176.22759562500002</v>
      </c>
      <c r="F51" s="563">
        <f t="shared" si="7"/>
        <v>-191.55591975000004</v>
      </c>
      <c r="G51" s="563">
        <f t="shared" si="7"/>
        <v>-207.91931979843756</v>
      </c>
      <c r="H51" s="582">
        <f t="shared" si="7"/>
        <v>-225.3801700523438</v>
      </c>
    </row>
    <row r="52" spans="2:8">
      <c r="B52" s="560" t="s">
        <v>150</v>
      </c>
      <c r="C52" s="563">
        <f t="shared" ref="C52:H52" si="8">-C39*$C$31</f>
        <v>-135.72</v>
      </c>
      <c r="D52" s="563">
        <f t="shared" si="8"/>
        <v>-145.506</v>
      </c>
      <c r="E52" s="563">
        <f t="shared" si="8"/>
        <v>-155.78130000000002</v>
      </c>
      <c r="F52" s="563">
        <f t="shared" si="8"/>
        <v>-166.57036500000001</v>
      </c>
      <c r="G52" s="563">
        <f t="shared" si="8"/>
        <v>-177.89888325000004</v>
      </c>
      <c r="H52" s="582">
        <f t="shared" si="8"/>
        <v>-189.79382741250004</v>
      </c>
    </row>
    <row r="53" spans="2:8">
      <c r="B53" s="560" t="s">
        <v>158</v>
      </c>
      <c r="C53" s="563">
        <v>0</v>
      </c>
      <c r="D53" s="563">
        <f>-(D39-C39)*$C$34</f>
        <v>-36.697500000000012</v>
      </c>
      <c r="E53" s="563">
        <f>-(E39-D39)*$C$34</f>
        <v>-38.532375000000023</v>
      </c>
      <c r="F53" s="563">
        <f>-(F39-E39)*$C$34</f>
        <v>-40.458993750000033</v>
      </c>
      <c r="G53" s="563">
        <f>-(G39-F39)*$C$34</f>
        <v>-42.481943437500057</v>
      </c>
      <c r="H53" s="582">
        <f>-(H39-G39)*$C$34</f>
        <v>-44.606040609374986</v>
      </c>
    </row>
    <row r="54" spans="2:8">
      <c r="B54" s="581" t="s">
        <v>519</v>
      </c>
      <c r="C54" s="563">
        <f t="shared" ref="C54:H54" si="9">SUM(C50:C53)</f>
        <v>479.26125000000002</v>
      </c>
      <c r="D54" s="563">
        <f t="shared" si="9"/>
        <v>485.30527500000005</v>
      </c>
      <c r="E54" s="563">
        <f t="shared" si="9"/>
        <v>529.09573687500006</v>
      </c>
      <c r="F54" s="563">
        <f t="shared" si="9"/>
        <v>575.85135675000015</v>
      </c>
      <c r="G54" s="563">
        <f t="shared" si="9"/>
        <v>625.75073677031264</v>
      </c>
      <c r="H54" s="582">
        <f t="shared" si="9"/>
        <v>678.98292640078137</v>
      </c>
    </row>
    <row r="55" spans="2:8">
      <c r="B55" s="560" t="s">
        <v>952</v>
      </c>
      <c r="C55" s="563">
        <f t="shared" ref="C55:H55" si="10">-C60*$C$19*(1-$C$32)</f>
        <v>-173.48677034583221</v>
      </c>
      <c r="D55" s="563">
        <f t="shared" si="10"/>
        <v>-158.58026446269153</v>
      </c>
      <c r="E55" s="563">
        <f t="shared" si="10"/>
        <v>-149.96492019899773</v>
      </c>
      <c r="F55" s="563">
        <f t="shared" si="10"/>
        <v>-138.79479288604261</v>
      </c>
      <c r="G55" s="563">
        <f t="shared" si="10"/>
        <v>-124.80078539767467</v>
      </c>
      <c r="H55" s="582">
        <f t="shared" si="10"/>
        <v>-107.69197526825857</v>
      </c>
    </row>
    <row r="56" spans="2:8">
      <c r="B56" s="560" t="s">
        <v>953</v>
      </c>
      <c r="C56" s="563">
        <v>0</v>
      </c>
      <c r="D56" s="563">
        <f>-$C$20</f>
        <v>-150</v>
      </c>
      <c r="E56" s="563">
        <f>-$C$20</f>
        <v>-150</v>
      </c>
      <c r="F56" s="563">
        <f>-$C$20</f>
        <v>-150</v>
      </c>
      <c r="G56" s="563">
        <f>-$C$20</f>
        <v>-150</v>
      </c>
      <c r="H56" s="582">
        <f>-$C$20</f>
        <v>-150</v>
      </c>
    </row>
    <row r="57" spans="2:8">
      <c r="B57" s="589" t="s">
        <v>954</v>
      </c>
      <c r="C57" s="590">
        <f t="shared" ref="C57:H57" si="11">C54+C55+C56</f>
        <v>305.77447965416781</v>
      </c>
      <c r="D57" s="590">
        <f t="shared" si="11"/>
        <v>176.72501053730855</v>
      </c>
      <c r="E57" s="590">
        <f t="shared" si="11"/>
        <v>229.13081667600233</v>
      </c>
      <c r="F57" s="590">
        <f t="shared" si="11"/>
        <v>287.05656386395754</v>
      </c>
      <c r="G57" s="590">
        <f t="shared" si="11"/>
        <v>350.949951372638</v>
      </c>
      <c r="H57" s="591">
        <f t="shared" si="11"/>
        <v>421.29095113252276</v>
      </c>
    </row>
    <row r="58" spans="2:8">
      <c r="B58" s="560"/>
      <c r="C58" s="565"/>
      <c r="D58" s="565"/>
      <c r="E58" s="565"/>
      <c r="F58" s="565"/>
      <c r="G58" s="565"/>
      <c r="H58" s="562"/>
    </row>
    <row r="59" spans="2:8">
      <c r="B59" s="586" t="s">
        <v>955</v>
      </c>
      <c r="C59" s="587"/>
      <c r="D59" s="587"/>
      <c r="E59" s="587"/>
      <c r="F59" s="587"/>
      <c r="G59" s="587"/>
      <c r="H59" s="588"/>
    </row>
    <row r="60" spans="2:8">
      <c r="B60" s="560" t="s">
        <v>956</v>
      </c>
      <c r="C60" s="563">
        <f>$C$16</f>
        <v>3558.7029814529683</v>
      </c>
      <c r="D60" s="563">
        <f>C62</f>
        <v>3252.9285017988004</v>
      </c>
      <c r="E60" s="563">
        <f>D62</f>
        <v>3076.2034912614918</v>
      </c>
      <c r="F60" s="563">
        <f>E62</f>
        <v>2847.0726745854895</v>
      </c>
      <c r="G60" s="563">
        <f>F62</f>
        <v>2560.0161107215317</v>
      </c>
      <c r="H60" s="582">
        <f>G62</f>
        <v>2209.066159348894</v>
      </c>
    </row>
    <row r="61" spans="2:8">
      <c r="B61" s="560" t="s">
        <v>957</v>
      </c>
      <c r="C61" s="563">
        <f t="shared" ref="C61:H61" si="12">-C57</f>
        <v>-305.77447965416781</v>
      </c>
      <c r="D61" s="563">
        <f t="shared" si="12"/>
        <v>-176.72501053730855</v>
      </c>
      <c r="E61" s="563">
        <f t="shared" si="12"/>
        <v>-229.13081667600233</v>
      </c>
      <c r="F61" s="563">
        <f t="shared" si="12"/>
        <v>-287.05656386395754</v>
      </c>
      <c r="G61" s="563">
        <f t="shared" si="12"/>
        <v>-350.949951372638</v>
      </c>
      <c r="H61" s="582">
        <f t="shared" si="12"/>
        <v>-421.29095113252276</v>
      </c>
    </row>
    <row r="62" spans="2:8">
      <c r="B62" s="581" t="s">
        <v>958</v>
      </c>
      <c r="C62" s="563">
        <f t="shared" ref="C62:H62" si="13">C60+C61</f>
        <v>3252.9285017988004</v>
      </c>
      <c r="D62" s="563">
        <f t="shared" si="13"/>
        <v>3076.2034912614918</v>
      </c>
      <c r="E62" s="563">
        <f t="shared" si="13"/>
        <v>2847.0726745854895</v>
      </c>
      <c r="F62" s="563">
        <f t="shared" si="13"/>
        <v>2560.0161107215317</v>
      </c>
      <c r="G62" s="563">
        <f t="shared" si="13"/>
        <v>2209.066159348894</v>
      </c>
      <c r="H62" s="582">
        <f t="shared" si="13"/>
        <v>1787.7752082163711</v>
      </c>
    </row>
    <row r="63" spans="2:8">
      <c r="B63" s="592" t="s">
        <v>959</v>
      </c>
      <c r="C63" s="593">
        <f t="shared" ref="C63:H63" si="14">C62/C42</f>
        <v>4.2609666984953334</v>
      </c>
      <c r="D63" s="593">
        <f t="shared" si="14"/>
        <v>3.7090210921084479</v>
      </c>
      <c r="E63" s="593">
        <f t="shared" si="14"/>
        <v>3.1646904816612818</v>
      </c>
      <c r="F63" s="593">
        <f t="shared" si="14"/>
        <v>2.6271755577670142</v>
      </c>
      <c r="G63" s="593">
        <f t="shared" si="14"/>
        <v>2.0957870198111186</v>
      </c>
      <c r="H63" s="594">
        <f t="shared" si="14"/>
        <v>1.5699274247477679</v>
      </c>
    </row>
    <row r="66" spans="2:14">
      <c r="B66" s="557" t="s">
        <v>960</v>
      </c>
      <c r="C66" s="554"/>
      <c r="D66" s="554"/>
      <c r="E66" s="554"/>
      <c r="F66" s="554"/>
      <c r="G66" s="554"/>
      <c r="H66" s="554"/>
      <c r="I66" s="554"/>
      <c r="J66" s="554"/>
      <c r="K66" s="554"/>
      <c r="L66" s="554"/>
      <c r="M66" s="554"/>
      <c r="N66" s="554"/>
    </row>
    <row r="68" spans="2:14">
      <c r="B68" s="559" t="s">
        <v>961</v>
      </c>
    </row>
    <row r="69" spans="2:14">
      <c r="B69" s="602" t="s">
        <v>962</v>
      </c>
      <c r="C69" s="603" t="s">
        <v>185</v>
      </c>
      <c r="D69" s="603" t="s">
        <v>963</v>
      </c>
      <c r="E69" s="603" t="s">
        <v>964</v>
      </c>
      <c r="F69" s="603" t="s">
        <v>965</v>
      </c>
      <c r="G69" s="603" t="s">
        <v>966</v>
      </c>
      <c r="H69" s="603" t="s">
        <v>967</v>
      </c>
      <c r="I69" s="604" t="s">
        <v>968</v>
      </c>
    </row>
    <row r="70" spans="2:14">
      <c r="B70" s="560" t="s">
        <v>969</v>
      </c>
      <c r="C70" s="566">
        <v>10</v>
      </c>
      <c r="D70" s="563">
        <f>H42</f>
        <v>1138.7629644750002</v>
      </c>
      <c r="E70" s="563">
        <f>D70*C70</f>
        <v>11387.629644750003</v>
      </c>
      <c r="F70" s="563">
        <f>H62</f>
        <v>1787.7752082163711</v>
      </c>
      <c r="G70" s="563">
        <f>E70-F70</f>
        <v>9599.8544365336311</v>
      </c>
      <c r="H70" s="563">
        <f>$C$17</f>
        <v>4463.8502785470318</v>
      </c>
      <c r="I70" s="595">
        <f>G70/H70</f>
        <v>2.1505771559296902</v>
      </c>
    </row>
    <row r="71" spans="2:14">
      <c r="B71" s="596" t="s">
        <v>970</v>
      </c>
      <c r="C71" s="597">
        <v>12</v>
      </c>
      <c r="D71" s="598">
        <f>H42</f>
        <v>1138.7629644750002</v>
      </c>
      <c r="E71" s="598">
        <f>D71*C71</f>
        <v>13665.155573700002</v>
      </c>
      <c r="F71" s="598">
        <f>H62</f>
        <v>1787.7752082163711</v>
      </c>
      <c r="G71" s="598">
        <f>E71-F71</f>
        <v>11877.38036548363</v>
      </c>
      <c r="H71" s="598">
        <f>$C$17</f>
        <v>4463.8502785470318</v>
      </c>
      <c r="I71" s="599">
        <f>G71/H71</f>
        <v>2.6607927292197795</v>
      </c>
    </row>
    <row r="72" spans="2:14">
      <c r="B72" s="560" t="s">
        <v>971</v>
      </c>
      <c r="C72" s="564">
        <v>14.3</v>
      </c>
      <c r="D72" s="563">
        <f>H42</f>
        <v>1138.7629644750002</v>
      </c>
      <c r="E72" s="563">
        <f>D72*C72</f>
        <v>16284.310391992503</v>
      </c>
      <c r="F72" s="563">
        <f>H62</f>
        <v>1787.7752082163711</v>
      </c>
      <c r="G72" s="563">
        <f>E72-F72</f>
        <v>14496.535183776132</v>
      </c>
      <c r="H72" s="563">
        <f>$C$17</f>
        <v>4463.8502785470318</v>
      </c>
      <c r="I72" s="595">
        <f>G72/H72</f>
        <v>3.2475406385033829</v>
      </c>
    </row>
    <row r="73" spans="2:14">
      <c r="B73" s="569" t="s">
        <v>972</v>
      </c>
      <c r="C73" s="600">
        <v>16</v>
      </c>
      <c r="D73" s="601">
        <f>H42</f>
        <v>1138.7629644750002</v>
      </c>
      <c r="E73" s="601">
        <f>D73*C73</f>
        <v>18220.207431600003</v>
      </c>
      <c r="F73" s="601">
        <f>H62</f>
        <v>1787.7752082163711</v>
      </c>
      <c r="G73" s="601">
        <f>E73-F73</f>
        <v>16432.432223383632</v>
      </c>
      <c r="H73" s="601">
        <f>$C$17</f>
        <v>4463.8502785470318</v>
      </c>
      <c r="I73" s="594">
        <f>G73/H73</f>
        <v>3.6812238757999594</v>
      </c>
    </row>
    <row r="76" spans="2:14">
      <c r="B76" s="559" t="s">
        <v>973</v>
      </c>
    </row>
    <row r="77" spans="2:14">
      <c r="B77" s="602" t="s">
        <v>962</v>
      </c>
      <c r="C77" s="603" t="s">
        <v>967</v>
      </c>
      <c r="D77" s="603" t="s">
        <v>974</v>
      </c>
      <c r="E77" s="604" t="s">
        <v>975</v>
      </c>
    </row>
    <row r="78" spans="2:14">
      <c r="B78" s="560" t="s">
        <v>969</v>
      </c>
      <c r="C78" s="563">
        <f>H70</f>
        <v>4463.8502785470318</v>
      </c>
      <c r="D78" s="563">
        <f>G70</f>
        <v>9599.8544365336311</v>
      </c>
      <c r="E78" s="584">
        <f>(D78/C78)^(1/5)-1</f>
        <v>0.16549658585103688</v>
      </c>
    </row>
    <row r="79" spans="2:14">
      <c r="B79" s="560" t="s">
        <v>970</v>
      </c>
      <c r="C79" s="563">
        <f>H71</f>
        <v>4463.8502785470318</v>
      </c>
      <c r="D79" s="563">
        <f>G71</f>
        <v>11877.38036548363</v>
      </c>
      <c r="E79" s="584">
        <f>(D79/C79)^(1/5)-1</f>
        <v>0.21619218676206109</v>
      </c>
    </row>
    <row r="80" spans="2:14">
      <c r="B80" s="596" t="s">
        <v>971</v>
      </c>
      <c r="C80" s="598">
        <f>H72</f>
        <v>4463.8502785470318</v>
      </c>
      <c r="D80" s="598">
        <f>G72</f>
        <v>14496.535183776132</v>
      </c>
      <c r="E80" s="605">
        <f>(D80/C80)^(1/5)-1</f>
        <v>0.26564211812454541</v>
      </c>
    </row>
    <row r="81" spans="2:14">
      <c r="B81" s="569" t="s">
        <v>972</v>
      </c>
      <c r="C81" s="601">
        <f>H73</f>
        <v>4463.8502785470318</v>
      </c>
      <c r="D81" s="601">
        <f>G73</f>
        <v>16432.432223383632</v>
      </c>
      <c r="E81" s="606">
        <f>(D81/C81)^(1/5)-1</f>
        <v>0.2977721380413958</v>
      </c>
    </row>
    <row r="84" spans="2:14">
      <c r="B84" s="557" t="s">
        <v>976</v>
      </c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</row>
    <row r="86" spans="2:14">
      <c r="B86" s="602" t="s">
        <v>977</v>
      </c>
      <c r="C86" s="603" t="s">
        <v>978</v>
      </c>
      <c r="D86" s="603" t="s">
        <v>979</v>
      </c>
      <c r="E86" s="603" t="s">
        <v>980</v>
      </c>
      <c r="F86" s="603" t="s">
        <v>981</v>
      </c>
      <c r="G86" s="604" t="s">
        <v>982</v>
      </c>
    </row>
    <row r="87" spans="2:14" ht="55" customHeight="1">
      <c r="B87" s="607" t="s">
        <v>983</v>
      </c>
      <c r="C87" s="608" t="s">
        <v>984</v>
      </c>
      <c r="D87" s="608" t="s">
        <v>985</v>
      </c>
      <c r="E87" s="608" t="s">
        <v>986</v>
      </c>
      <c r="F87" s="608" t="s">
        <v>987</v>
      </c>
      <c r="G87" s="609" t="s">
        <v>988</v>
      </c>
    </row>
    <row r="88" spans="2:14" ht="55" customHeight="1">
      <c r="B88" s="607" t="s">
        <v>666</v>
      </c>
      <c r="C88" s="608" t="s">
        <v>667</v>
      </c>
      <c r="D88" s="608" t="s">
        <v>989</v>
      </c>
      <c r="E88" s="608" t="s">
        <v>990</v>
      </c>
      <c r="F88" s="608" t="s">
        <v>991</v>
      </c>
      <c r="G88" s="609" t="s">
        <v>992</v>
      </c>
    </row>
    <row r="89" spans="2:14" ht="55" customHeight="1">
      <c r="B89" s="610" t="s">
        <v>993</v>
      </c>
      <c r="C89" s="611" t="s">
        <v>994</v>
      </c>
      <c r="D89" s="611" t="s">
        <v>995</v>
      </c>
      <c r="E89" s="611" t="s">
        <v>996</v>
      </c>
      <c r="F89" s="611" t="s">
        <v>997</v>
      </c>
      <c r="G89" s="612" t="s">
        <v>998</v>
      </c>
    </row>
    <row r="92" spans="2:14">
      <c r="B92" s="557" t="s">
        <v>999</v>
      </c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</row>
    <row r="94" spans="2:14">
      <c r="B94" s="559" t="s">
        <v>1000</v>
      </c>
    </row>
    <row r="96" spans="2:14" ht="43" customHeight="1">
      <c r="B96" s="621">
        <v>1</v>
      </c>
      <c r="C96" s="690" t="s">
        <v>1178</v>
      </c>
      <c r="D96" s="690"/>
      <c r="E96" s="690"/>
    </row>
    <row r="97" spans="2:12" ht="44" customHeight="1">
      <c r="B97" s="621">
        <v>2</v>
      </c>
      <c r="C97" s="684" t="s">
        <v>1001</v>
      </c>
      <c r="D97" s="684"/>
      <c r="E97" s="684"/>
    </row>
    <row r="98" spans="2:12" ht="44" customHeight="1">
      <c r="B98" s="621">
        <v>3</v>
      </c>
      <c r="C98" s="684" t="s">
        <v>1002</v>
      </c>
      <c r="D98" s="684"/>
      <c r="E98" s="684"/>
    </row>
    <row r="99" spans="2:12" ht="42" customHeight="1">
      <c r="B99" s="621">
        <v>4</v>
      </c>
      <c r="C99" s="684" t="s">
        <v>1003</v>
      </c>
      <c r="D99" s="684"/>
      <c r="E99" s="684"/>
    </row>
    <row r="100" spans="2:12" ht="57" customHeight="1">
      <c r="B100" s="621">
        <v>5</v>
      </c>
      <c r="C100" s="684" t="s">
        <v>1179</v>
      </c>
      <c r="D100" s="684"/>
      <c r="E100" s="684"/>
    </row>
    <row r="102" spans="2:12" ht="60" customHeight="1">
      <c r="B102" s="622" t="s">
        <v>866</v>
      </c>
      <c r="C102" s="691" t="s">
        <v>1180</v>
      </c>
      <c r="D102" s="691"/>
      <c r="E102" s="691"/>
      <c r="F102" s="691"/>
      <c r="G102" s="614"/>
      <c r="H102" s="614"/>
      <c r="I102" s="614"/>
      <c r="J102" s="614"/>
      <c r="K102" s="614"/>
      <c r="L102" s="614"/>
    </row>
  </sheetData>
  <mergeCells count="7">
    <mergeCell ref="C100:E100"/>
    <mergeCell ref="C102:F102"/>
    <mergeCell ref="B2:D2"/>
    <mergeCell ref="C96:E96"/>
    <mergeCell ref="C97:E97"/>
    <mergeCell ref="C98:E98"/>
    <mergeCell ref="C99:E9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6E4D-8F9D-BF49-BCC5-81F2904B09DC}">
  <sheetPr>
    <tabColor rgb="FF404040"/>
  </sheetPr>
  <dimension ref="A1:J82"/>
  <sheetViews>
    <sheetView tabSelected="1" workbookViewId="0">
      <selection activeCell="D20" sqref="D20"/>
    </sheetView>
  </sheetViews>
  <sheetFormatPr baseColWidth="10" defaultColWidth="10.83203125" defaultRowHeight="16"/>
  <cols>
    <col min="1" max="1" width="2.5" style="1" customWidth="1"/>
    <col min="2" max="2" width="10.33203125" style="1" customWidth="1"/>
    <col min="3" max="3" width="41.6640625" style="1" customWidth="1"/>
    <col min="4" max="4" width="43.83203125" style="1" customWidth="1"/>
    <col min="5" max="5" width="36.6640625" style="1" customWidth="1"/>
    <col min="6" max="6" width="30" style="1" customWidth="1"/>
    <col min="7" max="7" width="13.33203125" style="1" customWidth="1"/>
    <col min="8" max="8" width="50" style="1" customWidth="1"/>
    <col min="9" max="16384" width="10.83203125" style="1"/>
  </cols>
  <sheetData>
    <row r="1" spans="1:10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19">
      <c r="A2" s="13"/>
      <c r="B2" s="464" t="s">
        <v>1004</v>
      </c>
      <c r="C2" s="465"/>
      <c r="D2" s="465"/>
      <c r="E2" s="465"/>
      <c r="F2" s="465"/>
      <c r="G2" s="465"/>
      <c r="H2" s="465"/>
      <c r="I2" s="13"/>
      <c r="J2" s="13"/>
    </row>
    <row r="3" spans="1:10">
      <c r="A3" s="13"/>
      <c r="B3" s="15" t="s">
        <v>1005</v>
      </c>
      <c r="C3" s="16"/>
      <c r="D3" s="16"/>
      <c r="E3" s="16"/>
      <c r="F3" s="16"/>
      <c r="G3" s="16"/>
      <c r="H3" s="16"/>
      <c r="I3" s="13"/>
      <c r="J3" s="13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466" t="s">
        <v>1006</v>
      </c>
      <c r="C5" s="467"/>
      <c r="D5" s="467"/>
      <c r="E5" s="467"/>
      <c r="F5" s="467"/>
      <c r="G5" s="467"/>
      <c r="H5" s="467"/>
      <c r="I5" s="13"/>
      <c r="J5" s="13"/>
    </row>
    <row r="6" spans="1:10">
      <c r="A6" s="13"/>
      <c r="B6" s="17" t="s">
        <v>1007</v>
      </c>
      <c r="C6" s="18" t="s">
        <v>1008</v>
      </c>
      <c r="D6" s="17" t="s">
        <v>763</v>
      </c>
      <c r="E6" s="18" t="s">
        <v>1009</v>
      </c>
      <c r="F6" s="18" t="s">
        <v>1010</v>
      </c>
      <c r="G6" s="17" t="s">
        <v>1011</v>
      </c>
      <c r="H6" s="18" t="s">
        <v>1012</v>
      </c>
      <c r="I6" s="13"/>
      <c r="J6" s="13"/>
    </row>
    <row r="7" spans="1:10" ht="28" customHeight="1">
      <c r="A7" s="13"/>
      <c r="B7" s="19" t="s">
        <v>1013</v>
      </c>
      <c r="C7" s="439" t="s">
        <v>1014</v>
      </c>
      <c r="D7" s="442" t="s">
        <v>1015</v>
      </c>
      <c r="E7" s="444" t="s">
        <v>1016</v>
      </c>
      <c r="F7" s="439" t="s">
        <v>25</v>
      </c>
      <c r="G7" s="446" t="s">
        <v>1017</v>
      </c>
      <c r="H7" s="436" t="s">
        <v>1147</v>
      </c>
      <c r="I7" s="13"/>
      <c r="J7" s="13"/>
    </row>
    <row r="8" spans="1:10" ht="28" customHeight="1">
      <c r="A8" s="13"/>
      <c r="B8" s="427" t="s">
        <v>1018</v>
      </c>
      <c r="C8" s="440" t="s">
        <v>1019</v>
      </c>
      <c r="D8" s="443" t="s">
        <v>1015</v>
      </c>
      <c r="E8" s="445" t="s">
        <v>1020</v>
      </c>
      <c r="F8" s="440" t="s">
        <v>25</v>
      </c>
      <c r="G8" s="447" t="s">
        <v>1017</v>
      </c>
      <c r="H8" s="437" t="s">
        <v>1147</v>
      </c>
      <c r="I8" s="13"/>
      <c r="J8" s="13"/>
    </row>
    <row r="9" spans="1:10" ht="28" customHeight="1">
      <c r="A9" s="13"/>
      <c r="B9" s="19" t="s">
        <v>1021</v>
      </c>
      <c r="C9" s="439" t="s">
        <v>1022</v>
      </c>
      <c r="D9" s="442" t="s">
        <v>1015</v>
      </c>
      <c r="E9" s="444" t="s">
        <v>1023</v>
      </c>
      <c r="F9" s="439" t="s">
        <v>25</v>
      </c>
      <c r="G9" s="446" t="s">
        <v>1017</v>
      </c>
      <c r="H9" s="436" t="s">
        <v>1147</v>
      </c>
      <c r="I9" s="13"/>
      <c r="J9" s="13"/>
    </row>
    <row r="10" spans="1:10" ht="28" customHeight="1">
      <c r="A10" s="13"/>
      <c r="B10" s="427" t="s">
        <v>1024</v>
      </c>
      <c r="C10" s="440" t="s">
        <v>1025</v>
      </c>
      <c r="D10" s="443" t="s">
        <v>1026</v>
      </c>
      <c r="E10" s="445" t="s">
        <v>1027</v>
      </c>
      <c r="F10" s="440" t="s">
        <v>1028</v>
      </c>
      <c r="G10" s="447" t="s">
        <v>1017</v>
      </c>
      <c r="H10" s="437" t="s">
        <v>1147</v>
      </c>
      <c r="I10" s="13"/>
      <c r="J10" s="13"/>
    </row>
    <row r="11" spans="1:10" ht="28" customHeight="1">
      <c r="A11" s="13"/>
      <c r="B11" s="19" t="s">
        <v>1029</v>
      </c>
      <c r="C11" s="439" t="s">
        <v>1030</v>
      </c>
      <c r="D11" s="442" t="s">
        <v>1031</v>
      </c>
      <c r="E11" s="444" t="s">
        <v>1032</v>
      </c>
      <c r="F11" s="439" t="s">
        <v>40</v>
      </c>
      <c r="G11" s="446" t="s">
        <v>1017</v>
      </c>
      <c r="H11" s="436" t="s">
        <v>1148</v>
      </c>
      <c r="I11" s="13"/>
      <c r="J11" s="13"/>
    </row>
    <row r="12" spans="1:10" ht="28" customHeight="1">
      <c r="A12" s="13"/>
      <c r="B12" s="427" t="s">
        <v>1033</v>
      </c>
      <c r="C12" s="440" t="s">
        <v>1034</v>
      </c>
      <c r="D12" s="443" t="s">
        <v>1035</v>
      </c>
      <c r="E12" s="445" t="s">
        <v>1164</v>
      </c>
      <c r="F12" s="440" t="s">
        <v>38</v>
      </c>
      <c r="G12" s="447" t="s">
        <v>1017</v>
      </c>
      <c r="H12" s="437" t="s">
        <v>1036</v>
      </c>
      <c r="I12" s="13"/>
      <c r="J12" s="13"/>
    </row>
    <row r="13" spans="1:10" ht="28" customHeight="1">
      <c r="A13" s="13"/>
      <c r="B13" s="19" t="s">
        <v>1037</v>
      </c>
      <c r="C13" s="439" t="s">
        <v>1038</v>
      </c>
      <c r="D13" s="442" t="s">
        <v>1039</v>
      </c>
      <c r="E13" s="444" t="s">
        <v>1040</v>
      </c>
      <c r="F13" s="439" t="s">
        <v>38</v>
      </c>
      <c r="G13" s="446" t="s">
        <v>1017</v>
      </c>
      <c r="H13" s="436" t="s">
        <v>1041</v>
      </c>
      <c r="I13" s="13"/>
      <c r="J13" s="13"/>
    </row>
    <row r="14" spans="1:10" ht="28" customHeight="1">
      <c r="A14" s="13"/>
      <c r="B14" s="427" t="s">
        <v>1042</v>
      </c>
      <c r="C14" s="440" t="s">
        <v>1043</v>
      </c>
      <c r="D14" s="443" t="s">
        <v>1044</v>
      </c>
      <c r="E14" s="445" t="s">
        <v>1045</v>
      </c>
      <c r="F14" s="440" t="s">
        <v>38</v>
      </c>
      <c r="G14" s="447" t="s">
        <v>1046</v>
      </c>
      <c r="H14" s="437" t="s">
        <v>1047</v>
      </c>
      <c r="I14" s="13"/>
      <c r="J14" s="13"/>
    </row>
    <row r="15" spans="1:10" ht="28" customHeight="1">
      <c r="A15" s="13"/>
      <c r="B15" s="19" t="s">
        <v>1048</v>
      </c>
      <c r="C15" s="439" t="s">
        <v>1049</v>
      </c>
      <c r="D15" s="442" t="s">
        <v>1050</v>
      </c>
      <c r="E15" s="444" t="s">
        <v>1051</v>
      </c>
      <c r="F15" s="439" t="s">
        <v>38</v>
      </c>
      <c r="G15" s="446" t="s">
        <v>1017</v>
      </c>
      <c r="H15" s="436" t="s">
        <v>1052</v>
      </c>
      <c r="I15" s="13"/>
      <c r="J15" s="13"/>
    </row>
    <row r="16" spans="1:10" ht="28" customHeight="1">
      <c r="A16" s="13"/>
      <c r="B16" s="427" t="s">
        <v>1053</v>
      </c>
      <c r="C16" s="644" t="s">
        <v>1155</v>
      </c>
      <c r="D16" s="645" t="s">
        <v>1156</v>
      </c>
      <c r="E16" s="646" t="s">
        <v>1157</v>
      </c>
      <c r="F16" s="644" t="s">
        <v>38</v>
      </c>
      <c r="G16" s="647" t="s">
        <v>1017</v>
      </c>
      <c r="H16" s="438" t="s">
        <v>1158</v>
      </c>
      <c r="I16" s="13"/>
      <c r="J16" s="13"/>
    </row>
    <row r="17" spans="1:10">
      <c r="A17" s="13"/>
      <c r="B17" s="20"/>
      <c r="C17" s="441"/>
      <c r="D17" s="20"/>
      <c r="E17" s="20"/>
      <c r="F17" s="20"/>
      <c r="G17" s="20"/>
      <c r="H17" s="20"/>
      <c r="I17" s="13"/>
      <c r="J17" s="13"/>
    </row>
    <row r="18" spans="1:10">
      <c r="A18" s="13"/>
      <c r="B18" s="468" t="s">
        <v>1054</v>
      </c>
      <c r="C18" s="469"/>
      <c r="D18" s="469"/>
      <c r="E18" s="469"/>
      <c r="F18" s="469"/>
      <c r="G18" s="469"/>
      <c r="H18" s="469"/>
      <c r="I18" s="13"/>
      <c r="J18" s="13"/>
    </row>
    <row r="19" spans="1:10">
      <c r="A19" s="13"/>
      <c r="B19" s="429" t="s">
        <v>1055</v>
      </c>
      <c r="C19" s="429"/>
      <c r="D19" s="429" t="s">
        <v>1056</v>
      </c>
      <c r="E19" s="429" t="s">
        <v>1057</v>
      </c>
      <c r="F19" s="429" t="s">
        <v>1058</v>
      </c>
      <c r="G19" s="429" t="s">
        <v>1059</v>
      </c>
      <c r="H19" s="429" t="s">
        <v>1060</v>
      </c>
      <c r="I19" s="13"/>
      <c r="J19" s="13"/>
    </row>
    <row r="20" spans="1:10" ht="28" customHeight="1">
      <c r="A20" s="13"/>
      <c r="B20" s="428" t="s">
        <v>483</v>
      </c>
      <c r="C20" s="428"/>
      <c r="D20" s="431">
        <v>4.5499999999999999E-2</v>
      </c>
      <c r="E20" s="440" t="s">
        <v>1061</v>
      </c>
      <c r="F20" s="440" t="s">
        <v>1062</v>
      </c>
      <c r="G20" s="447" t="s">
        <v>1017</v>
      </c>
      <c r="H20" s="443" t="s">
        <v>1048</v>
      </c>
      <c r="I20" s="13"/>
      <c r="J20" s="13"/>
    </row>
    <row r="21" spans="1:10" ht="28" customHeight="1">
      <c r="A21" s="13"/>
      <c r="B21" s="20" t="s">
        <v>486</v>
      </c>
      <c r="C21" s="20"/>
      <c r="D21" s="432">
        <v>5.5E-2</v>
      </c>
      <c r="E21" s="439" t="s">
        <v>1063</v>
      </c>
      <c r="F21" s="439" t="s">
        <v>1062</v>
      </c>
      <c r="G21" s="446" t="s">
        <v>1046</v>
      </c>
      <c r="H21" s="442" t="s">
        <v>1042</v>
      </c>
      <c r="I21" s="13"/>
      <c r="J21" s="13"/>
    </row>
    <row r="22" spans="1:10" ht="28" customHeight="1">
      <c r="A22" s="13"/>
      <c r="B22" s="428" t="s">
        <v>188</v>
      </c>
      <c r="C22" s="428"/>
      <c r="D22" s="433">
        <v>0.70699999999999996</v>
      </c>
      <c r="E22" s="440" t="s">
        <v>1064</v>
      </c>
      <c r="F22" s="440" t="s">
        <v>1062</v>
      </c>
      <c r="G22" s="447" t="s">
        <v>1017</v>
      </c>
      <c r="H22" s="443" t="s">
        <v>1065</v>
      </c>
      <c r="I22" s="13"/>
      <c r="J22" s="13"/>
    </row>
    <row r="23" spans="1:10" ht="28" customHeight="1">
      <c r="A23" s="13"/>
      <c r="B23" s="20" t="s">
        <v>527</v>
      </c>
      <c r="C23" s="20"/>
      <c r="D23" s="434">
        <v>2.5000000000000001E-2</v>
      </c>
      <c r="E23" s="439" t="s">
        <v>1066</v>
      </c>
      <c r="F23" s="439" t="s">
        <v>1067</v>
      </c>
      <c r="G23" s="446" t="s">
        <v>1017</v>
      </c>
      <c r="H23" s="442" t="s">
        <v>1048</v>
      </c>
      <c r="I23" s="13"/>
      <c r="J23" s="13"/>
    </row>
    <row r="24" spans="1:10" ht="28" customHeight="1">
      <c r="A24" s="13"/>
      <c r="B24" s="428" t="s">
        <v>487</v>
      </c>
      <c r="C24" s="428"/>
      <c r="D24" s="431">
        <v>0.25619999999999998</v>
      </c>
      <c r="E24" s="440" t="s">
        <v>1068</v>
      </c>
      <c r="F24" s="440" t="s">
        <v>1069</v>
      </c>
      <c r="G24" s="448" t="s">
        <v>1070</v>
      </c>
      <c r="H24" s="443" t="s">
        <v>1013</v>
      </c>
      <c r="I24" s="13"/>
      <c r="J24" s="13"/>
    </row>
    <row r="25" spans="1:10" ht="28" customHeight="1">
      <c r="A25" s="13"/>
      <c r="B25" s="20" t="s">
        <v>528</v>
      </c>
      <c r="C25" s="20"/>
      <c r="D25" s="435" t="s">
        <v>186</v>
      </c>
      <c r="E25" s="439" t="s">
        <v>1071</v>
      </c>
      <c r="F25" s="439" t="s">
        <v>1067</v>
      </c>
      <c r="G25" s="446" t="s">
        <v>1017</v>
      </c>
      <c r="H25" s="442" t="s">
        <v>1029</v>
      </c>
      <c r="I25" s="13"/>
      <c r="J25" s="13"/>
    </row>
    <row r="26" spans="1:10" ht="28" customHeight="1">
      <c r="A26" s="13"/>
      <c r="B26" s="428" t="s">
        <v>484</v>
      </c>
      <c r="C26" s="428"/>
      <c r="D26" s="431">
        <v>5.5E-2</v>
      </c>
      <c r="E26" s="644" t="s">
        <v>1159</v>
      </c>
      <c r="F26" s="644" t="s">
        <v>1072</v>
      </c>
      <c r="G26" s="447" t="s">
        <v>1017</v>
      </c>
      <c r="H26" s="443" t="s">
        <v>1053</v>
      </c>
      <c r="I26" s="13"/>
      <c r="J26" s="13"/>
    </row>
    <row r="27" spans="1:10" ht="28" customHeight="1">
      <c r="A27" s="13"/>
      <c r="B27" s="20" t="s">
        <v>543</v>
      </c>
      <c r="C27" s="20"/>
      <c r="D27" s="435">
        <v>153.53</v>
      </c>
      <c r="E27" s="439" t="s">
        <v>1073</v>
      </c>
      <c r="F27" s="439" t="s">
        <v>1074</v>
      </c>
      <c r="G27" s="446" t="s">
        <v>1070</v>
      </c>
      <c r="H27" s="442" t="s">
        <v>1013</v>
      </c>
      <c r="I27" s="13"/>
      <c r="J27" s="13"/>
    </row>
    <row r="28" spans="1:10">
      <c r="A28" s="13"/>
      <c r="B28" s="430"/>
      <c r="C28" s="20"/>
      <c r="D28" s="20"/>
      <c r="E28" s="20"/>
      <c r="F28" s="20"/>
      <c r="G28" s="449"/>
      <c r="H28" s="441"/>
      <c r="I28" s="13"/>
      <c r="J28" s="13"/>
    </row>
    <row r="29" spans="1:10">
      <c r="A29" s="13"/>
      <c r="B29" s="468" t="s">
        <v>1075</v>
      </c>
      <c r="C29" s="469"/>
      <c r="D29" s="469"/>
      <c r="E29" s="469"/>
      <c r="F29" s="469"/>
      <c r="G29" s="469"/>
      <c r="H29" s="469"/>
      <c r="I29" s="13"/>
      <c r="J29" s="13"/>
    </row>
    <row r="30" spans="1:10">
      <c r="A30" s="13"/>
      <c r="B30" s="429" t="s">
        <v>1076</v>
      </c>
      <c r="C30" s="429" t="s">
        <v>1077</v>
      </c>
      <c r="D30" s="429" t="s">
        <v>1078</v>
      </c>
      <c r="E30" s="429" t="s">
        <v>1060</v>
      </c>
      <c r="F30" s="429" t="s">
        <v>1079</v>
      </c>
      <c r="G30" s="20"/>
      <c r="H30" s="20"/>
      <c r="I30" s="13"/>
      <c r="J30" s="13"/>
    </row>
    <row r="31" spans="1:10" ht="47" customHeight="1">
      <c r="A31" s="13"/>
      <c r="B31" s="450" t="s">
        <v>1080</v>
      </c>
      <c r="C31" s="453" t="s">
        <v>25</v>
      </c>
      <c r="D31" s="457" t="s">
        <v>1081</v>
      </c>
      <c r="E31" s="453" t="s">
        <v>1082</v>
      </c>
      <c r="F31" s="453" t="s">
        <v>1083</v>
      </c>
      <c r="G31" s="20"/>
      <c r="H31" s="20"/>
      <c r="I31" s="13"/>
      <c r="J31" s="13"/>
    </row>
    <row r="32" spans="1:10" ht="41" customHeight="1">
      <c r="A32" s="13"/>
      <c r="B32" s="19" t="s">
        <v>1084</v>
      </c>
      <c r="C32" s="454" t="s">
        <v>1085</v>
      </c>
      <c r="D32" s="458" t="s">
        <v>1086</v>
      </c>
      <c r="E32" s="454" t="s">
        <v>1087</v>
      </c>
      <c r="F32" s="454" t="s">
        <v>1088</v>
      </c>
      <c r="G32" s="20"/>
      <c r="H32" s="20"/>
      <c r="I32" s="13"/>
      <c r="J32" s="13"/>
    </row>
    <row r="33" spans="1:10" ht="46" customHeight="1">
      <c r="A33" s="13"/>
      <c r="B33" s="427" t="s">
        <v>1089</v>
      </c>
      <c r="C33" s="455" t="s">
        <v>1090</v>
      </c>
      <c r="D33" s="459" t="s">
        <v>1091</v>
      </c>
      <c r="E33" s="455" t="s">
        <v>1048</v>
      </c>
      <c r="F33" s="455" t="s">
        <v>1092</v>
      </c>
      <c r="G33" s="20"/>
      <c r="H33" s="20"/>
      <c r="I33" s="13"/>
      <c r="J33" s="13"/>
    </row>
    <row r="34" spans="1:10" ht="34" customHeight="1">
      <c r="A34" s="13"/>
      <c r="B34" s="19" t="s">
        <v>1093</v>
      </c>
      <c r="C34" s="454" t="s">
        <v>1094</v>
      </c>
      <c r="D34" s="458" t="s">
        <v>1095</v>
      </c>
      <c r="E34" s="454" t="s">
        <v>1013</v>
      </c>
      <c r="F34" s="454" t="s">
        <v>1096</v>
      </c>
      <c r="G34" s="20"/>
      <c r="H34" s="20"/>
      <c r="I34" s="13"/>
      <c r="J34" s="13"/>
    </row>
    <row r="35" spans="1:10" ht="44" customHeight="1">
      <c r="A35" s="13"/>
      <c r="B35" s="427" t="s">
        <v>1097</v>
      </c>
      <c r="C35" s="455" t="s">
        <v>1098</v>
      </c>
      <c r="D35" s="459" t="s">
        <v>1099</v>
      </c>
      <c r="E35" s="455" t="s">
        <v>1029</v>
      </c>
      <c r="F35" s="455" t="s">
        <v>1100</v>
      </c>
      <c r="G35" s="20"/>
      <c r="H35" s="20"/>
      <c r="I35" s="13"/>
      <c r="J35" s="13"/>
    </row>
    <row r="36" spans="1:10" ht="42" customHeight="1">
      <c r="A36" s="13"/>
      <c r="B36" s="19" t="s">
        <v>1101</v>
      </c>
      <c r="C36" s="454" t="s">
        <v>30</v>
      </c>
      <c r="D36" s="458" t="s">
        <v>1102</v>
      </c>
      <c r="E36" s="454" t="s">
        <v>1103</v>
      </c>
      <c r="F36" s="454" t="s">
        <v>1104</v>
      </c>
      <c r="G36" s="20"/>
      <c r="H36" s="20"/>
      <c r="I36" s="13"/>
      <c r="J36" s="13"/>
    </row>
    <row r="37" spans="1:10" ht="43" customHeight="1">
      <c r="A37" s="13"/>
      <c r="B37" s="427" t="s">
        <v>1105</v>
      </c>
      <c r="C37" s="455" t="s">
        <v>32</v>
      </c>
      <c r="D37" s="459" t="s">
        <v>1106</v>
      </c>
      <c r="E37" s="455" t="s">
        <v>1013</v>
      </c>
      <c r="F37" s="455" t="s">
        <v>1107</v>
      </c>
      <c r="G37" s="20"/>
      <c r="H37" s="20"/>
      <c r="I37" s="13"/>
      <c r="J37" s="13"/>
    </row>
    <row r="38" spans="1:10" ht="35" customHeight="1">
      <c r="A38" s="13"/>
      <c r="B38" s="19" t="s">
        <v>1108</v>
      </c>
      <c r="C38" s="454" t="s">
        <v>1109</v>
      </c>
      <c r="D38" s="458" t="s">
        <v>1110</v>
      </c>
      <c r="E38" s="454" t="s">
        <v>1048</v>
      </c>
      <c r="F38" s="454" t="s">
        <v>1111</v>
      </c>
      <c r="G38" s="20"/>
      <c r="H38" s="20"/>
      <c r="I38" s="13"/>
      <c r="J38" s="13"/>
    </row>
    <row r="39" spans="1:10" ht="41" customHeight="1">
      <c r="A39" s="13"/>
      <c r="B39" s="427" t="s">
        <v>1112</v>
      </c>
      <c r="C39" s="455" t="s">
        <v>1113</v>
      </c>
      <c r="D39" s="459" t="s">
        <v>1114</v>
      </c>
      <c r="E39" s="455" t="s">
        <v>1029</v>
      </c>
      <c r="F39" s="455" t="s">
        <v>1115</v>
      </c>
      <c r="G39" s="20"/>
      <c r="H39" s="20"/>
      <c r="I39" s="13"/>
      <c r="J39" s="13"/>
    </row>
    <row r="40" spans="1:10" ht="44" customHeight="1">
      <c r="A40" s="13"/>
      <c r="B40" s="19" t="s">
        <v>1116</v>
      </c>
      <c r="C40" s="454" t="s">
        <v>1117</v>
      </c>
      <c r="D40" s="648" t="s">
        <v>1163</v>
      </c>
      <c r="E40" s="454" t="s">
        <v>1103</v>
      </c>
      <c r="F40" s="454" t="s">
        <v>1118</v>
      </c>
      <c r="G40" s="20"/>
      <c r="H40" s="20"/>
      <c r="I40" s="13"/>
      <c r="J40" s="13"/>
    </row>
    <row r="41" spans="1:10">
      <c r="A41" s="13"/>
      <c r="B41" s="430"/>
      <c r="C41" s="430"/>
      <c r="D41" s="20"/>
      <c r="E41" s="20"/>
      <c r="F41" s="20"/>
      <c r="G41" s="20"/>
      <c r="H41" s="20"/>
      <c r="I41" s="13"/>
      <c r="J41" s="13"/>
    </row>
    <row r="42" spans="1:10">
      <c r="A42" s="13"/>
      <c r="B42" s="468" t="s">
        <v>1119</v>
      </c>
      <c r="C42" s="469"/>
      <c r="D42" s="469"/>
      <c r="E42" s="469"/>
      <c r="F42" s="469"/>
      <c r="G42" s="469"/>
      <c r="H42" s="469"/>
      <c r="I42" s="13"/>
      <c r="J42" s="13"/>
    </row>
    <row r="43" spans="1:10">
      <c r="A43" s="13"/>
      <c r="B43" s="429" t="s">
        <v>1120</v>
      </c>
      <c r="C43" s="429" t="s">
        <v>1121</v>
      </c>
      <c r="D43" s="429" t="s">
        <v>1122</v>
      </c>
      <c r="E43" s="20"/>
      <c r="F43" s="20"/>
      <c r="G43" s="20"/>
      <c r="H43" s="20"/>
      <c r="I43" s="13"/>
      <c r="J43" s="13"/>
    </row>
    <row r="44" spans="1:10" ht="41" customHeight="1">
      <c r="A44" s="13"/>
      <c r="B44" s="452" t="s">
        <v>1123</v>
      </c>
      <c r="C44" s="456" t="s">
        <v>1124</v>
      </c>
      <c r="D44" s="451" t="s">
        <v>38</v>
      </c>
      <c r="E44" s="20"/>
      <c r="F44" s="20"/>
      <c r="G44" s="20"/>
      <c r="H44" s="20"/>
      <c r="I44" s="13"/>
      <c r="J44" s="13"/>
    </row>
    <row r="45" spans="1:10" ht="43" customHeight="1">
      <c r="A45" s="13"/>
      <c r="B45" s="460" t="s">
        <v>1125</v>
      </c>
      <c r="C45" s="444" t="s">
        <v>1126</v>
      </c>
      <c r="D45" s="462" t="s">
        <v>38</v>
      </c>
      <c r="E45" s="20"/>
      <c r="F45" s="20"/>
      <c r="G45" s="20"/>
      <c r="H45" s="20"/>
      <c r="I45" s="13"/>
      <c r="J45" s="13"/>
    </row>
    <row r="46" spans="1:10" ht="41" customHeight="1">
      <c r="A46" s="13"/>
      <c r="B46" s="452" t="s">
        <v>1127</v>
      </c>
      <c r="C46" s="445" t="s">
        <v>1128</v>
      </c>
      <c r="D46" s="463" t="s">
        <v>1129</v>
      </c>
      <c r="E46" s="20"/>
      <c r="F46" s="20"/>
      <c r="G46" s="20"/>
      <c r="H46" s="20"/>
      <c r="I46" s="13"/>
      <c r="J46" s="13"/>
    </row>
    <row r="47" spans="1:10" ht="44" customHeight="1">
      <c r="A47" s="13"/>
      <c r="B47" s="460" t="s">
        <v>1130</v>
      </c>
      <c r="C47" s="444" t="s">
        <v>1131</v>
      </c>
      <c r="D47" s="462" t="s">
        <v>1132</v>
      </c>
      <c r="E47" s="20"/>
      <c r="F47" s="20"/>
      <c r="G47" s="20"/>
      <c r="H47" s="20"/>
      <c r="I47" s="13"/>
      <c r="J47" s="13"/>
    </row>
    <row r="48" spans="1:10" ht="42" customHeight="1">
      <c r="A48" s="13"/>
      <c r="B48" s="452" t="s">
        <v>1133</v>
      </c>
      <c r="C48" s="445" t="s">
        <v>1134</v>
      </c>
      <c r="D48" s="463" t="s">
        <v>32</v>
      </c>
      <c r="E48" s="20"/>
      <c r="F48" s="20"/>
      <c r="G48" s="20"/>
      <c r="H48" s="20"/>
      <c r="I48" s="13"/>
      <c r="J48" s="13"/>
    </row>
    <row r="49" spans="1:10" ht="34" customHeight="1">
      <c r="A49" s="13"/>
      <c r="B49" s="460" t="s">
        <v>1135</v>
      </c>
      <c r="C49" s="444" t="s">
        <v>1136</v>
      </c>
      <c r="D49" s="462" t="s">
        <v>1137</v>
      </c>
      <c r="E49" s="20"/>
      <c r="F49" s="20"/>
      <c r="G49" s="20"/>
      <c r="H49" s="20"/>
      <c r="I49" s="13"/>
      <c r="J49" s="13"/>
    </row>
    <row r="50" spans="1:10" ht="45" customHeight="1">
      <c r="A50" s="13"/>
      <c r="B50" s="452" t="s">
        <v>1138</v>
      </c>
      <c r="C50" s="445" t="s">
        <v>1139</v>
      </c>
      <c r="D50" s="463" t="s">
        <v>30</v>
      </c>
      <c r="E50" s="20"/>
      <c r="F50" s="20"/>
      <c r="G50" s="20"/>
      <c r="H50" s="20"/>
      <c r="I50" s="13"/>
      <c r="J50" s="13"/>
    </row>
    <row r="51" spans="1:10" ht="44" customHeight="1">
      <c r="A51" s="13"/>
      <c r="B51" s="460" t="s">
        <v>1140</v>
      </c>
      <c r="C51" s="444" t="s">
        <v>1141</v>
      </c>
      <c r="D51" s="462" t="s">
        <v>1142</v>
      </c>
      <c r="E51" s="20"/>
      <c r="F51" s="20"/>
      <c r="G51" s="20"/>
      <c r="H51" s="20"/>
      <c r="I51" s="13"/>
      <c r="J51" s="13"/>
    </row>
    <row r="52" spans="1:10" ht="43" customHeight="1">
      <c r="A52" s="13"/>
      <c r="B52" s="452" t="s">
        <v>1143</v>
      </c>
      <c r="C52" s="445" t="s">
        <v>1144</v>
      </c>
      <c r="D52" s="463" t="s">
        <v>30</v>
      </c>
      <c r="E52" s="20"/>
      <c r="F52" s="20"/>
      <c r="G52" s="20"/>
      <c r="H52" s="20"/>
      <c r="I52" s="13"/>
      <c r="J52" s="13"/>
    </row>
    <row r="53" spans="1:10" ht="47" customHeight="1">
      <c r="A53" s="13"/>
      <c r="B53" s="461" t="s">
        <v>40</v>
      </c>
      <c r="C53" s="444" t="s">
        <v>1145</v>
      </c>
      <c r="D53" s="462" t="s">
        <v>40</v>
      </c>
      <c r="E53" s="20"/>
      <c r="F53" s="20"/>
      <c r="G53" s="20"/>
      <c r="H53" s="20"/>
      <c r="I53" s="13"/>
      <c r="J53" s="13"/>
    </row>
    <row r="54" spans="1:10">
      <c r="A54" s="13"/>
      <c r="B54" s="441"/>
      <c r="C54" s="439"/>
      <c r="D54" s="439"/>
      <c r="E54" s="13"/>
      <c r="F54" s="13"/>
      <c r="G54" s="13"/>
      <c r="H54" s="13"/>
      <c r="I54" s="13"/>
      <c r="J54" s="13"/>
    </row>
    <row r="55" spans="1:10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spans="1:10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10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10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spans="1:10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spans="1:10">
      <c r="A82" s="13"/>
      <c r="B82" s="13"/>
      <c r="C82" s="13"/>
      <c r="D82" s="13"/>
      <c r="E82" s="13"/>
      <c r="F82" s="13"/>
      <c r="G82" s="13"/>
      <c r="H82" s="13"/>
      <c r="I82" s="13"/>
      <c r="J8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TOC</vt:lpstr>
      <vt:lpstr>Executive Summary</vt:lpstr>
      <vt:lpstr>Historical Financials</vt:lpstr>
      <vt:lpstr>Historical Analysis</vt:lpstr>
      <vt:lpstr>Master Assumptions</vt:lpstr>
      <vt:lpstr>Supporting Schedules</vt:lpstr>
      <vt:lpstr>Forecast Model</vt:lpstr>
      <vt:lpstr>DCF Valuation</vt:lpstr>
      <vt:lpstr>Trading Comps</vt:lpstr>
      <vt:lpstr>Valuation Summary</vt:lpstr>
      <vt:lpstr>Sensitivity Tables</vt:lpstr>
      <vt:lpstr>Deal Scenario A - M&amp;A</vt:lpstr>
      <vt:lpstr>Deal Scenario B - PE</vt:lpstr>
      <vt:lpstr>Sources &amp; Footnotes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Divij Budhiraja</dc:creator>
  <cp:keywords/>
  <dc:description/>
  <cp:lastModifiedBy>Divij Budhiraja</cp:lastModifiedBy>
  <cp:revision/>
  <dcterms:created xsi:type="dcterms:W3CDTF">2026-02-07T14:08:17Z</dcterms:created>
  <dcterms:modified xsi:type="dcterms:W3CDTF">2026-03-17T19:27:06Z</dcterms:modified>
  <cp:category/>
  <cp:contentStatus/>
</cp:coreProperties>
</file>