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ijbudhiraja/Desktop/Fin_work/Equity Research/Public company research /Europe/Semiconductors/ASML/"/>
    </mc:Choice>
  </mc:AlternateContent>
  <xr:revisionPtr revIDLastSave="0" documentId="13_ncr:1_{ED6EFB95-FCD9-6A44-A918-61119037C05D}" xr6:coauthVersionLast="47" xr6:coauthVersionMax="47" xr10:uidLastSave="{00000000-0000-0000-0000-000000000000}"/>
  <bookViews>
    <workbookView xWindow="9120" yWindow="740" windowWidth="34200" windowHeight="19640" activeTab="4" xr2:uid="{39C439C4-36C1-D34D-84B1-269ED6E7F318}"/>
  </bookViews>
  <sheets>
    <sheet name="Cover" sheetId="1" r:id="rId1"/>
    <sheet name="Summary" sheetId="3" r:id="rId2"/>
    <sheet name="Assumptions and Inputs" sheetId="2" r:id="rId3"/>
    <sheet name="3-Statement Model" sheetId="4" r:id="rId4"/>
    <sheet name="DCF" sheetId="5" r:id="rId5"/>
    <sheet name="Comps 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5" l="1"/>
  <c r="E70" i="5"/>
  <c r="E69" i="5"/>
  <c r="E68" i="5"/>
  <c r="G56" i="5"/>
  <c r="F56" i="5"/>
  <c r="D13" i="3"/>
  <c r="D12" i="3"/>
  <c r="D11" i="3"/>
  <c r="D10" i="3"/>
  <c r="E115" i="5"/>
  <c r="H14" i="6"/>
  <c r="H81" i="4"/>
  <c r="H82" i="4"/>
  <c r="E47" i="5"/>
  <c r="E67" i="5"/>
  <c r="E25" i="5"/>
  <c r="E87" i="5"/>
  <c r="F87" i="5" s="1"/>
  <c r="G35" i="6"/>
  <c r="L14" i="6"/>
  <c r="M35" i="6"/>
  <c r="L24" i="6"/>
  <c r="I24" i="6"/>
  <c r="L35" i="6"/>
  <c r="K35" i="6"/>
  <c r="J35" i="6"/>
  <c r="I35" i="6"/>
  <c r="H35" i="6"/>
  <c r="F35" i="6"/>
  <c r="E35" i="6"/>
  <c r="D35" i="6"/>
  <c r="M34" i="6"/>
  <c r="L34" i="6"/>
  <c r="K34" i="6"/>
  <c r="J34" i="6"/>
  <c r="I34" i="6"/>
  <c r="H34" i="6"/>
  <c r="G34" i="6"/>
  <c r="F34" i="6"/>
  <c r="E34" i="6"/>
  <c r="D34" i="6"/>
  <c r="G32" i="6"/>
  <c r="F32" i="6"/>
  <c r="G31" i="6"/>
  <c r="F31" i="6"/>
  <c r="G30" i="6"/>
  <c r="F30" i="6"/>
  <c r="L25" i="6"/>
  <c r="K25" i="6"/>
  <c r="J25" i="6"/>
  <c r="I25" i="6"/>
  <c r="H25" i="6"/>
  <c r="G25" i="6"/>
  <c r="F25" i="6"/>
  <c r="E25" i="6"/>
  <c r="D25" i="6"/>
  <c r="K24" i="6"/>
  <c r="J24" i="6"/>
  <c r="H24" i="6"/>
  <c r="G24" i="6"/>
  <c r="F24" i="6"/>
  <c r="E24" i="6"/>
  <c r="D24" i="6"/>
  <c r="F22" i="6"/>
  <c r="E22" i="6"/>
  <c r="D22" i="6"/>
  <c r="F21" i="6"/>
  <c r="E21" i="6"/>
  <c r="D21" i="6"/>
  <c r="F20" i="6"/>
  <c r="E20" i="6"/>
  <c r="D20" i="6"/>
  <c r="M15" i="6"/>
  <c r="L15" i="6"/>
  <c r="K15" i="6"/>
  <c r="J15" i="6"/>
  <c r="I15" i="6"/>
  <c r="H15" i="6"/>
  <c r="G15" i="6"/>
  <c r="F15" i="6"/>
  <c r="E15" i="6"/>
  <c r="D15" i="6"/>
  <c r="M14" i="6"/>
  <c r="K14" i="6"/>
  <c r="J14" i="6"/>
  <c r="I14" i="6"/>
  <c r="G14" i="6"/>
  <c r="F14" i="6"/>
  <c r="E14" i="6"/>
  <c r="D14" i="6"/>
  <c r="M12" i="6"/>
  <c r="I12" i="6"/>
  <c r="F12" i="6"/>
  <c r="M11" i="6"/>
  <c r="I11" i="6"/>
  <c r="F11" i="6"/>
  <c r="M10" i="6"/>
  <c r="I10" i="6"/>
  <c r="F10" i="6"/>
  <c r="E94" i="5"/>
  <c r="E22" i="5"/>
  <c r="E18" i="5"/>
  <c r="E13" i="5"/>
  <c r="F94" i="5"/>
  <c r="F91" i="5"/>
  <c r="E91" i="5"/>
  <c r="F90" i="5"/>
  <c r="F89" i="5"/>
  <c r="F88" i="5"/>
  <c r="E88" i="5"/>
  <c r="E74" i="5"/>
  <c r="E49" i="5"/>
  <c r="E50" i="5" s="1"/>
  <c r="E46" i="5"/>
  <c r="F45" i="5"/>
  <c r="E45" i="5"/>
  <c r="E43" i="5"/>
  <c r="E42" i="5"/>
  <c r="E41" i="5"/>
  <c r="E40" i="5"/>
  <c r="E37" i="5"/>
  <c r="J55" i="5"/>
  <c r="I55" i="5"/>
  <c r="H55" i="5"/>
  <c r="G55" i="5"/>
  <c r="F55" i="5"/>
  <c r="F122" i="5" l="1"/>
  <c r="F124" i="5"/>
  <c r="F121" i="5"/>
  <c r="B117" i="5"/>
  <c r="B106" i="5"/>
  <c r="B116" i="5"/>
  <c r="B105" i="5"/>
  <c r="B115" i="5"/>
  <c r="J56" i="5"/>
  <c r="B108" i="5"/>
  <c r="B107" i="5"/>
  <c r="B114" i="5"/>
  <c r="I56" i="5"/>
  <c r="B113" i="5"/>
  <c r="H56" i="5"/>
  <c r="B109" i="5"/>
  <c r="H25" i="4"/>
  <c r="H19" i="4"/>
  <c r="J29" i="2"/>
  <c r="I29" i="2"/>
  <c r="H29" i="2"/>
  <c r="G29" i="2"/>
  <c r="F29" i="2"/>
  <c r="J21" i="2"/>
  <c r="I21" i="2"/>
  <c r="H21" i="2"/>
  <c r="G21" i="2"/>
  <c r="F21" i="2"/>
  <c r="H10" i="4" s="1"/>
  <c r="L105" i="4"/>
  <c r="K105" i="4"/>
  <c r="J105" i="4"/>
  <c r="I105" i="4"/>
  <c r="H105" i="4"/>
  <c r="L82" i="4"/>
  <c r="K82" i="4"/>
  <c r="J82" i="4"/>
  <c r="I82" i="4"/>
  <c r="L94" i="4"/>
  <c r="K94" i="4"/>
  <c r="J94" i="4"/>
  <c r="I94" i="4"/>
  <c r="H94" i="4"/>
  <c r="L99" i="4"/>
  <c r="K99" i="4"/>
  <c r="J99" i="4"/>
  <c r="I99" i="4"/>
  <c r="H99" i="4"/>
  <c r="J68" i="2"/>
  <c r="I68" i="2"/>
  <c r="H68" i="2"/>
  <c r="G68" i="2"/>
  <c r="F68" i="2"/>
  <c r="L21" i="4"/>
  <c r="K21" i="4"/>
  <c r="J21" i="4"/>
  <c r="I21" i="4"/>
  <c r="H21" i="4"/>
  <c r="L20" i="4"/>
  <c r="K20" i="4"/>
  <c r="J20" i="4"/>
  <c r="I20" i="4"/>
  <c r="H20" i="4"/>
  <c r="H16" i="4"/>
  <c r="J103" i="4"/>
  <c r="H103" i="4"/>
  <c r="L102" i="4"/>
  <c r="K102" i="4"/>
  <c r="J102" i="4"/>
  <c r="I102" i="4"/>
  <c r="H102" i="4"/>
  <c r="L101" i="4"/>
  <c r="K101" i="4"/>
  <c r="J101" i="4"/>
  <c r="I101" i="4"/>
  <c r="H101" i="4"/>
  <c r="L100" i="4"/>
  <c r="K100" i="4"/>
  <c r="J100" i="4"/>
  <c r="I100" i="4"/>
  <c r="H100" i="4"/>
  <c r="L103" i="4"/>
  <c r="K103" i="4"/>
  <c r="I103" i="4"/>
  <c r="L83" i="4"/>
  <c r="K83" i="4"/>
  <c r="J83" i="4"/>
  <c r="I83" i="4"/>
  <c r="H83" i="4"/>
  <c r="L68" i="4"/>
  <c r="K68" i="4"/>
  <c r="J68" i="4"/>
  <c r="I68" i="4"/>
  <c r="H68" i="4"/>
  <c r="L67" i="4"/>
  <c r="K67" i="4"/>
  <c r="J67" i="4"/>
  <c r="I67" i="4"/>
  <c r="H67" i="4"/>
  <c r="L65" i="4"/>
  <c r="K65" i="4"/>
  <c r="J65" i="4"/>
  <c r="I65" i="4"/>
  <c r="H65" i="4"/>
  <c r="L64" i="4"/>
  <c r="K64" i="4"/>
  <c r="J64" i="4"/>
  <c r="I64" i="4"/>
  <c r="H64" i="4"/>
  <c r="L59" i="4"/>
  <c r="K59" i="4"/>
  <c r="J59" i="4"/>
  <c r="I59" i="4"/>
  <c r="H59" i="4"/>
  <c r="L58" i="4"/>
  <c r="K58" i="4"/>
  <c r="J58" i="4"/>
  <c r="I58" i="4"/>
  <c r="H58" i="4"/>
  <c r="L53" i="4"/>
  <c r="K53" i="4"/>
  <c r="J53" i="4"/>
  <c r="I53" i="4"/>
  <c r="H53" i="4"/>
  <c r="L46" i="4"/>
  <c r="K46" i="4"/>
  <c r="J46" i="4"/>
  <c r="I46" i="4"/>
  <c r="H46" i="4"/>
  <c r="L45" i="4"/>
  <c r="K45" i="4"/>
  <c r="J45" i="4"/>
  <c r="I45" i="4"/>
  <c r="H45" i="4"/>
  <c r="L44" i="4"/>
  <c r="K44" i="4"/>
  <c r="J44" i="4"/>
  <c r="I44" i="4"/>
  <c r="H44" i="4"/>
  <c r="L43" i="4"/>
  <c r="K43" i="4"/>
  <c r="J43" i="4"/>
  <c r="I43" i="4"/>
  <c r="H43" i="4"/>
  <c r="K25" i="4"/>
  <c r="L25" i="4" s="1"/>
  <c r="J25" i="4"/>
  <c r="I25" i="4"/>
  <c r="E83" i="2"/>
  <c r="E81" i="2"/>
  <c r="E80" i="2"/>
  <c r="F67" i="2"/>
  <c r="F66" i="2"/>
  <c r="E55" i="2"/>
  <c r="E54" i="2"/>
  <c r="E50" i="2"/>
  <c r="E49" i="2"/>
  <c r="E48" i="2"/>
  <c r="E40" i="2"/>
  <c r="E36" i="2"/>
  <c r="E32" i="2"/>
  <c r="E31" i="2"/>
  <c r="E29" i="2"/>
  <c r="E26" i="2"/>
  <c r="E106" i="4"/>
  <c r="G89" i="4"/>
  <c r="G106" i="4"/>
  <c r="F106" i="4"/>
  <c r="G103" i="4"/>
  <c r="F103" i="4"/>
  <c r="E103" i="4"/>
  <c r="G96" i="4"/>
  <c r="F96" i="4"/>
  <c r="E96" i="4"/>
  <c r="F89" i="4"/>
  <c r="E89" i="4"/>
  <c r="G72" i="4"/>
  <c r="F72" i="4"/>
  <c r="E72" i="4"/>
  <c r="G71" i="4"/>
  <c r="F71" i="4"/>
  <c r="E71" i="4"/>
  <c r="G69" i="4"/>
  <c r="F69" i="4"/>
  <c r="E69" i="4"/>
  <c r="G62" i="4"/>
  <c r="F62" i="4"/>
  <c r="E62" i="4"/>
  <c r="G61" i="4"/>
  <c r="F61" i="4"/>
  <c r="E61" i="4"/>
  <c r="G56" i="4"/>
  <c r="F56" i="4"/>
  <c r="E56" i="4"/>
  <c r="G49" i="4"/>
  <c r="F49" i="4"/>
  <c r="E49" i="4"/>
  <c r="G48" i="4"/>
  <c r="F48" i="4"/>
  <c r="E48" i="4"/>
  <c r="G40" i="4"/>
  <c r="F40" i="4"/>
  <c r="E40" i="4"/>
  <c r="E12" i="4"/>
  <c r="G26" i="4"/>
  <c r="F26" i="4"/>
  <c r="E26" i="4"/>
  <c r="G22" i="4"/>
  <c r="F22" i="4"/>
  <c r="E22" i="4"/>
  <c r="G17" i="4"/>
  <c r="F17" i="4"/>
  <c r="E17" i="4"/>
  <c r="G12" i="4"/>
  <c r="F12" i="4"/>
  <c r="F37" i="5" l="1"/>
  <c r="F38" i="5" s="1"/>
  <c r="H14" i="4"/>
  <c r="H36" i="4"/>
  <c r="H37" i="4"/>
  <c r="I10" i="4"/>
  <c r="H55" i="4"/>
  <c r="H47" i="4"/>
  <c r="H95" i="4" s="1"/>
  <c r="H92" i="4"/>
  <c r="H60" i="4"/>
  <c r="H61" i="4" s="1"/>
  <c r="H39" i="4"/>
  <c r="H11" i="4"/>
  <c r="H15" i="4"/>
  <c r="F46" i="5" l="1"/>
  <c r="H42" i="4"/>
  <c r="H48" i="4" s="1"/>
  <c r="I47" i="4"/>
  <c r="I95" i="4" s="1"/>
  <c r="G37" i="5"/>
  <c r="H96" i="4"/>
  <c r="H52" i="4"/>
  <c r="H87" i="4" s="1"/>
  <c r="H38" i="4"/>
  <c r="H85" i="4"/>
  <c r="I92" i="4"/>
  <c r="G46" i="5" s="1"/>
  <c r="I60" i="4"/>
  <c r="I61" i="4" s="1"/>
  <c r="I36" i="4"/>
  <c r="I85" i="4" s="1"/>
  <c r="I14" i="4"/>
  <c r="I39" i="4"/>
  <c r="I11" i="4"/>
  <c r="I12" i="4" s="1"/>
  <c r="I37" i="4"/>
  <c r="I15" i="4"/>
  <c r="J10" i="4"/>
  <c r="I55" i="4"/>
  <c r="H12" i="4"/>
  <c r="H17" i="4" s="1"/>
  <c r="F40" i="5" s="1"/>
  <c r="G38" i="5" l="1"/>
  <c r="J39" i="4"/>
  <c r="H37" i="5"/>
  <c r="H38" i="5" s="1"/>
  <c r="F42" i="5"/>
  <c r="F43" i="5"/>
  <c r="F41" i="5"/>
  <c r="I96" i="4"/>
  <c r="I42" i="4"/>
  <c r="I52" i="4"/>
  <c r="I87" i="4" s="1"/>
  <c r="I38" i="4"/>
  <c r="I86" i="4" s="1"/>
  <c r="H86" i="4"/>
  <c r="I16" i="4"/>
  <c r="G45" i="5" s="1"/>
  <c r="J11" i="4"/>
  <c r="J12" i="4" s="1"/>
  <c r="J37" i="4"/>
  <c r="J15" i="4"/>
  <c r="K10" i="4"/>
  <c r="I37" i="5" s="1"/>
  <c r="J55" i="4"/>
  <c r="J47" i="4"/>
  <c r="J95" i="4" s="1"/>
  <c r="J92" i="4"/>
  <c r="H46" i="5" s="1"/>
  <c r="J60" i="4"/>
  <c r="J61" i="4" s="1"/>
  <c r="J36" i="4"/>
  <c r="J85" i="4" s="1"/>
  <c r="J14" i="4"/>
  <c r="I38" i="5" l="1"/>
  <c r="J42" i="4"/>
  <c r="I81" i="4"/>
  <c r="J96" i="4"/>
  <c r="J52" i="4"/>
  <c r="J87" i="4" s="1"/>
  <c r="J38" i="4"/>
  <c r="K11" i="4"/>
  <c r="K12" i="4" s="1"/>
  <c r="K37" i="4"/>
  <c r="K15" i="4"/>
  <c r="L10" i="4"/>
  <c r="J37" i="5" s="1"/>
  <c r="J38" i="5" s="1"/>
  <c r="K55" i="4"/>
  <c r="K47" i="4"/>
  <c r="K95" i="4" s="1"/>
  <c r="K92" i="4"/>
  <c r="I46" i="5" s="1"/>
  <c r="K60" i="4"/>
  <c r="K61" i="4" s="1"/>
  <c r="K36" i="4"/>
  <c r="K14" i="4"/>
  <c r="K39" i="4"/>
  <c r="I17" i="4"/>
  <c r="G40" i="5" s="1"/>
  <c r="G42" i="5" l="1"/>
  <c r="G43" i="5"/>
  <c r="G41" i="5"/>
  <c r="K42" i="4"/>
  <c r="K96" i="4"/>
  <c r="K38" i="4"/>
  <c r="K52" i="4"/>
  <c r="K87" i="4" s="1"/>
  <c r="J16" i="4"/>
  <c r="H45" i="5" s="1"/>
  <c r="I48" i="4"/>
  <c r="J86" i="4"/>
  <c r="K85" i="4"/>
  <c r="L37" i="4"/>
  <c r="L15" i="4"/>
  <c r="L55" i="4"/>
  <c r="L47" i="4"/>
  <c r="L95" i="4" s="1"/>
  <c r="L92" i="4"/>
  <c r="J46" i="5" s="1"/>
  <c r="L60" i="4"/>
  <c r="L61" i="4" s="1"/>
  <c r="L36" i="4"/>
  <c r="L85" i="4" s="1"/>
  <c r="L14" i="4"/>
  <c r="L39" i="4"/>
  <c r="L11" i="4"/>
  <c r="L42" i="4" l="1"/>
  <c r="L38" i="4"/>
  <c r="L86" i="4" s="1"/>
  <c r="L52" i="4"/>
  <c r="L87" i="4" s="1"/>
  <c r="J81" i="4"/>
  <c r="J17" i="4"/>
  <c r="H40" i="5" s="1"/>
  <c r="K16" i="4"/>
  <c r="I45" i="5" s="1"/>
  <c r="J48" i="4"/>
  <c r="L12" i="4"/>
  <c r="L96" i="4"/>
  <c r="K86" i="4"/>
  <c r="H42" i="5" l="1"/>
  <c r="H43" i="5" s="1"/>
  <c r="H41" i="5"/>
  <c r="K81" i="4"/>
  <c r="K17" i="4"/>
  <c r="I40" i="5" s="1"/>
  <c r="G66" i="2"/>
  <c r="G67" i="2" s="1"/>
  <c r="H66" i="2"/>
  <c r="H67" i="2" s="1"/>
  <c r="I66" i="2"/>
  <c r="I67" i="2" s="1"/>
  <c r="J66" i="2" s="1"/>
  <c r="J67" i="2" s="1"/>
  <c r="H22" i="4"/>
  <c r="H24" i="4" s="1"/>
  <c r="I41" i="5" l="1"/>
  <c r="I42" i="5"/>
  <c r="I43" i="5" s="1"/>
  <c r="L16" i="4"/>
  <c r="J45" i="5" s="1"/>
  <c r="K48" i="4"/>
  <c r="H54" i="4"/>
  <c r="H88" i="4" s="1"/>
  <c r="F47" i="5" s="1"/>
  <c r="F49" i="5" s="1"/>
  <c r="F50" i="5" l="1"/>
  <c r="F58" i="5"/>
  <c r="L48" i="4"/>
  <c r="H56" i="4"/>
  <c r="H62" i="4" s="1"/>
  <c r="L81" i="4"/>
  <c r="L17" i="4"/>
  <c r="H26" i="4"/>
  <c r="H66" i="4" s="1"/>
  <c r="J40" i="5" l="1"/>
  <c r="E73" i="5"/>
  <c r="E75" i="5" s="1"/>
  <c r="E76" i="5" s="1"/>
  <c r="F84" i="5" s="1"/>
  <c r="H80" i="4"/>
  <c r="H89" i="4" l="1"/>
  <c r="H106" i="4" s="1"/>
  <c r="H35" i="4" s="1"/>
  <c r="J41" i="5"/>
  <c r="J42" i="5"/>
  <c r="J43" i="5" s="1"/>
  <c r="H69" i="4"/>
  <c r="I19" i="4" l="1"/>
  <c r="H40" i="4"/>
  <c r="H49" i="4" s="1"/>
  <c r="H71" i="4"/>
  <c r="H70" i="4"/>
  <c r="I22" i="4"/>
  <c r="I24" i="4" s="1"/>
  <c r="I54" i="4" s="1"/>
  <c r="H72" i="4" l="1"/>
  <c r="I56" i="4"/>
  <c r="I62" i="4" s="1"/>
  <c r="I88" i="4"/>
  <c r="G47" i="5" s="1"/>
  <c r="G49" i="5" s="1"/>
  <c r="I26" i="4"/>
  <c r="I66" i="4" s="1"/>
  <c r="G50" i="5" l="1"/>
  <c r="G58" i="5"/>
  <c r="I80" i="4"/>
  <c r="I89" i="4" s="1"/>
  <c r="I106" i="4" l="1"/>
  <c r="I35" i="4" s="1"/>
  <c r="I69" i="4"/>
  <c r="J19" i="4" l="1"/>
  <c r="J22" i="4" s="1"/>
  <c r="J24" i="4" s="1"/>
  <c r="J54" i="4" s="1"/>
  <c r="I40" i="4"/>
  <c r="I49" i="4" s="1"/>
  <c r="I70" i="4"/>
  <c r="I71" i="4"/>
  <c r="I72" i="4" l="1"/>
  <c r="J56" i="4"/>
  <c r="J62" i="4" s="1"/>
  <c r="J88" i="4"/>
  <c r="H47" i="5" s="1"/>
  <c r="H49" i="5" s="1"/>
  <c r="J26" i="4"/>
  <c r="J66" i="4" s="1"/>
  <c r="H50" i="5" l="1"/>
  <c r="H58" i="5"/>
  <c r="J80" i="4"/>
  <c r="J89" i="4" s="1"/>
  <c r="J106" i="4" s="1"/>
  <c r="J35" i="4" s="1"/>
  <c r="K19" i="4" s="1"/>
  <c r="J40" i="4" l="1"/>
  <c r="J49" i="4" s="1"/>
  <c r="J69" i="4"/>
  <c r="J71" i="4" l="1"/>
  <c r="J72" i="4" s="1"/>
  <c r="J70" i="4"/>
  <c r="K22" i="4"/>
  <c r="K24" i="4" l="1"/>
  <c r="K54" i="4" s="1"/>
  <c r="K56" i="4" l="1"/>
  <c r="K62" i="4" s="1"/>
  <c r="K88" i="4"/>
  <c r="I47" i="5" s="1"/>
  <c r="I49" i="5" s="1"/>
  <c r="K26" i="4"/>
  <c r="K66" i="4" s="1"/>
  <c r="I50" i="5" l="1"/>
  <c r="I58" i="5"/>
  <c r="K80" i="4"/>
  <c r="K89" i="4" s="1"/>
  <c r="K106" i="4" s="1"/>
  <c r="K35" i="4" s="1"/>
  <c r="K69" i="4"/>
  <c r="K71" i="4" s="1"/>
  <c r="K70" i="4" l="1"/>
  <c r="L19" i="4"/>
  <c r="L22" i="4" s="1"/>
  <c r="K40" i="4"/>
  <c r="K49" i="4" s="1"/>
  <c r="K72" i="4" s="1"/>
  <c r="L24" i="4" l="1"/>
  <c r="L54" i="4" s="1"/>
  <c r="L56" i="4" l="1"/>
  <c r="L62" i="4" s="1"/>
  <c r="L88" i="4"/>
  <c r="J47" i="5" s="1"/>
  <c r="J49" i="5" s="1"/>
  <c r="E66" i="5" s="1"/>
  <c r="L26" i="4"/>
  <c r="J50" i="5" l="1"/>
  <c r="J58" i="5"/>
  <c r="F60" i="5" s="1"/>
  <c r="L80" i="4"/>
  <c r="L89" i="4" s="1"/>
  <c r="L106" i="4" s="1"/>
  <c r="L35" i="4" s="1"/>
  <c r="L40" i="4" s="1"/>
  <c r="L49" i="4" s="1"/>
  <c r="L66" i="4"/>
  <c r="L69" i="4" s="1"/>
  <c r="L70" i="4" s="1"/>
  <c r="F113" i="5" l="1"/>
  <c r="E113" i="5"/>
  <c r="F107" i="5"/>
  <c r="G117" i="5"/>
  <c r="G105" i="5"/>
  <c r="D109" i="5"/>
  <c r="E108" i="5"/>
  <c r="C109" i="5"/>
  <c r="D106" i="5"/>
  <c r="E109" i="5"/>
  <c r="G113" i="5"/>
  <c r="F116" i="5"/>
  <c r="D105" i="5"/>
  <c r="E114" i="5"/>
  <c r="D115" i="5"/>
  <c r="G108" i="5"/>
  <c r="C105" i="5"/>
  <c r="D107" i="5"/>
  <c r="D117" i="5"/>
  <c r="C114" i="5"/>
  <c r="F117" i="5"/>
  <c r="C116" i="5"/>
  <c r="G116" i="5"/>
  <c r="C108" i="5"/>
  <c r="F108" i="5"/>
  <c r="D113" i="5"/>
  <c r="C107" i="5"/>
  <c r="F106" i="5"/>
  <c r="D108" i="5"/>
  <c r="G107" i="5"/>
  <c r="C117" i="5"/>
  <c r="G115" i="5"/>
  <c r="C115" i="5"/>
  <c r="E106" i="5"/>
  <c r="E107" i="5"/>
  <c r="G106" i="5"/>
  <c r="C113" i="5"/>
  <c r="F105" i="5"/>
  <c r="F115" i="5"/>
  <c r="E117" i="5"/>
  <c r="C106" i="5"/>
  <c r="E116" i="5"/>
  <c r="D114" i="5"/>
  <c r="F114" i="5"/>
  <c r="G109" i="5"/>
  <c r="D116" i="5"/>
  <c r="G114" i="5"/>
  <c r="F109" i="5"/>
  <c r="E105" i="5"/>
  <c r="F83" i="5"/>
  <c r="F85" i="5" s="1"/>
  <c r="F92" i="5" s="1"/>
  <c r="F95" i="5" s="1"/>
  <c r="E83" i="5"/>
  <c r="L71" i="4"/>
  <c r="L72" i="4" s="1"/>
  <c r="E122" i="5" l="1"/>
  <c r="C122" i="5"/>
  <c r="F98" i="5"/>
  <c r="D122" i="5"/>
  <c r="C121" i="5"/>
  <c r="C124" i="5" s="1"/>
  <c r="E121" i="5"/>
  <c r="E84" i="5"/>
  <c r="E85" i="5" l="1"/>
  <c r="E92" i="5" s="1"/>
  <c r="E95" i="5" s="1"/>
  <c r="E98" i="5" s="1"/>
  <c r="E124" i="5"/>
  <c r="D121" i="5" l="1"/>
  <c r="D124" i="5" s="1"/>
</calcChain>
</file>

<file path=xl/sharedStrings.xml><?xml version="1.0" encoding="utf-8"?>
<sst xmlns="http://schemas.openxmlformats.org/spreadsheetml/2006/main" count="563" uniqueCount="373">
  <si>
    <t xml:space="preserve">ASML Holding NV </t>
  </si>
  <si>
    <t>(Ticker: ASML-NL)</t>
  </si>
  <si>
    <r>
      <rPr>
        <b/>
        <i/>
        <sz val="20"/>
        <color theme="1"/>
        <rFont val="Aptos Narrow (Body)"/>
      </rPr>
      <t xml:space="preserve">Created By: </t>
    </r>
    <r>
      <rPr>
        <i/>
        <sz val="20"/>
        <color theme="1"/>
        <rFont val="Aptos Narrow (Body)"/>
      </rPr>
      <t>Divij Budhiraja</t>
    </r>
  </si>
  <si>
    <t xml:space="preserve">ASML Holding N.V. is a Dutch multinational to the </t>
  </si>
  <si>
    <t xml:space="preserve">global semiconductor industry headquartered in </t>
  </si>
  <si>
    <t xml:space="preserve"> Veldhoven, the Netherlands, and a leading supplier.</t>
  </si>
  <si>
    <t xml:space="preserve">The company provides chipmakers with advanced </t>
  </si>
  <si>
    <t xml:space="preserve">lithography systems as well as related software </t>
  </si>
  <si>
    <t xml:space="preserve">and services that enable the mass production of </t>
  </si>
  <si>
    <t>integrated circuit patterns on silicon.</t>
  </si>
  <si>
    <t>Table of Contents</t>
  </si>
  <si>
    <t>Assumptions</t>
  </si>
  <si>
    <t>INCOME STATEMENT</t>
  </si>
  <si>
    <t>2025E</t>
  </si>
  <si>
    <t>2022A</t>
  </si>
  <si>
    <t>2023A</t>
  </si>
  <si>
    <t>2024A</t>
  </si>
  <si>
    <t>2026E</t>
  </si>
  <si>
    <t>2027E</t>
  </si>
  <si>
    <t>2028E</t>
  </si>
  <si>
    <t>2029E</t>
  </si>
  <si>
    <t>Revenue</t>
  </si>
  <si>
    <t>All figures in millions of euros</t>
  </si>
  <si>
    <t>unless stated otherwise</t>
  </si>
  <si>
    <t>COGS (excl. D&amp;A)</t>
  </si>
  <si>
    <t>Gross Profit (excl. D&amp;A)</t>
  </si>
  <si>
    <t>R&amp;D Expense</t>
  </si>
  <si>
    <t>SG&amp;A Expense</t>
  </si>
  <si>
    <t>D&amp;A Expense</t>
  </si>
  <si>
    <t>EBIT</t>
  </si>
  <si>
    <t>Interest Income</t>
  </si>
  <si>
    <t>Interest Expense</t>
  </si>
  <si>
    <t>Other Income (Expense)</t>
  </si>
  <si>
    <t>EBT</t>
  </si>
  <si>
    <t>Income Taxes</t>
  </si>
  <si>
    <t>Net Income</t>
  </si>
  <si>
    <t>Equity in Affiliates</t>
  </si>
  <si>
    <t>BALANCE STATEMENT</t>
  </si>
  <si>
    <t>Assets</t>
  </si>
  <si>
    <t>Cash &amp; Short-Term Investments</t>
  </si>
  <si>
    <t>Accounts Receivable</t>
  </si>
  <si>
    <t>Other Receivables</t>
  </si>
  <si>
    <t>Inventories</t>
  </si>
  <si>
    <t>Other Current Assets</t>
  </si>
  <si>
    <t>Total Current Assets</t>
  </si>
  <si>
    <t>Net PP&amp;E</t>
  </si>
  <si>
    <t>Goodwill</t>
  </si>
  <si>
    <t>Other Intangible Assets</t>
  </si>
  <si>
    <t>Long-Term Investments</t>
  </si>
  <si>
    <t>Deferred Tax Assets</t>
  </si>
  <si>
    <t>Other Non-Current Assets</t>
  </si>
  <si>
    <t>Total Non-Current Assets</t>
  </si>
  <si>
    <t>Total Assets</t>
  </si>
  <si>
    <t>Liabilities</t>
  </si>
  <si>
    <t>Accounts Payable</t>
  </si>
  <si>
    <t>Short-Term Debt</t>
  </si>
  <si>
    <t>Income Tax Payable</t>
  </si>
  <si>
    <t>Other Current Liabilities</t>
  </si>
  <si>
    <t>Total Current Liabilities</t>
  </si>
  <si>
    <t>Long-Term Debt</t>
  </si>
  <si>
    <t>Deferred Tax Liabilities</t>
  </si>
  <si>
    <t>Other Non-Current Liabilities</t>
  </si>
  <si>
    <t>Total Non-Current Liabilities</t>
  </si>
  <si>
    <t>Total Liabilities</t>
  </si>
  <si>
    <t>Shareholders' Equity</t>
  </si>
  <si>
    <t>Common Stock &amp; APIC</t>
  </si>
  <si>
    <t>Retained Earnings</t>
  </si>
  <si>
    <t>Treasury Stock</t>
  </si>
  <si>
    <t>Other Comprehensive Income</t>
  </si>
  <si>
    <t>Total Shareholders' Equity</t>
  </si>
  <si>
    <t>Total Liabilities &amp; Equity</t>
  </si>
  <si>
    <t>Balance Check</t>
  </si>
  <si>
    <t>CASH FLOW STATEMENT</t>
  </si>
  <si>
    <t>Operating Activities</t>
  </si>
  <si>
    <t>D&amp;A</t>
  </si>
  <si>
    <t>Deferred Taxes</t>
  </si>
  <si>
    <t>Stock-Based Compensation &amp; Other</t>
  </si>
  <si>
    <t>Changes in Working Capital:</t>
  </si>
  <si>
    <t xml:space="preserve">  (Increase) / Decrease in Receivables</t>
  </si>
  <si>
    <t xml:space="preserve">  (Increase) / Decrease in Inventories</t>
  </si>
  <si>
    <t xml:space="preserve">  Increase / (Decrease) in Accounts Payable</t>
  </si>
  <si>
    <t xml:space="preserve">  Other Working Capital Changes</t>
  </si>
  <si>
    <t>Cash Flow from Operations</t>
  </si>
  <si>
    <t>Investing Activities</t>
  </si>
  <si>
    <t>Capital Expenditures</t>
  </si>
  <si>
    <t>Acquisitions</t>
  </si>
  <si>
    <t>Purchase / Sale of Investments</t>
  </si>
  <si>
    <t>Other Investing Activities</t>
  </si>
  <si>
    <t>Cash Flow from Investing</t>
  </si>
  <si>
    <t>Financing Activities</t>
  </si>
  <si>
    <t>Dividends Paid</t>
  </si>
  <si>
    <t>Share Repurchases</t>
  </si>
  <si>
    <t>Stock Issuances</t>
  </si>
  <si>
    <t>Debt Issuance / (Repayment)</t>
  </si>
  <si>
    <t>Cash Flow from Financing</t>
  </si>
  <si>
    <t>Effect of Exchange Rate</t>
  </si>
  <si>
    <t>Net Change in Cash</t>
  </si>
  <si>
    <t>SCENARIO SELECTOR</t>
  </si>
  <si>
    <t>Active Scenario (1=Base, 2=Bull, 3=Bear)</t>
  </si>
  <si>
    <t>Scenario Definitions:</t>
  </si>
  <si>
    <t>1 = Base Case</t>
  </si>
  <si>
    <t>Management guidance, consensus estimates, normalized growth</t>
  </si>
  <si>
    <t>2 = Bull Case</t>
  </si>
  <si>
    <t>Upside from AI/HPC demand, market share gains, margin expansion</t>
  </si>
  <si>
    <t>3 = Bear Case</t>
  </si>
  <si>
    <t>Cyclical downturn, China restrictions, slower adoption</t>
  </si>
  <si>
    <t>REVENUE ASSUMPTIONS</t>
  </si>
  <si>
    <t>Revenue Growth Rate - Base</t>
  </si>
  <si>
    <t>Revenue Growth Rate - Bull</t>
  </si>
  <si>
    <t>Revenue Growth Rate - Bear</t>
  </si>
  <si>
    <t>Selected Revenue Growth</t>
  </si>
  <si>
    <t>MARGIN ASSUMPTIONS</t>
  </si>
  <si>
    <t>COGS % of Revenue - Base</t>
  </si>
  <si>
    <t>COGS % of Revenue - Bull</t>
  </si>
  <si>
    <t>COGS % of Revenue - Bear</t>
  </si>
  <si>
    <t>Selected COGS %</t>
  </si>
  <si>
    <t>R&amp;D % of Revenue</t>
  </si>
  <si>
    <t>SG&amp;A % of Revenue</t>
  </si>
  <si>
    <t>TAX &amp; OTHER</t>
  </si>
  <si>
    <t>Effective Tax Rate</t>
  </si>
  <si>
    <t>Interest Rate on Cash</t>
  </si>
  <si>
    <t>Interest Rate on Debt</t>
  </si>
  <si>
    <t>Equity in Affiliates Growth</t>
  </si>
  <si>
    <t>WORKING CAPITAL ASSUMPTIONS</t>
  </si>
  <si>
    <t>Days Sales Outstanding (DSO)</t>
  </si>
  <si>
    <t>Days Inventory Outstanding (DIO)</t>
  </si>
  <si>
    <t>Days Payable Outstanding (DPO)</t>
  </si>
  <si>
    <t>Other Receivables % of Revenue</t>
  </si>
  <si>
    <t>Other Current Assets % of Revenue</t>
  </si>
  <si>
    <t>Other Current Liabilities % of Revenue</t>
  </si>
  <si>
    <t>CAPEX &amp; D&amp;A ASSUMPTIONS</t>
  </si>
  <si>
    <t>CapEx % of Revenue</t>
  </si>
  <si>
    <t>D&amp;A % of Prior Year Net PP&amp;E</t>
  </si>
  <si>
    <t>Intangibles Amortization (flat)</t>
  </si>
  <si>
    <t>CAPITAL STRUCTURE &amp; SHAREHOLDER RETURNS</t>
  </si>
  <si>
    <t>Dividend per Share (€)</t>
  </si>
  <si>
    <t>Share Repurchases (€mm)</t>
  </si>
  <si>
    <t>Stock Issuances (€mm)</t>
  </si>
  <si>
    <t>Shares Outstanding (mm) - Beginning</t>
  </si>
  <si>
    <t>Shares Outstanding (mm) - Ending</t>
  </si>
  <si>
    <t>Avg Shares Outstanding (mm)</t>
  </si>
  <si>
    <t>DEBT SCHEDULE INPUTS</t>
  </si>
  <si>
    <t>LT Debt Issuance / (Repayment)</t>
  </si>
  <si>
    <t>ST Debt Change</t>
  </si>
  <si>
    <t>OTHER BALANCE SHEET ASSUMPTIONS</t>
  </si>
  <si>
    <t>LT Investments Growth</t>
  </si>
  <si>
    <t>Deferred Tax Assets Growth</t>
  </si>
  <si>
    <t>Other Non-Current Assets % Revenue</t>
  </si>
  <si>
    <t>Income Tax Payable % of Tax Expense</t>
  </si>
  <si>
    <t>Deferred Tax Liabilities Growth</t>
  </si>
  <si>
    <t>Other Non-Current Liabilities % Revenue</t>
  </si>
  <si>
    <t>SBC &amp; Other Non-Cash Items</t>
  </si>
  <si>
    <t>Other Comprehensive Income (flat)</t>
  </si>
  <si>
    <t>MODEL ASSUMPTIONS AND OTHER INPUTS</t>
  </si>
  <si>
    <t>ASML HOLDING NV - DISCOUNTED CASH FLOW ANALYSIS</t>
  </si>
  <si>
    <t>SECTION 1: WACC CALCULATION</t>
  </si>
  <si>
    <t>Cost of Equity (CAPM)</t>
  </si>
  <si>
    <t>Risk-Free Rate (Rf)</t>
  </si>
  <si>
    <t>Equity Risk Premium (ERP)</t>
  </si>
  <si>
    <t>Beta (Levered)</t>
  </si>
  <si>
    <t>Cost of Equity (Ke)</t>
  </si>
  <si>
    <t>Cost of Debt</t>
  </si>
  <si>
    <t>Pre-Tax Cost of Debt (Kd)</t>
  </si>
  <si>
    <t>Tax Rate</t>
  </si>
  <si>
    <t>After-Tax Cost of Debt</t>
  </si>
  <si>
    <t>Capital Structure</t>
  </si>
  <si>
    <t>Weight of Equity</t>
  </si>
  <si>
    <t>Weight of Debt</t>
  </si>
  <si>
    <t>WACC Calculation</t>
  </si>
  <si>
    <t>Weighted Average Cost of Capital</t>
  </si>
  <si>
    <t>Terminal Value Assumptions</t>
  </si>
  <si>
    <t>Perpetual Growth Rate (g)</t>
  </si>
  <si>
    <t>Exit Multiple (EV/EBITDA)</t>
  </si>
  <si>
    <t>SECTION 2: FREE CASH FLOW SCHEDULE</t>
  </si>
  <si>
    <t>Projection Period</t>
  </si>
  <si>
    <t xml:space="preserve">  % Growth</t>
  </si>
  <si>
    <t xml:space="preserve">  % Margin</t>
  </si>
  <si>
    <t>Less: Taxes on EBIT</t>
  </si>
  <si>
    <t>NOPAT (EBIT × (1-t))</t>
  </si>
  <si>
    <t>Plus: D&amp;A</t>
  </si>
  <si>
    <t>Less: CapEx</t>
  </si>
  <si>
    <t>Less: Change in NWC</t>
  </si>
  <si>
    <t>Unlevered Free Cash Flow</t>
  </si>
  <si>
    <t xml:space="preserve">  % Conversion (UFCF/NOPAT)</t>
  </si>
  <si>
    <t>SECTION 3: DISCOUNTING &amp; PRESENT VALUE</t>
  </si>
  <si>
    <t>Discount Period (Mid-Year Convention)</t>
  </si>
  <si>
    <t>Discount Factor</t>
  </si>
  <si>
    <t>Present Value of FCF</t>
  </si>
  <si>
    <t>Sum of PV of FCF</t>
  </si>
  <si>
    <t>SECTION 4: TERMINAL VALUE CALCULATION</t>
  </si>
  <si>
    <t>Method 1: Perpetuity Growth Method</t>
  </si>
  <si>
    <t>Terminal Year FCF (2029E)</t>
  </si>
  <si>
    <t>Perpetual Growth Rate</t>
  </si>
  <si>
    <t>Terminal Value (Perpetuity)</t>
  </si>
  <si>
    <t>PV of Terminal Value</t>
  </si>
  <si>
    <t>Implied Exit Multiple (EV/EBITDA)</t>
  </si>
  <si>
    <t>Method 2: Exit Multiple Method</t>
  </si>
  <si>
    <t>Terminal Year EBITDA (2029E)</t>
  </si>
  <si>
    <t>Exit EV/EBITDA Multiple</t>
  </si>
  <si>
    <t>Terminal Value (Exit Multiple)</t>
  </si>
  <si>
    <t>Implied Perpetuity Growth Rate</t>
  </si>
  <si>
    <t>SECTION 5: ENTERPRISE VALUE TO EQUITY VALUE</t>
  </si>
  <si>
    <t>Perpetuity Growth Method</t>
  </si>
  <si>
    <t>Exit Multiple Method</t>
  </si>
  <si>
    <t>Enterprise Value</t>
  </si>
  <si>
    <t>Less: Total Debt</t>
  </si>
  <si>
    <t>Plus: Cash &amp; Equivalents</t>
  </si>
  <si>
    <t>Less: Minority Interest</t>
  </si>
  <si>
    <t>Less: Preferred Stock</t>
  </si>
  <si>
    <t>Plus: Equity Investments</t>
  </si>
  <si>
    <t>Equity Value</t>
  </si>
  <si>
    <t>Shares Outstanding (mm)</t>
  </si>
  <si>
    <t>Implied Share Price (€)</t>
  </si>
  <si>
    <t>Current Share Price (€)</t>
  </si>
  <si>
    <t>Implied Upside / (Downside)</t>
  </si>
  <si>
    <t>SECTION 6: SENSITIVITY ANALYSIS</t>
  </si>
  <si>
    <t>Implied Share Price - Perpetuity Growth Method</t>
  </si>
  <si>
    <t>WACC \ Growth Rate</t>
  </si>
  <si>
    <t>Implied Share Price - Exit Multiple Method</t>
  </si>
  <si>
    <t>WACC \ EV/EBITDA</t>
  </si>
  <si>
    <t>Valuation Summary Range</t>
  </si>
  <si>
    <t>Metric</t>
  </si>
  <si>
    <t>Low</t>
  </si>
  <si>
    <t>Base Case</t>
  </si>
  <si>
    <t>High</t>
  </si>
  <si>
    <t>Current Price</t>
  </si>
  <si>
    <t>Implied Valuation Range</t>
  </si>
  <si>
    <t>ASML HOLDING NV - COMPARABLE COMPANIES ANALYSIS</t>
  </si>
  <si>
    <t>SECTION 1: MARKET DATA &amp; CAPITALIZATION</t>
  </si>
  <si>
    <t>Company</t>
  </si>
  <si>
    <t>Ticker</t>
  </si>
  <si>
    <t>Share Price
(€)</t>
  </si>
  <si>
    <t>Shares Out
(mm)</t>
  </si>
  <si>
    <t>Market Cap
(€mm)</t>
  </si>
  <si>
    <t>Cash &amp; ST Inv
(€mm)</t>
  </si>
  <si>
    <t>Total Debt
(€mm)</t>
  </si>
  <si>
    <t>Enterprise Value
(€mm)</t>
  </si>
  <si>
    <t>LTM Revenue
(€mm)</t>
  </si>
  <si>
    <t>LTM EBITDA
(€mm)</t>
  </si>
  <si>
    <t>LTM EBIT
(€mm)</t>
  </si>
  <si>
    <t>Net Debt /
EBITDA</t>
  </si>
  <si>
    <t>ASML Holding NV</t>
  </si>
  <si>
    <t>ASML-NL</t>
  </si>
  <si>
    <t>KLA Corporation</t>
  </si>
  <si>
    <t>KLAC-US</t>
  </si>
  <si>
    <t>Applied Materials Inc</t>
  </si>
  <si>
    <t>AMAT-US</t>
  </si>
  <si>
    <t>Mean</t>
  </si>
  <si>
    <t>Median</t>
  </si>
  <si>
    <t>SECTION 2: TRADING MULTIPLES</t>
  </si>
  <si>
    <t>EV / Revenue</t>
  </si>
  <si>
    <t>EV / EBITDA</t>
  </si>
  <si>
    <t>EV / EBIT</t>
  </si>
  <si>
    <t>P / E
(FY1)</t>
  </si>
  <si>
    <t>P / E
(FY2)</t>
  </si>
  <si>
    <t>P / FCF
(FY1)</t>
  </si>
  <si>
    <t>P / FCF
(FY2)</t>
  </si>
  <si>
    <t>Dividend
Yield (%)</t>
  </si>
  <si>
    <t>FCF
Yield (%)</t>
  </si>
  <si>
    <t>SECTION 3: OPERATING METRICS &amp; MARGINS</t>
  </si>
  <si>
    <t>Revenue Growth
(YoY %)</t>
  </si>
  <si>
    <t>Gross Margin
(%)</t>
  </si>
  <si>
    <t>EBITDA Margin
(%)</t>
  </si>
  <si>
    <t>EBIT Margin
(%)</t>
  </si>
  <si>
    <t>Net Income Margin
(%)</t>
  </si>
  <si>
    <t>ROE
(%)</t>
  </si>
  <si>
    <t>ROIC
(%)</t>
  </si>
  <si>
    <t>Asset Turnover
(x)</t>
  </si>
  <si>
    <t>D/E Ratio
(x)</t>
  </si>
  <si>
    <t>Current Ratio
(x)</t>
  </si>
  <si>
    <t>ASML HOLDING NV — VALUATION SUMMARY</t>
  </si>
  <si>
    <t>Confidential  |  For Discussion Purposes Only  |  All figures in €mm unless stated otherwise</t>
  </si>
  <si>
    <t>Market Cap</t>
  </si>
  <si>
    <t>WACC</t>
  </si>
  <si>
    <t>LTM Revenue</t>
  </si>
  <si>
    <t>LTM EBIT Margin</t>
  </si>
  <si>
    <t>Levered Beta</t>
  </si>
  <si>
    <t>€652.00</t>
  </si>
  <si>
    <t>€471,835mm</t>
  </si>
  <si>
    <t>€469,412mm</t>
  </si>
  <si>
    <t>€28,263mm</t>
  </si>
  <si>
    <t>1.69x</t>
  </si>
  <si>
    <t>VALUATION FOOTBALL FIELD</t>
  </si>
  <si>
    <t>Methodology</t>
  </si>
  <si>
    <t>Range Width</t>
  </si>
  <si>
    <t>DCF — Perpetuity Growth</t>
  </si>
  <si>
    <t>DCF — Exit Multiple</t>
  </si>
  <si>
    <t>Comps — EV/EBITDA</t>
  </si>
  <si>
    <t>Comps — EV/Revenue</t>
  </si>
  <si>
    <t>Current Share Price</t>
  </si>
  <si>
    <t>REVENUE GROWTH SCENARIOS (€mm)</t>
  </si>
  <si>
    <t>Scenario</t>
  </si>
  <si>
    <t>Bull Case</t>
  </si>
  <si>
    <t>Bear Case</t>
  </si>
  <si>
    <t>Bull / Base / Bear Growth</t>
  </si>
  <si>
    <t>20% / 15% / 5%</t>
  </si>
  <si>
    <t>18% / 12% / 3%</t>
  </si>
  <si>
    <t>15% / 10% / 4%</t>
  </si>
  <si>
    <t>12% / 8% / 5%</t>
  </si>
  <si>
    <t>10% / 6% / 4%</t>
  </si>
  <si>
    <t>KEY FINANCIAL SUMMARY (€mm)</t>
  </si>
  <si>
    <t>Gross Profit</t>
  </si>
  <si>
    <t>Unlevered FCF</t>
  </si>
  <si>
    <t xml:space="preserve">  FCF Conversion</t>
  </si>
  <si>
    <t>DCF KEY ASSUMPTIONS</t>
  </si>
  <si>
    <t>Risk-Free Rate</t>
  </si>
  <si>
    <t>Equity Risk Premium</t>
  </si>
  <si>
    <t>Pre-Tax Cost of Debt</t>
  </si>
  <si>
    <t>Equity Weight</t>
  </si>
  <si>
    <t>Debt Weight</t>
  </si>
  <si>
    <t>15.0x</t>
  </si>
  <si>
    <t>ENTERPRISE VALUE TO EQUITY BRIDGE</t>
  </si>
  <si>
    <t>Perpetuity Growth</t>
  </si>
  <si>
    <t>Exit Multiple</t>
  </si>
  <si>
    <t>COMPARABLE COMPANIES ANALYSIS — TRADING MULTIPLES</t>
  </si>
  <si>
    <t>EV/Revenue</t>
  </si>
  <si>
    <t>EV/EBITDA</t>
  </si>
  <si>
    <t>EV/EBIT</t>
  </si>
  <si>
    <t>P/E (FY1)</t>
  </si>
  <si>
    <t>P/E (FY2)</t>
  </si>
  <si>
    <t>Gross Margin</t>
  </si>
  <si>
    <t>16.6x</t>
  </si>
  <si>
    <t>46.9x</t>
  </si>
  <si>
    <t>52.0x</t>
  </si>
  <si>
    <t>41.7x</t>
  </si>
  <si>
    <t>32.6x</t>
  </si>
  <si>
    <t>14.1x</t>
  </si>
  <si>
    <t>31.1x</t>
  </si>
  <si>
    <t>32.9x</t>
  </si>
  <si>
    <t>39.1x</t>
  </si>
  <si>
    <t>Applied Materials</t>
  </si>
  <si>
    <t>8.7x</t>
  </si>
  <si>
    <t>27.5x</t>
  </si>
  <si>
    <t>29.0x</t>
  </si>
  <si>
    <t>33.3x</t>
  </si>
  <si>
    <t>26.8x</t>
  </si>
  <si>
    <t>Peer Mean (excl. ASML)</t>
  </si>
  <si>
    <t>11.4x</t>
  </si>
  <si>
    <t>29.3x</t>
  </si>
  <si>
    <t>31.0x</t>
  </si>
  <si>
    <t>36.2x</t>
  </si>
  <si>
    <t>Peer Median</t>
  </si>
  <si>
    <t>ASML Premium / (Discount)</t>
  </si>
  <si>
    <t>MARGIN EXPANSION ANALYSIS</t>
  </si>
  <si>
    <t>EBIT Margin</t>
  </si>
  <si>
    <t>Net Income Margin</t>
  </si>
  <si>
    <t>FCF Yield (UFCF/Rev)</t>
  </si>
  <si>
    <t>SENSITIVITY ANALYSIS — IMPLIED SHARE PRICE (€)</t>
  </si>
  <si>
    <t>Perpetuity Growth Method (WACC \ Growth Rate)</t>
  </si>
  <si>
    <t>WACC \ g</t>
  </si>
  <si>
    <t>Exit Multiple Method (WACC \ EV/EBITDA)</t>
  </si>
  <si>
    <t>12.0x</t>
  </si>
  <si>
    <t>13.5x</t>
  </si>
  <si>
    <t>16.5x</t>
  </si>
  <si>
    <t>18.0x</t>
  </si>
  <si>
    <t>VALUATION CONCLUSION</t>
  </si>
  <si>
    <t>Weight</t>
  </si>
  <si>
    <t>€418</t>
  </si>
  <si>
    <t>€555</t>
  </si>
  <si>
    <t>€879</t>
  </si>
  <si>
    <t>€546</t>
  </si>
  <si>
    <t>€683</t>
  </si>
  <si>
    <t>€841</t>
  </si>
  <si>
    <t>€862</t>
  </si>
  <si>
    <t>€961</t>
  </si>
  <si>
    <t>€1,059</t>
  </si>
  <si>
    <t>€908</t>
  </si>
  <si>
    <t>€1,010</t>
  </si>
  <si>
    <t>€1,112</t>
  </si>
  <si>
    <t>Weighted Implied Share Price</t>
  </si>
  <si>
    <t>€709</t>
  </si>
  <si>
    <t>€652</t>
  </si>
  <si>
    <t>Note: This analysis is for discussion purposes only. Valuation ranges reflect sensitivity to key assumptions including WACC (8-12%), terminal growth (1.5-3.5%), and exit multiples (12-18x). Active scenario: Bull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</si>
</sst>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0.0%"/>
    <numFmt numFmtId="165" formatCode="#,##0.0"/>
    <numFmt numFmtId="166" formatCode="0.0\x"/>
    <numFmt numFmtId="167" formatCode="\€#,##0"/>
    <numFmt numFmtId="168" formatCode="#,##0.0;\(#,##0.0\);\-"/>
    <numFmt numFmtId="169" formatCode="\€#,##0.00"/>
    <numFmt numFmtId="170" formatCode="0.00\x"/>
  </numFmts>
  <fonts count="48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i/>
      <sz val="20"/>
      <color theme="1"/>
      <name val="Aptos Narrow (Body)"/>
    </font>
    <font>
      <b/>
      <i/>
      <sz val="20"/>
      <color theme="1"/>
      <name val="Aptos Narrow (Body)"/>
    </font>
    <font>
      <u/>
      <sz val="16"/>
      <color theme="4" tint="-0.249977111117893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0"/>
      <color rgb="FF003366"/>
      <name val="Arial"/>
      <family val="2"/>
    </font>
    <font>
      <i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0000FF"/>
      <name val="Aptos Narrow"/>
      <scheme val="minor"/>
    </font>
    <font>
      <b/>
      <sz val="12"/>
      <color rgb="FF003366"/>
      <name val="Aptos Narrow"/>
      <scheme val="minor"/>
    </font>
    <font>
      <b/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1B2A4A"/>
      <name val="Calibri"/>
      <family val="2"/>
    </font>
    <font>
      <i/>
      <sz val="9"/>
      <color rgb="FF666666"/>
      <name val="Calibri"/>
      <family val="2"/>
    </font>
    <font>
      <b/>
      <sz val="8"/>
      <color rgb="FFFFFFFF"/>
      <name val="Calibri"/>
      <family val="2"/>
    </font>
    <font>
      <b/>
      <sz val="14"/>
      <color rgb="FF1B2A4A"/>
      <name val="Calibri"/>
      <family val="2"/>
    </font>
    <font>
      <b/>
      <sz val="11"/>
      <color rgb="FF1B2A4A"/>
      <name val="Calibri"/>
      <family val="2"/>
    </font>
    <font>
      <b/>
      <sz val="9"/>
      <color rgb="FFFFFFFF"/>
      <name val="Calibri"/>
      <family val="2"/>
    </font>
    <font>
      <sz val="9"/>
      <color rgb="FF1B2A4A"/>
      <name val="Calibri"/>
      <family val="2"/>
    </font>
    <font>
      <b/>
      <sz val="9"/>
      <color rgb="FFC00000"/>
      <name val="Calibri"/>
      <family val="2"/>
    </font>
    <font>
      <sz val="9"/>
      <color rgb="FF006100"/>
      <name val="Calibri"/>
      <family val="2"/>
    </font>
    <font>
      <b/>
      <sz val="9"/>
      <color rgb="FF006100"/>
      <name val="Calibri"/>
      <family val="2"/>
    </font>
    <font>
      <b/>
      <sz val="9"/>
      <color rgb="FF1B2A4A"/>
      <name val="Calibri"/>
      <family val="2"/>
    </font>
    <font>
      <sz val="9"/>
      <color rgb="FF9C0006"/>
      <name val="Calibri"/>
      <family val="2"/>
    </font>
    <font>
      <b/>
      <sz val="9"/>
      <color rgb="FF9C0006"/>
      <name val="Calibri"/>
      <family val="2"/>
    </font>
    <font>
      <sz val="8"/>
      <color rgb="FF666666"/>
      <name val="Calibri"/>
      <family val="2"/>
    </font>
    <font>
      <i/>
      <sz val="8"/>
      <color rgb="FF666666"/>
      <name val="Calibri"/>
      <family val="2"/>
    </font>
    <font>
      <b/>
      <i/>
      <sz val="9"/>
      <color rgb="FF1B2A4A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b/>
      <sz val="10"/>
      <color rgb="FFC00000"/>
      <name val="Calibri"/>
      <family val="2"/>
    </font>
    <font>
      <b/>
      <sz val="14"/>
      <color rgb="FFC00000"/>
      <name val="Calibri"/>
      <family val="2"/>
    </font>
    <font>
      <b/>
      <sz val="10"/>
      <color rgb="FF006100"/>
      <name val="Calibri"/>
      <family val="2"/>
    </font>
    <font>
      <b/>
      <sz val="14"/>
      <color rgb="FF006100"/>
      <name val="Calibri"/>
      <family val="2"/>
    </font>
    <font>
      <i/>
      <sz val="8"/>
      <color rgb="FF999999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153D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8ECF1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2CC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B2A4A"/>
      </top>
      <bottom style="thin">
        <color rgb="FF1B2A4A"/>
      </bottom>
      <diagonal/>
    </border>
    <border>
      <left/>
      <right/>
      <top/>
      <bottom style="medium">
        <color rgb="FF1B2A4A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6" fillId="3" borderId="4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0" xfId="0" applyFill="1" applyAlignment="1">
      <alignment horizontal="left"/>
    </xf>
    <xf numFmtId="0" fontId="2" fillId="2" borderId="9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8" fillId="2" borderId="0" xfId="0" applyFont="1" applyFill="1"/>
    <xf numFmtId="0" fontId="11" fillId="2" borderId="0" xfId="0" applyFont="1" applyFill="1"/>
    <xf numFmtId="3" fontId="10" fillId="2" borderId="0" xfId="0" applyNumberFormat="1" applyFont="1" applyFill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3" fontId="0" fillId="2" borderId="0" xfId="0" applyNumberFormat="1" applyFill="1"/>
    <xf numFmtId="0" fontId="12" fillId="2" borderId="0" xfId="0" applyFont="1" applyFill="1"/>
    <xf numFmtId="0" fontId="13" fillId="2" borderId="0" xfId="0" applyFont="1" applyFill="1"/>
    <xf numFmtId="3" fontId="13" fillId="2" borderId="0" xfId="0" applyNumberFormat="1" applyFont="1" applyFill="1"/>
    <xf numFmtId="1" fontId="13" fillId="2" borderId="0" xfId="0" applyNumberFormat="1" applyFont="1" applyFill="1"/>
    <xf numFmtId="41" fontId="0" fillId="2" borderId="0" xfId="0" applyNumberFormat="1" applyFill="1"/>
    <xf numFmtId="41" fontId="13" fillId="2" borderId="0" xfId="0" applyNumberFormat="1" applyFont="1" applyFill="1"/>
    <xf numFmtId="41" fontId="12" fillId="2" borderId="0" xfId="0" applyNumberFormat="1" applyFont="1" applyFill="1"/>
    <xf numFmtId="41" fontId="14" fillId="2" borderId="0" xfId="0" applyNumberFormat="1" applyFont="1" applyFill="1"/>
    <xf numFmtId="41" fontId="15" fillId="2" borderId="0" xfId="0" applyNumberFormat="1" applyFont="1" applyFill="1"/>
    <xf numFmtId="0" fontId="16" fillId="2" borderId="0" xfId="0" applyFont="1" applyFill="1"/>
    <xf numFmtId="0" fontId="17" fillId="2" borderId="0" xfId="0" applyFont="1" applyFill="1"/>
    <xf numFmtId="41" fontId="17" fillId="2" borderId="0" xfId="0" applyNumberFormat="1" applyFont="1" applyFill="1"/>
    <xf numFmtId="0" fontId="18" fillId="5" borderId="0" xfId="0" applyFont="1" applyFill="1"/>
    <xf numFmtId="0" fontId="19" fillId="6" borderId="0" xfId="0" applyFont="1" applyFill="1"/>
    <xf numFmtId="164" fontId="13" fillId="2" borderId="0" xfId="0" applyNumberFormat="1" applyFont="1" applyFill="1"/>
    <xf numFmtId="164" fontId="12" fillId="2" borderId="0" xfId="0" applyNumberFormat="1" applyFont="1" applyFill="1"/>
    <xf numFmtId="164" fontId="0" fillId="2" borderId="0" xfId="0" applyNumberFormat="1" applyFill="1"/>
    <xf numFmtId="4" fontId="13" fillId="2" borderId="0" xfId="0" applyNumberFormat="1" applyFont="1" applyFill="1"/>
    <xf numFmtId="165" fontId="13" fillId="2" borderId="0" xfId="0" applyNumberFormat="1" applyFont="1" applyFill="1"/>
    <xf numFmtId="165" fontId="0" fillId="2" borderId="0" xfId="0" applyNumberFormat="1" applyFill="1"/>
    <xf numFmtId="165" fontId="12" fillId="2" borderId="0" xfId="0" applyNumberFormat="1" applyFont="1" applyFill="1"/>
    <xf numFmtId="165" fontId="17" fillId="2" borderId="0" xfId="0" applyNumberFormat="1" applyFont="1" applyFill="1"/>
    <xf numFmtId="165" fontId="20" fillId="2" borderId="0" xfId="0" applyNumberFormat="1" applyFont="1" applyFill="1"/>
    <xf numFmtId="0" fontId="0" fillId="5" borderId="0" xfId="0" applyFill="1"/>
    <xf numFmtId="0" fontId="21" fillId="2" borderId="0" xfId="0" applyFont="1" applyFill="1"/>
    <xf numFmtId="0" fontId="22" fillId="2" borderId="0" xfId="0" applyFont="1" applyFill="1"/>
    <xf numFmtId="164" fontId="14" fillId="2" borderId="0" xfId="0" applyNumberFormat="1" applyFont="1" applyFill="1"/>
    <xf numFmtId="164" fontId="21" fillId="2" borderId="0" xfId="0" applyNumberFormat="1" applyFont="1" applyFill="1"/>
    <xf numFmtId="166" fontId="14" fillId="2" borderId="0" xfId="0" applyNumberFormat="1" applyFont="1" applyFill="1"/>
    <xf numFmtId="0" fontId="4" fillId="2" borderId="0" xfId="0" applyFont="1" applyFill="1" applyAlignment="1">
      <alignment horizontal="center"/>
    </xf>
    <xf numFmtId="164" fontId="11" fillId="2" borderId="0" xfId="0" applyNumberFormat="1" applyFont="1" applyFill="1"/>
    <xf numFmtId="0" fontId="12" fillId="7" borderId="0" xfId="0" applyFont="1" applyFill="1"/>
    <xf numFmtId="0" fontId="0" fillId="7" borderId="0" xfId="0" applyFill="1"/>
    <xf numFmtId="0" fontId="23" fillId="5" borderId="0" xfId="0" applyFont="1" applyFill="1"/>
    <xf numFmtId="0" fontId="23" fillId="5" borderId="0" xfId="0" applyFont="1" applyFill="1" applyAlignment="1">
      <alignment horizontal="center"/>
    </xf>
    <xf numFmtId="164" fontId="23" fillId="5" borderId="0" xfId="0" applyNumberFormat="1" applyFont="1" applyFill="1" applyAlignment="1">
      <alignment horizontal="center"/>
    </xf>
    <xf numFmtId="164" fontId="12" fillId="7" borderId="0" xfId="0" applyNumberFormat="1" applyFont="1" applyFill="1" applyAlignment="1">
      <alignment horizontal="center"/>
    </xf>
    <xf numFmtId="167" fontId="0" fillId="2" borderId="0" xfId="0" applyNumberFormat="1" applyFill="1"/>
    <xf numFmtId="0" fontId="12" fillId="6" borderId="0" xfId="0" applyFont="1" applyFill="1"/>
    <xf numFmtId="164" fontId="12" fillId="6" borderId="0" xfId="0" applyNumberFormat="1" applyFont="1" applyFill="1" applyAlignment="1">
      <alignment horizontal="center"/>
    </xf>
    <xf numFmtId="0" fontId="0" fillId="6" borderId="0" xfId="0" applyFill="1"/>
    <xf numFmtId="167" fontId="0" fillId="6" borderId="0" xfId="0" applyNumberFormat="1" applyFill="1"/>
    <xf numFmtId="166" fontId="23" fillId="5" borderId="0" xfId="0" applyNumberFormat="1" applyFont="1" applyFill="1" applyAlignment="1">
      <alignment horizontal="center"/>
    </xf>
    <xf numFmtId="167" fontId="12" fillId="7" borderId="0" xfId="0" applyNumberFormat="1" applyFont="1" applyFill="1"/>
    <xf numFmtId="165" fontId="21" fillId="2" borderId="0" xfId="0" applyNumberFormat="1" applyFont="1" applyFill="1"/>
    <xf numFmtId="168" fontId="21" fillId="2" borderId="0" xfId="0" applyNumberFormat="1" applyFont="1" applyFill="1"/>
    <xf numFmtId="165" fontId="4" fillId="2" borderId="0" xfId="0" applyNumberFormat="1" applyFont="1" applyFill="1"/>
    <xf numFmtId="165" fontId="4" fillId="7" borderId="0" xfId="0" applyNumberFormat="1" applyFont="1" applyFill="1"/>
    <xf numFmtId="165" fontId="12" fillId="7" borderId="0" xfId="0" applyNumberFormat="1" applyFont="1" applyFill="1"/>
    <xf numFmtId="166" fontId="17" fillId="2" borderId="0" xfId="0" applyNumberFormat="1" applyFont="1" applyFill="1"/>
    <xf numFmtId="166" fontId="0" fillId="2" borderId="0" xfId="0" applyNumberFormat="1" applyFill="1"/>
    <xf numFmtId="164" fontId="17" fillId="2" borderId="0" xfId="0" applyNumberFormat="1" applyFont="1" applyFill="1"/>
    <xf numFmtId="168" fontId="0" fillId="2" borderId="0" xfId="0" applyNumberFormat="1" applyFill="1"/>
    <xf numFmtId="169" fontId="12" fillId="7" borderId="0" xfId="0" applyNumberFormat="1" applyFont="1" applyFill="1"/>
    <xf numFmtId="169" fontId="17" fillId="2" borderId="0" xfId="0" applyNumberFormat="1" applyFont="1" applyFill="1"/>
    <xf numFmtId="170" fontId="14" fillId="2" borderId="0" xfId="0" applyNumberFormat="1" applyFont="1" applyFill="1"/>
    <xf numFmtId="164" fontId="4" fillId="2" borderId="0" xfId="0" applyNumberFormat="1" applyFont="1" applyFill="1"/>
    <xf numFmtId="0" fontId="23" fillId="5" borderId="0" xfId="0" applyFont="1" applyFill="1" applyAlignment="1">
      <alignment horizontal="center" wrapText="1"/>
    </xf>
    <xf numFmtId="169" fontId="0" fillId="6" borderId="0" xfId="0" applyNumberFormat="1" applyFill="1"/>
    <xf numFmtId="165" fontId="0" fillId="6" borderId="0" xfId="0" applyNumberFormat="1" applyFill="1"/>
    <xf numFmtId="3" fontId="0" fillId="6" borderId="0" xfId="0" applyNumberFormat="1" applyFill="1"/>
    <xf numFmtId="166" fontId="0" fillId="6" borderId="0" xfId="0" applyNumberFormat="1" applyFill="1"/>
    <xf numFmtId="0" fontId="0" fillId="6" borderId="0" xfId="0" applyFill="1" applyAlignment="1">
      <alignment horizontal="center"/>
    </xf>
    <xf numFmtId="169" fontId="0" fillId="2" borderId="0" xfId="0" applyNumberFormat="1" applyFill="1"/>
    <xf numFmtId="0" fontId="0" fillId="2" borderId="0" xfId="0" applyFill="1" applyAlignment="1">
      <alignment horizontal="center"/>
    </xf>
    <xf numFmtId="3" fontId="12" fillId="7" borderId="0" xfId="0" applyNumberFormat="1" applyFont="1" applyFill="1"/>
    <xf numFmtId="166" fontId="12" fillId="7" borderId="0" xfId="0" applyNumberFormat="1" applyFont="1" applyFill="1"/>
    <xf numFmtId="164" fontId="0" fillId="6" borderId="0" xfId="0" applyNumberFormat="1" applyFill="1"/>
    <xf numFmtId="164" fontId="12" fillId="7" borderId="0" xfId="0" applyNumberFormat="1" applyFont="1" applyFill="1"/>
    <xf numFmtId="170" fontId="0" fillId="6" borderId="0" xfId="0" applyNumberFormat="1" applyFill="1"/>
    <xf numFmtId="170" fontId="0" fillId="2" borderId="0" xfId="0" applyNumberFormat="1" applyFill="1"/>
    <xf numFmtId="170" fontId="12" fillId="7" borderId="0" xfId="0" applyNumberFormat="1" applyFont="1" applyFill="1"/>
    <xf numFmtId="0" fontId="4" fillId="8" borderId="0" xfId="0" applyFont="1" applyFill="1"/>
    <xf numFmtId="0" fontId="0" fillId="8" borderId="0" xfId="0" applyFill="1"/>
    <xf numFmtId="0" fontId="21" fillId="8" borderId="0" xfId="0" applyFont="1" applyFill="1"/>
    <xf numFmtId="164" fontId="4" fillId="8" borderId="0" xfId="0" applyNumberFormat="1" applyFont="1" applyFill="1"/>
    <xf numFmtId="0" fontId="12" fillId="2" borderId="0" xfId="0" applyFont="1" applyFill="1" applyAlignment="1">
      <alignment horizontal="center"/>
    </xf>
    <xf numFmtId="0" fontId="20" fillId="2" borderId="0" xfId="0" applyFont="1" applyFill="1"/>
    <xf numFmtId="169" fontId="12" fillId="2" borderId="0" xfId="0" applyNumberFormat="1" applyFont="1" applyFill="1" applyAlignment="1">
      <alignment horizontal="center"/>
    </xf>
    <xf numFmtId="0" fontId="24" fillId="2" borderId="0" xfId="0" applyFont="1" applyFill="1"/>
    <xf numFmtId="169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5" fontId="0" fillId="2" borderId="0" xfId="0" applyNumberForma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26" fillId="2" borderId="0" xfId="0" applyFont="1" applyFill="1"/>
    <xf numFmtId="0" fontId="27" fillId="9" borderId="0" xfId="0" applyFont="1" applyFill="1" applyAlignment="1">
      <alignment horizontal="center"/>
    </xf>
    <xf numFmtId="0" fontId="0" fillId="9" borderId="0" xfId="0" applyFill="1"/>
    <xf numFmtId="0" fontId="28" fillId="10" borderId="0" xfId="0" applyFont="1" applyFill="1" applyAlignment="1">
      <alignment horizontal="center"/>
    </xf>
    <xf numFmtId="0" fontId="0" fillId="10" borderId="0" xfId="0" applyFill="1"/>
    <xf numFmtId="10" fontId="28" fillId="10" borderId="0" xfId="0" applyNumberFormat="1" applyFont="1" applyFill="1" applyAlignment="1">
      <alignment horizontal="center"/>
    </xf>
    <xf numFmtId="0" fontId="29" fillId="2" borderId="0" xfId="0" applyFont="1" applyFill="1"/>
    <xf numFmtId="0" fontId="30" fillId="9" borderId="0" xfId="0" applyFont="1" applyFill="1"/>
    <xf numFmtId="0" fontId="30" fillId="9" borderId="0" xfId="0" applyFont="1" applyFill="1" applyAlignment="1">
      <alignment horizontal="left"/>
    </xf>
    <xf numFmtId="0" fontId="30" fillId="9" borderId="0" xfId="0" applyFont="1" applyFill="1" applyAlignment="1">
      <alignment horizontal="center"/>
    </xf>
    <xf numFmtId="0" fontId="31" fillId="2" borderId="0" xfId="0" applyFont="1" applyFill="1"/>
    <xf numFmtId="0" fontId="31" fillId="11" borderId="0" xfId="0" applyFont="1" applyFill="1"/>
    <xf numFmtId="0" fontId="31" fillId="11" borderId="0" xfId="0" applyFont="1" applyFill="1" applyAlignment="1">
      <alignment horizontal="center"/>
    </xf>
    <xf numFmtId="3" fontId="31" fillId="11" borderId="0" xfId="0" applyNumberFormat="1" applyFont="1" applyFill="1" applyAlignment="1">
      <alignment horizontal="center"/>
    </xf>
    <xf numFmtId="0" fontId="31" fillId="12" borderId="0" xfId="0" applyFont="1" applyFill="1"/>
    <xf numFmtId="0" fontId="31" fillId="12" borderId="0" xfId="0" applyFont="1" applyFill="1" applyAlignment="1">
      <alignment horizontal="center"/>
    </xf>
    <xf numFmtId="3" fontId="31" fillId="12" borderId="0" xfId="0" applyNumberFormat="1" applyFont="1" applyFill="1" applyAlignment="1">
      <alignment horizontal="center"/>
    </xf>
    <xf numFmtId="0" fontId="32" fillId="2" borderId="0" xfId="0" applyFont="1" applyFill="1"/>
    <xf numFmtId="3" fontId="32" fillId="2" borderId="0" xfId="0" applyNumberFormat="1" applyFont="1" applyFill="1" applyAlignment="1">
      <alignment horizontal="center"/>
    </xf>
    <xf numFmtId="0" fontId="34" fillId="13" borderId="0" xfId="0" applyFont="1" applyFill="1"/>
    <xf numFmtId="3" fontId="33" fillId="13" borderId="0" xfId="0" applyNumberFormat="1" applyFont="1" applyFill="1" applyAlignment="1">
      <alignment horizontal="center"/>
    </xf>
    <xf numFmtId="0" fontId="35" fillId="14" borderId="0" xfId="0" applyFont="1" applyFill="1"/>
    <xf numFmtId="3" fontId="31" fillId="14" borderId="0" xfId="0" applyNumberFormat="1" applyFont="1" applyFill="1" applyAlignment="1">
      <alignment horizontal="center"/>
    </xf>
    <xf numFmtId="0" fontId="37" fillId="15" borderId="0" xfId="0" applyFont="1" applyFill="1"/>
    <xf numFmtId="3" fontId="36" fillId="15" borderId="0" xfId="0" applyNumberFormat="1" applyFont="1" applyFill="1" applyAlignment="1">
      <alignment horizontal="center"/>
    </xf>
    <xf numFmtId="0" fontId="39" fillId="2" borderId="0" xfId="0" applyFont="1" applyFill="1"/>
    <xf numFmtId="0" fontId="38" fillId="2" borderId="0" xfId="0" applyFont="1" applyFill="1" applyAlignment="1">
      <alignment horizontal="center"/>
    </xf>
    <xf numFmtId="0" fontId="35" fillId="11" borderId="0" xfId="0" applyFont="1" applyFill="1"/>
    <xf numFmtId="0" fontId="39" fillId="11" borderId="0" xfId="0" applyFont="1" applyFill="1"/>
    <xf numFmtId="0" fontId="0" fillId="11" borderId="0" xfId="0" applyFill="1"/>
    <xf numFmtId="10" fontId="39" fillId="11" borderId="0" xfId="0" applyNumberFormat="1" applyFont="1" applyFill="1" applyAlignment="1">
      <alignment horizontal="center"/>
    </xf>
    <xf numFmtId="0" fontId="35" fillId="12" borderId="0" xfId="0" applyFont="1" applyFill="1"/>
    <xf numFmtId="0" fontId="39" fillId="12" borderId="0" xfId="0" applyFont="1" applyFill="1"/>
    <xf numFmtId="10" fontId="39" fillId="12" borderId="0" xfId="0" applyNumberFormat="1" applyFont="1" applyFill="1" applyAlignment="1">
      <alignment horizontal="center"/>
    </xf>
    <xf numFmtId="10" fontId="31" fillId="11" borderId="0" xfId="0" applyNumberFormat="1" applyFont="1" applyFill="1" applyAlignment="1">
      <alignment horizontal="center"/>
    </xf>
    <xf numFmtId="10" fontId="31" fillId="12" borderId="0" xfId="0" applyNumberFormat="1" applyFont="1" applyFill="1" applyAlignment="1">
      <alignment horizontal="center"/>
    </xf>
    <xf numFmtId="0" fontId="32" fillId="11" borderId="0" xfId="0" applyFont="1" applyFill="1"/>
    <xf numFmtId="10" fontId="32" fillId="11" borderId="0" xfId="0" applyNumberFormat="1" applyFont="1" applyFill="1" applyAlignment="1">
      <alignment horizontal="center"/>
    </xf>
    <xf numFmtId="0" fontId="35" fillId="12" borderId="17" xfId="0" applyFont="1" applyFill="1" applyBorder="1"/>
    <xf numFmtId="3" fontId="35" fillId="12" borderId="17" xfId="0" applyNumberFormat="1" applyFont="1" applyFill="1" applyBorder="1" applyAlignment="1">
      <alignment horizontal="center"/>
    </xf>
    <xf numFmtId="165" fontId="31" fillId="11" borderId="0" xfId="0" applyNumberFormat="1" applyFont="1" applyFill="1" applyAlignment="1">
      <alignment horizontal="center"/>
    </xf>
    <xf numFmtId="169" fontId="35" fillId="12" borderId="17" xfId="0" applyNumberFormat="1" applyFont="1" applyFill="1" applyBorder="1" applyAlignment="1">
      <alignment horizontal="center"/>
    </xf>
    <xf numFmtId="169" fontId="32" fillId="11" borderId="0" xfId="0" applyNumberFormat="1" applyFont="1" applyFill="1" applyAlignment="1">
      <alignment horizontal="center"/>
    </xf>
    <xf numFmtId="0" fontId="35" fillId="14" borderId="0" xfId="0" applyFont="1" applyFill="1" applyAlignment="1">
      <alignment horizontal="left"/>
    </xf>
    <xf numFmtId="0" fontId="35" fillId="14" borderId="0" xfId="0" applyFont="1" applyFill="1" applyAlignment="1">
      <alignment horizontal="center"/>
    </xf>
    <xf numFmtId="10" fontId="35" fillId="14" borderId="0" xfId="0" applyNumberFormat="1" applyFont="1" applyFill="1" applyAlignment="1">
      <alignment horizontal="center"/>
    </xf>
    <xf numFmtId="0" fontId="31" fillId="11" borderId="0" xfId="0" applyFont="1" applyFill="1" applyAlignment="1">
      <alignment horizontal="left"/>
    </xf>
    <xf numFmtId="0" fontId="31" fillId="12" borderId="0" xfId="0" applyFont="1" applyFill="1" applyAlignment="1">
      <alignment horizontal="left"/>
    </xf>
    <xf numFmtId="0" fontId="0" fillId="12" borderId="0" xfId="0" applyFill="1"/>
    <xf numFmtId="0" fontId="35" fillId="10" borderId="0" xfId="0" applyFont="1" applyFill="1" applyAlignment="1">
      <alignment horizontal="left"/>
    </xf>
    <xf numFmtId="0" fontId="35" fillId="10" borderId="0" xfId="0" applyFont="1" applyFill="1" applyAlignment="1">
      <alignment horizontal="center"/>
    </xf>
    <xf numFmtId="10" fontId="35" fillId="10" borderId="0" xfId="0" applyNumberFormat="1" applyFont="1" applyFill="1" applyAlignment="1">
      <alignment horizontal="center"/>
    </xf>
    <xf numFmtId="0" fontId="35" fillId="16" borderId="0" xfId="0" applyFont="1" applyFill="1" applyAlignment="1">
      <alignment horizontal="left"/>
    </xf>
    <xf numFmtId="10" fontId="34" fillId="16" borderId="0" xfId="0" applyNumberFormat="1" applyFont="1" applyFill="1" applyAlignment="1">
      <alignment horizontal="center"/>
    </xf>
    <xf numFmtId="10" fontId="32" fillId="16" borderId="0" xfId="0" applyNumberFormat="1" applyFont="1" applyFill="1" applyAlignment="1">
      <alignment horizontal="center"/>
    </xf>
    <xf numFmtId="0" fontId="35" fillId="11" borderId="0" xfId="0" applyFont="1" applyFill="1" applyAlignment="1">
      <alignment horizontal="left"/>
    </xf>
    <xf numFmtId="0" fontId="35" fillId="12" borderId="0" xfId="0" applyFont="1" applyFill="1" applyAlignment="1">
      <alignment horizontal="left"/>
    </xf>
    <xf numFmtId="0" fontId="40" fillId="2" borderId="0" xfId="0" applyFont="1" applyFill="1"/>
    <xf numFmtId="10" fontId="30" fillId="9" borderId="0" xfId="0" applyNumberFormat="1" applyFont="1" applyFill="1" applyAlignment="1">
      <alignment horizontal="center"/>
    </xf>
    <xf numFmtId="167" fontId="31" fillId="12" borderId="0" xfId="0" applyNumberFormat="1" applyFont="1" applyFill="1" applyAlignment="1">
      <alignment horizontal="center"/>
    </xf>
    <xf numFmtId="167" fontId="31" fillId="11" borderId="0" xfId="0" applyNumberFormat="1" applyFont="1" applyFill="1" applyAlignment="1">
      <alignment horizontal="center"/>
    </xf>
    <xf numFmtId="167" fontId="35" fillId="6" borderId="0" xfId="0" applyNumberFormat="1" applyFont="1" applyFill="1" applyAlignment="1">
      <alignment horizontal="center"/>
    </xf>
    <xf numFmtId="9" fontId="31" fillId="11" borderId="0" xfId="0" applyNumberFormat="1" applyFont="1" applyFill="1" applyAlignment="1">
      <alignment horizontal="center"/>
    </xf>
    <xf numFmtId="9" fontId="31" fillId="12" borderId="0" xfId="0" applyNumberFormat="1" applyFont="1" applyFill="1" applyAlignment="1">
      <alignment horizontal="center"/>
    </xf>
    <xf numFmtId="0" fontId="41" fillId="9" borderId="0" xfId="0" applyFont="1" applyFill="1"/>
    <xf numFmtId="0" fontId="42" fillId="9" borderId="0" xfId="0" applyFont="1" applyFill="1" applyAlignment="1">
      <alignment horizontal="center"/>
    </xf>
    <xf numFmtId="0" fontId="43" fillId="10" borderId="0" xfId="0" applyFont="1" applyFill="1"/>
    <xf numFmtId="0" fontId="44" fillId="10" borderId="0" xfId="0" applyFont="1" applyFill="1" applyAlignment="1">
      <alignment horizontal="center"/>
    </xf>
    <xf numFmtId="0" fontId="45" fillId="13" borderId="0" xfId="0" applyFont="1" applyFill="1"/>
    <xf numFmtId="0" fontId="0" fillId="13" borderId="0" xfId="0" applyFill="1"/>
    <xf numFmtId="10" fontId="46" fillId="13" borderId="0" xfId="0" applyNumberFormat="1" applyFont="1" applyFill="1" applyAlignment="1">
      <alignment horizontal="center"/>
    </xf>
    <xf numFmtId="0" fontId="47" fillId="2" borderId="0" xfId="0" applyFont="1" applyFill="1"/>
    <xf numFmtId="0" fontId="25" fillId="2" borderId="18" xfId="0" applyFont="1" applyFill="1" applyBorder="1"/>
    <xf numFmtId="0" fontId="0" fillId="2" borderId="18" xfId="0" applyFill="1" applyBorder="1"/>
    <xf numFmtId="0" fontId="18" fillId="5" borderId="0" xfId="0" applyFont="1" applyFill="1" applyAlignment="1">
      <alignment horizontal="center"/>
    </xf>
    <xf numFmtId="0" fontId="9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 Football Field — Implied Share Price (€)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Summary!$C$9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Summary!$B$10:$B$13</c:f>
              <c:strCache>
                <c:ptCount val="4"/>
                <c:pt idx="0">
                  <c:v>DCF — Perpetuity Growth</c:v>
                </c:pt>
                <c:pt idx="1">
                  <c:v>DCF — Exit Multiple</c:v>
                </c:pt>
                <c:pt idx="2">
                  <c:v>Comps — EV/EBITDA</c:v>
                </c:pt>
                <c:pt idx="3">
                  <c:v>Comps — EV/Revenue</c:v>
                </c:pt>
              </c:strCache>
            </c:strRef>
          </c:cat>
          <c:val>
            <c:numRef>
              <c:f>Summary!$C$10:$C$13</c:f>
              <c:numCache>
                <c:formatCode>#,##0</c:formatCode>
                <c:ptCount val="4"/>
                <c:pt idx="0">
                  <c:v>418.4</c:v>
                </c:pt>
                <c:pt idx="1">
                  <c:v>546.45000000000005</c:v>
                </c:pt>
                <c:pt idx="2">
                  <c:v>862.27</c:v>
                </c:pt>
                <c:pt idx="3">
                  <c:v>907.57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6-5046-81BF-A2C3C721C4CD}"/>
            </c:ext>
          </c:extLst>
        </c:ser>
        <c:ser>
          <c:idx val="1"/>
          <c:order val="1"/>
          <c:tx>
            <c:strRef>
              <c:f>Summary!$D$9</c:f>
              <c:strCache>
                <c:ptCount val="1"/>
                <c:pt idx="0">
                  <c:v>Range Width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Summary!$B$10:$B$13</c:f>
              <c:strCache>
                <c:ptCount val="4"/>
                <c:pt idx="0">
                  <c:v>DCF — Perpetuity Growth</c:v>
                </c:pt>
                <c:pt idx="1">
                  <c:v>DCF — Exit Multiple</c:v>
                </c:pt>
                <c:pt idx="2">
                  <c:v>Comps — EV/EBITDA</c:v>
                </c:pt>
                <c:pt idx="3">
                  <c:v>Comps — EV/Revenue</c:v>
                </c:pt>
              </c:strCache>
            </c:strRef>
          </c:cat>
          <c:val>
            <c:numRef>
              <c:f>Summary!$D$10:$D$13</c:f>
              <c:numCache>
                <c:formatCode>#,##0</c:formatCode>
                <c:ptCount val="4"/>
                <c:pt idx="0">
                  <c:v>136.38999999999999</c:v>
                </c:pt>
                <c:pt idx="1">
                  <c:v>136.59999999999991</c:v>
                </c:pt>
                <c:pt idx="2">
                  <c:v>98.460000000000036</c:v>
                </c:pt>
                <c:pt idx="3">
                  <c:v>101.9899999999999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6-5046-81BF-A2C3C721C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78335"/>
        <c:axId val="41488319"/>
      </c:barChart>
      <c:catAx>
        <c:axId val="15878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8319"/>
        <c:crosses val="autoZero"/>
        <c:auto val="1"/>
        <c:lblAlgn val="ctr"/>
        <c:lblOffset val="100"/>
        <c:noMultiLvlLbl val="0"/>
      </c:catAx>
      <c:valAx>
        <c:axId val="4148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Growth Scenarios (€mm)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Summary!$B$19</c:f>
              <c:strCache>
                <c:ptCount val="1"/>
                <c:pt idx="0">
                  <c:v>Bull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Summary!$C$18:$H$18</c:f>
              <c:strCache>
                <c:ptCount val="6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</c:strCache>
            </c:strRef>
          </c:cat>
          <c:val>
            <c:numRef>
              <c:f>Summary!$C$19:$H$19</c:f>
              <c:numCache>
                <c:formatCode>#,##0</c:formatCode>
                <c:ptCount val="6"/>
                <c:pt idx="0">
                  <c:v>28262.9</c:v>
                </c:pt>
                <c:pt idx="1">
                  <c:v>33915.5</c:v>
                </c:pt>
                <c:pt idx="2">
                  <c:v>40020.300000000003</c:v>
                </c:pt>
                <c:pt idx="3">
                  <c:v>46023.3</c:v>
                </c:pt>
                <c:pt idx="4">
                  <c:v>51546.1</c:v>
                </c:pt>
                <c:pt idx="5">
                  <c:v>56700.7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B-9F45-84A9-BE52EB36F420}"/>
            </c:ext>
          </c:extLst>
        </c:ser>
        <c:ser>
          <c:idx val="1"/>
          <c:order val="1"/>
          <c:tx>
            <c:strRef>
              <c:f>Summary!$B$20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Summary!$C$18:$H$18</c:f>
              <c:strCache>
                <c:ptCount val="6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</c:strCache>
            </c:strRef>
          </c:cat>
          <c:val>
            <c:numRef>
              <c:f>Summary!$C$20:$H$20</c:f>
              <c:numCache>
                <c:formatCode>#,##0</c:formatCode>
                <c:ptCount val="6"/>
                <c:pt idx="0">
                  <c:v>28262.9</c:v>
                </c:pt>
                <c:pt idx="1">
                  <c:v>32502.3</c:v>
                </c:pt>
                <c:pt idx="2">
                  <c:v>36402.6</c:v>
                </c:pt>
                <c:pt idx="3">
                  <c:v>40042.9</c:v>
                </c:pt>
                <c:pt idx="4">
                  <c:v>43246.3</c:v>
                </c:pt>
                <c:pt idx="5">
                  <c:v>45841.1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B-9F45-84A9-BE52EB36F420}"/>
            </c:ext>
          </c:extLst>
        </c:ser>
        <c:ser>
          <c:idx val="2"/>
          <c:order val="2"/>
          <c:tx>
            <c:strRef>
              <c:f>Summary!$B$21</c:f>
              <c:strCache>
                <c:ptCount val="1"/>
                <c:pt idx="0">
                  <c:v>Bear 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Summary!$C$18:$H$18</c:f>
              <c:strCache>
                <c:ptCount val="6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</c:strCache>
            </c:strRef>
          </c:cat>
          <c:val>
            <c:numRef>
              <c:f>Summary!$C$21:$H$21</c:f>
              <c:numCache>
                <c:formatCode>#,##0</c:formatCode>
                <c:ptCount val="6"/>
                <c:pt idx="0">
                  <c:v>28262.9</c:v>
                </c:pt>
                <c:pt idx="1">
                  <c:v>29676</c:v>
                </c:pt>
                <c:pt idx="2">
                  <c:v>30566.3</c:v>
                </c:pt>
                <c:pt idx="3">
                  <c:v>31789</c:v>
                </c:pt>
                <c:pt idx="4">
                  <c:v>33378.400000000001</c:v>
                </c:pt>
                <c:pt idx="5">
                  <c:v>34713.599999999999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0B-9F45-84A9-BE52EB36F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0591"/>
        <c:axId val="12915967"/>
      </c:lineChart>
      <c:catAx>
        <c:axId val="1291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5967"/>
        <c:crosses val="autoZero"/>
        <c:auto val="1"/>
        <c:lblAlgn val="ctr"/>
        <c:lblOffset val="100"/>
        <c:noMultiLvlLbl val="0"/>
      </c:catAx>
      <c:valAx>
        <c:axId val="1291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Expansion 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Summary!$B$66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Summary!$C$65:$H$65</c:f>
              <c:strCache>
                <c:ptCount val="6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</c:strCache>
            </c:strRef>
          </c:cat>
          <c:val>
            <c:numRef>
              <c:f>Summary!$C$66:$H$66</c:f>
              <c:numCache>
                <c:formatCode>0.00%</c:formatCode>
                <c:ptCount val="6"/>
                <c:pt idx="0">
                  <c:v>0.53300000000000003</c:v>
                </c:pt>
                <c:pt idx="1">
                  <c:v>0.55000000000000004</c:v>
                </c:pt>
                <c:pt idx="2">
                  <c:v>0.56000000000000005</c:v>
                </c:pt>
                <c:pt idx="3">
                  <c:v>0.56999999999999995</c:v>
                </c:pt>
                <c:pt idx="4">
                  <c:v>0.57999999999999996</c:v>
                </c:pt>
                <c:pt idx="5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96-8F4F-A507-8CA5E6429E04}"/>
            </c:ext>
          </c:extLst>
        </c:ser>
        <c:ser>
          <c:idx val="1"/>
          <c:order val="1"/>
          <c:tx>
            <c:strRef>
              <c:f>Summary!$B$67</c:f>
              <c:strCache>
                <c:ptCount val="1"/>
                <c:pt idx="0">
                  <c:v>EBIT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Summary!$C$65:$H$65</c:f>
              <c:strCache>
                <c:ptCount val="6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</c:strCache>
            </c:strRef>
          </c:cat>
          <c:val>
            <c:numRef>
              <c:f>Summary!$C$67:$H$67</c:f>
              <c:numCache>
                <c:formatCode>0.00%</c:formatCode>
                <c:ptCount val="6"/>
                <c:pt idx="0">
                  <c:v>0.31900000000000001</c:v>
                </c:pt>
                <c:pt idx="1">
                  <c:v>0.33700000000000002</c:v>
                </c:pt>
                <c:pt idx="2">
                  <c:v>0.35599999999999998</c:v>
                </c:pt>
                <c:pt idx="3">
                  <c:v>0.374</c:v>
                </c:pt>
                <c:pt idx="4">
                  <c:v>0.39100000000000001</c:v>
                </c:pt>
                <c:pt idx="5">
                  <c:v>0.39700000000000002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96-8F4F-A507-8CA5E6429E04}"/>
            </c:ext>
          </c:extLst>
        </c:ser>
        <c:ser>
          <c:idx val="2"/>
          <c:order val="2"/>
          <c:tx>
            <c:strRef>
              <c:f>Summary!$B$68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Summary!$C$65:$H$65</c:f>
              <c:strCache>
                <c:ptCount val="6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</c:strCache>
            </c:strRef>
          </c:cat>
          <c:val>
            <c:numRef>
              <c:f>Summary!$C$68:$H$68</c:f>
              <c:numCache>
                <c:formatCode>0.00%</c:formatCode>
                <c:ptCount val="6"/>
                <c:pt idx="0">
                  <c:v>0.26800000000000002</c:v>
                </c:pt>
                <c:pt idx="1">
                  <c:v>0.28699999999999998</c:v>
                </c:pt>
                <c:pt idx="2">
                  <c:v>0.30299999999999999</c:v>
                </c:pt>
                <c:pt idx="3">
                  <c:v>0.32</c:v>
                </c:pt>
                <c:pt idx="4">
                  <c:v>0.33700000000000002</c:v>
                </c:pt>
                <c:pt idx="5">
                  <c:v>0.34399999999999997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96-8F4F-A507-8CA5E6429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95615"/>
        <c:axId val="65298751"/>
      </c:lineChart>
      <c:catAx>
        <c:axId val="6529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98751"/>
        <c:crosses val="autoZero"/>
        <c:auto val="1"/>
        <c:lblAlgn val="ctr"/>
        <c:lblOffset val="100"/>
        <c:noMultiLvlLbl val="0"/>
      </c:catAx>
      <c:valAx>
        <c:axId val="6529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9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&amp; EBIT Growth (€mm)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Summary!$C$26:$J$26</c:f>
              <c:strCache>
                <c:ptCount val="8"/>
                <c:pt idx="0">
                  <c:v>2022A</c:v>
                </c:pt>
                <c:pt idx="1">
                  <c:v>2023A</c:v>
                </c:pt>
                <c:pt idx="2">
                  <c:v>2024A</c:v>
                </c:pt>
                <c:pt idx="3">
                  <c:v>2025E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</c:strCache>
            </c:strRef>
          </c:cat>
          <c:val>
            <c:numRef>
              <c:f>Summary!$C$27:$J$27</c:f>
              <c:numCache>
                <c:formatCode>#,##0</c:formatCode>
                <c:ptCount val="8"/>
                <c:pt idx="0">
                  <c:v>21173.4</c:v>
                </c:pt>
                <c:pt idx="1">
                  <c:v>27558.5</c:v>
                </c:pt>
                <c:pt idx="2">
                  <c:v>28262.9</c:v>
                </c:pt>
                <c:pt idx="3">
                  <c:v>33915.5</c:v>
                </c:pt>
                <c:pt idx="4">
                  <c:v>40020.300000000003</c:v>
                </c:pt>
                <c:pt idx="5">
                  <c:v>46023.3</c:v>
                </c:pt>
                <c:pt idx="6">
                  <c:v>51546.1</c:v>
                </c:pt>
                <c:pt idx="7">
                  <c:v>56700.7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8-1549-989C-AFA36BB9F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45791"/>
        <c:axId val="16757887"/>
      </c:barChart>
      <c:catAx>
        <c:axId val="1674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7887"/>
        <c:crosses val="autoZero"/>
        <c:auto val="1"/>
        <c:lblAlgn val="ctr"/>
        <c:lblOffset val="100"/>
        <c:noMultiLvlLbl val="0"/>
      </c:catAx>
      <c:valAx>
        <c:axId val="1675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P&amp;L Progression — Revenue to FCF (€mm)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Summary!$I$54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Summary!$J$53:$N$53</c:f>
              <c:strCache>
                <c:ptCount val="5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</c:strCache>
            </c:strRef>
          </c:cat>
          <c:val>
            <c:numRef>
              <c:f>Summary!$J$54:$N$54</c:f>
              <c:numCache>
                <c:formatCode>General</c:formatCode>
                <c:ptCount val="5"/>
                <c:pt idx="0">
                  <c:v>28263</c:v>
                </c:pt>
                <c:pt idx="1">
                  <c:v>33916</c:v>
                </c:pt>
                <c:pt idx="2">
                  <c:v>40020</c:v>
                </c:pt>
                <c:pt idx="3">
                  <c:v>46023</c:v>
                </c:pt>
                <c:pt idx="4">
                  <c:v>51546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B-8C46-A180-F27862CC3230}"/>
            </c:ext>
          </c:extLst>
        </c:ser>
        <c:ser>
          <c:idx val="1"/>
          <c:order val="1"/>
          <c:tx>
            <c:strRef>
              <c:f>Summary!$I$55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Summary!$J$53:$N$53</c:f>
              <c:strCache>
                <c:ptCount val="5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</c:strCache>
            </c:strRef>
          </c:cat>
          <c:val>
            <c:numRef>
              <c:f>Summary!$J$55:$N$55</c:f>
              <c:numCache>
                <c:formatCode>General</c:formatCode>
                <c:ptCount val="5"/>
                <c:pt idx="0">
                  <c:v>9023</c:v>
                </c:pt>
                <c:pt idx="1">
                  <c:v>11416</c:v>
                </c:pt>
                <c:pt idx="2">
                  <c:v>14235</c:v>
                </c:pt>
                <c:pt idx="3">
                  <c:v>17224</c:v>
                </c:pt>
                <c:pt idx="4">
                  <c:v>20174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B-8C46-A180-F27862CC3230}"/>
            </c:ext>
          </c:extLst>
        </c:ser>
        <c:ser>
          <c:idx val="2"/>
          <c:order val="2"/>
          <c:tx>
            <c:strRef>
              <c:f>Summary!$I$56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Summary!$J$53:$N$53</c:f>
              <c:strCache>
                <c:ptCount val="5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</c:strCache>
            </c:strRef>
          </c:cat>
          <c:val>
            <c:numRef>
              <c:f>Summary!$J$56:$N$56</c:f>
              <c:numCache>
                <c:formatCode>General</c:formatCode>
                <c:ptCount val="5"/>
                <c:pt idx="0">
                  <c:v>7572</c:v>
                </c:pt>
                <c:pt idx="1">
                  <c:v>9737</c:v>
                </c:pt>
                <c:pt idx="2">
                  <c:v>12126</c:v>
                </c:pt>
                <c:pt idx="3">
                  <c:v>14736</c:v>
                </c:pt>
                <c:pt idx="4">
                  <c:v>17351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B-8C46-A180-F27862CC3230}"/>
            </c:ext>
          </c:extLst>
        </c:ser>
        <c:ser>
          <c:idx val="3"/>
          <c:order val="3"/>
          <c:tx>
            <c:strRef>
              <c:f>Summary!$I$57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Summary!$J$53:$N$53</c:f>
              <c:strCache>
                <c:ptCount val="5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</c:strCache>
            </c:strRef>
          </c:cat>
          <c:val>
            <c:numRef>
              <c:f>Summary!$J$57:$N$57</c:f>
              <c:numCache>
                <c:formatCode>General</c:formatCode>
                <c:ptCount val="5"/>
                <c:pt idx="0">
                  <c:v>8401</c:v>
                </c:pt>
                <c:pt idx="1">
                  <c:v>9922</c:v>
                </c:pt>
                <c:pt idx="2">
                  <c:v>11664</c:v>
                </c:pt>
                <c:pt idx="3">
                  <c:v>13919</c:v>
                </c:pt>
                <c:pt idx="4">
                  <c:v>16137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EB-8C46-A180-F27862CC3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7887"/>
        <c:axId val="22699007"/>
      </c:barChart>
      <c:catAx>
        <c:axId val="1587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99007"/>
        <c:crosses val="autoZero"/>
        <c:auto val="1"/>
        <c:lblAlgn val="ctr"/>
        <c:lblOffset val="100"/>
        <c:noMultiLvlLbl val="0"/>
      </c:catAx>
      <c:valAx>
        <c:axId val="2269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0</xdr:rowOff>
    </xdr:from>
    <xdr:to>
      <xdr:col>13</xdr:col>
      <xdr:colOff>444500</xdr:colOff>
      <xdr:row>20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69258-0CEA-C827-ADC7-9799EB832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13</xdr:col>
      <xdr:colOff>444500</xdr:colOff>
      <xdr:row>29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43633C-E18E-F989-8B23-C75A4C864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63</xdr:row>
      <xdr:rowOff>0</xdr:rowOff>
    </xdr:from>
    <xdr:to>
      <xdr:col>13</xdr:col>
      <xdr:colOff>444500</xdr:colOff>
      <xdr:row>76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39610C-F052-91D8-2FA5-299C9FA80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13</xdr:col>
      <xdr:colOff>444500</xdr:colOff>
      <xdr:row>37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6A9068-8A34-02E7-EA57-D68347C85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38</xdr:row>
      <xdr:rowOff>0</xdr:rowOff>
    </xdr:from>
    <xdr:to>
      <xdr:col>13</xdr:col>
      <xdr:colOff>444500</xdr:colOff>
      <xdr:row>51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DE034E-DC4C-A295-F76D-AE4AEA45A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389468</xdr:colOff>
      <xdr:row>4</xdr:row>
      <xdr:rowOff>186267</xdr:rowOff>
    </xdr:from>
    <xdr:to>
      <xdr:col>11</xdr:col>
      <xdr:colOff>804334</xdr:colOff>
      <xdr:row>4</xdr:row>
      <xdr:rowOff>186267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F8FEEAC-8029-2A54-8406-CBA6EDBF07B6}"/>
            </a:ext>
          </a:extLst>
        </xdr:cNvPr>
        <xdr:cNvCxnSpPr/>
      </xdr:nvCxnSpPr>
      <xdr:spPr>
        <a:xfrm>
          <a:off x="6197601" y="1075267"/>
          <a:ext cx="37338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6</xdr:row>
      <xdr:rowOff>0</xdr:rowOff>
    </xdr:from>
    <xdr:to>
      <xdr:col>12</xdr:col>
      <xdr:colOff>0</xdr:colOff>
      <xdr:row>6</xdr:row>
      <xdr:rowOff>16933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94915CC-8628-8044-8814-68210979388F}"/>
            </a:ext>
          </a:extLst>
        </xdr:cNvPr>
        <xdr:cNvCxnSpPr/>
      </xdr:nvCxnSpPr>
      <xdr:spPr>
        <a:xfrm flipV="1">
          <a:off x="3395133" y="1244600"/>
          <a:ext cx="6561667" cy="1693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389468</xdr:colOff>
      <xdr:row>29</xdr:row>
      <xdr:rowOff>186267</xdr:rowOff>
    </xdr:from>
    <xdr:to>
      <xdr:col>11</xdr:col>
      <xdr:colOff>804334</xdr:colOff>
      <xdr:row>29</xdr:row>
      <xdr:rowOff>186267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8ABA91-FF9A-1C4A-9B91-606CF3D2122F}"/>
            </a:ext>
          </a:extLst>
        </xdr:cNvPr>
        <xdr:cNvCxnSpPr/>
      </xdr:nvCxnSpPr>
      <xdr:spPr>
        <a:xfrm>
          <a:off x="6197601" y="1024467"/>
          <a:ext cx="37338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31</xdr:row>
      <xdr:rowOff>0</xdr:rowOff>
    </xdr:from>
    <xdr:to>
      <xdr:col>12</xdr:col>
      <xdr:colOff>0</xdr:colOff>
      <xdr:row>31</xdr:row>
      <xdr:rowOff>16933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4FF4929-7DDF-0B40-BA25-99226F226382}"/>
            </a:ext>
          </a:extLst>
        </xdr:cNvPr>
        <xdr:cNvCxnSpPr/>
      </xdr:nvCxnSpPr>
      <xdr:spPr>
        <a:xfrm flipV="1">
          <a:off x="3395133" y="1244600"/>
          <a:ext cx="6561667" cy="1693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389468</xdr:colOff>
      <xdr:row>74</xdr:row>
      <xdr:rowOff>186267</xdr:rowOff>
    </xdr:from>
    <xdr:to>
      <xdr:col>11</xdr:col>
      <xdr:colOff>804334</xdr:colOff>
      <xdr:row>74</xdr:row>
      <xdr:rowOff>186267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4DEABB9-7CBF-2349-AD8B-6CB46EACAB9F}"/>
            </a:ext>
          </a:extLst>
        </xdr:cNvPr>
        <xdr:cNvCxnSpPr/>
      </xdr:nvCxnSpPr>
      <xdr:spPr>
        <a:xfrm>
          <a:off x="6197601" y="6146800"/>
          <a:ext cx="37338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76</xdr:row>
      <xdr:rowOff>0</xdr:rowOff>
    </xdr:from>
    <xdr:to>
      <xdr:col>12</xdr:col>
      <xdr:colOff>0</xdr:colOff>
      <xdr:row>76</xdr:row>
      <xdr:rowOff>16933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221A8FA-AD80-CB49-851E-F5988480ED0A}"/>
            </a:ext>
          </a:extLst>
        </xdr:cNvPr>
        <xdr:cNvCxnSpPr/>
      </xdr:nvCxnSpPr>
      <xdr:spPr>
        <a:xfrm flipV="1">
          <a:off x="3395133" y="6366933"/>
          <a:ext cx="6561667" cy="1693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71E2B8-09CF-7947-9642-F933A8F42B8D}">
  <we:reference id="wa200001456" version="3.1.1.0" store="en-US" storeType="OMEX"/>
  <we:alternateReferences>
    <we:reference id="wa200001456" version="3.1.1.0" store="en-US" storeType="OMEX"/>
  </we:alternateReferences>
  <we:properties>
    <we:property name="Office.DisableTrustUX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FDS</we:customFunctionIds>
        <we:customFunctionIds>FDSN</we:customFunctionIds>
        <we:customFunctionIds>FDSZ</we:customFunctionIds>
        <we:customFunctionIds>FDSB</we:customFunctionIds>
        <we:customFunctionIds>FDSC</we:customFunctionIds>
        <we:customFunctionIds>FDSR</we:customFunctionIds>
        <we:customFunctionIds>FDSRN</we:customFunctionIds>
        <we:customFunctionIds>FDSRZ</we:customFunctionIds>
        <we:customFunctionIds>FDSRB</we:customFunctionIds>
        <we:customFunctionIds>FDSRC</we:customFunctionIds>
        <we:customFunctionIds>FDSLIVE</we:customFunctionIds>
        <we:customFunctionIds>FactSetLive.RTDFunction.1.FDSLIVE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898F98B-601F-E74B-BAE9-53EBF3A3F67D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D256-E4F5-5F41-937D-1B017661FC8E}">
  <dimension ref="E4:R35"/>
  <sheetViews>
    <sheetView workbookViewId="0">
      <selection activeCell="B25" sqref="B25"/>
    </sheetView>
  </sheetViews>
  <sheetFormatPr baseColWidth="10" defaultRowHeight="16" x14ac:dyDescent="0.2"/>
  <cols>
    <col min="1" max="9" width="10.83203125" style="1"/>
    <col min="10" max="10" width="13.33203125" style="1" customWidth="1"/>
    <col min="11" max="16384" width="10.83203125" style="1"/>
  </cols>
  <sheetData>
    <row r="4" spans="5:18" ht="17" thickBot="1" x14ac:dyDescent="0.25"/>
    <row r="5" spans="5:18" x14ac:dyDescent="0.2"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</row>
    <row r="6" spans="5:18" x14ac:dyDescent="0.2">
      <c r="E6" s="5"/>
      <c r="R6" s="6"/>
    </row>
    <row r="7" spans="5:18" x14ac:dyDescent="0.2">
      <c r="E7" s="5"/>
      <c r="R7" s="6"/>
    </row>
    <row r="8" spans="5:18" ht="29" x14ac:dyDescent="0.35">
      <c r="E8" s="5"/>
      <c r="F8" s="14" t="s">
        <v>0</v>
      </c>
      <c r="R8" s="6"/>
    </row>
    <row r="9" spans="5:18" ht="22" x14ac:dyDescent="0.3">
      <c r="E9" s="5"/>
      <c r="F9" s="15" t="s">
        <v>1</v>
      </c>
      <c r="N9" s="28" t="s">
        <v>10</v>
      </c>
      <c r="R9" s="6"/>
    </row>
    <row r="10" spans="5:18" x14ac:dyDescent="0.2">
      <c r="E10" s="5"/>
      <c r="R10" s="6"/>
    </row>
    <row r="11" spans="5:18" ht="22" x14ac:dyDescent="0.3">
      <c r="E11" s="5"/>
      <c r="F11" s="23" t="s">
        <v>3</v>
      </c>
      <c r="G11" s="24"/>
      <c r="H11" s="17"/>
      <c r="I11" s="17"/>
      <c r="J11" s="18"/>
      <c r="N11" s="13" t="s">
        <v>11</v>
      </c>
      <c r="R11" s="6"/>
    </row>
    <row r="12" spans="5:18" ht="22" x14ac:dyDescent="0.3">
      <c r="E12" s="5"/>
      <c r="F12" s="25" t="s">
        <v>4</v>
      </c>
      <c r="G12" s="22"/>
      <c r="J12" s="19"/>
      <c r="R12" s="6"/>
    </row>
    <row r="13" spans="5:18" ht="22" x14ac:dyDescent="0.3">
      <c r="E13" s="5"/>
      <c r="F13" s="25" t="s">
        <v>5</v>
      </c>
      <c r="G13" s="22"/>
      <c r="J13" s="19"/>
      <c r="R13" s="6"/>
    </row>
    <row r="14" spans="5:18" ht="22" x14ac:dyDescent="0.3">
      <c r="E14" s="5"/>
      <c r="F14" s="25" t="s">
        <v>6</v>
      </c>
      <c r="G14" s="22"/>
      <c r="J14" s="19"/>
      <c r="R14" s="6"/>
    </row>
    <row r="15" spans="5:18" ht="22" x14ac:dyDescent="0.3">
      <c r="E15" s="5"/>
      <c r="F15" s="25" t="s">
        <v>7</v>
      </c>
      <c r="G15" s="22"/>
      <c r="J15" s="19"/>
      <c r="R15" s="6"/>
    </row>
    <row r="16" spans="5:18" ht="22" x14ac:dyDescent="0.3">
      <c r="E16" s="5"/>
      <c r="F16" s="25" t="s">
        <v>8</v>
      </c>
      <c r="G16" s="22"/>
      <c r="J16" s="19"/>
      <c r="R16" s="6"/>
    </row>
    <row r="17" spans="5:18" ht="22" x14ac:dyDescent="0.3">
      <c r="E17" s="5"/>
      <c r="F17" s="26" t="s">
        <v>9</v>
      </c>
      <c r="G17" s="27"/>
      <c r="H17" s="20"/>
      <c r="I17" s="20"/>
      <c r="J17" s="21"/>
      <c r="R17" s="6"/>
    </row>
    <row r="18" spans="5:18" x14ac:dyDescent="0.2">
      <c r="E18" s="5"/>
      <c r="R18" s="6"/>
    </row>
    <row r="19" spans="5:18" x14ac:dyDescent="0.2">
      <c r="E19" s="5"/>
      <c r="R19" s="6"/>
    </row>
    <row r="20" spans="5:18" x14ac:dyDescent="0.2">
      <c r="E20" s="5"/>
      <c r="R20" s="6"/>
    </row>
    <row r="21" spans="5:18" x14ac:dyDescent="0.2">
      <c r="E21" s="5"/>
      <c r="R21" s="6"/>
    </row>
    <row r="22" spans="5:18" x14ac:dyDescent="0.2">
      <c r="E22" s="5"/>
      <c r="R22" s="6"/>
    </row>
    <row r="23" spans="5:18" x14ac:dyDescent="0.2">
      <c r="E23" s="5"/>
      <c r="R23" s="6"/>
    </row>
    <row r="24" spans="5:18" x14ac:dyDescent="0.2">
      <c r="E24" s="5"/>
      <c r="R24" s="6"/>
    </row>
    <row r="25" spans="5:18" x14ac:dyDescent="0.2">
      <c r="E25" s="5"/>
      <c r="R25" s="6"/>
    </row>
    <row r="26" spans="5:18" x14ac:dyDescent="0.2">
      <c r="E26" s="5"/>
      <c r="R26" s="6"/>
    </row>
    <row r="27" spans="5:18" x14ac:dyDescent="0.2">
      <c r="E27" s="5"/>
      <c r="R27" s="6"/>
    </row>
    <row r="28" spans="5:18" x14ac:dyDescent="0.2">
      <c r="E28" s="5"/>
      <c r="R28" s="6"/>
    </row>
    <row r="29" spans="5:18" x14ac:dyDescent="0.2">
      <c r="E29" s="5"/>
      <c r="R29" s="6"/>
    </row>
    <row r="30" spans="5:18" x14ac:dyDescent="0.2">
      <c r="E30" s="5"/>
      <c r="R30" s="6"/>
    </row>
    <row r="31" spans="5:18" x14ac:dyDescent="0.2">
      <c r="E31" s="5"/>
      <c r="R31" s="6"/>
    </row>
    <row r="32" spans="5:18" x14ac:dyDescent="0.2"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9"/>
    </row>
    <row r="33" spans="5:18" x14ac:dyDescent="0.2"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</row>
    <row r="34" spans="5:18" ht="27" x14ac:dyDescent="0.35">
      <c r="E34" s="16" t="s">
        <v>2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</row>
    <row r="35" spans="5:18" ht="17" thickBot="1" x14ac:dyDescent="0.25"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E3C9-7485-8844-8988-16EAE5F1EC30}">
  <dimension ref="B2:N103"/>
  <sheetViews>
    <sheetView zoomScale="119" workbookViewId="0">
      <selection activeCell="G13" sqref="G13"/>
    </sheetView>
  </sheetViews>
  <sheetFormatPr baseColWidth="10" defaultRowHeight="16" x14ac:dyDescent="0.2"/>
  <cols>
    <col min="1" max="1" width="1.6640625" style="1" customWidth="1"/>
    <col min="2" max="2" width="29.1640625" style="1" customWidth="1"/>
    <col min="3" max="14" width="14.1640625" style="1" customWidth="1"/>
    <col min="15" max="16384" width="10.83203125" style="1"/>
  </cols>
  <sheetData>
    <row r="2" spans="2:14" ht="22" thickBot="1" x14ac:dyDescent="0.3">
      <c r="B2" s="191" t="s">
        <v>270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</row>
    <row r="3" spans="2:14" x14ac:dyDescent="0.2">
      <c r="B3" s="119" t="s">
        <v>271</v>
      </c>
    </row>
    <row r="5" spans="2:14" x14ac:dyDescent="0.2">
      <c r="B5" s="120" t="s">
        <v>225</v>
      </c>
      <c r="C5" s="121"/>
      <c r="D5" s="120" t="s">
        <v>272</v>
      </c>
      <c r="E5" s="121"/>
      <c r="F5" s="120" t="s">
        <v>204</v>
      </c>
      <c r="G5" s="121"/>
      <c r="H5" s="120" t="s">
        <v>273</v>
      </c>
      <c r="I5" s="121"/>
      <c r="J5" s="120" t="s">
        <v>274</v>
      </c>
      <c r="K5" s="121"/>
      <c r="L5" s="120" t="s">
        <v>275</v>
      </c>
      <c r="M5" s="121"/>
      <c r="N5" s="120" t="s">
        <v>276</v>
      </c>
    </row>
    <row r="6" spans="2:14" ht="19" x14ac:dyDescent="0.25">
      <c r="B6" s="122" t="s">
        <v>277</v>
      </c>
      <c r="C6" s="123"/>
      <c r="D6" s="122" t="s">
        <v>278</v>
      </c>
      <c r="E6" s="123"/>
      <c r="F6" s="122" t="s">
        <v>279</v>
      </c>
      <c r="G6" s="123"/>
      <c r="H6" s="124">
        <v>0.1</v>
      </c>
      <c r="I6" s="123"/>
      <c r="J6" s="122" t="s">
        <v>280</v>
      </c>
      <c r="K6" s="123"/>
      <c r="L6" s="124">
        <v>0.31900000000000001</v>
      </c>
      <c r="M6" s="123"/>
      <c r="N6" s="122" t="s">
        <v>281</v>
      </c>
    </row>
    <row r="8" spans="2:14" x14ac:dyDescent="0.2">
      <c r="B8" s="125" t="s">
        <v>282</v>
      </c>
    </row>
    <row r="9" spans="2:14" x14ac:dyDescent="0.2">
      <c r="B9" s="127" t="s">
        <v>283</v>
      </c>
      <c r="C9" s="128" t="s">
        <v>222</v>
      </c>
      <c r="D9" s="128" t="s">
        <v>284</v>
      </c>
      <c r="E9" s="128" t="s">
        <v>224</v>
      </c>
      <c r="F9" s="128" t="s">
        <v>223</v>
      </c>
    </row>
    <row r="10" spans="2:14" x14ac:dyDescent="0.2">
      <c r="B10" s="130" t="s">
        <v>285</v>
      </c>
      <c r="C10" s="132">
        <v>418.4</v>
      </c>
      <c r="D10" s="132">
        <f>F10-C10</f>
        <v>136.38999999999999</v>
      </c>
      <c r="E10" s="132">
        <v>878.94</v>
      </c>
      <c r="F10" s="132">
        <v>554.79</v>
      </c>
    </row>
    <row r="11" spans="2:14" x14ac:dyDescent="0.2">
      <c r="B11" s="133" t="s">
        <v>286</v>
      </c>
      <c r="C11" s="135">
        <v>546.45000000000005</v>
      </c>
      <c r="D11" s="135">
        <f>F11-C11</f>
        <v>136.59999999999991</v>
      </c>
      <c r="E11" s="135">
        <v>840.99</v>
      </c>
      <c r="F11" s="135">
        <v>683.05</v>
      </c>
    </row>
    <row r="12" spans="2:14" x14ac:dyDescent="0.2">
      <c r="B12" s="130" t="s">
        <v>287</v>
      </c>
      <c r="C12" s="132">
        <v>862.27</v>
      </c>
      <c r="D12" s="132">
        <f>F12-C12</f>
        <v>98.460000000000036</v>
      </c>
      <c r="E12" s="132">
        <v>1059.19</v>
      </c>
      <c r="F12" s="132">
        <v>960.73</v>
      </c>
    </row>
    <row r="13" spans="2:14" x14ac:dyDescent="0.2">
      <c r="B13" s="133" t="s">
        <v>288</v>
      </c>
      <c r="C13" s="135">
        <v>907.57</v>
      </c>
      <c r="D13" s="135">
        <f>F13-C13</f>
        <v>101.9899999999999</v>
      </c>
      <c r="E13" s="135">
        <v>1111.54</v>
      </c>
      <c r="F13" s="135">
        <v>1009.56</v>
      </c>
    </row>
    <row r="14" spans="2:14" x14ac:dyDescent="0.2">
      <c r="B14" s="136" t="s">
        <v>289</v>
      </c>
      <c r="C14" s="137">
        <v>652</v>
      </c>
    </row>
    <row r="17" spans="2:10" x14ac:dyDescent="0.2">
      <c r="B17" s="125" t="s">
        <v>290</v>
      </c>
    </row>
    <row r="18" spans="2:10" x14ac:dyDescent="0.2">
      <c r="B18" s="127" t="s">
        <v>291</v>
      </c>
      <c r="C18" s="128" t="s">
        <v>16</v>
      </c>
      <c r="D18" s="128" t="s">
        <v>13</v>
      </c>
      <c r="E18" s="128" t="s">
        <v>17</v>
      </c>
      <c r="F18" s="128" t="s">
        <v>18</v>
      </c>
      <c r="G18" s="128" t="s">
        <v>19</v>
      </c>
      <c r="H18" s="128" t="s">
        <v>20</v>
      </c>
    </row>
    <row r="19" spans="2:10" x14ac:dyDescent="0.2">
      <c r="B19" s="138" t="s">
        <v>292</v>
      </c>
      <c r="C19" s="139">
        <v>28262.9</v>
      </c>
      <c r="D19" s="139">
        <v>33915.5</v>
      </c>
      <c r="E19" s="139">
        <v>40020.300000000003</v>
      </c>
      <c r="F19" s="139">
        <v>46023.3</v>
      </c>
      <c r="G19" s="139">
        <v>51546.1</v>
      </c>
      <c r="H19" s="139">
        <v>56700.7</v>
      </c>
    </row>
    <row r="20" spans="2:10" x14ac:dyDescent="0.2">
      <c r="B20" s="140" t="s">
        <v>223</v>
      </c>
      <c r="C20" s="141">
        <v>28262.9</v>
      </c>
      <c r="D20" s="141">
        <v>32502.3</v>
      </c>
      <c r="E20" s="141">
        <v>36402.6</v>
      </c>
      <c r="F20" s="141">
        <v>40042.9</v>
      </c>
      <c r="G20" s="141">
        <v>43246.3</v>
      </c>
      <c r="H20" s="141">
        <v>45841.1</v>
      </c>
    </row>
    <row r="21" spans="2:10" x14ac:dyDescent="0.2">
      <c r="B21" s="142" t="s">
        <v>293</v>
      </c>
      <c r="C21" s="143">
        <v>28262.9</v>
      </c>
      <c r="D21" s="143">
        <v>29676</v>
      </c>
      <c r="E21" s="143">
        <v>30566.3</v>
      </c>
      <c r="F21" s="143">
        <v>31789</v>
      </c>
      <c r="G21" s="143">
        <v>33378.400000000001</v>
      </c>
      <c r="H21" s="143">
        <v>34713.599999999999</v>
      </c>
    </row>
    <row r="22" spans="2:10" x14ac:dyDescent="0.2">
      <c r="B22" s="144" t="s">
        <v>294</v>
      </c>
      <c r="C22" s="145"/>
      <c r="D22" s="145" t="s">
        <v>295</v>
      </c>
      <c r="E22" s="145" t="s">
        <v>296</v>
      </c>
      <c r="F22" s="145" t="s">
        <v>297</v>
      </c>
      <c r="G22" s="145" t="s">
        <v>298</v>
      </c>
      <c r="H22" s="145" t="s">
        <v>299</v>
      </c>
    </row>
    <row r="25" spans="2:10" x14ac:dyDescent="0.2">
      <c r="B25" s="125" t="s">
        <v>300</v>
      </c>
    </row>
    <row r="26" spans="2:10" x14ac:dyDescent="0.2">
      <c r="B26" s="126"/>
      <c r="C26" s="128" t="s">
        <v>14</v>
      </c>
      <c r="D26" s="128" t="s">
        <v>15</v>
      </c>
      <c r="E26" s="128" t="s">
        <v>16</v>
      </c>
      <c r="F26" s="128" t="s">
        <v>13</v>
      </c>
      <c r="G26" s="128" t="s">
        <v>17</v>
      </c>
      <c r="H26" s="128" t="s">
        <v>18</v>
      </c>
      <c r="I26" s="128" t="s">
        <v>19</v>
      </c>
      <c r="J26" s="128" t="s">
        <v>20</v>
      </c>
    </row>
    <row r="27" spans="2:10" x14ac:dyDescent="0.2">
      <c r="B27" s="146" t="s">
        <v>21</v>
      </c>
      <c r="C27" s="132">
        <v>21173.4</v>
      </c>
      <c r="D27" s="132">
        <v>27558.5</v>
      </c>
      <c r="E27" s="132">
        <v>28262.9</v>
      </c>
      <c r="F27" s="132">
        <v>33915.5</v>
      </c>
      <c r="G27" s="132">
        <v>40020.300000000003</v>
      </c>
      <c r="H27" s="132">
        <v>46023.3</v>
      </c>
      <c r="I27" s="132">
        <v>51546.1</v>
      </c>
      <c r="J27" s="132">
        <v>56700.7</v>
      </c>
    </row>
    <row r="28" spans="2:10" x14ac:dyDescent="0.2">
      <c r="B28" s="147" t="s">
        <v>175</v>
      </c>
      <c r="C28" s="148"/>
      <c r="D28" s="149">
        <v>0.30199999999999999</v>
      </c>
      <c r="E28" s="149">
        <v>2.5999999999999999E-2</v>
      </c>
      <c r="F28" s="149">
        <v>0.2</v>
      </c>
      <c r="G28" s="149">
        <v>0.18</v>
      </c>
      <c r="H28" s="149">
        <v>0.15</v>
      </c>
      <c r="I28" s="149">
        <v>0.12</v>
      </c>
      <c r="J28" s="149">
        <v>0.1</v>
      </c>
    </row>
    <row r="29" spans="2:10" x14ac:dyDescent="0.2">
      <c r="B29" s="150" t="s">
        <v>301</v>
      </c>
      <c r="C29" s="135">
        <v>11114.6</v>
      </c>
      <c r="D29" s="135">
        <v>14622.2</v>
      </c>
      <c r="E29" s="135">
        <v>15067.7</v>
      </c>
      <c r="F29" s="135">
        <v>18653.5</v>
      </c>
      <c r="G29" s="135">
        <v>22411.3</v>
      </c>
      <c r="H29" s="135">
        <v>26233.3</v>
      </c>
      <c r="I29" s="135">
        <v>29896.7</v>
      </c>
      <c r="J29" s="135">
        <v>32886.400000000001</v>
      </c>
    </row>
    <row r="30" spans="2:10" x14ac:dyDescent="0.2">
      <c r="B30" s="151" t="s">
        <v>176</v>
      </c>
      <c r="C30" s="152">
        <v>0.52500000000000002</v>
      </c>
      <c r="D30" s="152">
        <v>0.53100000000000003</v>
      </c>
      <c r="E30" s="152">
        <v>0.53300000000000003</v>
      </c>
      <c r="F30" s="152">
        <v>0.55000000000000004</v>
      </c>
      <c r="G30" s="152">
        <v>0.56000000000000005</v>
      </c>
      <c r="H30" s="152">
        <v>0.56999999999999995</v>
      </c>
      <c r="I30" s="152">
        <v>0.57999999999999996</v>
      </c>
      <c r="J30" s="152">
        <v>0.57999999999999996</v>
      </c>
    </row>
    <row r="31" spans="2:10" x14ac:dyDescent="0.2">
      <c r="B31" s="146" t="s">
        <v>29</v>
      </c>
      <c r="C31" s="132">
        <v>6500.7</v>
      </c>
      <c r="D31" s="132">
        <v>9042.2999999999993</v>
      </c>
      <c r="E31" s="132">
        <v>9022.6</v>
      </c>
      <c r="F31" s="132">
        <v>11416</v>
      </c>
      <c r="G31" s="132">
        <v>14235.4</v>
      </c>
      <c r="H31" s="132">
        <v>17223.8</v>
      </c>
      <c r="I31" s="132">
        <v>20174.2</v>
      </c>
      <c r="J31" s="132">
        <v>22537.599999999999</v>
      </c>
    </row>
    <row r="32" spans="2:10" x14ac:dyDescent="0.2">
      <c r="B32" s="147" t="s">
        <v>176</v>
      </c>
      <c r="C32" s="149">
        <v>0.307</v>
      </c>
      <c r="D32" s="149">
        <v>0.32800000000000001</v>
      </c>
      <c r="E32" s="149">
        <v>0.31900000000000001</v>
      </c>
      <c r="F32" s="149">
        <v>0.33700000000000002</v>
      </c>
      <c r="G32" s="149">
        <v>0.35599999999999998</v>
      </c>
      <c r="H32" s="149">
        <v>0.374</v>
      </c>
      <c r="I32" s="149">
        <v>0.39100000000000001</v>
      </c>
      <c r="J32" s="149">
        <v>0.39700000000000002</v>
      </c>
    </row>
    <row r="33" spans="2:10" x14ac:dyDescent="0.2">
      <c r="B33" s="150" t="s">
        <v>35</v>
      </c>
      <c r="C33" s="135">
        <v>5624.2</v>
      </c>
      <c r="D33" s="135">
        <v>7839</v>
      </c>
      <c r="E33" s="135">
        <v>7571.6</v>
      </c>
      <c r="F33" s="135">
        <v>9736.5</v>
      </c>
      <c r="G33" s="135">
        <v>12125.9</v>
      </c>
      <c r="H33" s="135">
        <v>14735.7</v>
      </c>
      <c r="I33" s="135">
        <v>17350.8</v>
      </c>
      <c r="J33" s="135">
        <v>19531.5</v>
      </c>
    </row>
    <row r="34" spans="2:10" x14ac:dyDescent="0.2">
      <c r="B34" s="151" t="s">
        <v>176</v>
      </c>
      <c r="C34" s="152">
        <v>0.26600000000000001</v>
      </c>
      <c r="D34" s="152">
        <v>0.28399999999999997</v>
      </c>
      <c r="E34" s="152">
        <v>0.26800000000000002</v>
      </c>
      <c r="F34" s="152">
        <v>0.28699999999999998</v>
      </c>
      <c r="G34" s="152">
        <v>0.30299999999999999</v>
      </c>
      <c r="H34" s="152">
        <v>0.32</v>
      </c>
      <c r="I34" s="152">
        <v>0.33700000000000002</v>
      </c>
      <c r="J34" s="152">
        <v>0.34399999999999997</v>
      </c>
    </row>
    <row r="35" spans="2:10" x14ac:dyDescent="0.2">
      <c r="B35" s="146" t="s">
        <v>302</v>
      </c>
      <c r="C35" s="148"/>
      <c r="D35" s="148"/>
      <c r="E35" s="132">
        <v>8400.6</v>
      </c>
      <c r="F35" s="132">
        <v>9922.2000000000007</v>
      </c>
      <c r="G35" s="132">
        <v>11663.9</v>
      </c>
      <c r="H35" s="132">
        <v>13918.6</v>
      </c>
      <c r="I35" s="132">
        <v>16136.6</v>
      </c>
      <c r="J35" s="132">
        <v>17380.599999999999</v>
      </c>
    </row>
    <row r="36" spans="2:10" x14ac:dyDescent="0.2">
      <c r="B36" s="147" t="s">
        <v>303</v>
      </c>
      <c r="C36" s="148"/>
      <c r="D36" s="148"/>
      <c r="E36" s="149">
        <v>1.129</v>
      </c>
      <c r="F36" s="149">
        <v>1.054</v>
      </c>
      <c r="G36" s="149">
        <v>0.99299999999999999</v>
      </c>
      <c r="H36" s="149">
        <v>0.98</v>
      </c>
      <c r="I36" s="149">
        <v>0.97</v>
      </c>
      <c r="J36" s="149">
        <v>0.93500000000000005</v>
      </c>
    </row>
    <row r="39" spans="2:10" x14ac:dyDescent="0.2">
      <c r="B39" s="125" t="s">
        <v>304</v>
      </c>
      <c r="E39" s="125" t="s">
        <v>311</v>
      </c>
    </row>
    <row r="40" spans="2:10" x14ac:dyDescent="0.2">
      <c r="B40" s="130" t="s">
        <v>305</v>
      </c>
      <c r="C40" s="153">
        <v>2.9100000000000001E-2</v>
      </c>
      <c r="E40" s="126"/>
      <c r="F40" s="128" t="s">
        <v>312</v>
      </c>
      <c r="G40" s="128" t="s">
        <v>313</v>
      </c>
    </row>
    <row r="41" spans="2:10" x14ac:dyDescent="0.2">
      <c r="B41" s="133" t="s">
        <v>306</v>
      </c>
      <c r="C41" s="154">
        <v>4.2299999999999997E-2</v>
      </c>
      <c r="E41" s="133" t="s">
        <v>188</v>
      </c>
      <c r="F41" s="135">
        <v>53401</v>
      </c>
      <c r="G41" s="135">
        <v>53401</v>
      </c>
    </row>
    <row r="42" spans="2:10" x14ac:dyDescent="0.2">
      <c r="B42" s="130" t="s">
        <v>276</v>
      </c>
      <c r="C42" s="131" t="s">
        <v>281</v>
      </c>
      <c r="E42" s="130" t="s">
        <v>194</v>
      </c>
      <c r="F42" s="132">
        <v>154372</v>
      </c>
      <c r="G42" s="132">
        <v>204817</v>
      </c>
    </row>
    <row r="43" spans="2:10" x14ac:dyDescent="0.2">
      <c r="B43" s="133" t="s">
        <v>160</v>
      </c>
      <c r="C43" s="154">
        <v>0.10059999999999999</v>
      </c>
      <c r="E43" s="157" t="s">
        <v>204</v>
      </c>
      <c r="F43" s="158">
        <v>207773</v>
      </c>
      <c r="G43" s="158">
        <v>258219</v>
      </c>
    </row>
    <row r="44" spans="2:10" x14ac:dyDescent="0.2">
      <c r="B44" s="130" t="s">
        <v>307</v>
      </c>
      <c r="C44" s="153">
        <v>2.3900000000000001E-2</v>
      </c>
      <c r="E44" s="130" t="s">
        <v>205</v>
      </c>
      <c r="F44" s="132">
        <v>-4994</v>
      </c>
      <c r="G44" s="132">
        <v>-4994</v>
      </c>
    </row>
    <row r="45" spans="2:10" x14ac:dyDescent="0.2">
      <c r="B45" s="133" t="s">
        <v>164</v>
      </c>
      <c r="C45" s="154">
        <v>1.9699999999999999E-2</v>
      </c>
      <c r="E45" s="133" t="s">
        <v>206</v>
      </c>
      <c r="F45" s="135">
        <v>12741</v>
      </c>
      <c r="G45" s="135">
        <v>12741</v>
      </c>
    </row>
    <row r="46" spans="2:10" x14ac:dyDescent="0.2">
      <c r="B46" s="130" t="s">
        <v>308</v>
      </c>
      <c r="C46" s="153">
        <v>0.99399999999999999</v>
      </c>
      <c r="E46" s="130" t="s">
        <v>209</v>
      </c>
      <c r="F46" s="132">
        <v>2677</v>
      </c>
      <c r="G46" s="132">
        <v>2677</v>
      </c>
    </row>
    <row r="47" spans="2:10" x14ac:dyDescent="0.2">
      <c r="B47" s="133" t="s">
        <v>309</v>
      </c>
      <c r="C47" s="154">
        <v>6.0000000000000001E-3</v>
      </c>
      <c r="E47" s="157" t="s">
        <v>210</v>
      </c>
      <c r="F47" s="158">
        <v>218198</v>
      </c>
      <c r="G47" s="158">
        <v>268643</v>
      </c>
    </row>
    <row r="48" spans="2:10" x14ac:dyDescent="0.2">
      <c r="B48" s="155" t="s">
        <v>273</v>
      </c>
      <c r="C48" s="156">
        <v>0.10009999999999999</v>
      </c>
      <c r="E48" s="130" t="s">
        <v>211</v>
      </c>
      <c r="F48" s="159">
        <v>393.3</v>
      </c>
      <c r="G48" s="159">
        <v>393.3</v>
      </c>
    </row>
    <row r="49" spans="2:14" x14ac:dyDescent="0.2">
      <c r="B49" s="133" t="s">
        <v>192</v>
      </c>
      <c r="C49" s="154">
        <v>2.5000000000000001E-2</v>
      </c>
      <c r="E49" s="157" t="s">
        <v>212</v>
      </c>
      <c r="F49" s="160">
        <v>554.79</v>
      </c>
      <c r="G49" s="160">
        <v>683.05</v>
      </c>
    </row>
    <row r="50" spans="2:14" x14ac:dyDescent="0.2">
      <c r="B50" s="130" t="s">
        <v>198</v>
      </c>
      <c r="C50" s="131" t="s">
        <v>310</v>
      </c>
      <c r="E50" s="155" t="s">
        <v>213</v>
      </c>
      <c r="F50" s="161">
        <v>652</v>
      </c>
      <c r="G50" s="161">
        <v>652</v>
      </c>
    </row>
    <row r="53" spans="2:14" x14ac:dyDescent="0.2">
      <c r="B53" s="125" t="s">
        <v>314</v>
      </c>
      <c r="I53" s="128"/>
      <c r="J53" s="128" t="s">
        <v>16</v>
      </c>
      <c r="K53" s="128" t="s">
        <v>13</v>
      </c>
      <c r="L53" s="128" t="s">
        <v>17</v>
      </c>
      <c r="M53" s="128" t="s">
        <v>18</v>
      </c>
      <c r="N53" s="128" t="s">
        <v>19</v>
      </c>
    </row>
    <row r="54" spans="2:14" x14ac:dyDescent="0.2">
      <c r="B54" s="127" t="s">
        <v>229</v>
      </c>
      <c r="C54" s="128" t="s">
        <v>315</v>
      </c>
      <c r="D54" s="128" t="s">
        <v>316</v>
      </c>
      <c r="E54" s="128" t="s">
        <v>317</v>
      </c>
      <c r="F54" s="128" t="s">
        <v>318</v>
      </c>
      <c r="G54" s="128" t="s">
        <v>319</v>
      </c>
      <c r="H54" s="128" t="s">
        <v>320</v>
      </c>
      <c r="I54" s="129" t="s">
        <v>21</v>
      </c>
      <c r="J54" s="1">
        <v>28263</v>
      </c>
      <c r="K54" s="1">
        <v>33916</v>
      </c>
      <c r="L54" s="1">
        <v>40020</v>
      </c>
      <c r="M54" s="1">
        <v>46023</v>
      </c>
      <c r="N54" s="1">
        <v>51546</v>
      </c>
    </row>
    <row r="55" spans="2:14" x14ac:dyDescent="0.2">
      <c r="B55" s="162" t="s">
        <v>241</v>
      </c>
      <c r="C55" s="163" t="s">
        <v>321</v>
      </c>
      <c r="D55" s="163" t="s">
        <v>322</v>
      </c>
      <c r="E55" s="163" t="s">
        <v>323</v>
      </c>
      <c r="F55" s="163" t="s">
        <v>324</v>
      </c>
      <c r="G55" s="163" t="s">
        <v>325</v>
      </c>
      <c r="H55" s="164">
        <v>0.51200000000000001</v>
      </c>
      <c r="I55" s="129" t="s">
        <v>29</v>
      </c>
      <c r="J55" s="1">
        <v>9023</v>
      </c>
      <c r="K55" s="1">
        <v>11416</v>
      </c>
      <c r="L55" s="1">
        <v>14235</v>
      </c>
      <c r="M55" s="1">
        <v>17224</v>
      </c>
      <c r="N55" s="1">
        <v>20174</v>
      </c>
    </row>
    <row r="56" spans="2:14" x14ac:dyDescent="0.2">
      <c r="B56" s="165" t="s">
        <v>243</v>
      </c>
      <c r="C56" s="131" t="s">
        <v>326</v>
      </c>
      <c r="D56" s="131" t="s">
        <v>327</v>
      </c>
      <c r="E56" s="131" t="s">
        <v>328</v>
      </c>
      <c r="F56" s="131" t="s">
        <v>329</v>
      </c>
      <c r="G56" s="131" t="s">
        <v>327</v>
      </c>
      <c r="H56" s="153">
        <v>0.61399999999999999</v>
      </c>
      <c r="I56" s="129" t="s">
        <v>35</v>
      </c>
      <c r="J56" s="1">
        <v>7572</v>
      </c>
      <c r="K56" s="1">
        <v>9737</v>
      </c>
      <c r="L56" s="1">
        <v>12126</v>
      </c>
      <c r="M56" s="1">
        <v>14736</v>
      </c>
      <c r="N56" s="1">
        <v>17351</v>
      </c>
    </row>
    <row r="57" spans="2:14" x14ac:dyDescent="0.2">
      <c r="B57" s="166" t="s">
        <v>330</v>
      </c>
      <c r="C57" s="134" t="s">
        <v>331</v>
      </c>
      <c r="D57" s="134" t="s">
        <v>332</v>
      </c>
      <c r="E57" s="134" t="s">
        <v>333</v>
      </c>
      <c r="F57" s="134" t="s">
        <v>334</v>
      </c>
      <c r="G57" s="134" t="s">
        <v>335</v>
      </c>
      <c r="H57" s="154">
        <v>0.47699999999999998</v>
      </c>
      <c r="I57" s="129" t="s">
        <v>302</v>
      </c>
      <c r="J57" s="1">
        <v>8401</v>
      </c>
      <c r="K57" s="1">
        <v>9922</v>
      </c>
      <c r="L57" s="1">
        <v>11664</v>
      </c>
      <c r="M57" s="1">
        <v>13919</v>
      </c>
      <c r="N57" s="1">
        <v>16137</v>
      </c>
    </row>
    <row r="58" spans="2:14" x14ac:dyDescent="0.2">
      <c r="B58" s="167"/>
      <c r="C58" s="167"/>
      <c r="D58" s="167"/>
      <c r="E58" s="167"/>
      <c r="F58" s="167"/>
      <c r="G58" s="167"/>
      <c r="H58" s="167"/>
      <c r="I58" s="129" t="s">
        <v>344</v>
      </c>
      <c r="J58" s="50">
        <v>0.31900000000000001</v>
      </c>
      <c r="K58" s="50">
        <v>0.33700000000000002</v>
      </c>
      <c r="L58" s="50">
        <v>0.35599999999999998</v>
      </c>
      <c r="M58" s="50">
        <v>0.374</v>
      </c>
      <c r="N58" s="50">
        <v>0.39100000000000001</v>
      </c>
    </row>
    <row r="59" spans="2:14" x14ac:dyDescent="0.2">
      <c r="B59" s="168" t="s">
        <v>336</v>
      </c>
      <c r="C59" s="169" t="s">
        <v>337</v>
      </c>
      <c r="D59" s="169" t="s">
        <v>338</v>
      </c>
      <c r="E59" s="169" t="s">
        <v>339</v>
      </c>
      <c r="F59" s="169" t="s">
        <v>340</v>
      </c>
      <c r="G59" s="169" t="s">
        <v>333</v>
      </c>
      <c r="H59" s="170">
        <v>0.54600000000000004</v>
      </c>
    </row>
    <row r="60" spans="2:14" x14ac:dyDescent="0.2">
      <c r="B60" s="168" t="s">
        <v>341</v>
      </c>
      <c r="C60" s="169" t="s">
        <v>337</v>
      </c>
      <c r="D60" s="169" t="s">
        <v>338</v>
      </c>
      <c r="E60" s="169" t="s">
        <v>339</v>
      </c>
      <c r="F60" s="169" t="s">
        <v>340</v>
      </c>
      <c r="G60" s="169" t="s">
        <v>333</v>
      </c>
      <c r="H60" s="170">
        <v>0.54600000000000004</v>
      </c>
    </row>
    <row r="61" spans="2:14" x14ac:dyDescent="0.2">
      <c r="B61" s="171" t="s">
        <v>342</v>
      </c>
      <c r="C61" s="172">
        <v>0.45700000000000002</v>
      </c>
      <c r="D61" s="172">
        <v>0.60099999999999998</v>
      </c>
      <c r="E61" s="172">
        <v>0.67900000000000005</v>
      </c>
      <c r="F61" s="172">
        <v>0.152</v>
      </c>
      <c r="G61" s="172">
        <v>0.125</v>
      </c>
      <c r="H61" s="173">
        <v>-6.2E-2</v>
      </c>
    </row>
    <row r="64" spans="2:14" x14ac:dyDescent="0.2">
      <c r="B64" s="125" t="s">
        <v>343</v>
      </c>
    </row>
    <row r="65" spans="2:8" x14ac:dyDescent="0.2">
      <c r="B65" s="127" t="s">
        <v>221</v>
      </c>
      <c r="C65" s="128" t="s">
        <v>16</v>
      </c>
      <c r="D65" s="128" t="s">
        <v>13</v>
      </c>
      <c r="E65" s="128" t="s">
        <v>17</v>
      </c>
      <c r="F65" s="128" t="s">
        <v>18</v>
      </c>
      <c r="G65" s="128" t="s">
        <v>19</v>
      </c>
      <c r="H65" s="128" t="s">
        <v>20</v>
      </c>
    </row>
    <row r="66" spans="2:8" x14ac:dyDescent="0.2">
      <c r="B66" s="174" t="s">
        <v>320</v>
      </c>
      <c r="C66" s="153">
        <v>0.53300000000000003</v>
      </c>
      <c r="D66" s="153">
        <v>0.55000000000000004</v>
      </c>
      <c r="E66" s="153">
        <v>0.56000000000000005</v>
      </c>
      <c r="F66" s="153">
        <v>0.56999999999999995</v>
      </c>
      <c r="G66" s="153">
        <v>0.57999999999999996</v>
      </c>
      <c r="H66" s="153">
        <v>0.57999999999999996</v>
      </c>
    </row>
    <row r="67" spans="2:8" x14ac:dyDescent="0.2">
      <c r="B67" s="175" t="s">
        <v>344</v>
      </c>
      <c r="C67" s="154">
        <v>0.31900000000000001</v>
      </c>
      <c r="D67" s="154">
        <v>0.33700000000000002</v>
      </c>
      <c r="E67" s="154">
        <v>0.35599999999999998</v>
      </c>
      <c r="F67" s="154">
        <v>0.374</v>
      </c>
      <c r="G67" s="154">
        <v>0.39100000000000001</v>
      </c>
      <c r="H67" s="154">
        <v>0.39700000000000002</v>
      </c>
    </row>
    <row r="68" spans="2:8" x14ac:dyDescent="0.2">
      <c r="B68" s="174" t="s">
        <v>345</v>
      </c>
      <c r="C68" s="153">
        <v>0.26800000000000002</v>
      </c>
      <c r="D68" s="153">
        <v>0.28699999999999998</v>
      </c>
      <c r="E68" s="153">
        <v>0.30299999999999999</v>
      </c>
      <c r="F68" s="153">
        <v>0.32</v>
      </c>
      <c r="G68" s="153">
        <v>0.33700000000000002</v>
      </c>
      <c r="H68" s="153">
        <v>0.34399999999999997</v>
      </c>
    </row>
    <row r="69" spans="2:8" x14ac:dyDescent="0.2">
      <c r="B69" s="175" t="s">
        <v>346</v>
      </c>
      <c r="C69" s="154">
        <v>0.29699999999999999</v>
      </c>
      <c r="D69" s="154">
        <v>0.29299999999999998</v>
      </c>
      <c r="E69" s="154">
        <v>0.29099999999999998</v>
      </c>
      <c r="F69" s="154">
        <v>0.30199999999999999</v>
      </c>
      <c r="G69" s="154">
        <v>0.313</v>
      </c>
      <c r="H69" s="154">
        <v>0.307</v>
      </c>
    </row>
    <row r="70" spans="2:8" x14ac:dyDescent="0.2">
      <c r="B70" s="174" t="s">
        <v>116</v>
      </c>
      <c r="C70" s="153">
        <v>0.13900000000000001</v>
      </c>
      <c r="D70" s="153">
        <v>0.14000000000000001</v>
      </c>
      <c r="E70" s="153">
        <v>0.13500000000000001</v>
      </c>
      <c r="F70" s="153">
        <v>0.13</v>
      </c>
      <c r="G70" s="153">
        <v>0.125</v>
      </c>
      <c r="H70" s="153">
        <v>0.12</v>
      </c>
    </row>
    <row r="71" spans="2:8" x14ac:dyDescent="0.2">
      <c r="B71" s="175" t="s">
        <v>117</v>
      </c>
      <c r="C71" s="154">
        <v>3.9E-2</v>
      </c>
      <c r="D71" s="154">
        <v>0.04</v>
      </c>
      <c r="E71" s="154">
        <v>3.7999999999999999E-2</v>
      </c>
      <c r="F71" s="154">
        <v>3.5999999999999997E-2</v>
      </c>
      <c r="G71" s="154">
        <v>3.5000000000000003E-2</v>
      </c>
      <c r="H71" s="154">
        <v>3.5000000000000003E-2</v>
      </c>
    </row>
    <row r="74" spans="2:8" x14ac:dyDescent="0.2">
      <c r="B74" s="125" t="s">
        <v>347</v>
      </c>
    </row>
    <row r="75" spans="2:8" x14ac:dyDescent="0.2">
      <c r="B75" s="176" t="s">
        <v>348</v>
      </c>
    </row>
    <row r="76" spans="2:8" x14ac:dyDescent="0.2">
      <c r="B76" s="128" t="s">
        <v>349</v>
      </c>
      <c r="C76" s="177">
        <v>1.4999999999999999E-2</v>
      </c>
      <c r="D76" s="177">
        <v>0.02</v>
      </c>
      <c r="E76" s="177">
        <v>2.5000000000000001E-2</v>
      </c>
      <c r="F76" s="177">
        <v>0.03</v>
      </c>
      <c r="G76" s="177">
        <v>3.5000000000000003E-2</v>
      </c>
    </row>
    <row r="77" spans="2:8" x14ac:dyDescent="0.2">
      <c r="B77" s="177">
        <v>0.08</v>
      </c>
      <c r="C77" s="178">
        <v>649</v>
      </c>
      <c r="D77" s="178">
        <v>692</v>
      </c>
      <c r="E77" s="178">
        <v>743</v>
      </c>
      <c r="F77" s="178">
        <v>804</v>
      </c>
      <c r="G77" s="178">
        <v>879</v>
      </c>
    </row>
    <row r="78" spans="2:8" x14ac:dyDescent="0.2">
      <c r="B78" s="177">
        <v>0.09</v>
      </c>
      <c r="C78" s="179">
        <v>567</v>
      </c>
      <c r="D78" s="179">
        <v>598</v>
      </c>
      <c r="E78" s="179">
        <v>634</v>
      </c>
      <c r="F78" s="179">
        <v>676</v>
      </c>
      <c r="G78" s="179">
        <v>725</v>
      </c>
    </row>
    <row r="79" spans="2:8" x14ac:dyDescent="0.2">
      <c r="B79" s="177">
        <v>0.1</v>
      </c>
      <c r="C79" s="178">
        <v>505</v>
      </c>
      <c r="D79" s="178">
        <v>528</v>
      </c>
      <c r="E79" s="180">
        <v>555</v>
      </c>
      <c r="F79" s="178">
        <v>585</v>
      </c>
      <c r="G79" s="178">
        <v>619</v>
      </c>
    </row>
    <row r="80" spans="2:8" x14ac:dyDescent="0.2">
      <c r="B80" s="177">
        <v>0.11</v>
      </c>
      <c r="C80" s="179">
        <v>457</v>
      </c>
      <c r="D80" s="179">
        <v>475</v>
      </c>
      <c r="E80" s="179">
        <v>495</v>
      </c>
      <c r="F80" s="179">
        <v>517</v>
      </c>
      <c r="G80" s="179">
        <v>543</v>
      </c>
    </row>
    <row r="81" spans="2:7" x14ac:dyDescent="0.2">
      <c r="B81" s="177">
        <v>0.12</v>
      </c>
      <c r="C81" s="178">
        <v>418</v>
      </c>
      <c r="D81" s="178">
        <v>433</v>
      </c>
      <c r="E81" s="178">
        <v>448</v>
      </c>
      <c r="F81" s="178">
        <v>465</v>
      </c>
      <c r="G81" s="178">
        <v>485</v>
      </c>
    </row>
    <row r="83" spans="2:7" x14ac:dyDescent="0.2">
      <c r="B83" s="176" t="s">
        <v>350</v>
      </c>
    </row>
    <row r="84" spans="2:7" x14ac:dyDescent="0.2">
      <c r="B84" s="128" t="s">
        <v>219</v>
      </c>
      <c r="C84" s="128" t="s">
        <v>351</v>
      </c>
      <c r="D84" s="128" t="s">
        <v>352</v>
      </c>
      <c r="E84" s="128" t="s">
        <v>310</v>
      </c>
      <c r="F84" s="128" t="s">
        <v>353</v>
      </c>
      <c r="G84" s="128" t="s">
        <v>354</v>
      </c>
    </row>
    <row r="85" spans="2:7" x14ac:dyDescent="0.2">
      <c r="B85" s="177">
        <v>0.08</v>
      </c>
      <c r="C85" s="178">
        <v>615</v>
      </c>
      <c r="D85" s="178">
        <v>671</v>
      </c>
      <c r="E85" s="178">
        <v>728</v>
      </c>
      <c r="F85" s="178">
        <v>784</v>
      </c>
      <c r="G85" s="178">
        <v>841</v>
      </c>
    </row>
    <row r="86" spans="2:7" x14ac:dyDescent="0.2">
      <c r="B86" s="177">
        <v>0.09</v>
      </c>
      <c r="C86" s="179">
        <v>596</v>
      </c>
      <c r="D86" s="179">
        <v>651</v>
      </c>
      <c r="E86" s="179">
        <v>705</v>
      </c>
      <c r="F86" s="179">
        <v>759</v>
      </c>
      <c r="G86" s="179">
        <v>813</v>
      </c>
    </row>
    <row r="87" spans="2:7" x14ac:dyDescent="0.2">
      <c r="B87" s="177">
        <v>0.1</v>
      </c>
      <c r="C87" s="178">
        <v>579</v>
      </c>
      <c r="D87" s="178">
        <v>631</v>
      </c>
      <c r="E87" s="180">
        <v>683</v>
      </c>
      <c r="F87" s="178">
        <v>735</v>
      </c>
      <c r="G87" s="178">
        <v>787</v>
      </c>
    </row>
    <row r="88" spans="2:7" x14ac:dyDescent="0.2">
      <c r="B88" s="177">
        <v>0.11</v>
      </c>
      <c r="C88" s="179">
        <v>562</v>
      </c>
      <c r="D88" s="179">
        <v>612</v>
      </c>
      <c r="E88" s="179">
        <v>662</v>
      </c>
      <c r="F88" s="179">
        <v>712</v>
      </c>
      <c r="G88" s="179">
        <v>762</v>
      </c>
    </row>
    <row r="89" spans="2:7" x14ac:dyDescent="0.2">
      <c r="B89" s="177">
        <v>0.12</v>
      </c>
      <c r="C89" s="178">
        <v>546</v>
      </c>
      <c r="D89" s="178">
        <v>594</v>
      </c>
      <c r="E89" s="178">
        <v>642</v>
      </c>
      <c r="F89" s="178">
        <v>691</v>
      </c>
      <c r="G89" s="178">
        <v>739</v>
      </c>
    </row>
    <row r="91" spans="2:7" x14ac:dyDescent="0.2">
      <c r="B91" s="125" t="s">
        <v>355</v>
      </c>
    </row>
    <row r="92" spans="2:7" x14ac:dyDescent="0.2">
      <c r="B92" s="127" t="s">
        <v>283</v>
      </c>
      <c r="C92" s="128" t="s">
        <v>222</v>
      </c>
      <c r="D92" s="128" t="s">
        <v>223</v>
      </c>
      <c r="E92" s="128" t="s">
        <v>224</v>
      </c>
      <c r="F92" s="128" t="s">
        <v>356</v>
      </c>
    </row>
    <row r="93" spans="2:7" x14ac:dyDescent="0.2">
      <c r="B93" s="165" t="s">
        <v>285</v>
      </c>
      <c r="C93" s="131" t="s">
        <v>357</v>
      </c>
      <c r="D93" s="131" t="s">
        <v>358</v>
      </c>
      <c r="E93" s="131" t="s">
        <v>359</v>
      </c>
      <c r="F93" s="181">
        <v>0.35</v>
      </c>
    </row>
    <row r="94" spans="2:7" x14ac:dyDescent="0.2">
      <c r="B94" s="166" t="s">
        <v>286</v>
      </c>
      <c r="C94" s="134" t="s">
        <v>360</v>
      </c>
      <c r="D94" s="134" t="s">
        <v>361</v>
      </c>
      <c r="E94" s="134" t="s">
        <v>362</v>
      </c>
      <c r="F94" s="182">
        <v>0.35</v>
      </c>
    </row>
    <row r="95" spans="2:7" x14ac:dyDescent="0.2">
      <c r="B95" s="165" t="s">
        <v>287</v>
      </c>
      <c r="C95" s="131" t="s">
        <v>363</v>
      </c>
      <c r="D95" s="131" t="s">
        <v>364</v>
      </c>
      <c r="E95" s="131" t="s">
        <v>365</v>
      </c>
      <c r="F95" s="181">
        <v>0.2</v>
      </c>
    </row>
    <row r="96" spans="2:7" x14ac:dyDescent="0.2">
      <c r="B96" s="166" t="s">
        <v>288</v>
      </c>
      <c r="C96" s="134" t="s">
        <v>366</v>
      </c>
      <c r="D96" s="134" t="s">
        <v>367</v>
      </c>
      <c r="E96" s="134" t="s">
        <v>368</v>
      </c>
      <c r="F96" s="182">
        <v>0.1</v>
      </c>
    </row>
    <row r="98" spans="2:6" ht="24" x14ac:dyDescent="0.3">
      <c r="B98" s="183" t="s">
        <v>369</v>
      </c>
      <c r="C98" s="121"/>
      <c r="D98" s="184" t="s">
        <v>370</v>
      </c>
      <c r="E98" s="121"/>
      <c r="F98" s="121"/>
    </row>
    <row r="99" spans="2:6" ht="19" x14ac:dyDescent="0.25">
      <c r="B99" s="185" t="s">
        <v>289</v>
      </c>
      <c r="C99" s="123"/>
      <c r="D99" s="186" t="s">
        <v>371</v>
      </c>
      <c r="E99" s="123"/>
      <c r="F99" s="123"/>
    </row>
    <row r="100" spans="2:6" ht="19" x14ac:dyDescent="0.25">
      <c r="B100" s="187" t="s">
        <v>214</v>
      </c>
      <c r="C100" s="188"/>
      <c r="D100" s="189">
        <v>8.6999999999999994E-2</v>
      </c>
      <c r="E100" s="188"/>
      <c r="F100" s="188"/>
    </row>
    <row r="103" spans="2:6" x14ac:dyDescent="0.2">
      <c r="B103" s="190" t="s">
        <v>372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A441-06F4-BA40-A2D1-F8B3D5AFF3C2}">
  <dimension ref="B2:J86"/>
  <sheetViews>
    <sheetView topLeftCell="A6" zoomScale="140" workbookViewId="0">
      <selection activeCell="L25" sqref="L25"/>
    </sheetView>
  </sheetViews>
  <sheetFormatPr baseColWidth="10" defaultRowHeight="16" x14ac:dyDescent="0.2"/>
  <cols>
    <col min="1" max="16384" width="10.83203125" style="1"/>
  </cols>
  <sheetData>
    <row r="2" spans="2:5" ht="19" x14ac:dyDescent="0.25">
      <c r="B2" s="193" t="s">
        <v>153</v>
      </c>
      <c r="C2" s="193"/>
      <c r="D2" s="193"/>
      <c r="E2" s="193"/>
    </row>
    <row r="4" spans="2:5" x14ac:dyDescent="0.2">
      <c r="B4" s="44"/>
    </row>
    <row r="6" spans="2:5" x14ac:dyDescent="0.2">
      <c r="B6" s="43" t="s">
        <v>97</v>
      </c>
    </row>
    <row r="8" spans="2:5" x14ac:dyDescent="0.2">
      <c r="B8" s="1" t="s">
        <v>98</v>
      </c>
      <c r="E8" s="47">
        <v>2</v>
      </c>
    </row>
    <row r="10" spans="2:5" x14ac:dyDescent="0.2">
      <c r="B10" s="34" t="s">
        <v>99</v>
      </c>
    </row>
    <row r="11" spans="2:5" x14ac:dyDescent="0.2">
      <c r="B11" s="1" t="s">
        <v>100</v>
      </c>
      <c r="E11" s="1" t="s">
        <v>101</v>
      </c>
    </row>
    <row r="12" spans="2:5" x14ac:dyDescent="0.2">
      <c r="B12" s="1" t="s">
        <v>102</v>
      </c>
      <c r="E12" s="1" t="s">
        <v>103</v>
      </c>
    </row>
    <row r="13" spans="2:5" x14ac:dyDescent="0.2">
      <c r="B13" s="1" t="s">
        <v>104</v>
      </c>
      <c r="E13" s="1" t="s">
        <v>105</v>
      </c>
    </row>
    <row r="16" spans="2:5" x14ac:dyDescent="0.2">
      <c r="B16" s="43" t="s">
        <v>106</v>
      </c>
    </row>
    <row r="17" spans="2:10" x14ac:dyDescent="0.2">
      <c r="E17" s="34" t="s">
        <v>16</v>
      </c>
      <c r="F17" s="34" t="s">
        <v>13</v>
      </c>
      <c r="G17" s="34" t="s">
        <v>17</v>
      </c>
      <c r="H17" s="34" t="s">
        <v>18</v>
      </c>
      <c r="I17" s="34" t="s">
        <v>19</v>
      </c>
      <c r="J17" s="34" t="s">
        <v>20</v>
      </c>
    </row>
    <row r="18" spans="2:10" x14ac:dyDescent="0.2">
      <c r="B18" s="1" t="s">
        <v>107</v>
      </c>
      <c r="E18" s="35"/>
      <c r="F18" s="48">
        <v>0.15</v>
      </c>
      <c r="G18" s="48">
        <v>0.12</v>
      </c>
      <c r="H18" s="48">
        <v>0.1</v>
      </c>
      <c r="I18" s="48">
        <v>0.08</v>
      </c>
      <c r="J18" s="48">
        <v>0.06</v>
      </c>
    </row>
    <row r="19" spans="2:10" x14ac:dyDescent="0.2">
      <c r="B19" s="1" t="s">
        <v>108</v>
      </c>
      <c r="E19" s="35"/>
      <c r="F19" s="48">
        <v>0.2</v>
      </c>
      <c r="G19" s="48">
        <v>0.18</v>
      </c>
      <c r="H19" s="48">
        <v>0.15</v>
      </c>
      <c r="I19" s="48">
        <v>0.12</v>
      </c>
      <c r="J19" s="48">
        <v>0.1</v>
      </c>
    </row>
    <row r="20" spans="2:10" x14ac:dyDescent="0.2">
      <c r="B20" s="1" t="s">
        <v>109</v>
      </c>
      <c r="E20" s="35"/>
      <c r="F20" s="48">
        <v>0.05</v>
      </c>
      <c r="G20" s="48">
        <v>0.03</v>
      </c>
      <c r="H20" s="48">
        <v>0.04</v>
      </c>
      <c r="I20" s="48">
        <v>0.05</v>
      </c>
      <c r="J20" s="48">
        <v>0.04</v>
      </c>
    </row>
    <row r="21" spans="2:10" x14ac:dyDescent="0.2">
      <c r="B21" s="34" t="s">
        <v>110</v>
      </c>
      <c r="F21" s="49">
        <f>IF($E$8=1,F18,IF($E$8=2,F19,F20))</f>
        <v>0.2</v>
      </c>
      <c r="G21" s="49">
        <f>IF($E$8=1,G18,IF($E$8=2,G19,G20))</f>
        <v>0.18</v>
      </c>
      <c r="H21" s="49">
        <f>IF($E$8=1,H18,IF($E$8=2,H19,H20))</f>
        <v>0.15</v>
      </c>
      <c r="I21" s="49">
        <f>IF($E$8=1,I18,IF($E$8=2,I19,I20))</f>
        <v>0.12</v>
      </c>
      <c r="J21" s="49">
        <f>IF($E$8=1,J18,IF($E$8=2,J19,J20))</f>
        <v>0.1</v>
      </c>
    </row>
    <row r="24" spans="2:10" x14ac:dyDescent="0.2">
      <c r="B24" s="43" t="s">
        <v>111</v>
      </c>
    </row>
    <row r="25" spans="2:10" x14ac:dyDescent="0.2">
      <c r="E25" s="34" t="s">
        <v>16</v>
      </c>
      <c r="F25" s="34" t="s">
        <v>13</v>
      </c>
      <c r="G25" s="34" t="s">
        <v>17</v>
      </c>
      <c r="H25" s="34" t="s">
        <v>18</v>
      </c>
      <c r="I25" s="34" t="s">
        <v>19</v>
      </c>
      <c r="J25" s="34" t="s">
        <v>20</v>
      </c>
    </row>
    <row r="26" spans="2:10" x14ac:dyDescent="0.2">
      <c r="B26" s="1" t="s">
        <v>112</v>
      </c>
      <c r="E26" s="50">
        <f>'3-Statement Model'!G11/'3-Statement Model'!G10*-1</f>
        <v>0.46687353385533686</v>
      </c>
      <c r="F26" s="48">
        <v>0.46500000000000002</v>
      </c>
      <c r="G26" s="48">
        <v>0.46</v>
      </c>
      <c r="H26" s="48">
        <v>0.45500000000000002</v>
      </c>
      <c r="I26" s="48">
        <v>0.45</v>
      </c>
      <c r="J26" s="48">
        <v>0.45</v>
      </c>
    </row>
    <row r="27" spans="2:10" x14ac:dyDescent="0.2">
      <c r="B27" s="1" t="s">
        <v>113</v>
      </c>
      <c r="F27" s="48">
        <v>0.45</v>
      </c>
      <c r="G27" s="48">
        <v>0.44</v>
      </c>
      <c r="H27" s="48">
        <v>0.43</v>
      </c>
      <c r="I27" s="48">
        <v>0.42</v>
      </c>
      <c r="J27" s="48">
        <v>0.42</v>
      </c>
    </row>
    <row r="28" spans="2:10" x14ac:dyDescent="0.2">
      <c r="B28" s="1" t="s">
        <v>114</v>
      </c>
      <c r="F28" s="48">
        <v>0.5</v>
      </c>
      <c r="G28" s="48">
        <v>0.51</v>
      </c>
      <c r="H28" s="48">
        <v>0.52</v>
      </c>
      <c r="I28" s="48">
        <v>0.52</v>
      </c>
      <c r="J28" s="48">
        <v>0.52</v>
      </c>
    </row>
    <row r="29" spans="2:10" x14ac:dyDescent="0.2">
      <c r="B29" s="34" t="s">
        <v>115</v>
      </c>
      <c r="E29" s="49">
        <f>E26</f>
        <v>0.46687353385533686</v>
      </c>
      <c r="F29" s="49">
        <f>IF($E$8=1,F26,IF($E$8=2,F27,F28))</f>
        <v>0.45</v>
      </c>
      <c r="G29" s="49">
        <f>IF($E$8=1,G26,IF($E$8=2,G27,G28))</f>
        <v>0.44</v>
      </c>
      <c r="H29" s="49">
        <f>IF($E$8=1,H26,IF($E$8=2,H27,H28))</f>
        <v>0.43</v>
      </c>
      <c r="I29" s="49">
        <f>IF($E$8=1,I26,IF($E$8=2,I27,I28))</f>
        <v>0.42</v>
      </c>
      <c r="J29" s="49">
        <f>IF($E$8=1,J26,IF($E$8=2,J27,J28))</f>
        <v>0.42</v>
      </c>
    </row>
    <row r="31" spans="2:10" x14ac:dyDescent="0.2">
      <c r="B31" s="1" t="s">
        <v>116</v>
      </c>
      <c r="E31" s="50">
        <f>'3-Statement Model'!G14/'3-Statement Model'!G10*-1</f>
        <v>0.13949028585177034</v>
      </c>
      <c r="F31" s="48">
        <v>0.14000000000000001</v>
      </c>
      <c r="G31" s="48">
        <v>0.13500000000000001</v>
      </c>
      <c r="H31" s="48">
        <v>0.13</v>
      </c>
      <c r="I31" s="48">
        <v>0.125</v>
      </c>
      <c r="J31" s="48">
        <v>0.12</v>
      </c>
    </row>
    <row r="32" spans="2:10" x14ac:dyDescent="0.2">
      <c r="B32" s="1" t="s">
        <v>117</v>
      </c>
      <c r="E32" s="50">
        <f>'3-Statement Model'!G15/'3-Statement Model'!G10*-1</f>
        <v>3.9482855616373408E-2</v>
      </c>
      <c r="F32" s="48">
        <v>0.04</v>
      </c>
      <c r="G32" s="48">
        <v>3.7999999999999999E-2</v>
      </c>
      <c r="H32" s="48">
        <v>3.5999999999999997E-2</v>
      </c>
      <c r="I32" s="48">
        <v>3.5000000000000003E-2</v>
      </c>
      <c r="J32" s="48">
        <v>3.5000000000000003E-2</v>
      </c>
    </row>
    <row r="34" spans="2:10" x14ac:dyDescent="0.2">
      <c r="B34" s="43" t="s">
        <v>118</v>
      </c>
    </row>
    <row r="35" spans="2:10" x14ac:dyDescent="0.2">
      <c r="E35" s="34" t="s">
        <v>16</v>
      </c>
      <c r="F35" s="34" t="s">
        <v>13</v>
      </c>
      <c r="G35" s="34" t="s">
        <v>17</v>
      </c>
      <c r="H35" s="34" t="s">
        <v>18</v>
      </c>
      <c r="I35" s="34" t="s">
        <v>19</v>
      </c>
      <c r="J35" s="34" t="s">
        <v>20</v>
      </c>
    </row>
    <row r="36" spans="2:10" x14ac:dyDescent="0.2">
      <c r="B36" s="1" t="s">
        <v>119</v>
      </c>
      <c r="E36" s="50">
        <f>'3-Statement Model'!G24/'3-Statement Model'!G22*-1</f>
        <v>0.18585773688401305</v>
      </c>
      <c r="F36" s="48">
        <v>0.17499999999999999</v>
      </c>
      <c r="G36" s="48">
        <v>0.18</v>
      </c>
      <c r="H36" s="48">
        <v>0.18</v>
      </c>
      <c r="I36" s="48">
        <v>0.18</v>
      </c>
      <c r="J36" s="48">
        <v>0.18</v>
      </c>
    </row>
    <row r="37" spans="2:10" x14ac:dyDescent="0.2">
      <c r="B37" s="1" t="s">
        <v>120</v>
      </c>
      <c r="F37" s="48">
        <v>2.5000000000000001E-2</v>
      </c>
      <c r="G37" s="48">
        <v>2.5000000000000001E-2</v>
      </c>
      <c r="H37" s="48">
        <v>2.5000000000000001E-2</v>
      </c>
      <c r="I37" s="48">
        <v>2.5000000000000001E-2</v>
      </c>
      <c r="J37" s="48">
        <v>2.5000000000000001E-2</v>
      </c>
    </row>
    <row r="38" spans="2:10" x14ac:dyDescent="0.2">
      <c r="B38" s="1" t="s">
        <v>121</v>
      </c>
      <c r="F38" s="48">
        <v>0.04</v>
      </c>
      <c r="G38" s="48">
        <v>0.04</v>
      </c>
      <c r="H38" s="48">
        <v>0.04</v>
      </c>
      <c r="I38" s="48">
        <v>0.04</v>
      </c>
      <c r="J38" s="48">
        <v>0.04</v>
      </c>
    </row>
    <row r="39" spans="2:10" x14ac:dyDescent="0.2">
      <c r="B39" s="1" t="s">
        <v>122</v>
      </c>
      <c r="F39" s="48">
        <v>0.05</v>
      </c>
      <c r="G39" s="48">
        <v>0.05</v>
      </c>
      <c r="H39" s="48">
        <v>0.05</v>
      </c>
      <c r="I39" s="48">
        <v>0.05</v>
      </c>
      <c r="J39" s="48">
        <v>0.05</v>
      </c>
    </row>
    <row r="40" spans="2:10" x14ac:dyDescent="0.2">
      <c r="B40" s="1" t="s">
        <v>32</v>
      </c>
      <c r="E40" s="33">
        <f>'3-Statement Model'!G21</f>
        <v>-8.9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</row>
    <row r="43" spans="2:10" x14ac:dyDescent="0.2">
      <c r="B43" s="43" t="s">
        <v>123</v>
      </c>
    </row>
    <row r="44" spans="2:10" x14ac:dyDescent="0.2">
      <c r="E44" s="34" t="s">
        <v>16</v>
      </c>
      <c r="F44" s="34" t="s">
        <v>13</v>
      </c>
      <c r="G44" s="34" t="s">
        <v>17</v>
      </c>
      <c r="H44" s="34" t="s">
        <v>18</v>
      </c>
      <c r="I44" s="34" t="s">
        <v>19</v>
      </c>
      <c r="J44" s="34" t="s">
        <v>20</v>
      </c>
    </row>
    <row r="45" spans="2:10" x14ac:dyDescent="0.2">
      <c r="B45" s="1" t="s">
        <v>124</v>
      </c>
      <c r="E45" s="37">
        <v>62</v>
      </c>
      <c r="F45" s="37">
        <v>60</v>
      </c>
      <c r="G45" s="37">
        <v>60</v>
      </c>
      <c r="H45" s="37">
        <v>60</v>
      </c>
      <c r="I45" s="37">
        <v>60</v>
      </c>
      <c r="J45" s="37">
        <v>60</v>
      </c>
    </row>
    <row r="46" spans="2:10" x14ac:dyDescent="0.2">
      <c r="B46" s="1" t="s">
        <v>125</v>
      </c>
      <c r="E46" s="37">
        <v>324</v>
      </c>
      <c r="F46" s="37">
        <v>310</v>
      </c>
      <c r="G46" s="37">
        <v>300</v>
      </c>
      <c r="H46" s="37">
        <v>290</v>
      </c>
      <c r="I46" s="37">
        <v>280</v>
      </c>
      <c r="J46" s="37">
        <v>270</v>
      </c>
    </row>
    <row r="47" spans="2:10" x14ac:dyDescent="0.2">
      <c r="B47" s="1" t="s">
        <v>126</v>
      </c>
      <c r="E47" s="37">
        <v>97</v>
      </c>
      <c r="F47" s="37">
        <v>95</v>
      </c>
      <c r="G47" s="37">
        <v>95</v>
      </c>
      <c r="H47" s="37">
        <v>95</v>
      </c>
      <c r="I47" s="37">
        <v>95</v>
      </c>
      <c r="J47" s="37">
        <v>95</v>
      </c>
    </row>
    <row r="48" spans="2:10" x14ac:dyDescent="0.2">
      <c r="B48" s="1" t="s">
        <v>127</v>
      </c>
      <c r="E48" s="50">
        <f>'3-Statement Model'!G37/'3-Statement Model'!G10</f>
        <v>2.2832051912577971E-2</v>
      </c>
      <c r="F48" s="48">
        <v>2.3E-2</v>
      </c>
      <c r="G48" s="48">
        <v>2.3E-2</v>
      </c>
      <c r="H48" s="48">
        <v>2.3E-2</v>
      </c>
      <c r="I48" s="48">
        <v>2.3E-2</v>
      </c>
      <c r="J48" s="48">
        <v>2.3E-2</v>
      </c>
    </row>
    <row r="49" spans="2:10" x14ac:dyDescent="0.2">
      <c r="B49" s="1" t="s">
        <v>128</v>
      </c>
      <c r="E49" s="50">
        <f>'3-Statement Model'!G39/'3-Statement Model'!G10</f>
        <v>2.9912004783656309E-2</v>
      </c>
      <c r="F49" s="48">
        <v>0.03</v>
      </c>
      <c r="G49" s="48">
        <v>0.03</v>
      </c>
      <c r="H49" s="48">
        <v>0.03</v>
      </c>
      <c r="I49" s="48">
        <v>0.03</v>
      </c>
      <c r="J49" s="48">
        <v>0.03</v>
      </c>
    </row>
    <row r="50" spans="2:10" x14ac:dyDescent="0.2">
      <c r="B50" s="1" t="s">
        <v>129</v>
      </c>
      <c r="E50" s="50">
        <f>'3-Statement Model'!G55/'3-Statement Model'!G10</f>
        <v>0.5374112352235616</v>
      </c>
      <c r="F50" s="48">
        <v>0.52</v>
      </c>
      <c r="G50" s="48">
        <v>0.5</v>
      </c>
      <c r="H50" s="48">
        <v>0.48</v>
      </c>
      <c r="I50" s="48">
        <v>0.46</v>
      </c>
      <c r="J50" s="48">
        <v>0.44</v>
      </c>
    </row>
    <row r="52" spans="2:10" x14ac:dyDescent="0.2">
      <c r="B52" s="43" t="s">
        <v>130</v>
      </c>
    </row>
    <row r="53" spans="2:10" x14ac:dyDescent="0.2">
      <c r="E53" s="34" t="s">
        <v>16</v>
      </c>
      <c r="F53" s="34" t="s">
        <v>13</v>
      </c>
      <c r="G53" s="34" t="s">
        <v>17</v>
      </c>
      <c r="H53" s="34" t="s">
        <v>18</v>
      </c>
      <c r="I53" s="34" t="s">
        <v>19</v>
      </c>
      <c r="J53" s="34" t="s">
        <v>20</v>
      </c>
    </row>
    <row r="54" spans="2:10" x14ac:dyDescent="0.2">
      <c r="B54" s="1" t="s">
        <v>131</v>
      </c>
      <c r="E54" s="50">
        <f>'3-Statement Model'!G92/'3-Statement Model'!G10*-1</f>
        <v>7.3704396930251312E-2</v>
      </c>
      <c r="F54" s="48">
        <v>6.5000000000000002E-2</v>
      </c>
      <c r="G54" s="48">
        <v>0.06</v>
      </c>
      <c r="H54" s="48">
        <v>5.5E-2</v>
      </c>
      <c r="I54" s="48">
        <v>0.05</v>
      </c>
      <c r="J54" s="48">
        <v>0.05</v>
      </c>
    </row>
    <row r="55" spans="2:10" x14ac:dyDescent="0.2">
      <c r="B55" s="1" t="s">
        <v>132</v>
      </c>
      <c r="E55" s="50">
        <f>'3-Statement Model'!G16/'3-Statement Model'!F42*-1</f>
        <v>0.17014379806200214</v>
      </c>
      <c r="F55" s="48">
        <v>0.14000000000000001</v>
      </c>
      <c r="G55" s="48">
        <v>0.13500000000000001</v>
      </c>
      <c r="H55" s="48">
        <v>0.13</v>
      </c>
      <c r="I55" s="48">
        <v>0.125</v>
      </c>
      <c r="J55" s="48">
        <v>0.12</v>
      </c>
    </row>
    <row r="57" spans="2:10" x14ac:dyDescent="0.2">
      <c r="B57" s="1" t="s">
        <v>133</v>
      </c>
      <c r="E57" s="36">
        <v>-126</v>
      </c>
      <c r="F57" s="36">
        <v>-120</v>
      </c>
      <c r="G57" s="36">
        <v>-115</v>
      </c>
      <c r="H57" s="36">
        <v>-110</v>
      </c>
      <c r="I57" s="36">
        <v>-105</v>
      </c>
      <c r="J57" s="36">
        <v>-100</v>
      </c>
    </row>
    <row r="60" spans="2:10" x14ac:dyDescent="0.2">
      <c r="B60" s="43" t="s">
        <v>134</v>
      </c>
    </row>
    <row r="61" spans="2:10" x14ac:dyDescent="0.2">
      <c r="E61" s="34" t="s">
        <v>16</v>
      </c>
      <c r="F61" s="34" t="s">
        <v>13</v>
      </c>
      <c r="G61" s="34" t="s">
        <v>17</v>
      </c>
      <c r="H61" s="34" t="s">
        <v>18</v>
      </c>
      <c r="I61" s="34" t="s">
        <v>19</v>
      </c>
      <c r="J61" s="34" t="s">
        <v>20</v>
      </c>
    </row>
    <row r="62" spans="2:10" x14ac:dyDescent="0.2">
      <c r="B62" s="1" t="s">
        <v>135</v>
      </c>
      <c r="E62" s="51">
        <v>6.4</v>
      </c>
      <c r="F62" s="51">
        <v>7</v>
      </c>
      <c r="G62" s="51">
        <v>7.5</v>
      </c>
      <c r="H62" s="51">
        <v>8</v>
      </c>
      <c r="I62" s="51">
        <v>8.5</v>
      </c>
      <c r="J62" s="51">
        <v>9</v>
      </c>
    </row>
    <row r="63" spans="2:10" x14ac:dyDescent="0.2">
      <c r="B63" s="1" t="s">
        <v>136</v>
      </c>
      <c r="E63" s="36">
        <v>-500</v>
      </c>
      <c r="F63" s="36">
        <v>-2000</v>
      </c>
      <c r="G63" s="36">
        <v>-2500</v>
      </c>
      <c r="H63" s="36">
        <v>-3000</v>
      </c>
      <c r="I63" s="36">
        <v>-3000</v>
      </c>
      <c r="J63" s="36">
        <v>-3000</v>
      </c>
    </row>
    <row r="64" spans="2:10" x14ac:dyDescent="0.2">
      <c r="B64" s="1" t="s">
        <v>137</v>
      </c>
      <c r="E64" s="36">
        <v>124</v>
      </c>
      <c r="F64" s="36">
        <v>130</v>
      </c>
      <c r="G64" s="36">
        <v>135</v>
      </c>
      <c r="H64" s="36">
        <v>140</v>
      </c>
      <c r="I64" s="36">
        <v>145</v>
      </c>
      <c r="J64" s="36">
        <v>150</v>
      </c>
    </row>
    <row r="66" spans="2:10" x14ac:dyDescent="0.2">
      <c r="B66" s="1" t="s">
        <v>138</v>
      </c>
      <c r="E66" s="52">
        <v>393.4</v>
      </c>
      <c r="F66" s="53">
        <f>E68</f>
        <v>393.6</v>
      </c>
      <c r="G66" s="53">
        <f>F68</f>
        <v>393.68666666666672</v>
      </c>
      <c r="H66" s="53">
        <f>G68</f>
        <v>393.77666666666676</v>
      </c>
      <c r="I66" s="53">
        <f>H68</f>
        <v>393.87000000000012</v>
      </c>
      <c r="J66" s="53">
        <f>I68</f>
        <v>393.96666666666681</v>
      </c>
    </row>
    <row r="67" spans="2:10" x14ac:dyDescent="0.2">
      <c r="B67" s="1" t="s">
        <v>139</v>
      </c>
      <c r="E67" s="52">
        <v>393.3</v>
      </c>
      <c r="F67" s="53">
        <f>F66+F64/750</f>
        <v>393.77333333333337</v>
      </c>
      <c r="G67" s="53">
        <f>G66+G64/750</f>
        <v>393.86666666666673</v>
      </c>
      <c r="H67" s="53">
        <f>H66+H64/750</f>
        <v>393.96333333333342</v>
      </c>
      <c r="I67" s="53">
        <f>I66+I64/750</f>
        <v>394.06333333333345</v>
      </c>
      <c r="J67" s="53">
        <f>J66+J64/750</f>
        <v>394.1666666666668</v>
      </c>
    </row>
    <row r="68" spans="2:10" x14ac:dyDescent="0.2">
      <c r="B68" s="1" t="s">
        <v>140</v>
      </c>
      <c r="E68" s="52">
        <v>393.6</v>
      </c>
      <c r="F68" s="53">
        <f>(F66+F67)/2</f>
        <v>393.68666666666672</v>
      </c>
      <c r="G68" s="53">
        <f>(G66+G67)/2</f>
        <v>393.77666666666676</v>
      </c>
      <c r="H68" s="53">
        <f>(H66+H67)/2</f>
        <v>393.87000000000012</v>
      </c>
      <c r="I68" s="53">
        <f>(I66+I67)/2</f>
        <v>393.96666666666681</v>
      </c>
      <c r="J68" s="53">
        <f>(J66+J67)/2</f>
        <v>394.06666666666683</v>
      </c>
    </row>
    <row r="69" spans="2:10" x14ac:dyDescent="0.2">
      <c r="F69"/>
      <c r="G69"/>
      <c r="H69"/>
      <c r="I69"/>
      <c r="J69"/>
    </row>
    <row r="70" spans="2:10" x14ac:dyDescent="0.2">
      <c r="B70" s="43" t="s">
        <v>141</v>
      </c>
    </row>
    <row r="71" spans="2:10" x14ac:dyDescent="0.2">
      <c r="E71" s="34" t="s">
        <v>16</v>
      </c>
      <c r="F71" s="34" t="s">
        <v>13</v>
      </c>
      <c r="G71" s="34" t="s">
        <v>17</v>
      </c>
      <c r="H71" s="34" t="s">
        <v>18</v>
      </c>
      <c r="I71" s="34" t="s">
        <v>19</v>
      </c>
      <c r="J71" s="34" t="s">
        <v>20</v>
      </c>
    </row>
    <row r="72" spans="2:10" x14ac:dyDescent="0.2">
      <c r="B72" s="1" t="s">
        <v>142</v>
      </c>
      <c r="E72" s="52">
        <v>-3.2</v>
      </c>
      <c r="F72" s="52">
        <v>-500</v>
      </c>
      <c r="G72" s="52">
        <v>-300</v>
      </c>
      <c r="H72" s="52">
        <v>0</v>
      </c>
      <c r="I72" s="52">
        <v>0</v>
      </c>
      <c r="J72" s="52">
        <v>0</v>
      </c>
    </row>
    <row r="73" spans="2:10" x14ac:dyDescent="0.2">
      <c r="B73" s="1" t="s">
        <v>143</v>
      </c>
      <c r="E73" s="52">
        <v>1032.0999999999999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</row>
    <row r="76" spans="2:10" x14ac:dyDescent="0.2">
      <c r="B76" s="43" t="s">
        <v>144</v>
      </c>
    </row>
    <row r="77" spans="2:10" x14ac:dyDescent="0.2">
      <c r="E77" s="34" t="s">
        <v>16</v>
      </c>
      <c r="F77" s="34" t="s">
        <v>13</v>
      </c>
      <c r="G77" s="34" t="s">
        <v>17</v>
      </c>
      <c r="H77" s="34" t="s">
        <v>18</v>
      </c>
      <c r="I77" s="34" t="s">
        <v>19</v>
      </c>
      <c r="J77" s="34" t="s">
        <v>20</v>
      </c>
    </row>
    <row r="78" spans="2:10" x14ac:dyDescent="0.2">
      <c r="B78" s="1" t="s">
        <v>145</v>
      </c>
      <c r="F78" s="48">
        <v>0.05</v>
      </c>
      <c r="G78" s="48">
        <v>0.05</v>
      </c>
      <c r="H78" s="48">
        <v>0.05</v>
      </c>
      <c r="I78" s="48">
        <v>0.05</v>
      </c>
      <c r="J78" s="48">
        <v>0.05</v>
      </c>
    </row>
    <row r="79" spans="2:10" x14ac:dyDescent="0.2">
      <c r="B79" s="1" t="s">
        <v>146</v>
      </c>
      <c r="F79" s="48">
        <v>0.03</v>
      </c>
      <c r="G79" s="48">
        <v>0.03</v>
      </c>
      <c r="H79" s="48">
        <v>0.03</v>
      </c>
      <c r="I79" s="48">
        <v>0.03</v>
      </c>
      <c r="J79" s="48">
        <v>0.03</v>
      </c>
    </row>
    <row r="80" spans="2:10" x14ac:dyDescent="0.2">
      <c r="B80" s="1" t="s">
        <v>147</v>
      </c>
      <c r="E80" s="50">
        <f>'3-Statement Model'!G47/'3-Statement Model'!G10</f>
        <v>2.7980143580453525E-2</v>
      </c>
      <c r="F80" s="48">
        <v>2.8000000000000001E-2</v>
      </c>
      <c r="G80" s="48">
        <v>2.8000000000000001E-2</v>
      </c>
      <c r="H80" s="48">
        <v>2.8000000000000001E-2</v>
      </c>
      <c r="I80" s="48">
        <v>2.8000000000000001E-2</v>
      </c>
      <c r="J80" s="48">
        <v>2.8000000000000001E-2</v>
      </c>
    </row>
    <row r="81" spans="2:10" x14ac:dyDescent="0.2">
      <c r="B81" s="1" t="s">
        <v>148</v>
      </c>
      <c r="E81" s="50">
        <f>'3-Statement Model'!G54/'3-Statement Model'!G24</f>
        <v>-0.16857074854218734</v>
      </c>
      <c r="F81" s="48">
        <v>0.17</v>
      </c>
      <c r="G81" s="48">
        <v>0.17</v>
      </c>
      <c r="H81" s="48">
        <v>0.17</v>
      </c>
      <c r="I81" s="48">
        <v>0.17</v>
      </c>
      <c r="J81" s="48">
        <v>0.17</v>
      </c>
    </row>
    <row r="82" spans="2:10" x14ac:dyDescent="0.2">
      <c r="B82" s="1" t="s">
        <v>149</v>
      </c>
      <c r="F82" s="48">
        <v>0</v>
      </c>
      <c r="G82" s="48">
        <v>0</v>
      </c>
      <c r="H82" s="48">
        <v>0</v>
      </c>
      <c r="I82" s="48">
        <v>0</v>
      </c>
      <c r="J82" s="48">
        <v>0</v>
      </c>
    </row>
    <row r="83" spans="2:10" x14ac:dyDescent="0.2">
      <c r="B83" s="1" t="s">
        <v>150</v>
      </c>
      <c r="E83" s="50">
        <f>'3-Statement Model'!G60/'3-Statement Model'!G10</f>
        <v>0.20689667373128728</v>
      </c>
      <c r="F83" s="48">
        <v>0.2</v>
      </c>
      <c r="G83" s="48">
        <v>0.19</v>
      </c>
      <c r="H83" s="48">
        <v>0.18</v>
      </c>
      <c r="I83" s="48">
        <v>0.17</v>
      </c>
      <c r="J83" s="48">
        <v>0.16</v>
      </c>
    </row>
    <row r="85" spans="2:10" x14ac:dyDescent="0.2">
      <c r="B85" s="1" t="s">
        <v>151</v>
      </c>
      <c r="E85" s="52">
        <v>767.5</v>
      </c>
      <c r="F85" s="52">
        <v>800</v>
      </c>
      <c r="G85" s="52">
        <v>850</v>
      </c>
      <c r="H85" s="52">
        <v>900</v>
      </c>
      <c r="I85" s="52">
        <v>950</v>
      </c>
      <c r="J85" s="52">
        <v>1000</v>
      </c>
    </row>
    <row r="86" spans="2:10" x14ac:dyDescent="0.2">
      <c r="B86" s="1" t="s">
        <v>152</v>
      </c>
      <c r="E86" s="52">
        <v>454.1</v>
      </c>
      <c r="F86" s="52">
        <v>450</v>
      </c>
      <c r="G86" s="52">
        <v>450</v>
      </c>
      <c r="H86" s="52">
        <v>450</v>
      </c>
      <c r="I86" s="52">
        <v>450</v>
      </c>
      <c r="J86" s="52">
        <v>450</v>
      </c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8F95-BFAF-7B41-A8F4-B84F531F956E}">
  <dimension ref="B4:M108"/>
  <sheetViews>
    <sheetView topLeftCell="A31" zoomScale="141" workbookViewId="0">
      <selection activeCell="C28" sqref="C28"/>
    </sheetView>
  </sheetViews>
  <sheetFormatPr baseColWidth="10" defaultRowHeight="16" x14ac:dyDescent="0.2"/>
  <cols>
    <col min="1" max="16384" width="10.83203125" style="1"/>
  </cols>
  <sheetData>
    <row r="4" spans="2:12" ht="18" customHeight="1" x14ac:dyDescent="0.25">
      <c r="B4" s="194" t="s">
        <v>12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</row>
    <row r="6" spans="2:12" x14ac:dyDescent="0.2">
      <c r="B6" s="29" t="s">
        <v>22</v>
      </c>
      <c r="E6" s="32" t="s">
        <v>14</v>
      </c>
      <c r="F6" s="32" t="s">
        <v>15</v>
      </c>
      <c r="G6" s="32" t="s">
        <v>16</v>
      </c>
      <c r="H6" s="32" t="s">
        <v>13</v>
      </c>
      <c r="I6" s="32" t="s">
        <v>17</v>
      </c>
      <c r="J6" s="32" t="s">
        <v>18</v>
      </c>
      <c r="K6" s="32" t="s">
        <v>19</v>
      </c>
      <c r="L6" s="32" t="s">
        <v>20</v>
      </c>
    </row>
    <row r="7" spans="2:12" x14ac:dyDescent="0.2">
      <c r="B7" s="29" t="s">
        <v>23</v>
      </c>
    </row>
    <row r="9" spans="2:12" x14ac:dyDescent="0.2">
      <c r="E9" s="30"/>
      <c r="F9" s="30"/>
      <c r="G9" s="30"/>
    </row>
    <row r="10" spans="2:12" x14ac:dyDescent="0.2">
      <c r="B10" s="1" t="s">
        <v>21</v>
      </c>
      <c r="E10" s="41">
        <v>21173.4</v>
      </c>
      <c r="F10" s="41">
        <v>27558.5</v>
      </c>
      <c r="G10" s="41">
        <v>28262.9</v>
      </c>
      <c r="H10" s="38">
        <f>G10*(1+'Assumptions and Inputs'!F21)</f>
        <v>33915.480000000003</v>
      </c>
      <c r="I10" s="38">
        <f>H10*(1+'Assumptions and Inputs'!G21)</f>
        <v>40020.2664</v>
      </c>
      <c r="J10" s="38">
        <f>I10*(1+'Assumptions and Inputs'!H21)</f>
        <v>46023.306359999995</v>
      </c>
      <c r="K10" s="38">
        <f>J10*(1+'Assumptions and Inputs'!I21)</f>
        <v>51546.103123200002</v>
      </c>
      <c r="L10" s="38">
        <f>K10*(1+'Assumptions and Inputs'!J21)</f>
        <v>56700.713435520011</v>
      </c>
    </row>
    <row r="11" spans="2:12" x14ac:dyDescent="0.2">
      <c r="B11" s="1" t="s">
        <v>24</v>
      </c>
      <c r="E11" s="39">
        <v>-10058.799999999999</v>
      </c>
      <c r="F11" s="39">
        <v>-12936.3</v>
      </c>
      <c r="G11" s="39">
        <v>-13195.2</v>
      </c>
      <c r="H11" s="38">
        <f>-H10*'Assumptions and Inputs'!F29</f>
        <v>-15261.966000000002</v>
      </c>
      <c r="I11" s="38">
        <f>-I10*'Assumptions and Inputs'!G29</f>
        <v>-17608.917216000002</v>
      </c>
      <c r="J11" s="38">
        <f>-J10*'Assumptions and Inputs'!H29</f>
        <v>-19790.021734799997</v>
      </c>
      <c r="K11" s="38">
        <f>-K10*'Assumptions and Inputs'!I29</f>
        <v>-21649.363311744</v>
      </c>
      <c r="L11" s="38">
        <f>-L10*'Assumptions and Inputs'!J29</f>
        <v>-23814.299642918402</v>
      </c>
    </row>
    <row r="12" spans="2:12" x14ac:dyDescent="0.2">
      <c r="B12" s="31" t="s">
        <v>25</v>
      </c>
      <c r="E12" s="42">
        <f t="shared" ref="E12:L12" si="0">E10+E11</f>
        <v>11114.600000000002</v>
      </c>
      <c r="F12" s="42">
        <f t="shared" si="0"/>
        <v>14622.2</v>
      </c>
      <c r="G12" s="42">
        <f t="shared" si="0"/>
        <v>15067.7</v>
      </c>
      <c r="H12" s="40">
        <f t="shared" si="0"/>
        <v>18653.514000000003</v>
      </c>
      <c r="I12" s="40">
        <f t="shared" si="0"/>
        <v>22411.349183999999</v>
      </c>
      <c r="J12" s="40">
        <f t="shared" si="0"/>
        <v>26233.284625199998</v>
      </c>
      <c r="K12" s="40">
        <f t="shared" si="0"/>
        <v>29896.739811456002</v>
      </c>
      <c r="L12" s="40">
        <f t="shared" si="0"/>
        <v>32886.413792601612</v>
      </c>
    </row>
    <row r="13" spans="2:12" x14ac:dyDescent="0.2">
      <c r="E13" s="38"/>
      <c r="F13" s="38"/>
      <c r="G13" s="38"/>
      <c r="H13" s="38"/>
      <c r="I13" s="38"/>
      <c r="J13" s="38"/>
      <c r="K13" s="38"/>
      <c r="L13" s="38"/>
    </row>
    <row r="14" spans="2:12" x14ac:dyDescent="0.2">
      <c r="B14" s="1" t="s">
        <v>26</v>
      </c>
      <c r="E14" s="39">
        <v>-3071.6</v>
      </c>
      <c r="F14" s="39">
        <v>-3724.9</v>
      </c>
      <c r="G14" s="39">
        <v>-3942.4</v>
      </c>
      <c r="H14" s="38">
        <f>-H10*'Assumptions and Inputs'!F31</f>
        <v>-4748.1672000000008</v>
      </c>
      <c r="I14" s="38">
        <f>-I10*'Assumptions and Inputs'!G31</f>
        <v>-5402.7359640000004</v>
      </c>
      <c r="J14" s="38">
        <f>-J10*'Assumptions and Inputs'!H31</f>
        <v>-5983.0298267999997</v>
      </c>
      <c r="K14" s="38">
        <f>-K10*'Assumptions and Inputs'!I31</f>
        <v>-6443.2628904000003</v>
      </c>
      <c r="L14" s="38">
        <f>-L10*'Assumptions and Inputs'!J31</f>
        <v>-6804.0856122624009</v>
      </c>
    </row>
    <row r="15" spans="2:12" x14ac:dyDescent="0.2">
      <c r="B15" s="1" t="s">
        <v>27</v>
      </c>
      <c r="E15" s="39">
        <v>-901.6</v>
      </c>
      <c r="F15" s="39">
        <v>-1068.8</v>
      </c>
      <c r="G15" s="39">
        <v>-1115.9000000000001</v>
      </c>
      <c r="H15" s="38">
        <f>-H10*'Assumptions and Inputs'!F32</f>
        <v>-1356.6192000000001</v>
      </c>
      <c r="I15" s="38">
        <f>-I10*'Assumptions and Inputs'!G32</f>
        <v>-1520.7701231999999</v>
      </c>
      <c r="J15" s="38">
        <f>-J10*'Assumptions and Inputs'!H32</f>
        <v>-1656.8390289599997</v>
      </c>
      <c r="K15" s="38">
        <f>-K10*'Assumptions and Inputs'!I32</f>
        <v>-1804.1136093120003</v>
      </c>
      <c r="L15" s="38">
        <f>-L10*'Assumptions and Inputs'!J32</f>
        <v>-1984.5249702432006</v>
      </c>
    </row>
    <row r="16" spans="2:12" x14ac:dyDescent="0.2">
      <c r="B16" s="1" t="s">
        <v>28</v>
      </c>
      <c r="E16" s="39">
        <v>-640.70000000000005</v>
      </c>
      <c r="F16" s="39">
        <v>-786.2</v>
      </c>
      <c r="G16" s="39">
        <v>-986.8</v>
      </c>
      <c r="H16" s="38">
        <f>-G42*'Assumptions and Inputs'!F55+'Assumptions and Inputs'!F57</f>
        <v>-1132.7600000000002</v>
      </c>
      <c r="I16" s="38">
        <f>-H42*'Assumptions and Inputs'!G55+'Assumptions and Inputs'!G57</f>
        <v>-1252.475737</v>
      </c>
      <c r="J16" s="38">
        <f>-I42*'Assumptions and Inputs'!H55+'Assumptions and Inputs'!H57</f>
        <v>-1369.6332381099999</v>
      </c>
      <c r="K16" s="38">
        <f>-J42*'Assumptions and Inputs'!I55+'Assumptions and Inputs'!I57</f>
        <v>-1475.1418823362499</v>
      </c>
      <c r="L16" s="38">
        <f>-K42*'Assumptions and Inputs'!J55+'Assumptions and Inputs'!J57</f>
        <v>-1560.1957999016499</v>
      </c>
    </row>
    <row r="17" spans="2:12" x14ac:dyDescent="0.2">
      <c r="B17" s="34" t="s">
        <v>29</v>
      </c>
      <c r="E17" s="40">
        <f t="shared" ref="E17:L17" si="1">E12+E14+E15+E16</f>
        <v>6500.7000000000016</v>
      </c>
      <c r="F17" s="40">
        <f t="shared" si="1"/>
        <v>9042.3000000000011</v>
      </c>
      <c r="G17" s="40">
        <f t="shared" si="1"/>
        <v>9022.6000000000022</v>
      </c>
      <c r="H17" s="40">
        <f t="shared" si="1"/>
        <v>11415.967600000002</v>
      </c>
      <c r="I17" s="40">
        <f t="shared" si="1"/>
        <v>14235.367359799999</v>
      </c>
      <c r="J17" s="40">
        <f t="shared" si="1"/>
        <v>17223.782531329998</v>
      </c>
      <c r="K17" s="40">
        <f t="shared" si="1"/>
        <v>20174.221429407749</v>
      </c>
      <c r="L17" s="40">
        <f t="shared" si="1"/>
        <v>22537.60741019436</v>
      </c>
    </row>
    <row r="18" spans="2:12" x14ac:dyDescent="0.2">
      <c r="E18" s="38"/>
      <c r="F18" s="38"/>
      <c r="G18" s="38"/>
      <c r="H18" s="38"/>
      <c r="I18" s="38"/>
      <c r="J18" s="38"/>
      <c r="K18" s="38"/>
      <c r="L18" s="38"/>
    </row>
    <row r="19" spans="2:12" x14ac:dyDescent="0.2">
      <c r="B19" s="1" t="s">
        <v>30</v>
      </c>
      <c r="E19" s="39">
        <v>16.2</v>
      </c>
      <c r="F19" s="39">
        <v>193.9</v>
      </c>
      <c r="G19" s="39">
        <v>182.4</v>
      </c>
      <c r="H19" s="38">
        <f>G35*'Assumptions and Inputs'!F37</f>
        <v>318.53250000000003</v>
      </c>
      <c r="I19" s="38">
        <f>H35*'Assumptions and Inputs'!G37</f>
        <v>470.02570136164672</v>
      </c>
      <c r="J19" s="38">
        <f>I35*'Assumptions and Inputs'!H37</f>
        <v>650.17307832109327</v>
      </c>
      <c r="K19" s="38">
        <f>J35*'Assumptions and Inputs'!I37</f>
        <v>874.08025112882615</v>
      </c>
      <c r="L19" s="38">
        <f>K35*'Assumptions and Inputs'!J37</f>
        <v>1154.4996254156276</v>
      </c>
    </row>
    <row r="20" spans="2:12" x14ac:dyDescent="0.2">
      <c r="B20" s="1" t="s">
        <v>31</v>
      </c>
      <c r="E20" s="39">
        <v>-60.8</v>
      </c>
      <c r="F20" s="39">
        <v>-152.1</v>
      </c>
      <c r="G20" s="39">
        <v>-153.69999999999999</v>
      </c>
      <c r="H20" s="38">
        <f>-(G53+G58)*'Assumptions and Inputs'!F38</f>
        <v>-199.74400000000003</v>
      </c>
      <c r="I20" s="38">
        <f>-(H53+H58)*'Assumptions and Inputs'!G38</f>
        <v>-199.74400000000003</v>
      </c>
      <c r="J20" s="38">
        <f>-(I53+I58)*'Assumptions and Inputs'!H38</f>
        <v>-199.74400000000003</v>
      </c>
      <c r="K20" s="38">
        <f>-(J53+J58)*'Assumptions and Inputs'!I38</f>
        <v>-199.74400000000003</v>
      </c>
      <c r="L20" s="38">
        <f>-(K53+K58)*'Assumptions and Inputs'!J38</f>
        <v>-199.74400000000003</v>
      </c>
    </row>
    <row r="21" spans="2:12" x14ac:dyDescent="0.2">
      <c r="B21" s="1" t="s">
        <v>32</v>
      </c>
      <c r="E21" s="39">
        <v>0</v>
      </c>
      <c r="F21" s="39">
        <v>-0.6</v>
      </c>
      <c r="G21" s="39">
        <v>-8.9</v>
      </c>
      <c r="H21" s="38">
        <f>'Assumptions and Inputs'!F40</f>
        <v>0</v>
      </c>
      <c r="I21" s="38">
        <f>'Assumptions and Inputs'!G40</f>
        <v>0</v>
      </c>
      <c r="J21" s="38">
        <f>'Assumptions and Inputs'!H40</f>
        <v>0</v>
      </c>
      <c r="K21" s="38">
        <f>'Assumptions and Inputs'!I40</f>
        <v>0</v>
      </c>
      <c r="L21" s="38">
        <f>'Assumptions and Inputs'!J40</f>
        <v>0</v>
      </c>
    </row>
    <row r="22" spans="2:12" x14ac:dyDescent="0.2">
      <c r="B22" s="34" t="s">
        <v>33</v>
      </c>
      <c r="E22" s="40">
        <f t="shared" ref="E22:L22" si="2">E17+E19+E20+E21</f>
        <v>6456.1000000000013</v>
      </c>
      <c r="F22" s="40">
        <f t="shared" si="2"/>
        <v>9083.5</v>
      </c>
      <c r="G22" s="40">
        <f t="shared" si="2"/>
        <v>9042.4000000000015</v>
      </c>
      <c r="H22" s="40">
        <f t="shared" si="2"/>
        <v>11534.756100000001</v>
      </c>
      <c r="I22" s="40">
        <f t="shared" si="2"/>
        <v>14505.649061161645</v>
      </c>
      <c r="J22" s="40">
        <f t="shared" si="2"/>
        <v>17674.211609651094</v>
      </c>
      <c r="K22" s="40">
        <f t="shared" si="2"/>
        <v>20848.557680536578</v>
      </c>
      <c r="L22" s="40">
        <f t="shared" si="2"/>
        <v>23492.363035609989</v>
      </c>
    </row>
    <row r="23" spans="2:12" x14ac:dyDescent="0.2">
      <c r="E23" s="38"/>
      <c r="F23" s="38"/>
      <c r="G23" s="38"/>
      <c r="H23" s="38"/>
      <c r="I23" s="38"/>
      <c r="J23" s="38"/>
      <c r="K23" s="38"/>
      <c r="L23" s="38"/>
    </row>
    <row r="24" spans="2:12" x14ac:dyDescent="0.2">
      <c r="B24" s="1" t="s">
        <v>34</v>
      </c>
      <c r="E24" s="39">
        <v>-969.9</v>
      </c>
      <c r="F24" s="39">
        <v>-1435.8</v>
      </c>
      <c r="G24" s="39">
        <v>-1680.6</v>
      </c>
      <c r="H24" s="38">
        <f>-H22*'Assumptions and Inputs'!F36</f>
        <v>-2018.5823175</v>
      </c>
      <c r="I24" s="38">
        <f>-I22*'Assumptions and Inputs'!G36</f>
        <v>-2611.0168310090958</v>
      </c>
      <c r="J24" s="38">
        <f>-J22*'Assumptions and Inputs'!H36</f>
        <v>-3181.3580897371967</v>
      </c>
      <c r="K24" s="38">
        <f>-K22*'Assumptions and Inputs'!I36</f>
        <v>-3752.7403824965841</v>
      </c>
      <c r="L24" s="38">
        <f>-L22*'Assumptions and Inputs'!J36</f>
        <v>-4228.6253464097981</v>
      </c>
    </row>
    <row r="25" spans="2:12" x14ac:dyDescent="0.2">
      <c r="B25" s="1" t="s">
        <v>36</v>
      </c>
      <c r="E25" s="39">
        <v>138</v>
      </c>
      <c r="F25" s="39">
        <v>191.3</v>
      </c>
      <c r="G25" s="39">
        <v>209.8</v>
      </c>
      <c r="H25" s="38">
        <f>G25*(1+'Assumptions and Inputs'!F39)</f>
        <v>220.29000000000002</v>
      </c>
      <c r="I25" s="38">
        <f>H25*(1+'Assumptions and Inputs'!G39)</f>
        <v>231.30450000000002</v>
      </c>
      <c r="J25" s="38">
        <f>I25*(1+'Assumptions and Inputs'!H39)</f>
        <v>242.86972500000002</v>
      </c>
      <c r="K25" s="38">
        <f>J25*(1+'Assumptions and Inputs'!I39)</f>
        <v>255.01321125000004</v>
      </c>
      <c r="L25" s="38">
        <f>K25*(1+'Assumptions and Inputs'!J39)</f>
        <v>267.76387181250004</v>
      </c>
    </row>
    <row r="26" spans="2:12" x14ac:dyDescent="0.2">
      <c r="B26" s="34" t="s">
        <v>35</v>
      </c>
      <c r="E26" s="40">
        <f t="shared" ref="E26:L26" si="3">E22+E24+E25</f>
        <v>5624.2000000000016</v>
      </c>
      <c r="F26" s="40">
        <f t="shared" si="3"/>
        <v>7839</v>
      </c>
      <c r="G26" s="40">
        <f t="shared" si="3"/>
        <v>7571.6000000000013</v>
      </c>
      <c r="H26" s="40">
        <f t="shared" si="3"/>
        <v>9736.4637825000009</v>
      </c>
      <c r="I26" s="40">
        <f t="shared" si="3"/>
        <v>12125.936730152549</v>
      </c>
      <c r="J26" s="40">
        <f t="shared" si="3"/>
        <v>14735.723244913897</v>
      </c>
      <c r="K26" s="40">
        <f t="shared" si="3"/>
        <v>17350.830509289994</v>
      </c>
      <c r="L26" s="40">
        <f t="shared" si="3"/>
        <v>19531.501561012694</v>
      </c>
    </row>
    <row r="29" spans="2:12" ht="19" x14ac:dyDescent="0.25">
      <c r="B29" s="194" t="s">
        <v>37</v>
      </c>
      <c r="C29" s="194"/>
      <c r="D29" s="194"/>
      <c r="E29" s="194"/>
      <c r="F29" s="194"/>
      <c r="G29" s="194"/>
      <c r="H29" s="194"/>
      <c r="I29" s="194"/>
      <c r="J29" s="194"/>
      <c r="K29" s="194"/>
      <c r="L29" s="194"/>
    </row>
    <row r="31" spans="2:12" x14ac:dyDescent="0.2">
      <c r="B31" s="29" t="s">
        <v>22</v>
      </c>
      <c r="E31" s="32" t="s">
        <v>14</v>
      </c>
      <c r="F31" s="32" t="s">
        <v>15</v>
      </c>
      <c r="G31" s="32" t="s">
        <v>16</v>
      </c>
      <c r="H31" s="32" t="s">
        <v>13</v>
      </c>
      <c r="I31" s="32" t="s">
        <v>17</v>
      </c>
      <c r="J31" s="32" t="s">
        <v>18</v>
      </c>
      <c r="K31" s="32" t="s">
        <v>19</v>
      </c>
      <c r="L31" s="32" t="s">
        <v>20</v>
      </c>
    </row>
    <row r="32" spans="2:12" x14ac:dyDescent="0.2">
      <c r="B32" s="29" t="s">
        <v>23</v>
      </c>
    </row>
    <row r="34" spans="2:13" x14ac:dyDescent="0.2">
      <c r="B34" s="43" t="s">
        <v>38</v>
      </c>
    </row>
    <row r="35" spans="2:13" x14ac:dyDescent="0.2">
      <c r="B35" s="1" t="s">
        <v>39</v>
      </c>
      <c r="E35" s="39">
        <v>7376</v>
      </c>
      <c r="F35" s="39">
        <v>7010.1</v>
      </c>
      <c r="G35" s="39">
        <v>12741.3</v>
      </c>
      <c r="H35" s="53">
        <f>G35+H106</f>
        <v>18801.028054465867</v>
      </c>
      <c r="I35" s="53">
        <f>H35+I106</f>
        <v>26006.923132843727</v>
      </c>
      <c r="J35" s="53">
        <f>I35+J106</f>
        <v>34963.210045153042</v>
      </c>
      <c r="K35" s="53">
        <f>J35+K106</f>
        <v>46179.985016625105</v>
      </c>
      <c r="L35" s="53">
        <f>K35+L106</f>
        <v>58729.412070011327</v>
      </c>
      <c r="M35" s="38"/>
    </row>
    <row r="36" spans="2:13" x14ac:dyDescent="0.2">
      <c r="B36" s="1" t="s">
        <v>40</v>
      </c>
      <c r="E36" s="39">
        <v>5455.7</v>
      </c>
      <c r="F36" s="39">
        <v>4574.2</v>
      </c>
      <c r="G36" s="39">
        <v>4798.1000000000004</v>
      </c>
      <c r="H36" s="53">
        <f>H10*'Assumptions and Inputs'!F45/365</f>
        <v>5575.1473972602744</v>
      </c>
      <c r="I36" s="53">
        <f>I10*'Assumptions and Inputs'!G45/365</f>
        <v>6578.6739287671235</v>
      </c>
      <c r="J36" s="53">
        <f>J10*'Assumptions and Inputs'!H45/365</f>
        <v>7565.4750180821902</v>
      </c>
      <c r="K36" s="53">
        <f>K10*'Assumptions and Inputs'!I45/365</f>
        <v>8473.3320202520554</v>
      </c>
      <c r="L36" s="53">
        <f>L10*'Assumptions and Inputs'!J45/365</f>
        <v>9320.6652222772627</v>
      </c>
      <c r="M36" s="38"/>
    </row>
    <row r="37" spans="2:13" x14ac:dyDescent="0.2">
      <c r="B37" s="1" t="s">
        <v>41</v>
      </c>
      <c r="E37" s="39">
        <v>1591.3</v>
      </c>
      <c r="F37" s="39">
        <v>2682.6</v>
      </c>
      <c r="G37" s="39">
        <v>645.29999999999995</v>
      </c>
      <c r="H37" s="53">
        <f>H10*'Assumptions and Inputs'!F48</f>
        <v>780.05604000000005</v>
      </c>
      <c r="I37" s="53">
        <f>I10*'Assumptions and Inputs'!G48</f>
        <v>920.46612719999996</v>
      </c>
      <c r="J37" s="53">
        <f>J10*'Assumptions and Inputs'!H48</f>
        <v>1058.5360462799999</v>
      </c>
      <c r="K37" s="53">
        <f>K10*'Assumptions and Inputs'!I48</f>
        <v>1185.5603718336001</v>
      </c>
      <c r="L37" s="53">
        <f>L10*'Assumptions and Inputs'!J48</f>
        <v>1304.1164090169602</v>
      </c>
      <c r="M37" s="38"/>
    </row>
    <row r="38" spans="2:13" x14ac:dyDescent="0.2">
      <c r="B38" s="1" t="s">
        <v>42</v>
      </c>
      <c r="E38" s="39">
        <v>7679.6</v>
      </c>
      <c r="F38" s="39">
        <v>9542.6</v>
      </c>
      <c r="G38" s="39">
        <v>11707.3</v>
      </c>
      <c r="H38" s="53">
        <f>-H11*'Assumptions and Inputs'!F46/365</f>
        <v>12962.21769863014</v>
      </c>
      <c r="I38" s="53">
        <f>-I11*'Assumptions and Inputs'!G46/365</f>
        <v>14473.082643287673</v>
      </c>
      <c r="J38" s="53">
        <f>-J11*'Assumptions and Inputs'!H46/365</f>
        <v>15723.578912580819</v>
      </c>
      <c r="K38" s="53">
        <f>-K11*'Assumptions and Inputs'!I46/365</f>
        <v>16607.730759694026</v>
      </c>
      <c r="L38" s="53">
        <f>-L11*'Assumptions and Inputs'!J46/365</f>
        <v>17616.057270104026</v>
      </c>
      <c r="M38" s="38"/>
    </row>
    <row r="39" spans="2:13" x14ac:dyDescent="0.2">
      <c r="B39" s="1" t="s">
        <v>43</v>
      </c>
      <c r="E39" s="39">
        <v>962.3</v>
      </c>
      <c r="F39" s="39">
        <v>584.4</v>
      </c>
      <c r="G39" s="39">
        <v>845.4</v>
      </c>
      <c r="H39" s="53">
        <f>H10*'Assumptions and Inputs'!F49</f>
        <v>1017.4644000000001</v>
      </c>
      <c r="I39" s="53">
        <f>I10*'Assumptions and Inputs'!G49</f>
        <v>1200.607992</v>
      </c>
      <c r="J39" s="53">
        <f>J10*'Assumptions and Inputs'!H49</f>
        <v>1380.6991907999998</v>
      </c>
      <c r="K39" s="53">
        <f>K10*'Assumptions and Inputs'!I49</f>
        <v>1546.3830936960001</v>
      </c>
      <c r="L39" s="53">
        <f>L10*'Assumptions and Inputs'!J49</f>
        <v>1701.0214030656002</v>
      </c>
      <c r="M39" s="38"/>
    </row>
    <row r="40" spans="2:13" x14ac:dyDescent="0.2">
      <c r="B40" s="34" t="s">
        <v>44</v>
      </c>
      <c r="E40" s="40">
        <f t="shared" ref="E40:L40" si="4">SUM(E35:E39)</f>
        <v>23064.899999999998</v>
      </c>
      <c r="F40" s="40">
        <f t="shared" si="4"/>
        <v>24393.9</v>
      </c>
      <c r="G40" s="40">
        <f t="shared" si="4"/>
        <v>30737.4</v>
      </c>
      <c r="H40" s="54">
        <f t="shared" si="4"/>
        <v>39135.913590356278</v>
      </c>
      <c r="I40" s="54">
        <f t="shared" si="4"/>
        <v>49179.753824098516</v>
      </c>
      <c r="J40" s="54">
        <f t="shared" si="4"/>
        <v>60691.499212896051</v>
      </c>
      <c r="K40" s="54">
        <f t="shared" si="4"/>
        <v>73992.991262100782</v>
      </c>
      <c r="L40" s="54">
        <f t="shared" si="4"/>
        <v>88671.272374475186</v>
      </c>
      <c r="M40" s="38"/>
    </row>
    <row r="41" spans="2:13" x14ac:dyDescent="0.2">
      <c r="E41" s="38"/>
      <c r="F41" s="38"/>
      <c r="G41" s="38"/>
      <c r="H41" s="38"/>
      <c r="I41" s="38"/>
      <c r="J41" s="38"/>
      <c r="K41" s="38"/>
      <c r="L41" s="38"/>
      <c r="M41" s="38"/>
    </row>
    <row r="42" spans="2:13" x14ac:dyDescent="0.2">
      <c r="B42" s="1" t="s">
        <v>45</v>
      </c>
      <c r="E42" s="39">
        <v>4136.8999999999996</v>
      </c>
      <c r="F42" s="39">
        <v>5799.8</v>
      </c>
      <c r="G42" s="39">
        <v>7234</v>
      </c>
      <c r="H42" s="53">
        <f>G42-G42*'Assumptions and Inputs'!F55-H92</f>
        <v>8425.7461999999996</v>
      </c>
      <c r="I42" s="53">
        <f>H42-H42*'Assumptions and Inputs'!G55-I92</f>
        <v>9689.4864469999993</v>
      </c>
      <c r="J42" s="53">
        <f>I42-I42*'Assumptions and Inputs'!H55-J92</f>
        <v>10961.135058689999</v>
      </c>
      <c r="K42" s="53">
        <f>J42-J42*'Assumptions and Inputs'!I55-K92</f>
        <v>12168.29833251375</v>
      </c>
      <c r="L42" s="53">
        <f>K42-K42*'Assumptions and Inputs'!J55-L92</f>
        <v>13543.1382043881</v>
      </c>
      <c r="M42" s="38"/>
    </row>
    <row r="43" spans="2:13" x14ac:dyDescent="0.2">
      <c r="B43" s="1" t="s">
        <v>46</v>
      </c>
      <c r="E43" s="39">
        <v>4555.6000000000004</v>
      </c>
      <c r="F43" s="39">
        <v>4588.6000000000004</v>
      </c>
      <c r="G43" s="39">
        <v>4588.6000000000004</v>
      </c>
      <c r="H43" s="53">
        <f>G43</f>
        <v>4588.6000000000004</v>
      </c>
      <c r="I43" s="53">
        <f>H43</f>
        <v>4588.6000000000004</v>
      </c>
      <c r="J43" s="53">
        <f>I43</f>
        <v>4588.6000000000004</v>
      </c>
      <c r="K43" s="53">
        <f>J43</f>
        <v>4588.6000000000004</v>
      </c>
      <c r="L43" s="53">
        <f>K43</f>
        <v>4588.6000000000004</v>
      </c>
      <c r="M43" s="38"/>
    </row>
    <row r="44" spans="2:13" x14ac:dyDescent="0.2">
      <c r="B44" s="1" t="s">
        <v>47</v>
      </c>
      <c r="E44" s="39">
        <v>842.4</v>
      </c>
      <c r="F44" s="39">
        <v>741.7</v>
      </c>
      <c r="G44" s="39">
        <v>621.29999999999995</v>
      </c>
      <c r="H44" s="53">
        <f>G44+'Assumptions and Inputs'!F57</f>
        <v>501.29999999999995</v>
      </c>
      <c r="I44" s="53">
        <f>H44+'Assumptions and Inputs'!G57</f>
        <v>386.29999999999995</v>
      </c>
      <c r="J44" s="53">
        <f>I44+'Assumptions and Inputs'!H57</f>
        <v>276.29999999999995</v>
      </c>
      <c r="K44" s="53">
        <f>J44+'Assumptions and Inputs'!I57</f>
        <v>171.29999999999995</v>
      </c>
      <c r="L44" s="53">
        <f>K44+'Assumptions and Inputs'!J57</f>
        <v>71.299999999999955</v>
      </c>
      <c r="M44" s="38"/>
    </row>
    <row r="45" spans="2:13" x14ac:dyDescent="0.2">
      <c r="B45" s="1" t="s">
        <v>48</v>
      </c>
      <c r="E45" s="39">
        <v>1288</v>
      </c>
      <c r="F45" s="39">
        <v>1920.7</v>
      </c>
      <c r="G45" s="39">
        <v>2676.8</v>
      </c>
      <c r="H45" s="53">
        <f>G45*(1+'Assumptions and Inputs'!F78)</f>
        <v>2810.6400000000003</v>
      </c>
      <c r="I45" s="53">
        <f>H45*(1+'Assumptions and Inputs'!G78)</f>
        <v>2951.1720000000005</v>
      </c>
      <c r="J45" s="53">
        <f>I45*(1+'Assumptions and Inputs'!H78)</f>
        <v>3098.7306000000008</v>
      </c>
      <c r="K45" s="53">
        <f>J45*(1+'Assumptions and Inputs'!I78)</f>
        <v>3253.6671300000012</v>
      </c>
      <c r="L45" s="53">
        <f>K45*(1+'Assumptions and Inputs'!J78)</f>
        <v>3416.3504865000014</v>
      </c>
      <c r="M45" s="38"/>
    </row>
    <row r="46" spans="2:13" x14ac:dyDescent="0.2">
      <c r="B46" s="1" t="s">
        <v>49</v>
      </c>
      <c r="E46" s="39">
        <v>1672.8</v>
      </c>
      <c r="F46" s="39">
        <v>1872.3</v>
      </c>
      <c r="G46" s="39">
        <v>1940.7</v>
      </c>
      <c r="H46" s="53">
        <f>G46*(1+'Assumptions and Inputs'!F79)</f>
        <v>1998.921</v>
      </c>
      <c r="I46" s="53">
        <f>H46*(1+'Assumptions and Inputs'!G79)</f>
        <v>2058.8886299999999</v>
      </c>
      <c r="J46" s="53">
        <f>I46*(1+'Assumptions and Inputs'!H79)</f>
        <v>2120.6552889</v>
      </c>
      <c r="K46" s="53">
        <f>J46*(1+'Assumptions and Inputs'!I79)</f>
        <v>2184.2749475669998</v>
      </c>
      <c r="L46" s="53">
        <f>K46*(1+'Assumptions and Inputs'!J79)</f>
        <v>2249.8031959940099</v>
      </c>
      <c r="M46" s="38"/>
    </row>
    <row r="47" spans="2:13" x14ac:dyDescent="0.2">
      <c r="B47" s="1" t="s">
        <v>50</v>
      </c>
      <c r="E47" s="39">
        <v>739.8</v>
      </c>
      <c r="F47" s="39">
        <v>640.5</v>
      </c>
      <c r="G47" s="39">
        <v>790.8</v>
      </c>
      <c r="H47" s="53">
        <f>H10*'Assumptions and Inputs'!F80</f>
        <v>949.63344000000006</v>
      </c>
      <c r="I47" s="53">
        <f>I10*'Assumptions and Inputs'!G80</f>
        <v>1120.5674592</v>
      </c>
      <c r="J47" s="53">
        <f>J10*'Assumptions and Inputs'!H80</f>
        <v>1288.6525780799998</v>
      </c>
      <c r="K47" s="53">
        <f>K10*'Assumptions and Inputs'!I80</f>
        <v>1443.2908874496002</v>
      </c>
      <c r="L47" s="53">
        <f>L10*'Assumptions and Inputs'!J80</f>
        <v>1587.6199761945604</v>
      </c>
      <c r="M47" s="38"/>
    </row>
    <row r="48" spans="2:13" x14ac:dyDescent="0.2">
      <c r="B48" s="34" t="s">
        <v>51</v>
      </c>
      <c r="E48" s="40">
        <f t="shared" ref="E48:L48" si="5">SUM(E42:E47)</f>
        <v>13235.499999999998</v>
      </c>
      <c r="F48" s="40">
        <f t="shared" si="5"/>
        <v>15563.600000000002</v>
      </c>
      <c r="G48" s="40">
        <f t="shared" si="5"/>
        <v>17852.2</v>
      </c>
      <c r="H48" s="54">
        <f>SUM(H42:H47)</f>
        <v>19274.840639999999</v>
      </c>
      <c r="I48" s="54">
        <f t="shared" si="5"/>
        <v>20795.0145362</v>
      </c>
      <c r="J48" s="54">
        <f t="shared" si="5"/>
        <v>22334.073525669999</v>
      </c>
      <c r="K48" s="54">
        <f t="shared" si="5"/>
        <v>23809.431297530351</v>
      </c>
      <c r="L48" s="54">
        <f t="shared" si="5"/>
        <v>25456.811863076673</v>
      </c>
      <c r="M48" s="38"/>
    </row>
    <row r="49" spans="2:13" x14ac:dyDescent="0.2">
      <c r="B49" s="34" t="s">
        <v>52</v>
      </c>
      <c r="E49" s="40">
        <f t="shared" ref="E49:L49" si="6">E40+E48</f>
        <v>36300.399999999994</v>
      </c>
      <c r="F49" s="40">
        <f t="shared" si="6"/>
        <v>39957.5</v>
      </c>
      <c r="G49" s="40">
        <f t="shared" si="6"/>
        <v>48589.600000000006</v>
      </c>
      <c r="H49" s="54">
        <f t="shared" si="6"/>
        <v>58410.75423035628</v>
      </c>
      <c r="I49" s="54">
        <f t="shared" si="6"/>
        <v>69974.76836029852</v>
      </c>
      <c r="J49" s="54">
        <f t="shared" si="6"/>
        <v>83025.572738566058</v>
      </c>
      <c r="K49" s="54">
        <f t="shared" si="6"/>
        <v>97802.42255963113</v>
      </c>
      <c r="L49" s="54">
        <f t="shared" si="6"/>
        <v>114128.08423755186</v>
      </c>
      <c r="M49" s="38"/>
    </row>
    <row r="50" spans="2:13" x14ac:dyDescent="0.2">
      <c r="E50" s="38"/>
      <c r="F50" s="38"/>
      <c r="G50" s="38"/>
      <c r="H50" s="38"/>
      <c r="I50" s="38"/>
      <c r="J50" s="38"/>
      <c r="K50" s="38"/>
      <c r="L50" s="38"/>
      <c r="M50" s="38"/>
    </row>
    <row r="51" spans="2:13" x14ac:dyDescent="0.2">
      <c r="B51" s="43" t="s">
        <v>53</v>
      </c>
      <c r="E51" s="38"/>
      <c r="F51" s="38"/>
      <c r="G51" s="38"/>
      <c r="H51" s="38"/>
      <c r="I51" s="38"/>
      <c r="J51" s="38"/>
      <c r="K51" s="38"/>
      <c r="L51" s="38"/>
      <c r="M51" s="38"/>
    </row>
    <row r="52" spans="2:13" x14ac:dyDescent="0.2">
      <c r="B52" s="1" t="s">
        <v>54</v>
      </c>
      <c r="E52" s="39">
        <v>2565.1999999999998</v>
      </c>
      <c r="F52" s="39">
        <v>2347.3000000000002</v>
      </c>
      <c r="G52" s="39">
        <v>3500.4</v>
      </c>
      <c r="H52" s="53">
        <f>-H11*'Assumptions and Inputs'!F47/365</f>
        <v>3972.292520547946</v>
      </c>
      <c r="I52" s="53">
        <f>-I11*'Assumptions and Inputs'!G47/365</f>
        <v>4583.1428370410968</v>
      </c>
      <c r="J52" s="53">
        <f>-J11*'Assumptions and Inputs'!H47/365</f>
        <v>5150.8275748109581</v>
      </c>
      <c r="K52" s="53">
        <f>-K11*'Assumptions and Inputs'!I47/365</f>
        <v>5634.7657934676163</v>
      </c>
      <c r="L52" s="53">
        <f>-L11*'Assumptions and Inputs'!J47/365</f>
        <v>6198.2423728143785</v>
      </c>
      <c r="M52" s="38"/>
    </row>
    <row r="53" spans="2:13" x14ac:dyDescent="0.2">
      <c r="B53" s="1" t="s">
        <v>55</v>
      </c>
      <c r="E53" s="39">
        <v>793.8</v>
      </c>
      <c r="F53" s="39">
        <v>46.8</v>
      </c>
      <c r="G53" s="39">
        <v>1078.9000000000001</v>
      </c>
      <c r="H53" s="53">
        <f>G53+'Assumptions and Inputs'!F74</f>
        <v>1078.9000000000001</v>
      </c>
      <c r="I53" s="53">
        <f>H53+'Assumptions and Inputs'!G74</f>
        <v>1078.9000000000001</v>
      </c>
      <c r="J53" s="53">
        <f>I53+'Assumptions and Inputs'!H74</f>
        <v>1078.9000000000001</v>
      </c>
      <c r="K53" s="53">
        <f>J53+'Assumptions and Inputs'!I74</f>
        <v>1078.9000000000001</v>
      </c>
      <c r="L53" s="53">
        <f>K53+'Assumptions and Inputs'!J74</f>
        <v>1078.9000000000001</v>
      </c>
      <c r="M53" s="38"/>
    </row>
    <row r="54" spans="2:13" x14ac:dyDescent="0.2">
      <c r="B54" s="1" t="s">
        <v>56</v>
      </c>
      <c r="E54" s="39">
        <v>315.3</v>
      </c>
      <c r="F54" s="39">
        <v>308.89999999999998</v>
      </c>
      <c r="G54" s="39">
        <v>283.3</v>
      </c>
      <c r="H54" s="53">
        <f>-H24*'Assumptions and Inputs'!F81</f>
        <v>343.15899397500004</v>
      </c>
      <c r="I54" s="53">
        <f>-I24*'Assumptions and Inputs'!G81</f>
        <v>443.8728612715463</v>
      </c>
      <c r="J54" s="53">
        <f>-J24*'Assumptions and Inputs'!H81</f>
        <v>540.83087525532346</v>
      </c>
      <c r="K54" s="53">
        <f>-K24*'Assumptions and Inputs'!I81</f>
        <v>637.96586502441937</v>
      </c>
      <c r="L54" s="53">
        <f>-L24*'Assumptions and Inputs'!J81</f>
        <v>718.86630888966567</v>
      </c>
      <c r="M54" s="38"/>
    </row>
    <row r="55" spans="2:13" x14ac:dyDescent="0.2">
      <c r="B55" s="1" t="s">
        <v>57</v>
      </c>
      <c r="E55" s="39">
        <v>14309.3</v>
      </c>
      <c r="F55" s="39">
        <v>13571.7</v>
      </c>
      <c r="G55" s="39">
        <v>15188.8</v>
      </c>
      <c r="H55" s="53">
        <f>H10*'Assumptions and Inputs'!F50</f>
        <v>17636.049600000002</v>
      </c>
      <c r="I55" s="53">
        <f>I10*'Assumptions and Inputs'!G50</f>
        <v>20010.1332</v>
      </c>
      <c r="J55" s="53">
        <f>J10*'Assumptions and Inputs'!H50</f>
        <v>22091.187052799996</v>
      </c>
      <c r="K55" s="53">
        <f>K10*'Assumptions and Inputs'!I50</f>
        <v>23711.207436672001</v>
      </c>
      <c r="L55" s="53">
        <f>L10*'Assumptions and Inputs'!J50</f>
        <v>24948.313911628804</v>
      </c>
      <c r="M55" s="38"/>
    </row>
    <row r="56" spans="2:13" x14ac:dyDescent="0.2">
      <c r="B56" s="34" t="s">
        <v>58</v>
      </c>
      <c r="E56" s="40">
        <f t="shared" ref="E56:L56" si="7">SUM(E52:E55)</f>
        <v>17983.599999999999</v>
      </c>
      <c r="F56" s="40">
        <f t="shared" si="7"/>
        <v>16274.7</v>
      </c>
      <c r="G56" s="40">
        <f t="shared" si="7"/>
        <v>20051.400000000001</v>
      </c>
      <c r="H56" s="54">
        <f t="shared" si="7"/>
        <v>23030.401114522949</v>
      </c>
      <c r="I56" s="54">
        <f t="shared" si="7"/>
        <v>26116.048898312642</v>
      </c>
      <c r="J56" s="54">
        <f t="shared" si="7"/>
        <v>28861.745502866281</v>
      </c>
      <c r="K56" s="54">
        <f t="shared" si="7"/>
        <v>31062.839095164036</v>
      </c>
      <c r="L56" s="54">
        <f t="shared" si="7"/>
        <v>32944.32259333285</v>
      </c>
      <c r="M56" s="38"/>
    </row>
    <row r="57" spans="2:13" x14ac:dyDescent="0.2">
      <c r="E57" s="38"/>
      <c r="F57" s="38"/>
      <c r="G57" s="38"/>
      <c r="H57" s="38"/>
      <c r="I57" s="38"/>
      <c r="J57" s="38"/>
      <c r="K57" s="38"/>
      <c r="L57" s="38"/>
      <c r="M57" s="38"/>
    </row>
    <row r="58" spans="2:13" x14ac:dyDescent="0.2">
      <c r="B58" s="1" t="s">
        <v>59</v>
      </c>
      <c r="E58" s="39">
        <v>3665.7</v>
      </c>
      <c r="F58" s="39">
        <v>4812.7</v>
      </c>
      <c r="G58" s="39">
        <v>3914.7</v>
      </c>
      <c r="H58" s="53">
        <f>G58+'Assumptions and Inputs'!F73</f>
        <v>3914.7</v>
      </c>
      <c r="I58" s="53">
        <f>H58+'Assumptions and Inputs'!G73</f>
        <v>3914.7</v>
      </c>
      <c r="J58" s="53">
        <f>I58+'Assumptions and Inputs'!H73</f>
        <v>3914.7</v>
      </c>
      <c r="K58" s="53">
        <f>J58+'Assumptions and Inputs'!I73</f>
        <v>3914.7</v>
      </c>
      <c r="L58" s="53">
        <f>K58+'Assumptions and Inputs'!J73</f>
        <v>3914.7</v>
      </c>
      <c r="M58" s="38"/>
    </row>
    <row r="59" spans="2:13" x14ac:dyDescent="0.2">
      <c r="B59" s="1" t="s">
        <v>60</v>
      </c>
      <c r="E59" s="39">
        <v>267</v>
      </c>
      <c r="F59" s="39">
        <v>372.2</v>
      </c>
      <c r="G59" s="39">
        <v>299.2</v>
      </c>
      <c r="H59" s="53">
        <f>G59*(1+'Assumptions and Inputs'!F82)</f>
        <v>299.2</v>
      </c>
      <c r="I59" s="53">
        <f>H59*(1+'Assumptions and Inputs'!G82)</f>
        <v>299.2</v>
      </c>
      <c r="J59" s="53">
        <f>I59*(1+'Assumptions and Inputs'!H82)</f>
        <v>299.2</v>
      </c>
      <c r="K59" s="53">
        <f>J59*(1+'Assumptions and Inputs'!I82)</f>
        <v>299.2</v>
      </c>
      <c r="L59" s="53">
        <f>K59*(1+'Assumptions and Inputs'!J82)</f>
        <v>299.2</v>
      </c>
      <c r="M59" s="38"/>
    </row>
    <row r="60" spans="2:13" x14ac:dyDescent="0.2">
      <c r="B60" s="1" t="s">
        <v>61</v>
      </c>
      <c r="E60" s="39">
        <v>5573.3</v>
      </c>
      <c r="F60" s="39">
        <v>5045.5</v>
      </c>
      <c r="G60" s="39">
        <v>5847.5</v>
      </c>
      <c r="H60" s="53">
        <f>H10*'Assumptions and Inputs'!F83</f>
        <v>6783.0960000000014</v>
      </c>
      <c r="I60" s="53">
        <f>I10*'Assumptions and Inputs'!G83</f>
        <v>7603.8506159999997</v>
      </c>
      <c r="J60" s="53">
        <f>J10*'Assumptions and Inputs'!H83</f>
        <v>8284.1951447999982</v>
      </c>
      <c r="K60" s="53">
        <f>K10*'Assumptions and Inputs'!I83</f>
        <v>8762.8375309440016</v>
      </c>
      <c r="L60" s="53">
        <f>L10*'Assumptions and Inputs'!J83</f>
        <v>9072.1141496832024</v>
      </c>
      <c r="M60" s="38"/>
    </row>
    <row r="61" spans="2:13" x14ac:dyDescent="0.2">
      <c r="B61" s="34" t="s">
        <v>62</v>
      </c>
      <c r="E61" s="40">
        <f t="shared" ref="E61:L61" si="8">SUM(E58:E60)</f>
        <v>9506</v>
      </c>
      <c r="F61" s="40">
        <f t="shared" si="8"/>
        <v>10230.4</v>
      </c>
      <c r="G61" s="40">
        <f t="shared" si="8"/>
        <v>10061.4</v>
      </c>
      <c r="H61" s="54">
        <f t="shared" si="8"/>
        <v>10996.996000000001</v>
      </c>
      <c r="I61" s="54">
        <f t="shared" si="8"/>
        <v>11817.750615999999</v>
      </c>
      <c r="J61" s="54">
        <f t="shared" si="8"/>
        <v>12498.095144799998</v>
      </c>
      <c r="K61" s="54">
        <f t="shared" si="8"/>
        <v>12976.737530944001</v>
      </c>
      <c r="L61" s="54">
        <f t="shared" si="8"/>
        <v>13286.014149683202</v>
      </c>
      <c r="M61" s="38"/>
    </row>
    <row r="62" spans="2:13" x14ac:dyDescent="0.2">
      <c r="B62" s="34" t="s">
        <v>63</v>
      </c>
      <c r="E62" s="40">
        <f t="shared" ref="E62:L62" si="9">E56+E61</f>
        <v>27489.599999999999</v>
      </c>
      <c r="F62" s="40">
        <f t="shared" si="9"/>
        <v>26505.1</v>
      </c>
      <c r="G62" s="40">
        <f t="shared" si="9"/>
        <v>30112.800000000003</v>
      </c>
      <c r="H62" s="54">
        <f t="shared" si="9"/>
        <v>34027.397114522952</v>
      </c>
      <c r="I62" s="54">
        <f t="shared" si="9"/>
        <v>37933.799514312639</v>
      </c>
      <c r="J62" s="54">
        <f t="shared" si="9"/>
        <v>41359.840647666279</v>
      </c>
      <c r="K62" s="54">
        <f t="shared" si="9"/>
        <v>44039.576626108035</v>
      </c>
      <c r="L62" s="54">
        <f t="shared" si="9"/>
        <v>46230.336743016051</v>
      </c>
      <c r="M62" s="38"/>
    </row>
    <row r="63" spans="2:13" x14ac:dyDescent="0.2">
      <c r="E63" s="38"/>
      <c r="F63" s="38"/>
      <c r="G63" s="38"/>
      <c r="H63" s="38"/>
      <c r="I63" s="38"/>
      <c r="J63" s="38"/>
      <c r="K63" s="38"/>
      <c r="L63" s="38"/>
      <c r="M63" s="38"/>
    </row>
    <row r="64" spans="2:13" x14ac:dyDescent="0.2">
      <c r="B64" s="43" t="s">
        <v>64</v>
      </c>
      <c r="E64" s="38"/>
      <c r="F64" s="38"/>
      <c r="G64" s="38"/>
      <c r="H64" s="53">
        <f>G65+'Assumptions and Inputs'!F64+'Assumptions and Inputs'!F85</f>
        <v>5014.3999999999996</v>
      </c>
      <c r="I64" s="53">
        <f>H65+'Assumptions and Inputs'!G64+'Assumptions and Inputs'!G85</f>
        <v>5999.4</v>
      </c>
      <c r="J64" s="53">
        <f>I65+'Assumptions and Inputs'!H64+'Assumptions and Inputs'!H85</f>
        <v>7039.4</v>
      </c>
      <c r="K64" s="53">
        <f>J65+'Assumptions and Inputs'!I64+'Assumptions and Inputs'!I85</f>
        <v>8134.4</v>
      </c>
      <c r="L64" s="53">
        <f>K65+'Assumptions and Inputs'!J64+'Assumptions and Inputs'!J85</f>
        <v>9284.4</v>
      </c>
      <c r="M64" s="38"/>
    </row>
    <row r="65" spans="2:13" x14ac:dyDescent="0.2">
      <c r="B65" s="1" t="s">
        <v>65</v>
      </c>
      <c r="E65" s="39">
        <v>3977.1</v>
      </c>
      <c r="F65" s="39">
        <v>4034.1</v>
      </c>
      <c r="G65" s="39">
        <v>4084.4</v>
      </c>
      <c r="H65" s="53">
        <f>G65+'Assumptions and Inputs'!F64+'Assumptions and Inputs'!F85</f>
        <v>5014.3999999999996</v>
      </c>
      <c r="I65" s="53">
        <f>H65+'Assumptions and Inputs'!G64+'Assumptions and Inputs'!G85</f>
        <v>5999.4</v>
      </c>
      <c r="J65" s="53">
        <f>I65+'Assumptions and Inputs'!H64+'Assumptions and Inputs'!H85</f>
        <v>7039.4</v>
      </c>
      <c r="K65" s="53">
        <f>J65+'Assumptions and Inputs'!I64+'Assumptions and Inputs'!I85</f>
        <v>8134.4</v>
      </c>
      <c r="L65" s="53">
        <f>K65+'Assumptions and Inputs'!J64+'Assumptions and Inputs'!J85</f>
        <v>9284.4</v>
      </c>
      <c r="M65" s="38"/>
    </row>
    <row r="66" spans="2:13" x14ac:dyDescent="0.2">
      <c r="B66" s="1" t="s">
        <v>66</v>
      </c>
      <c r="E66" s="39">
        <v>9046.7000000000007</v>
      </c>
      <c r="F66" s="39">
        <v>12379.5</v>
      </c>
      <c r="G66" s="39">
        <v>14414.3</v>
      </c>
      <c r="H66" s="53">
        <f>G66+H26-(-H99)</f>
        <v>21394.957115833331</v>
      </c>
      <c r="I66" s="53">
        <f>H66+I26-(-I99)</f>
        <v>30567.568845985876</v>
      </c>
      <c r="J66" s="53">
        <f>I66+J26-(-J99)</f>
        <v>42152.332090899778</v>
      </c>
      <c r="K66" s="53">
        <f>J66+K26-(-K99)</f>
        <v>56154.4459335231</v>
      </c>
      <c r="L66" s="53">
        <f>K66+L26-(-L99)</f>
        <v>72139.347494535788</v>
      </c>
      <c r="M66" s="38"/>
    </row>
    <row r="67" spans="2:13" x14ac:dyDescent="0.2">
      <c r="B67" s="1" t="s">
        <v>67</v>
      </c>
      <c r="E67" s="39">
        <v>-4641.3</v>
      </c>
      <c r="F67" s="39">
        <v>-3306.2</v>
      </c>
      <c r="G67" s="39">
        <v>-476</v>
      </c>
      <c r="H67" s="53">
        <f>G67+'Assumptions and Inputs'!F63</f>
        <v>-2476</v>
      </c>
      <c r="I67" s="53">
        <f>H67+'Assumptions and Inputs'!G63</f>
        <v>-4976</v>
      </c>
      <c r="J67" s="53">
        <f>I67+'Assumptions and Inputs'!H63</f>
        <v>-7976</v>
      </c>
      <c r="K67" s="53">
        <f>J67+'Assumptions and Inputs'!I63</f>
        <v>-10976</v>
      </c>
      <c r="L67" s="53">
        <f>K67+'Assumptions and Inputs'!J63</f>
        <v>-13976</v>
      </c>
      <c r="M67" s="38"/>
    </row>
    <row r="68" spans="2:13" x14ac:dyDescent="0.2">
      <c r="B68" s="1" t="s">
        <v>68</v>
      </c>
      <c r="E68" s="39">
        <v>428.3</v>
      </c>
      <c r="F68" s="39">
        <v>345</v>
      </c>
      <c r="G68" s="39">
        <v>454.1</v>
      </c>
      <c r="H68" s="54">
        <f>'Assumptions and Inputs'!F86</f>
        <v>450</v>
      </c>
      <c r="I68" s="54">
        <f>'Assumptions and Inputs'!G86</f>
        <v>450</v>
      </c>
      <c r="J68" s="54">
        <f>'Assumptions and Inputs'!H86</f>
        <v>450</v>
      </c>
      <c r="K68" s="54">
        <f>'Assumptions and Inputs'!I86</f>
        <v>450</v>
      </c>
      <c r="L68" s="54">
        <f>'Assumptions and Inputs'!J86</f>
        <v>450</v>
      </c>
      <c r="M68" s="38"/>
    </row>
    <row r="69" spans="2:13" x14ac:dyDescent="0.2">
      <c r="B69" s="34" t="s">
        <v>69</v>
      </c>
      <c r="E69" s="40">
        <f t="shared" ref="E69:L69" si="10">SUM(E65:E68)</f>
        <v>8810.7999999999993</v>
      </c>
      <c r="F69" s="40">
        <f t="shared" si="10"/>
        <v>13452.399999999998</v>
      </c>
      <c r="G69" s="40">
        <f t="shared" si="10"/>
        <v>18476.8</v>
      </c>
      <c r="H69" s="54">
        <f t="shared" si="10"/>
        <v>24383.357115833329</v>
      </c>
      <c r="I69" s="54">
        <f t="shared" si="10"/>
        <v>32040.968845985873</v>
      </c>
      <c r="J69" s="54">
        <f t="shared" si="10"/>
        <v>41665.732090899779</v>
      </c>
      <c r="K69" s="54">
        <f t="shared" si="10"/>
        <v>53762.845933523102</v>
      </c>
      <c r="L69" s="54">
        <f t="shared" si="10"/>
        <v>67897.747494535783</v>
      </c>
      <c r="M69" s="38"/>
    </row>
    <row r="70" spans="2:13" x14ac:dyDescent="0.2">
      <c r="E70" s="38"/>
      <c r="F70" s="38"/>
      <c r="G70" s="38"/>
      <c r="H70" s="54">
        <f>H62+H69</f>
        <v>58410.75423035628</v>
      </c>
      <c r="I70" s="54">
        <f>I62+I69</f>
        <v>69974.768360298505</v>
      </c>
      <c r="J70" s="54">
        <f>J62+J69</f>
        <v>83025.572738566058</v>
      </c>
      <c r="K70" s="54">
        <f>K62+K69</f>
        <v>97802.422559631144</v>
      </c>
      <c r="L70" s="54">
        <f>L62+L69</f>
        <v>114128.08423755184</v>
      </c>
      <c r="M70" s="38"/>
    </row>
    <row r="71" spans="2:13" x14ac:dyDescent="0.2">
      <c r="B71" s="34" t="s">
        <v>70</v>
      </c>
      <c r="E71" s="40">
        <f t="shared" ref="E71:L71" si="11">E62+E69</f>
        <v>36300.399999999994</v>
      </c>
      <c r="F71" s="40">
        <f t="shared" si="11"/>
        <v>39957.5</v>
      </c>
      <c r="G71" s="40">
        <f t="shared" si="11"/>
        <v>48589.600000000006</v>
      </c>
      <c r="H71" s="56">
        <f t="shared" si="11"/>
        <v>58410.75423035628</v>
      </c>
      <c r="I71" s="56">
        <f t="shared" si="11"/>
        <v>69974.768360298505</v>
      </c>
      <c r="J71" s="56">
        <f t="shared" si="11"/>
        <v>83025.572738566058</v>
      </c>
      <c r="K71" s="56">
        <f t="shared" si="11"/>
        <v>97802.422559631144</v>
      </c>
      <c r="L71" s="56">
        <f t="shared" si="11"/>
        <v>114128.08423755184</v>
      </c>
      <c r="M71" s="38"/>
    </row>
    <row r="72" spans="2:13" x14ac:dyDescent="0.2">
      <c r="B72" s="44" t="s">
        <v>71</v>
      </c>
      <c r="E72" s="45">
        <f t="shared" ref="E72:L72" si="12">E49-E71</f>
        <v>0</v>
      </c>
      <c r="F72" s="45">
        <f t="shared" si="12"/>
        <v>0</v>
      </c>
      <c r="G72" s="45">
        <f t="shared" si="12"/>
        <v>0</v>
      </c>
      <c r="H72" s="55">
        <f>H49-H71</f>
        <v>0</v>
      </c>
      <c r="I72" s="55">
        <f t="shared" si="12"/>
        <v>0</v>
      </c>
      <c r="J72" s="55">
        <f t="shared" si="12"/>
        <v>0</v>
      </c>
      <c r="K72" s="55">
        <f t="shared" si="12"/>
        <v>0</v>
      </c>
      <c r="L72" s="55">
        <f t="shared" si="12"/>
        <v>0</v>
      </c>
      <c r="M72" s="38"/>
    </row>
    <row r="74" spans="2:13" ht="19" x14ac:dyDescent="0.25">
      <c r="B74" s="194" t="s">
        <v>72</v>
      </c>
      <c r="C74" s="194"/>
      <c r="D74" s="194"/>
      <c r="E74" s="194"/>
      <c r="F74" s="194"/>
      <c r="G74" s="194"/>
      <c r="H74" s="194"/>
      <c r="I74" s="194"/>
      <c r="J74" s="194"/>
      <c r="K74" s="194"/>
      <c r="L74" s="194"/>
    </row>
    <row r="76" spans="2:13" x14ac:dyDescent="0.2">
      <c r="B76" s="29" t="s">
        <v>22</v>
      </c>
      <c r="E76" s="32" t="s">
        <v>14</v>
      </c>
      <c r="F76" s="32" t="s">
        <v>15</v>
      </c>
      <c r="G76" s="32" t="s">
        <v>16</v>
      </c>
      <c r="H76" s="32" t="s">
        <v>13</v>
      </c>
      <c r="I76" s="32" t="s">
        <v>17</v>
      </c>
      <c r="J76" s="32" t="s">
        <v>18</v>
      </c>
      <c r="K76" s="32" t="s">
        <v>19</v>
      </c>
      <c r="L76" s="32" t="s">
        <v>20</v>
      </c>
    </row>
    <row r="77" spans="2:13" x14ac:dyDescent="0.2">
      <c r="B77" s="29" t="s">
        <v>23</v>
      </c>
    </row>
    <row r="79" spans="2:13" x14ac:dyDescent="0.2">
      <c r="B79" s="43" t="s">
        <v>73</v>
      </c>
    </row>
    <row r="80" spans="2:13" x14ac:dyDescent="0.2">
      <c r="B80" s="1" t="s">
        <v>35</v>
      </c>
      <c r="E80" s="39">
        <v>5624.2</v>
      </c>
      <c r="F80" s="39">
        <v>7839</v>
      </c>
      <c r="G80" s="39">
        <v>7571.6</v>
      </c>
      <c r="H80" s="38">
        <f>H26</f>
        <v>9736.4637825000009</v>
      </c>
      <c r="I80" s="38">
        <f>I26</f>
        <v>12125.936730152549</v>
      </c>
      <c r="J80" s="38">
        <f>J26</f>
        <v>14735.723244913897</v>
      </c>
      <c r="K80" s="38">
        <f>K26</f>
        <v>17350.830509289994</v>
      </c>
      <c r="L80" s="38">
        <f>L26</f>
        <v>19531.501561012694</v>
      </c>
    </row>
    <row r="81" spans="2:12" x14ac:dyDescent="0.2">
      <c r="B81" s="1" t="s">
        <v>74</v>
      </c>
      <c r="E81" s="39">
        <v>583.6</v>
      </c>
      <c r="F81" s="39">
        <v>739.8</v>
      </c>
      <c r="G81" s="39">
        <v>918.6</v>
      </c>
      <c r="H81" s="38">
        <f>-H16</f>
        <v>1132.7600000000002</v>
      </c>
      <c r="I81" s="38">
        <f>-I16</f>
        <v>1252.475737</v>
      </c>
      <c r="J81" s="38">
        <f>-J16</f>
        <v>1369.6332381099999</v>
      </c>
      <c r="K81" s="38">
        <f>-K16</f>
        <v>1475.1418823362499</v>
      </c>
      <c r="L81" s="38">
        <f>-L16</f>
        <v>1560.1957999016499</v>
      </c>
    </row>
    <row r="82" spans="2:12" x14ac:dyDescent="0.2">
      <c r="B82" s="1" t="s">
        <v>75</v>
      </c>
      <c r="E82" s="39">
        <v>-564.20000000000005</v>
      </c>
      <c r="F82" s="39">
        <v>-133.6</v>
      </c>
      <c r="G82" s="39">
        <v>-144.80000000000001</v>
      </c>
      <c r="H82" s="38">
        <f>-(H46-G46)</f>
        <v>-58.221000000000004</v>
      </c>
      <c r="I82" s="38">
        <f>-(I46-H46)</f>
        <v>-59.967629999999872</v>
      </c>
      <c r="J82" s="38">
        <f>-(J46-I46)</f>
        <v>-61.766658900000039</v>
      </c>
      <c r="K82" s="38">
        <f>-(K46-J46)</f>
        <v>-63.61965866699984</v>
      </c>
      <c r="L82" s="38">
        <f>-(L46-K46)</f>
        <v>-65.528248427010112</v>
      </c>
    </row>
    <row r="83" spans="2:12" x14ac:dyDescent="0.2">
      <c r="B83" s="1" t="s">
        <v>76</v>
      </c>
      <c r="E83" s="39">
        <v>402</v>
      </c>
      <c r="F83" s="39">
        <v>661.8</v>
      </c>
      <c r="G83" s="39">
        <v>767.5</v>
      </c>
      <c r="H83" s="38">
        <f>'Assumptions and Inputs'!F85</f>
        <v>800</v>
      </c>
      <c r="I83" s="38">
        <f>'Assumptions and Inputs'!G85</f>
        <v>850</v>
      </c>
      <c r="J83" s="38">
        <f>'Assumptions and Inputs'!H85</f>
        <v>900</v>
      </c>
      <c r="K83" s="38">
        <f>'Assumptions and Inputs'!I85</f>
        <v>950</v>
      </c>
      <c r="L83" s="38">
        <f>'Assumptions and Inputs'!J85</f>
        <v>1000</v>
      </c>
    </row>
    <row r="84" spans="2:12" x14ac:dyDescent="0.2">
      <c r="B84" s="1" t="s">
        <v>77</v>
      </c>
      <c r="E84" s="38"/>
      <c r="F84" s="38"/>
      <c r="G84" s="38"/>
      <c r="H84" s="38"/>
      <c r="I84" s="38"/>
      <c r="J84" s="38"/>
      <c r="K84" s="38"/>
      <c r="L84" s="38"/>
    </row>
    <row r="85" spans="2:12" x14ac:dyDescent="0.2">
      <c r="B85" s="1" t="s">
        <v>78</v>
      </c>
      <c r="E85" s="39">
        <v>-2125.8000000000002</v>
      </c>
      <c r="F85" s="39">
        <v>871.3</v>
      </c>
      <c r="G85" s="39">
        <v>898.8</v>
      </c>
      <c r="H85" s="38">
        <f>G36-H36</f>
        <v>-777.04739726027401</v>
      </c>
      <c r="I85" s="38">
        <f>H36-I36</f>
        <v>-1003.5265315068491</v>
      </c>
      <c r="J85" s="38">
        <f>I36-J36</f>
        <v>-986.80108931506675</v>
      </c>
      <c r="K85" s="38">
        <f>J36-K36</f>
        <v>-907.85700216986515</v>
      </c>
      <c r="L85" s="38">
        <f>K36-L36</f>
        <v>-847.33320202520736</v>
      </c>
    </row>
    <row r="86" spans="2:12" x14ac:dyDescent="0.2">
      <c r="B86" s="1" t="s">
        <v>79</v>
      </c>
      <c r="E86" s="39">
        <v>-2080.9</v>
      </c>
      <c r="F86" s="39">
        <v>-1646.9</v>
      </c>
      <c r="G86" s="39">
        <v>-1860.9</v>
      </c>
      <c r="H86" s="38">
        <f>G38-H38</f>
        <v>-1254.9176986301409</v>
      </c>
      <c r="I86" s="38">
        <f>H38-I38</f>
        <v>-1510.8649446575328</v>
      </c>
      <c r="J86" s="38">
        <f>I38-J38</f>
        <v>-1250.4962692931458</v>
      </c>
      <c r="K86" s="38">
        <f>J38-K38</f>
        <v>-884.15184711320762</v>
      </c>
      <c r="L86" s="38">
        <f>K38-L38</f>
        <v>-1008.3265104099992</v>
      </c>
    </row>
    <row r="87" spans="2:12" x14ac:dyDescent="0.2">
      <c r="B87" s="1" t="s">
        <v>80</v>
      </c>
      <c r="E87" s="39">
        <v>406.2</v>
      </c>
      <c r="F87" s="39">
        <v>-261.7</v>
      </c>
      <c r="G87" s="39">
        <v>1127.5999999999999</v>
      </c>
      <c r="H87" s="38">
        <f>H52-G52</f>
        <v>471.89252054794588</v>
      </c>
      <c r="I87" s="38">
        <f>I52-H52</f>
        <v>610.85031649315079</v>
      </c>
      <c r="J87" s="38">
        <f>J52-I52</f>
        <v>567.68473776986139</v>
      </c>
      <c r="K87" s="38">
        <f>K52-J52</f>
        <v>483.93821865665814</v>
      </c>
      <c r="L87" s="38">
        <f>L52-K52</f>
        <v>563.47657934676226</v>
      </c>
    </row>
    <row r="88" spans="2:12" x14ac:dyDescent="0.2">
      <c r="B88" s="1" t="s">
        <v>81</v>
      </c>
      <c r="E88" s="39">
        <v>6241.7</v>
      </c>
      <c r="F88" s="39">
        <v>-2626.3</v>
      </c>
      <c r="G88" s="39">
        <v>1887.8</v>
      </c>
      <c r="H88" s="38">
        <f>(G37-H37)+(G39-H39)+(H54-G54)+(H55-G55)+(H60-G60)</f>
        <v>3135.8841539750042</v>
      </c>
      <c r="I88" s="38">
        <f>(H37-I37)+(H39-I39)+(I54-H54)+(I55-H55)+(I60-H60)</f>
        <v>2971.9984040965428</v>
      </c>
      <c r="J88" s="38">
        <f>(I37-J37)+(I39-J39)+(J54-I54)+(J55-I55)+(J60-I60)</f>
        <v>2540.1952777037718</v>
      </c>
      <c r="K88" s="38">
        <f>(J37-K37)+(J39-K39)+(K54-J54)+(K55-J55)+(K60-J60)</f>
        <v>1903.0895313355034</v>
      </c>
      <c r="L88" s="38">
        <f>(K37-L37)+(K39-L39)+(L54-K54)+(L55-K55)+(L60-K60)</f>
        <v>1354.0891910082901</v>
      </c>
    </row>
    <row r="89" spans="2:12" x14ac:dyDescent="0.2">
      <c r="B89" s="34" t="s">
        <v>82</v>
      </c>
      <c r="E89" s="40">
        <f t="shared" ref="E89:L89" si="13">SUM(E80:E88)</f>
        <v>8486.7999999999993</v>
      </c>
      <c r="F89" s="40">
        <f t="shared" si="13"/>
        <v>5443.3999999999978</v>
      </c>
      <c r="G89" s="40">
        <f t="shared" si="13"/>
        <v>11166.2</v>
      </c>
      <c r="H89" s="40">
        <f>SUM(H80:H88)</f>
        <v>13186.814361132538</v>
      </c>
      <c r="I89" s="40">
        <f t="shared" si="13"/>
        <v>15236.90208157786</v>
      </c>
      <c r="J89" s="40">
        <f t="shared" si="13"/>
        <v>17814.172480989317</v>
      </c>
      <c r="K89" s="40">
        <f t="shared" si="13"/>
        <v>20307.371633668332</v>
      </c>
      <c r="L89" s="40">
        <f t="shared" si="13"/>
        <v>22088.075170407181</v>
      </c>
    </row>
    <row r="90" spans="2:12" x14ac:dyDescent="0.2">
      <c r="E90" s="38"/>
      <c r="F90" s="38"/>
      <c r="G90" s="38"/>
      <c r="H90" s="38"/>
      <c r="I90" s="38"/>
      <c r="J90" s="38"/>
      <c r="K90" s="38"/>
      <c r="L90" s="38"/>
    </row>
    <row r="91" spans="2:12" x14ac:dyDescent="0.2">
      <c r="B91" s="43" t="s">
        <v>83</v>
      </c>
      <c r="E91" s="38"/>
      <c r="F91" s="38"/>
      <c r="G91" s="38"/>
      <c r="H91" s="38"/>
      <c r="I91" s="38"/>
      <c r="J91" s="38"/>
      <c r="K91" s="38"/>
      <c r="L91" s="38"/>
    </row>
    <row r="92" spans="2:12" x14ac:dyDescent="0.2">
      <c r="B92" s="1" t="s">
        <v>84</v>
      </c>
      <c r="E92" s="39">
        <v>-1319.3</v>
      </c>
      <c r="F92" s="39">
        <v>-2196.1999999999998</v>
      </c>
      <c r="G92" s="39">
        <v>-2083.1</v>
      </c>
      <c r="H92" s="38">
        <f>-H10*'Assumptions and Inputs'!F54</f>
        <v>-2204.5062000000003</v>
      </c>
      <c r="I92" s="38">
        <f>-I10*'Assumptions and Inputs'!G54</f>
        <v>-2401.2159839999999</v>
      </c>
      <c r="J92" s="38">
        <f>-J10*'Assumptions and Inputs'!H54</f>
        <v>-2531.2818497999997</v>
      </c>
      <c r="K92" s="38">
        <f>-K10*'Assumptions and Inputs'!I54</f>
        <v>-2577.3051561600005</v>
      </c>
      <c r="L92" s="38">
        <f>-L10*'Assumptions and Inputs'!J54</f>
        <v>-2835.0356717760005</v>
      </c>
    </row>
    <row r="93" spans="2:12" x14ac:dyDescent="0.2">
      <c r="B93" s="1" t="s">
        <v>85</v>
      </c>
      <c r="E93" s="39">
        <v>0</v>
      </c>
      <c r="F93" s="39">
        <v>-33.6</v>
      </c>
      <c r="G93" s="39">
        <v>0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</row>
    <row r="94" spans="2:12" x14ac:dyDescent="0.2">
      <c r="B94" s="1" t="s">
        <v>86</v>
      </c>
      <c r="E94" s="39">
        <v>530.4</v>
      </c>
      <c r="F94" s="39">
        <v>102</v>
      </c>
      <c r="G94" s="39">
        <v>0</v>
      </c>
      <c r="H94" s="38">
        <f>-(H45-G45)</f>
        <v>-133.84000000000015</v>
      </c>
      <c r="I94" s="38">
        <f>-(I45-H45)</f>
        <v>-140.53200000000015</v>
      </c>
      <c r="J94" s="38">
        <f>-(J45-I45)</f>
        <v>-147.5586000000003</v>
      </c>
      <c r="K94" s="38">
        <f>-(K45-J45)</f>
        <v>-154.9365300000004</v>
      </c>
      <c r="L94" s="38">
        <f>-(L45-K45)</f>
        <v>-162.68335650000017</v>
      </c>
    </row>
    <row r="95" spans="2:12" x14ac:dyDescent="0.2">
      <c r="B95" s="1" t="s">
        <v>87</v>
      </c>
      <c r="E95" s="39">
        <v>-240</v>
      </c>
      <c r="F95" s="39">
        <v>-561.5</v>
      </c>
      <c r="G95" s="39">
        <v>-526.20000000000005</v>
      </c>
      <c r="H95" s="38">
        <f>-(H47-G47)</f>
        <v>-158.83344000000011</v>
      </c>
      <c r="I95" s="38">
        <f>-(I47-H47)</f>
        <v>-170.93401919999997</v>
      </c>
      <c r="J95" s="38">
        <f>-(J47-I47)</f>
        <v>-168.08511887999975</v>
      </c>
      <c r="K95" s="38">
        <f>-(K47-J47)</f>
        <v>-154.63830936960039</v>
      </c>
      <c r="L95" s="38">
        <f>-(L47-K47)</f>
        <v>-144.32908874496025</v>
      </c>
    </row>
    <row r="96" spans="2:12" x14ac:dyDescent="0.2">
      <c r="B96" s="34" t="s">
        <v>88</v>
      </c>
      <c r="E96" s="40">
        <f t="shared" ref="E96:L96" si="14">SUM(E92:E95)</f>
        <v>-1028.9000000000001</v>
      </c>
      <c r="F96" s="40">
        <f t="shared" si="14"/>
        <v>-2689.2999999999997</v>
      </c>
      <c r="G96" s="40">
        <f t="shared" si="14"/>
        <v>-2609.3000000000002</v>
      </c>
      <c r="H96" s="40">
        <f t="shared" si="14"/>
        <v>-2497.1796400000003</v>
      </c>
      <c r="I96" s="40">
        <f t="shared" si="14"/>
        <v>-2712.6820032000001</v>
      </c>
      <c r="J96" s="40">
        <f t="shared" si="14"/>
        <v>-2846.9255686799997</v>
      </c>
      <c r="K96" s="40">
        <f t="shared" si="14"/>
        <v>-2886.8799955296013</v>
      </c>
      <c r="L96" s="40">
        <f t="shared" si="14"/>
        <v>-3142.0481170209609</v>
      </c>
    </row>
    <row r="97" spans="2:12" x14ac:dyDescent="0.2">
      <c r="E97" s="38"/>
      <c r="F97" s="38"/>
      <c r="G97" s="38"/>
      <c r="H97" s="38"/>
      <c r="I97" s="38"/>
      <c r="J97" s="38"/>
      <c r="K97" s="38"/>
      <c r="L97" s="38"/>
    </row>
    <row r="98" spans="2:12" x14ac:dyDescent="0.2">
      <c r="B98" s="43" t="s">
        <v>89</v>
      </c>
      <c r="E98" s="38"/>
      <c r="F98" s="38"/>
      <c r="G98" s="38"/>
      <c r="H98" s="38"/>
      <c r="I98" s="38"/>
      <c r="J98" s="38"/>
      <c r="K98" s="38"/>
      <c r="L98" s="38"/>
    </row>
    <row r="99" spans="2:12" x14ac:dyDescent="0.2">
      <c r="B99" s="1" t="s">
        <v>90</v>
      </c>
      <c r="E99" s="39">
        <v>-2559.8000000000002</v>
      </c>
      <c r="F99" s="39">
        <v>-2348.3000000000002</v>
      </c>
      <c r="G99" s="39">
        <v>-2452.9</v>
      </c>
      <c r="H99" s="38">
        <f>-'Assumptions and Inputs'!F62*'Assumptions and Inputs'!F68</f>
        <v>-2755.8066666666673</v>
      </c>
      <c r="I99" s="38">
        <f>-'Assumptions and Inputs'!G62*'Assumptions and Inputs'!G68</f>
        <v>-2953.3250000000007</v>
      </c>
      <c r="J99" s="38">
        <f>-'Assumptions and Inputs'!H62*'Assumptions and Inputs'!H68</f>
        <v>-3150.9600000000009</v>
      </c>
      <c r="K99" s="38">
        <f>-'Assumptions and Inputs'!I62*'Assumptions and Inputs'!I68</f>
        <v>-3348.7166666666681</v>
      </c>
      <c r="L99" s="38">
        <f>-'Assumptions and Inputs'!J62*'Assumptions and Inputs'!J68</f>
        <v>-3546.6000000000013</v>
      </c>
    </row>
    <row r="100" spans="2:12" x14ac:dyDescent="0.2">
      <c r="B100" s="1" t="s">
        <v>91</v>
      </c>
      <c r="E100" s="39">
        <v>-4639.7</v>
      </c>
      <c r="F100" s="39">
        <v>-1000</v>
      </c>
      <c r="G100" s="39">
        <v>-500</v>
      </c>
      <c r="H100" s="38">
        <f>'Assumptions and Inputs'!F63</f>
        <v>-2000</v>
      </c>
      <c r="I100" s="38">
        <f>'Assumptions and Inputs'!G63</f>
        <v>-2500</v>
      </c>
      <c r="J100" s="38">
        <f>'Assumptions and Inputs'!H63</f>
        <v>-3000</v>
      </c>
      <c r="K100" s="38">
        <f>'Assumptions and Inputs'!I63</f>
        <v>-3000</v>
      </c>
      <c r="L100" s="38">
        <f>'Assumptions and Inputs'!J63</f>
        <v>-3000</v>
      </c>
    </row>
    <row r="101" spans="2:12" x14ac:dyDescent="0.2">
      <c r="B101" s="1" t="s">
        <v>92</v>
      </c>
      <c r="E101" s="39">
        <v>81.8</v>
      </c>
      <c r="F101" s="39">
        <v>99.4</v>
      </c>
      <c r="G101" s="39">
        <v>124</v>
      </c>
      <c r="H101" s="38">
        <f>'Assumptions and Inputs'!F64</f>
        <v>130</v>
      </c>
      <c r="I101" s="38">
        <f>'Assumptions and Inputs'!G64</f>
        <v>135</v>
      </c>
      <c r="J101" s="38">
        <f>'Assumptions and Inputs'!H64</f>
        <v>140</v>
      </c>
      <c r="K101" s="38">
        <f>'Assumptions and Inputs'!I64</f>
        <v>145</v>
      </c>
      <c r="L101" s="38">
        <f>'Assumptions and Inputs'!J64</f>
        <v>150</v>
      </c>
    </row>
    <row r="102" spans="2:12" x14ac:dyDescent="0.2">
      <c r="B102" s="1" t="s">
        <v>93</v>
      </c>
      <c r="E102" s="39">
        <v>-20.6</v>
      </c>
      <c r="F102" s="39">
        <v>245</v>
      </c>
      <c r="G102" s="39">
        <v>-3.2</v>
      </c>
      <c r="H102" s="38">
        <f>'Assumptions and Inputs'!F73+'Assumptions and Inputs'!F74</f>
        <v>0</v>
      </c>
      <c r="I102" s="38">
        <f>'Assumptions and Inputs'!G73+'Assumptions and Inputs'!G74</f>
        <v>0</v>
      </c>
      <c r="J102" s="38">
        <f>'Assumptions and Inputs'!H73+'Assumptions and Inputs'!H74</f>
        <v>0</v>
      </c>
      <c r="K102" s="38">
        <f>'Assumptions and Inputs'!I73+'Assumptions and Inputs'!I74</f>
        <v>0</v>
      </c>
      <c r="L102" s="38">
        <f>'Assumptions and Inputs'!J73+'Assumptions and Inputs'!J74</f>
        <v>0</v>
      </c>
    </row>
    <row r="103" spans="2:12" x14ac:dyDescent="0.2">
      <c r="B103" s="34" t="s">
        <v>94</v>
      </c>
      <c r="E103" s="40">
        <f t="shared" ref="E103:L103" si="15">SUM(E99:E102)</f>
        <v>-7138.3</v>
      </c>
      <c r="F103" s="40">
        <f t="shared" si="15"/>
        <v>-3003.9</v>
      </c>
      <c r="G103" s="40">
        <f t="shared" si="15"/>
        <v>-2832.1</v>
      </c>
      <c r="H103" s="40">
        <f t="shared" si="15"/>
        <v>-4625.8066666666673</v>
      </c>
      <c r="I103" s="40">
        <f t="shared" si="15"/>
        <v>-5318.3250000000007</v>
      </c>
      <c r="J103" s="40">
        <f t="shared" si="15"/>
        <v>-6010.9600000000009</v>
      </c>
      <c r="K103" s="40">
        <f t="shared" si="15"/>
        <v>-6203.7166666666681</v>
      </c>
      <c r="L103" s="40">
        <f t="shared" si="15"/>
        <v>-6396.6000000000013</v>
      </c>
    </row>
    <row r="104" spans="2:12" x14ac:dyDescent="0.2">
      <c r="E104" s="38"/>
      <c r="F104" s="38"/>
      <c r="G104" s="38"/>
      <c r="H104" s="38"/>
      <c r="I104" s="38"/>
      <c r="J104" s="38"/>
      <c r="K104" s="38"/>
      <c r="L104" s="38"/>
    </row>
    <row r="105" spans="2:12" x14ac:dyDescent="0.2">
      <c r="B105" s="1" t="s">
        <v>95</v>
      </c>
      <c r="E105" s="39">
        <v>-3.1</v>
      </c>
      <c r="F105" s="39">
        <v>-13.8</v>
      </c>
      <c r="G105" s="39">
        <v>6.4</v>
      </c>
      <c r="H105" s="38">
        <f>'Assumptions and Inputs'!F86-G68</f>
        <v>-4.1000000000000227</v>
      </c>
      <c r="I105" s="38">
        <f>'Assumptions and Inputs'!G86-'Assumptions and Inputs'!F86</f>
        <v>0</v>
      </c>
      <c r="J105" s="38">
        <f>'Assumptions and Inputs'!H86-'Assumptions and Inputs'!G86</f>
        <v>0</v>
      </c>
      <c r="K105" s="38">
        <f>'Assumptions and Inputs'!I86-'Assumptions and Inputs'!H86</f>
        <v>0</v>
      </c>
      <c r="L105" s="38">
        <f>'Assumptions and Inputs'!J86-'Assumptions and Inputs'!I86</f>
        <v>0</v>
      </c>
    </row>
    <row r="106" spans="2:12" x14ac:dyDescent="0.2">
      <c r="B106" s="34" t="s">
        <v>96</v>
      </c>
      <c r="E106" s="40">
        <f t="shared" ref="E106:L106" si="16">E89+E96+E103+E105</f>
        <v>316.49999999999943</v>
      </c>
      <c r="F106" s="40">
        <f t="shared" si="16"/>
        <v>-263.60000000000201</v>
      </c>
      <c r="G106" s="40">
        <f t="shared" si="16"/>
        <v>5731.2000000000007</v>
      </c>
      <c r="H106" s="40">
        <f>H89+H96+H103+H105</f>
        <v>6059.7280544658697</v>
      </c>
      <c r="I106" s="40">
        <f t="shared" si="16"/>
        <v>7205.89507837786</v>
      </c>
      <c r="J106" s="40">
        <f t="shared" si="16"/>
        <v>8956.2869123093169</v>
      </c>
      <c r="K106" s="40">
        <f t="shared" si="16"/>
        <v>11216.774971472063</v>
      </c>
      <c r="L106" s="40">
        <f t="shared" si="16"/>
        <v>12549.427053386218</v>
      </c>
    </row>
    <row r="107" spans="2:12" x14ac:dyDescent="0.2">
      <c r="E107" s="38"/>
      <c r="F107" s="38"/>
      <c r="G107" s="38"/>
      <c r="H107" s="38"/>
      <c r="I107" s="38"/>
      <c r="J107" s="38"/>
      <c r="K107" s="38"/>
      <c r="L107" s="38"/>
    </row>
    <row r="108" spans="2:12" x14ac:dyDescent="0.2">
      <c r="B108" s="34"/>
      <c r="E108" s="40"/>
      <c r="F108" s="40"/>
      <c r="G108" s="40"/>
      <c r="H108" s="38"/>
      <c r="I108" s="38"/>
      <c r="J108" s="38"/>
      <c r="K108" s="38"/>
      <c r="L108" s="38"/>
    </row>
  </sheetData>
  <mergeCells count="3">
    <mergeCell ref="B4:L4"/>
    <mergeCell ref="B29:L29"/>
    <mergeCell ref="B74:L7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0042-40AF-C548-ABA3-4CD02F0F71C2}">
  <dimension ref="B2:L124"/>
  <sheetViews>
    <sheetView tabSelected="1" topLeftCell="A57" zoomScale="150" workbookViewId="0">
      <selection activeCell="F74" sqref="F74"/>
    </sheetView>
  </sheetViews>
  <sheetFormatPr baseColWidth="10" defaultRowHeight="16" x14ac:dyDescent="0.2"/>
  <cols>
    <col min="1" max="16384" width="10.83203125" style="1"/>
  </cols>
  <sheetData>
    <row r="2" spans="2:12" ht="19" x14ac:dyDescent="0.25">
      <c r="B2" s="46" t="s">
        <v>154</v>
      </c>
      <c r="C2" s="57"/>
      <c r="D2" s="57"/>
      <c r="E2" s="57"/>
      <c r="F2" s="57"/>
      <c r="G2" s="57"/>
      <c r="H2" s="57"/>
      <c r="I2" s="57"/>
      <c r="J2" s="57"/>
      <c r="K2" s="57"/>
      <c r="L2" s="57"/>
    </row>
    <row r="4" spans="2:12" x14ac:dyDescent="0.2">
      <c r="B4" s="29"/>
    </row>
    <row r="5" spans="2:12" x14ac:dyDescent="0.2">
      <c r="B5" s="29"/>
    </row>
    <row r="7" spans="2:12" x14ac:dyDescent="0.2">
      <c r="B7" s="59" t="s">
        <v>155</v>
      </c>
    </row>
    <row r="9" spans="2:12" x14ac:dyDescent="0.2">
      <c r="B9" s="31" t="s">
        <v>156</v>
      </c>
    </row>
    <row r="10" spans="2:12" x14ac:dyDescent="0.2">
      <c r="B10" s="58" t="s">
        <v>157</v>
      </c>
      <c r="E10" s="60">
        <v>2.9100000000000001E-2</v>
      </c>
    </row>
    <row r="11" spans="2:12" x14ac:dyDescent="0.2">
      <c r="B11" s="58" t="s">
        <v>158</v>
      </c>
      <c r="E11" s="60">
        <v>4.2299999999999997E-2</v>
      </c>
    </row>
    <row r="12" spans="2:12" x14ac:dyDescent="0.2">
      <c r="B12" s="58" t="s">
        <v>159</v>
      </c>
      <c r="E12" s="89">
        <v>1.69</v>
      </c>
    </row>
    <row r="13" spans="2:12" x14ac:dyDescent="0.2">
      <c r="B13" s="31" t="s">
        <v>160</v>
      </c>
      <c r="E13" s="90">
        <f>E10+E12*E11</f>
        <v>0.100587</v>
      </c>
    </row>
    <row r="15" spans="2:12" x14ac:dyDescent="0.2">
      <c r="B15" s="31" t="s">
        <v>161</v>
      </c>
    </row>
    <row r="16" spans="2:12" x14ac:dyDescent="0.2">
      <c r="B16" s="58" t="s">
        <v>162</v>
      </c>
      <c r="E16" s="60">
        <v>2.3900000000000001E-2</v>
      </c>
    </row>
    <row r="17" spans="2:5" x14ac:dyDescent="0.2">
      <c r="B17" s="58" t="s">
        <v>163</v>
      </c>
      <c r="E17" s="60">
        <v>0.17499999999999999</v>
      </c>
    </row>
    <row r="18" spans="2:5" x14ac:dyDescent="0.2">
      <c r="B18" s="31" t="s">
        <v>164</v>
      </c>
      <c r="E18" s="90">
        <f>E16*(1-E17)</f>
        <v>1.9717499999999999E-2</v>
      </c>
    </row>
    <row r="20" spans="2:5" x14ac:dyDescent="0.2">
      <c r="B20" s="31" t="s">
        <v>165</v>
      </c>
    </row>
    <row r="21" spans="2:5" x14ac:dyDescent="0.2">
      <c r="B21" s="58" t="s">
        <v>166</v>
      </c>
      <c r="E21" s="60">
        <v>0.99419999999999997</v>
      </c>
    </row>
    <row r="22" spans="2:5" x14ac:dyDescent="0.2">
      <c r="B22" s="58" t="s">
        <v>167</v>
      </c>
      <c r="E22" s="61">
        <f>1-E21</f>
        <v>5.8000000000000274E-3</v>
      </c>
    </row>
    <row r="24" spans="2:5" x14ac:dyDescent="0.2">
      <c r="B24" s="31" t="s">
        <v>168</v>
      </c>
    </row>
    <row r="25" spans="2:5" x14ac:dyDescent="0.2">
      <c r="B25" s="106" t="s">
        <v>169</v>
      </c>
      <c r="C25" s="108"/>
      <c r="D25" s="108"/>
      <c r="E25" s="109">
        <f>E13*E21+E18*E22</f>
        <v>0.1001179569</v>
      </c>
    </row>
    <row r="27" spans="2:5" x14ac:dyDescent="0.2">
      <c r="B27" s="31" t="s">
        <v>170</v>
      </c>
    </row>
    <row r="28" spans="2:5" x14ac:dyDescent="0.2">
      <c r="B28" s="58" t="s">
        <v>171</v>
      </c>
      <c r="E28" s="60">
        <v>2.5000000000000001E-2</v>
      </c>
    </row>
    <row r="29" spans="2:5" x14ac:dyDescent="0.2">
      <c r="B29" s="58" t="s">
        <v>172</v>
      </c>
      <c r="E29" s="62">
        <v>15</v>
      </c>
    </row>
    <row r="32" spans="2:5" x14ac:dyDescent="0.2">
      <c r="B32" s="59" t="s">
        <v>173</v>
      </c>
    </row>
    <row r="34" spans="2:10" x14ac:dyDescent="0.2">
      <c r="B34" s="58"/>
      <c r="E34" s="63" t="s">
        <v>174</v>
      </c>
    </row>
    <row r="35" spans="2:10" x14ac:dyDescent="0.2">
      <c r="B35" s="58"/>
      <c r="E35" s="32" t="s">
        <v>16</v>
      </c>
      <c r="F35" s="32" t="s">
        <v>13</v>
      </c>
      <c r="G35" s="32" t="s">
        <v>17</v>
      </c>
      <c r="H35" s="32" t="s">
        <v>18</v>
      </c>
      <c r="I35" s="32" t="s">
        <v>19</v>
      </c>
      <c r="J35" s="32" t="s">
        <v>20</v>
      </c>
    </row>
    <row r="37" spans="2:10" x14ac:dyDescent="0.2">
      <c r="B37" s="58" t="s">
        <v>21</v>
      </c>
      <c r="E37" s="78">
        <f>'3-Statement Model'!G10</f>
        <v>28262.9</v>
      </c>
      <c r="F37" s="78">
        <f>'3-Statement Model'!H10</f>
        <v>33915.480000000003</v>
      </c>
      <c r="G37" s="78">
        <f>'3-Statement Model'!I10</f>
        <v>40020.2664</v>
      </c>
      <c r="H37" s="78">
        <f>'3-Statement Model'!J10</f>
        <v>46023.306359999995</v>
      </c>
      <c r="I37" s="78">
        <f>'3-Statement Model'!K10</f>
        <v>51546.103123200002</v>
      </c>
      <c r="J37" s="78">
        <f>'3-Statement Model'!L10</f>
        <v>56700.713435520011</v>
      </c>
    </row>
    <row r="38" spans="2:10" x14ac:dyDescent="0.2">
      <c r="B38" s="29" t="s">
        <v>175</v>
      </c>
      <c r="E38" s="61"/>
      <c r="F38" s="64">
        <f>F37/E37-1</f>
        <v>0.19999999999999996</v>
      </c>
      <c r="G38" s="64">
        <f>G37/F37-1</f>
        <v>0.17999999999999994</v>
      </c>
      <c r="H38" s="64">
        <f>H37/G37-1</f>
        <v>0.14999999999999991</v>
      </c>
      <c r="I38" s="64">
        <f>I37/H37-1</f>
        <v>0.12000000000000011</v>
      </c>
      <c r="J38" s="64">
        <f>J37/I37-1</f>
        <v>0.10000000000000009</v>
      </c>
    </row>
    <row r="40" spans="2:10" x14ac:dyDescent="0.2">
      <c r="B40" s="58" t="s">
        <v>29</v>
      </c>
      <c r="E40" s="78">
        <f>'3-Statement Model'!G17</f>
        <v>9022.6000000000022</v>
      </c>
      <c r="F40" s="78">
        <f>'3-Statement Model'!H17</f>
        <v>11415.967600000002</v>
      </c>
      <c r="G40" s="78">
        <f>'3-Statement Model'!I17</f>
        <v>14235.367359799999</v>
      </c>
      <c r="H40" s="78">
        <f>'3-Statement Model'!J17</f>
        <v>17223.782531329998</v>
      </c>
      <c r="I40" s="78">
        <f>'3-Statement Model'!K17</f>
        <v>20174.221429407749</v>
      </c>
      <c r="J40" s="78">
        <f>'3-Statement Model'!L17</f>
        <v>22537.60741019436</v>
      </c>
    </row>
    <row r="41" spans="2:10" x14ac:dyDescent="0.2">
      <c r="B41" s="29" t="s">
        <v>176</v>
      </c>
      <c r="E41" s="64">
        <f t="shared" ref="E41:J41" si="0">E40/E37</f>
        <v>0.3192382947255944</v>
      </c>
      <c r="F41" s="64">
        <f t="shared" si="0"/>
        <v>0.33660050218956067</v>
      </c>
      <c r="G41" s="64">
        <f t="shared" si="0"/>
        <v>0.35570396302509366</v>
      </c>
      <c r="H41" s="64">
        <f t="shared" si="0"/>
        <v>0.37424044236638371</v>
      </c>
      <c r="I41" s="64">
        <f t="shared" si="0"/>
        <v>0.39138208723925211</v>
      </c>
      <c r="J41" s="64">
        <f t="shared" si="0"/>
        <v>0.39748366545377073</v>
      </c>
    </row>
    <row r="42" spans="2:10" x14ac:dyDescent="0.2">
      <c r="B42" s="58" t="s">
        <v>177</v>
      </c>
      <c r="E42" s="79">
        <f t="shared" ref="E42:J42" si="1">-E40*$E$17</f>
        <v>-1578.9550000000004</v>
      </c>
      <c r="F42" s="79">
        <f t="shared" si="1"/>
        <v>-1997.7943300000002</v>
      </c>
      <c r="G42" s="79">
        <f t="shared" si="1"/>
        <v>-2491.1892879649995</v>
      </c>
      <c r="H42" s="79">
        <f t="shared" si="1"/>
        <v>-3014.1619429827497</v>
      </c>
      <c r="I42" s="79">
        <f t="shared" si="1"/>
        <v>-3530.4887501463559</v>
      </c>
      <c r="J42" s="79">
        <f t="shared" si="1"/>
        <v>-3944.0812967840125</v>
      </c>
    </row>
    <row r="43" spans="2:10" x14ac:dyDescent="0.2">
      <c r="B43" s="31" t="s">
        <v>178</v>
      </c>
      <c r="E43" s="80">
        <f t="shared" ref="E43:J43" si="2">E40+E42</f>
        <v>7443.6450000000023</v>
      </c>
      <c r="F43" s="80">
        <f t="shared" si="2"/>
        <v>9418.1732700000011</v>
      </c>
      <c r="G43" s="80">
        <f t="shared" si="2"/>
        <v>11744.178071834998</v>
      </c>
      <c r="H43" s="80">
        <f t="shared" si="2"/>
        <v>14209.620588347248</v>
      </c>
      <c r="I43" s="80">
        <f t="shared" si="2"/>
        <v>16643.732679261393</v>
      </c>
      <c r="J43" s="80">
        <f t="shared" si="2"/>
        <v>18593.526113410346</v>
      </c>
    </row>
    <row r="45" spans="2:10" x14ac:dyDescent="0.2">
      <c r="B45" s="58" t="s">
        <v>179</v>
      </c>
      <c r="E45" s="78">
        <f>-'3-Statement Model'!G16</f>
        <v>986.8</v>
      </c>
      <c r="F45" s="78">
        <f>-'3-Statement Model'!H16</f>
        <v>1132.7600000000002</v>
      </c>
      <c r="G45" s="78">
        <f>-'3-Statement Model'!I16</f>
        <v>1252.475737</v>
      </c>
      <c r="H45" s="78">
        <f>-'3-Statement Model'!J16</f>
        <v>1369.6332381099999</v>
      </c>
      <c r="I45" s="78">
        <f>-'3-Statement Model'!K16</f>
        <v>1475.1418823362499</v>
      </c>
      <c r="J45" s="78">
        <f>-'3-Statement Model'!L16</f>
        <v>1560.1957999016499</v>
      </c>
    </row>
    <row r="46" spans="2:10" x14ac:dyDescent="0.2">
      <c r="B46" s="58" t="s">
        <v>180</v>
      </c>
      <c r="E46" s="79">
        <f>'3-Statement Model'!G92</f>
        <v>-2083.1</v>
      </c>
      <c r="F46" s="79">
        <f>'3-Statement Model'!H92</f>
        <v>-2204.5062000000003</v>
      </c>
      <c r="G46" s="79">
        <f>'3-Statement Model'!I92</f>
        <v>-2401.2159839999999</v>
      </c>
      <c r="H46" s="79">
        <f>'3-Statement Model'!J92</f>
        <v>-2531.2818497999997</v>
      </c>
      <c r="I46" s="79">
        <f>'3-Statement Model'!K92</f>
        <v>-2577.3051561600005</v>
      </c>
      <c r="J46" s="79">
        <f>'3-Statement Model'!L92</f>
        <v>-2835.0356717760005</v>
      </c>
    </row>
    <row r="47" spans="2:10" x14ac:dyDescent="0.2">
      <c r="B47" s="58" t="s">
        <v>181</v>
      </c>
      <c r="E47" s="79">
        <f>'3-Statement Model'!G85+'3-Statement Model'!G86+'3-Statement Model'!G87+'3-Statement Model'!G88</f>
        <v>2053.2999999999997</v>
      </c>
      <c r="F47" s="79">
        <f>'3-Statement Model'!H85+'3-Statement Model'!H86+'3-Statement Model'!H87+'3-Statement Model'!H88</f>
        <v>1575.8115786325352</v>
      </c>
      <c r="G47" s="79">
        <f>'3-Statement Model'!I85+'3-Statement Model'!I86+'3-Statement Model'!I87+'3-Statement Model'!I88</f>
        <v>1068.4572444253117</v>
      </c>
      <c r="H47" s="79">
        <f>'3-Statement Model'!J85+'3-Statement Model'!J86+'3-Statement Model'!J87+'3-Statement Model'!J88</f>
        <v>870.58265686542063</v>
      </c>
      <c r="I47" s="79">
        <f>'3-Statement Model'!K85+'3-Statement Model'!K86+'3-Statement Model'!K87+'3-Statement Model'!K88</f>
        <v>595.01890070908871</v>
      </c>
      <c r="J47" s="79">
        <f>'3-Statement Model'!L85+'3-Statement Model'!L86+'3-Statement Model'!L87+'3-Statement Model'!L88</f>
        <v>61.906057919845807</v>
      </c>
    </row>
    <row r="49" spans="2:10" x14ac:dyDescent="0.2">
      <c r="B49" s="106" t="s">
        <v>182</v>
      </c>
      <c r="C49" s="107"/>
      <c r="D49" s="107"/>
      <c r="E49" s="81">
        <f t="shared" ref="E49:J49" si="3">E43+E45+E46+E47</f>
        <v>8400.6450000000004</v>
      </c>
      <c r="F49" s="81">
        <f t="shared" si="3"/>
        <v>9922.2386486325377</v>
      </c>
      <c r="G49" s="81">
        <f t="shared" si="3"/>
        <v>11663.89506926031</v>
      </c>
      <c r="H49" s="81">
        <f t="shared" si="3"/>
        <v>13918.55463352267</v>
      </c>
      <c r="I49" s="81">
        <f t="shared" si="3"/>
        <v>16136.588306146732</v>
      </c>
      <c r="J49" s="81">
        <f t="shared" si="3"/>
        <v>17380.592299455839</v>
      </c>
    </row>
    <row r="50" spans="2:10" x14ac:dyDescent="0.2">
      <c r="B50" s="29" t="s">
        <v>183</v>
      </c>
      <c r="E50" s="64">
        <f t="shared" ref="E50:J50" si="4">E49/E43</f>
        <v>1.1285660452641142</v>
      </c>
      <c r="F50" s="64">
        <f t="shared" si="4"/>
        <v>1.0535205038367845</v>
      </c>
      <c r="G50" s="64">
        <f t="shared" si="4"/>
        <v>0.99316401692109701</v>
      </c>
      <c r="H50" s="64">
        <f t="shared" si="4"/>
        <v>0.97951627539842478</v>
      </c>
      <c r="I50" s="64">
        <f t="shared" si="4"/>
        <v>0.96952940888394712</v>
      </c>
      <c r="J50" s="64">
        <f t="shared" si="4"/>
        <v>0.93476579931335924</v>
      </c>
    </row>
    <row r="53" spans="2:10" x14ac:dyDescent="0.2">
      <c r="B53" s="43" t="s">
        <v>184</v>
      </c>
    </row>
    <row r="55" spans="2:10" x14ac:dyDescent="0.2">
      <c r="B55" s="34" t="s">
        <v>185</v>
      </c>
      <c r="F55" s="1">
        <f>0.5</f>
        <v>0.5</v>
      </c>
      <c r="G55" s="1">
        <f>F55+1</f>
        <v>1.5</v>
      </c>
      <c r="H55" s="1">
        <f>G55+1</f>
        <v>2.5</v>
      </c>
      <c r="I55" s="1">
        <f>H55+1</f>
        <v>3.5</v>
      </c>
      <c r="J55" s="1">
        <f>I55+1</f>
        <v>4.5</v>
      </c>
    </row>
    <row r="56" spans="2:10" x14ac:dyDescent="0.2">
      <c r="B56" s="1" t="s">
        <v>186</v>
      </c>
      <c r="F56" s="1">
        <f>1/(1+$E$25)^F55</f>
        <v>0.95341147176973517</v>
      </c>
      <c r="G56" s="1">
        <f>1/(1+$E$25)^G55</f>
        <v>0.86664476821770464</v>
      </c>
      <c r="H56" s="1">
        <f>1/(1+$E$25)^H55</f>
        <v>0.78777440435551604</v>
      </c>
      <c r="I56" s="1">
        <f>1/(1+$E$25)^I55</f>
        <v>0.71608176142799229</v>
      </c>
      <c r="J56" s="1">
        <f>1/(1+$E$25)^J55</f>
        <v>0.65091361970476735</v>
      </c>
    </row>
    <row r="58" spans="2:10" x14ac:dyDescent="0.2">
      <c r="B58" s="65" t="s">
        <v>187</v>
      </c>
      <c r="C58" s="66"/>
      <c r="D58" s="66"/>
      <c r="E58" s="66"/>
      <c r="F58" s="82">
        <f>F49*F56</f>
        <v>9459.9761532432967</v>
      </c>
      <c r="G58" s="82">
        <f>G49*G56</f>
        <v>10108.45363881473</v>
      </c>
      <c r="H58" s="82">
        <f>H49*H56</f>
        <v>10964.681085913029</v>
      </c>
      <c r="I58" s="82">
        <f>I49*I56</f>
        <v>11555.116577703895</v>
      </c>
      <c r="J58" s="82">
        <f>J49*J56</f>
        <v>11313.264246251605</v>
      </c>
    </row>
    <row r="60" spans="2:10" x14ac:dyDescent="0.2">
      <c r="B60" s="65" t="s">
        <v>188</v>
      </c>
      <c r="C60" s="66"/>
      <c r="D60" s="66"/>
      <c r="E60" s="66"/>
      <c r="F60" s="82">
        <f>SUM(F58:J58)</f>
        <v>53401.491701926556</v>
      </c>
      <c r="G60" s="66"/>
      <c r="H60" s="66"/>
      <c r="I60" s="66"/>
      <c r="J60" s="66"/>
    </row>
    <row r="63" spans="2:10" x14ac:dyDescent="0.2">
      <c r="B63" s="43" t="s">
        <v>189</v>
      </c>
    </row>
    <row r="65" spans="2:6" x14ac:dyDescent="0.2">
      <c r="B65" s="34" t="s">
        <v>190</v>
      </c>
    </row>
    <row r="66" spans="2:6" x14ac:dyDescent="0.2">
      <c r="B66" s="1" t="s">
        <v>191</v>
      </c>
      <c r="E66" s="53">
        <f>J49</f>
        <v>17380.592299455839</v>
      </c>
    </row>
    <row r="67" spans="2:6" x14ac:dyDescent="0.2">
      <c r="B67" s="1" t="s">
        <v>192</v>
      </c>
      <c r="E67" s="50">
        <f>E28</f>
        <v>2.5000000000000001E-2</v>
      </c>
    </row>
    <row r="68" spans="2:6" x14ac:dyDescent="0.2">
      <c r="B68" s="34" t="s">
        <v>193</v>
      </c>
      <c r="E68" s="54">
        <f>E66*(1+E67)/($E$25-E67)</f>
        <v>237161.76320741003</v>
      </c>
    </row>
    <row r="69" spans="2:6" x14ac:dyDescent="0.2">
      <c r="B69" s="65" t="s">
        <v>194</v>
      </c>
      <c r="C69" s="66"/>
      <c r="D69" s="66"/>
      <c r="E69" s="82">
        <f>E68/(1+$E$25)^J55</f>
        <v>154371.8217449002</v>
      </c>
    </row>
    <row r="70" spans="2:6" x14ac:dyDescent="0.2">
      <c r="B70" s="44" t="s">
        <v>195</v>
      </c>
      <c r="E70" s="83">
        <f>E68/('3-Statement Model'!L17+'3-Statement Model'!L16)</f>
        <v>11.305578000435716</v>
      </c>
      <c r="F70"/>
    </row>
    <row r="72" spans="2:6" x14ac:dyDescent="0.2">
      <c r="B72" s="34" t="s">
        <v>196</v>
      </c>
    </row>
    <row r="73" spans="2:6" x14ac:dyDescent="0.2">
      <c r="B73" s="1" t="s">
        <v>197</v>
      </c>
      <c r="E73" s="53">
        <f>'3-Statement Model'!L17+'3-Statement Model'!L16</f>
        <v>20977.411610292711</v>
      </c>
    </row>
    <row r="74" spans="2:6" x14ac:dyDescent="0.2">
      <c r="B74" s="1" t="s">
        <v>198</v>
      </c>
      <c r="E74" s="84">
        <f>E29</f>
        <v>15</v>
      </c>
    </row>
    <row r="75" spans="2:6" x14ac:dyDescent="0.2">
      <c r="B75" s="34" t="s">
        <v>199</v>
      </c>
      <c r="E75" s="54">
        <f>E73*E74</f>
        <v>314661.17415439064</v>
      </c>
    </row>
    <row r="76" spans="2:6" x14ac:dyDescent="0.2">
      <c r="B76" s="65" t="s">
        <v>194</v>
      </c>
      <c r="C76" s="66"/>
      <c r="D76" s="66"/>
      <c r="E76" s="82">
        <f>E75/(1+$E$25)^J55</f>
        <v>204817.24384938661</v>
      </c>
    </row>
    <row r="77" spans="2:6" x14ac:dyDescent="0.2">
      <c r="B77" s="44" t="s">
        <v>200</v>
      </c>
      <c r="E77" s="85">
        <f>(E66-E75*$E$25)/(E75+E66)</f>
        <v>-4.2532726299659269E-2</v>
      </c>
    </row>
    <row r="80" spans="2:6" x14ac:dyDescent="0.2">
      <c r="B80" s="43" t="s">
        <v>201</v>
      </c>
    </row>
    <row r="82" spans="2:6" x14ac:dyDescent="0.2">
      <c r="B82" s="34" t="s">
        <v>202</v>
      </c>
      <c r="E82" s="34" t="s">
        <v>203</v>
      </c>
      <c r="F82" s="34" t="s">
        <v>203</v>
      </c>
    </row>
    <row r="83" spans="2:6" x14ac:dyDescent="0.2">
      <c r="B83" s="1" t="s">
        <v>188</v>
      </c>
      <c r="E83" s="53">
        <f>F60</f>
        <v>53401.491701926556</v>
      </c>
      <c r="F83" s="53">
        <f>F60</f>
        <v>53401.491701926556</v>
      </c>
    </row>
    <row r="84" spans="2:6" x14ac:dyDescent="0.2">
      <c r="B84" s="1" t="s">
        <v>194</v>
      </c>
      <c r="E84" s="53">
        <f>E69</f>
        <v>154371.8217449002</v>
      </c>
      <c r="F84" s="53">
        <f>E76</f>
        <v>204817.24384938661</v>
      </c>
    </row>
    <row r="85" spans="2:6" x14ac:dyDescent="0.2">
      <c r="B85" s="65" t="s">
        <v>204</v>
      </c>
      <c r="C85" s="66"/>
      <c r="D85" s="66"/>
      <c r="E85" s="82">
        <f>E83+E84</f>
        <v>207773.31344682677</v>
      </c>
      <c r="F85" s="82">
        <f>F83+F84</f>
        <v>258218.73555131315</v>
      </c>
    </row>
    <row r="87" spans="2:6" x14ac:dyDescent="0.2">
      <c r="B87" s="1" t="s">
        <v>205</v>
      </c>
      <c r="E87" s="86">
        <f>-('3-Statement Model'!G53+'3-Statement Model'!G58)</f>
        <v>-4993.6000000000004</v>
      </c>
      <c r="F87" s="86">
        <f>E87</f>
        <v>-4993.6000000000004</v>
      </c>
    </row>
    <row r="88" spans="2:6" x14ac:dyDescent="0.2">
      <c r="B88" s="1" t="s">
        <v>206</v>
      </c>
      <c r="E88" s="53">
        <f>'3-Statement Model'!G35</f>
        <v>12741.3</v>
      </c>
      <c r="F88" s="53">
        <f>E88</f>
        <v>12741.3</v>
      </c>
    </row>
    <row r="89" spans="2:6" x14ac:dyDescent="0.2">
      <c r="B89" s="1" t="s">
        <v>207</v>
      </c>
      <c r="E89" s="86">
        <v>0</v>
      </c>
      <c r="F89" s="86">
        <f>E89</f>
        <v>0</v>
      </c>
    </row>
    <row r="90" spans="2:6" x14ac:dyDescent="0.2">
      <c r="B90" s="1" t="s">
        <v>208</v>
      </c>
      <c r="E90" s="86">
        <v>0</v>
      </c>
      <c r="F90" s="86">
        <f>E90</f>
        <v>0</v>
      </c>
    </row>
    <row r="91" spans="2:6" x14ac:dyDescent="0.2">
      <c r="B91" s="1" t="s">
        <v>209</v>
      </c>
      <c r="E91" s="53">
        <f>'3-Statement Model'!G45</f>
        <v>2676.8</v>
      </c>
      <c r="F91" s="53">
        <f>E91</f>
        <v>2676.8</v>
      </c>
    </row>
    <row r="92" spans="2:6" x14ac:dyDescent="0.2">
      <c r="B92" s="65" t="s">
        <v>210</v>
      </c>
      <c r="C92" s="66"/>
      <c r="D92" s="66"/>
      <c r="E92" s="82">
        <f>SUM(E85:E91)</f>
        <v>218197.81344682674</v>
      </c>
      <c r="F92" s="82">
        <f>SUM(F85:F91)</f>
        <v>268643.23555131315</v>
      </c>
    </row>
    <row r="94" spans="2:6" x14ac:dyDescent="0.2">
      <c r="B94" s="1" t="s">
        <v>211</v>
      </c>
      <c r="E94" s="53">
        <f>'Assumptions and Inputs'!E67</f>
        <v>393.3</v>
      </c>
      <c r="F94" s="53">
        <f>E94</f>
        <v>393.3</v>
      </c>
    </row>
    <row r="95" spans="2:6" x14ac:dyDescent="0.2">
      <c r="B95" s="65" t="s">
        <v>212</v>
      </c>
      <c r="C95" s="66"/>
      <c r="D95" s="66"/>
      <c r="E95" s="87">
        <f>E92/E94</f>
        <v>554.78721954443608</v>
      </c>
      <c r="F95" s="87">
        <f>F92/F94</f>
        <v>683.04916234760526</v>
      </c>
    </row>
    <row r="97" spans="2:7" x14ac:dyDescent="0.2">
      <c r="B97" s="44" t="s">
        <v>213</v>
      </c>
      <c r="E97" s="88">
        <v>652</v>
      </c>
    </row>
    <row r="98" spans="2:7" x14ac:dyDescent="0.2">
      <c r="B98" s="44" t="s">
        <v>214</v>
      </c>
      <c r="E98" s="85">
        <f>E95/E97-1</f>
        <v>-0.14909935652693851</v>
      </c>
      <c r="F98" s="85">
        <f>F95/E97-1</f>
        <v>4.7621414643566284E-2</v>
      </c>
    </row>
    <row r="101" spans="2:7" x14ac:dyDescent="0.2">
      <c r="B101" s="43" t="s">
        <v>215</v>
      </c>
    </row>
    <row r="103" spans="2:7" x14ac:dyDescent="0.2">
      <c r="B103" s="34" t="s">
        <v>216</v>
      </c>
    </row>
    <row r="104" spans="2:7" x14ac:dyDescent="0.2">
      <c r="B104" s="68" t="s">
        <v>217</v>
      </c>
      <c r="C104" s="69">
        <v>1.4999999999999999E-2</v>
      </c>
      <c r="D104" s="69">
        <v>0.02</v>
      </c>
      <c r="E104" s="69">
        <v>2.5000000000000001E-2</v>
      </c>
      <c r="F104" s="69">
        <v>0.03</v>
      </c>
      <c r="G104" s="69">
        <v>3.5000000000000003E-2</v>
      </c>
    </row>
    <row r="105" spans="2:7" x14ac:dyDescent="0.2">
      <c r="B105" s="70">
        <f>$E$25-0.02</f>
        <v>8.0117956899999995E-2</v>
      </c>
      <c r="C105" s="71">
        <f t="shared" ref="C105:G109" si="5">($F$60+($E$66*(1+C$104)/($B105-C$104))/(1+$B105)^$J$55+$E$87+$E$88+$E$89+$E$90+$E$91)/$E$94</f>
        <v>649.23456190351328</v>
      </c>
      <c r="D105" s="71">
        <f t="shared" si="5"/>
        <v>692.33250066166192</v>
      </c>
      <c r="E105" s="71">
        <f t="shared" si="5"/>
        <v>743.24965863295006</v>
      </c>
      <c r="F105" s="71">
        <f t="shared" si="5"/>
        <v>804.32628062087451</v>
      </c>
      <c r="G105" s="71">
        <f t="shared" si="5"/>
        <v>878.94000095819786</v>
      </c>
    </row>
    <row r="106" spans="2:7" x14ac:dyDescent="0.2">
      <c r="B106" s="70">
        <f>$E$25-0.01</f>
        <v>9.0117956900000004E-2</v>
      </c>
      <c r="C106" s="71">
        <f t="shared" si="5"/>
        <v>567.26192123484293</v>
      </c>
      <c r="D106" s="71">
        <f t="shared" si="5"/>
        <v>598.2775351820668</v>
      </c>
      <c r="E106" s="71">
        <f t="shared" si="5"/>
        <v>634.05613854476837</v>
      </c>
      <c r="F106" s="71">
        <f t="shared" si="5"/>
        <v>675.78614232219377</v>
      </c>
      <c r="G106" s="71">
        <f t="shared" si="5"/>
        <v>725.08718213296413</v>
      </c>
    </row>
    <row r="107" spans="2:7" x14ac:dyDescent="0.2">
      <c r="B107" s="73">
        <f>$E$25</f>
        <v>0.1001179569</v>
      </c>
      <c r="C107" s="71">
        <f t="shared" si="5"/>
        <v>505.29484618729094</v>
      </c>
      <c r="D107" s="71">
        <f t="shared" si="5"/>
        <v>528.49667329679335</v>
      </c>
      <c r="E107" s="75">
        <f t="shared" si="5"/>
        <v>554.78721954443608</v>
      </c>
      <c r="F107" s="71">
        <f t="shared" si="5"/>
        <v>584.82723987974191</v>
      </c>
      <c r="G107" s="71">
        <f t="shared" si="5"/>
        <v>619.4804301861875</v>
      </c>
    </row>
    <row r="108" spans="2:7" x14ac:dyDescent="0.2">
      <c r="B108" s="70">
        <f>$E$25+0.01</f>
        <v>0.11011795689999999</v>
      </c>
      <c r="C108" s="71">
        <f t="shared" si="5"/>
        <v>456.98522123883942</v>
      </c>
      <c r="D108" s="71">
        <f t="shared" si="5"/>
        <v>474.86840474162642</v>
      </c>
      <c r="E108" s="71">
        <f t="shared" si="5"/>
        <v>494.85257658507533</v>
      </c>
      <c r="F108" s="71">
        <f t="shared" si="5"/>
        <v>517.33109209587383</v>
      </c>
      <c r="G108" s="71">
        <f t="shared" si="5"/>
        <v>542.8020366394162</v>
      </c>
    </row>
    <row r="109" spans="2:7" x14ac:dyDescent="0.2">
      <c r="B109" s="70">
        <f>$E$25+0.02</f>
        <v>0.1201179569</v>
      </c>
      <c r="C109" s="71">
        <f t="shared" si="5"/>
        <v>418.40283738236894</v>
      </c>
      <c r="D109" s="71">
        <f t="shared" si="5"/>
        <v>432.51841264946097</v>
      </c>
      <c r="E109" s="71">
        <f t="shared" si="5"/>
        <v>448.11799532452653</v>
      </c>
      <c r="F109" s="71">
        <f t="shared" si="5"/>
        <v>465.44859623521148</v>
      </c>
      <c r="G109" s="71">
        <f t="shared" si="5"/>
        <v>484.81526586063836</v>
      </c>
    </row>
    <row r="111" spans="2:7" x14ac:dyDescent="0.2">
      <c r="B111" s="34" t="s">
        <v>218</v>
      </c>
    </row>
    <row r="112" spans="2:7" x14ac:dyDescent="0.2">
      <c r="B112" s="68" t="s">
        <v>219</v>
      </c>
      <c r="C112" s="76">
        <v>12</v>
      </c>
      <c r="D112" s="76">
        <v>13.5</v>
      </c>
      <c r="E112" s="76">
        <v>15</v>
      </c>
      <c r="F112" s="76">
        <v>16.5</v>
      </c>
      <c r="G112" s="76">
        <v>18</v>
      </c>
    </row>
    <row r="113" spans="2:7" x14ac:dyDescent="0.2">
      <c r="B113" s="70">
        <f>$E$25-0.02</f>
        <v>8.0117956899999995E-2</v>
      </c>
      <c r="C113" s="71">
        <f t="shared" ref="C113:G117" si="6">($F$60+($E$73*C$112)/(1+$B113)^$J$55+$E$87+$E$88+$E$89+$E$90+$E$91)/$E$94</f>
        <v>614.7522561267017</v>
      </c>
      <c r="D113" s="71">
        <f t="shared" si="6"/>
        <v>671.31088523701987</v>
      </c>
      <c r="E113" s="71">
        <f t="shared" si="6"/>
        <v>727.86951434733805</v>
      </c>
      <c r="F113" s="71">
        <f t="shared" si="6"/>
        <v>784.42814345765635</v>
      </c>
      <c r="G113" s="71">
        <f t="shared" si="6"/>
        <v>840.98677256797441</v>
      </c>
    </row>
    <row r="114" spans="2:7" x14ac:dyDescent="0.2">
      <c r="B114" s="70">
        <f>$E$25-0.01</f>
        <v>9.0117956900000004E-2</v>
      </c>
      <c r="C114" s="71">
        <f t="shared" si="6"/>
        <v>596.37192093249757</v>
      </c>
      <c r="D114" s="71">
        <f t="shared" si="6"/>
        <v>650.63300814354022</v>
      </c>
      <c r="E114" s="71">
        <f t="shared" si="6"/>
        <v>704.89409535458287</v>
      </c>
      <c r="F114" s="71">
        <f t="shared" si="6"/>
        <v>759.15518256562564</v>
      </c>
      <c r="G114" s="71">
        <f t="shared" si="6"/>
        <v>813.4162697766684</v>
      </c>
    </row>
    <row r="115" spans="2:7" x14ac:dyDescent="0.2">
      <c r="B115" s="73">
        <f>$E$25</f>
        <v>0.1001179569</v>
      </c>
      <c r="C115" s="71">
        <f t="shared" si="6"/>
        <v>578.89597452691544</v>
      </c>
      <c r="D115" s="71">
        <f t="shared" si="6"/>
        <v>630.97256843726029</v>
      </c>
      <c r="E115" s="75">
        <f>($F$60+($E$73*E$112)/(1+$B115)^$J$55+$E$87+$E$88+$E$89+$E$90+$E$91)/$E$94</f>
        <v>683.04916234760526</v>
      </c>
      <c r="F115" s="71">
        <f t="shared" si="6"/>
        <v>735.12575625795034</v>
      </c>
      <c r="G115" s="71">
        <f t="shared" si="6"/>
        <v>787.2023501682952</v>
      </c>
    </row>
    <row r="116" spans="2:7" x14ac:dyDescent="0.2">
      <c r="B116" s="70">
        <f>$E$25+0.01</f>
        <v>0.11011795689999999</v>
      </c>
      <c r="C116" s="71">
        <f t="shared" si="6"/>
        <v>562.2722938849173</v>
      </c>
      <c r="D116" s="71">
        <f t="shared" si="6"/>
        <v>612.27092771501248</v>
      </c>
      <c r="E116" s="71">
        <f t="shared" si="6"/>
        <v>662.26956154510765</v>
      </c>
      <c r="F116" s="71">
        <f t="shared" si="6"/>
        <v>712.26819537520294</v>
      </c>
      <c r="G116" s="71">
        <f t="shared" si="6"/>
        <v>762.266829205298</v>
      </c>
    </row>
    <row r="117" spans="2:7" x14ac:dyDescent="0.2">
      <c r="B117" s="70">
        <f>$E$25+0.02</f>
        <v>0.1201179569</v>
      </c>
      <c r="C117" s="71">
        <f t="shared" si="6"/>
        <v>546.4521916274299</v>
      </c>
      <c r="D117" s="71">
        <f t="shared" si="6"/>
        <v>594.47331267533912</v>
      </c>
      <c r="E117" s="71">
        <f t="shared" si="6"/>
        <v>642.49443372324822</v>
      </c>
      <c r="F117" s="71">
        <f t="shared" si="6"/>
        <v>690.51555477115755</v>
      </c>
      <c r="G117" s="71">
        <f t="shared" si="6"/>
        <v>738.53667581906689</v>
      </c>
    </row>
    <row r="119" spans="2:7" x14ac:dyDescent="0.2">
      <c r="B119" s="34" t="s">
        <v>220</v>
      </c>
    </row>
    <row r="120" spans="2:7" x14ac:dyDescent="0.2">
      <c r="B120" s="67" t="s">
        <v>221</v>
      </c>
      <c r="C120" s="68" t="s">
        <v>222</v>
      </c>
      <c r="D120" s="68" t="s">
        <v>223</v>
      </c>
      <c r="E120" s="68" t="s">
        <v>224</v>
      </c>
      <c r="F120" s="68" t="s">
        <v>225</v>
      </c>
    </row>
    <row r="121" spans="2:7" x14ac:dyDescent="0.2">
      <c r="B121" s="1" t="s">
        <v>202</v>
      </c>
      <c r="C121" s="71">
        <f>MIN(C105:G109)</f>
        <v>418.40283738236894</v>
      </c>
      <c r="D121" s="75">
        <f>E95</f>
        <v>554.78721954443608</v>
      </c>
      <c r="E121" s="71">
        <f>MAX(C105:G109)</f>
        <v>878.94000095819786</v>
      </c>
      <c r="F121" s="71">
        <f>E97</f>
        <v>652</v>
      </c>
    </row>
    <row r="122" spans="2:7" x14ac:dyDescent="0.2">
      <c r="B122" s="1" t="s">
        <v>203</v>
      </c>
      <c r="C122" s="71">
        <f>MIN(C113:G117)</f>
        <v>546.4521916274299</v>
      </c>
      <c r="D122" s="75">
        <f>F95</f>
        <v>683.04916234760526</v>
      </c>
      <c r="E122" s="71">
        <f>MAX(C113:G117)</f>
        <v>840.98677256797441</v>
      </c>
      <c r="F122" s="71">
        <f>E97</f>
        <v>652</v>
      </c>
    </row>
    <row r="124" spans="2:7" x14ac:dyDescent="0.2">
      <c r="B124" s="65" t="s">
        <v>226</v>
      </c>
      <c r="C124" s="77">
        <f>MIN(C121:C122)</f>
        <v>418.40283738236894</v>
      </c>
      <c r="D124" s="77">
        <f>AVERAGE(D121:D122)</f>
        <v>618.91819094602067</v>
      </c>
      <c r="E124" s="77">
        <f>MAX(E121:E122)</f>
        <v>878.94000095819786</v>
      </c>
      <c r="F124" s="77">
        <f>E97</f>
        <v>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C68D-DC5F-D64C-882B-2C7195C1449A}">
  <dimension ref="B2:N54"/>
  <sheetViews>
    <sheetView zoomScale="125" workbookViewId="0">
      <selection activeCell="N21" sqref="N21"/>
    </sheetView>
  </sheetViews>
  <sheetFormatPr baseColWidth="10" defaultRowHeight="16" x14ac:dyDescent="0.2"/>
  <cols>
    <col min="1" max="16384" width="10.83203125" style="1"/>
  </cols>
  <sheetData>
    <row r="2" spans="2:14" ht="19" x14ac:dyDescent="0.25">
      <c r="B2" s="46" t="s">
        <v>227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4" spans="2:14" x14ac:dyDescent="0.2">
      <c r="B4" s="44"/>
    </row>
    <row r="5" spans="2:14" x14ac:dyDescent="0.2">
      <c r="B5" s="44"/>
    </row>
    <row r="7" spans="2:14" x14ac:dyDescent="0.2">
      <c r="B7" s="43" t="s">
        <v>228</v>
      </c>
    </row>
    <row r="9" spans="2:14" ht="51" x14ac:dyDescent="0.2">
      <c r="B9" s="68" t="s">
        <v>229</v>
      </c>
      <c r="C9" s="68" t="s">
        <v>230</v>
      </c>
      <c r="D9" s="91" t="s">
        <v>231</v>
      </c>
      <c r="E9" s="91" t="s">
        <v>232</v>
      </c>
      <c r="F9" s="91" t="s">
        <v>233</v>
      </c>
      <c r="G9" s="91" t="s">
        <v>234</v>
      </c>
      <c r="H9" s="91" t="s">
        <v>235</v>
      </c>
      <c r="I9" s="91" t="s">
        <v>236</v>
      </c>
      <c r="J9" s="91" t="s">
        <v>237</v>
      </c>
      <c r="K9" s="91" t="s">
        <v>238</v>
      </c>
      <c r="L9" s="91" t="s">
        <v>239</v>
      </c>
      <c r="M9" s="91" t="s">
        <v>240</v>
      </c>
      <c r="N9" s="91"/>
    </row>
    <row r="10" spans="2:14" x14ac:dyDescent="0.2">
      <c r="B10" s="72" t="s">
        <v>241</v>
      </c>
      <c r="C10" s="74" t="s">
        <v>242</v>
      </c>
      <c r="D10" s="92">
        <v>1215.5999999999999</v>
      </c>
      <c r="E10" s="93">
        <v>388.15</v>
      </c>
      <c r="F10" s="94">
        <f>D10*E10</f>
        <v>471835.13999999996</v>
      </c>
      <c r="G10" s="94">
        <v>5128.2</v>
      </c>
      <c r="H10" s="94">
        <v>2704.7</v>
      </c>
      <c r="I10" s="94">
        <f>F10-G10+H10</f>
        <v>469411.63999999996</v>
      </c>
      <c r="J10" s="94">
        <v>28262.9</v>
      </c>
      <c r="K10" s="94">
        <v>10009.4</v>
      </c>
      <c r="L10" s="94">
        <v>9022.6</v>
      </c>
      <c r="M10" s="95">
        <f>(H10-G10)/K10</f>
        <v>-0.24212240493935702</v>
      </c>
      <c r="N10" s="96"/>
    </row>
    <row r="11" spans="2:14" x14ac:dyDescent="0.2">
      <c r="B11" s="1" t="s">
        <v>243</v>
      </c>
      <c r="C11" s="1" t="s">
        <v>244</v>
      </c>
      <c r="D11" s="97">
        <v>1200.3</v>
      </c>
      <c r="E11" s="53">
        <v>131.38999999999999</v>
      </c>
      <c r="F11" s="33">
        <f>D11*E11</f>
        <v>157707.41699999999</v>
      </c>
      <c r="G11" s="33">
        <v>4433.96</v>
      </c>
      <c r="H11" s="33">
        <v>5201.99</v>
      </c>
      <c r="I11" s="33">
        <f>F11-G11+H11</f>
        <v>158475.44699999999</v>
      </c>
      <c r="J11" s="33">
        <v>11243.45</v>
      </c>
      <c r="K11" s="33">
        <v>5102.3500000000004</v>
      </c>
      <c r="L11" s="33">
        <v>4814.9799999999996</v>
      </c>
      <c r="M11" s="84">
        <f>(H11-G11)/K11</f>
        <v>0.15052475819965305</v>
      </c>
      <c r="N11" s="98"/>
    </row>
    <row r="12" spans="2:14" x14ac:dyDescent="0.2">
      <c r="B12" s="1" t="s">
        <v>245</v>
      </c>
      <c r="C12" s="1" t="s">
        <v>246</v>
      </c>
      <c r="D12" s="97">
        <v>270.94</v>
      </c>
      <c r="E12" s="53">
        <v>792.94</v>
      </c>
      <c r="F12" s="33">
        <f>D12*E12</f>
        <v>214839.1636</v>
      </c>
      <c r="G12" s="33">
        <v>7427.66</v>
      </c>
      <c r="H12" s="33">
        <v>6108.13</v>
      </c>
      <c r="I12" s="33">
        <f>F12-G12+H12</f>
        <v>213519.6336</v>
      </c>
      <c r="J12" s="33">
        <v>24526.38</v>
      </c>
      <c r="K12" s="33">
        <v>7762.35</v>
      </c>
      <c r="L12" s="33">
        <v>7360.33</v>
      </c>
      <c r="M12" s="84">
        <f>(H12-G12)/K12</f>
        <v>-0.16999104652585875</v>
      </c>
      <c r="N12" s="98"/>
    </row>
    <row r="14" spans="2:14" x14ac:dyDescent="0.2">
      <c r="B14" s="65" t="s">
        <v>247</v>
      </c>
      <c r="C14" s="66"/>
      <c r="D14" s="87">
        <f t="shared" ref="D14:M14" si="0">AVERAGE(D11:D12)</f>
        <v>735.62</v>
      </c>
      <c r="E14" s="82">
        <f t="shared" si="0"/>
        <v>462.16500000000002</v>
      </c>
      <c r="F14" s="99">
        <f t="shared" si="0"/>
        <v>186273.29029999999</v>
      </c>
      <c r="G14" s="99">
        <f t="shared" si="0"/>
        <v>5930.8099999999995</v>
      </c>
      <c r="H14" s="99">
        <f>AVERAGE(H11:H12)</f>
        <v>5655.0599999999995</v>
      </c>
      <c r="I14" s="99">
        <f t="shared" si="0"/>
        <v>185997.54029999999</v>
      </c>
      <c r="J14" s="99">
        <f t="shared" si="0"/>
        <v>17884.915000000001</v>
      </c>
      <c r="K14" s="99">
        <f t="shared" si="0"/>
        <v>6432.35</v>
      </c>
      <c r="L14" s="99">
        <f>AVERAGE(L11:L12)</f>
        <v>6087.6549999999997</v>
      </c>
      <c r="M14" s="100">
        <f t="shared" si="0"/>
        <v>-9.7331441631028498E-3</v>
      </c>
      <c r="N14" s="66"/>
    </row>
    <row r="15" spans="2:14" x14ac:dyDescent="0.2">
      <c r="B15" s="65" t="s">
        <v>248</v>
      </c>
      <c r="C15" s="66"/>
      <c r="D15" s="87">
        <f t="shared" ref="D15:M15" si="1">MEDIAN(D11:D12)</f>
        <v>735.61999999999989</v>
      </c>
      <c r="E15" s="82">
        <f t="shared" si="1"/>
        <v>462.16500000000002</v>
      </c>
      <c r="F15" s="99">
        <f t="shared" si="1"/>
        <v>186273.29029999999</v>
      </c>
      <c r="G15" s="99">
        <f t="shared" si="1"/>
        <v>5930.8099999999995</v>
      </c>
      <c r="H15" s="99">
        <f t="shared" si="1"/>
        <v>5655.0599999999995</v>
      </c>
      <c r="I15" s="99">
        <f t="shared" si="1"/>
        <v>185997.54029999999</v>
      </c>
      <c r="J15" s="99">
        <f t="shared" si="1"/>
        <v>17884.915000000001</v>
      </c>
      <c r="K15" s="99">
        <f t="shared" si="1"/>
        <v>6432.35</v>
      </c>
      <c r="L15" s="99">
        <f t="shared" si="1"/>
        <v>6087.6549999999997</v>
      </c>
      <c r="M15" s="100">
        <f t="shared" si="1"/>
        <v>-9.7331441631028637E-3</v>
      </c>
      <c r="N15" s="66"/>
    </row>
    <row r="17" spans="2:14" x14ac:dyDescent="0.2">
      <c r="B17" s="43" t="s">
        <v>249</v>
      </c>
    </row>
    <row r="19" spans="2:14" ht="34" x14ac:dyDescent="0.2">
      <c r="B19" s="68" t="s">
        <v>229</v>
      </c>
      <c r="C19" s="68" t="s">
        <v>230</v>
      </c>
      <c r="D19" s="68" t="s">
        <v>250</v>
      </c>
      <c r="E19" s="68" t="s">
        <v>251</v>
      </c>
      <c r="F19" s="68" t="s">
        <v>252</v>
      </c>
      <c r="G19" s="91" t="s">
        <v>253</v>
      </c>
      <c r="H19" s="91" t="s">
        <v>254</v>
      </c>
      <c r="I19" s="91" t="s">
        <v>255</v>
      </c>
      <c r="J19" s="91" t="s">
        <v>256</v>
      </c>
      <c r="K19" s="91" t="s">
        <v>257</v>
      </c>
      <c r="L19" s="91" t="s">
        <v>258</v>
      </c>
    </row>
    <row r="20" spans="2:14" x14ac:dyDescent="0.2">
      <c r="B20" s="72" t="s">
        <v>241</v>
      </c>
      <c r="C20" s="74" t="s">
        <v>242</v>
      </c>
      <c r="D20" s="95">
        <f>I10/J10</f>
        <v>16.608757063146385</v>
      </c>
      <c r="E20" s="95">
        <f>I10/K10</f>
        <v>46.897080744100542</v>
      </c>
      <c r="F20" s="95">
        <f>I10/L10</f>
        <v>52.026205306674342</v>
      </c>
      <c r="G20" s="95">
        <v>41.7</v>
      </c>
      <c r="H20" s="95">
        <v>32.6</v>
      </c>
      <c r="I20" s="95">
        <v>49.5</v>
      </c>
      <c r="J20" s="95">
        <v>36.5</v>
      </c>
      <c r="K20" s="101">
        <v>0.62</v>
      </c>
      <c r="L20" s="101">
        <v>3.41</v>
      </c>
    </row>
    <row r="21" spans="2:14" x14ac:dyDescent="0.2">
      <c r="B21" s="1" t="s">
        <v>243</v>
      </c>
      <c r="C21" s="1" t="s">
        <v>244</v>
      </c>
      <c r="D21" s="84">
        <f>I11/J11</f>
        <v>14.094912771435812</v>
      </c>
      <c r="E21" s="84">
        <f>I11/K11</f>
        <v>31.059305418091657</v>
      </c>
      <c r="F21" s="84">
        <f>I11/L11</f>
        <v>32.913002130849975</v>
      </c>
      <c r="G21" s="84">
        <v>39.1</v>
      </c>
      <c r="H21" s="84">
        <v>31.1</v>
      </c>
      <c r="I21" s="84">
        <v>42.5</v>
      </c>
      <c r="J21" s="84">
        <v>35</v>
      </c>
      <c r="K21" s="50">
        <v>0.53</v>
      </c>
      <c r="L21" s="50">
        <v>3.12</v>
      </c>
    </row>
    <row r="22" spans="2:14" x14ac:dyDescent="0.2">
      <c r="B22" s="1" t="s">
        <v>245</v>
      </c>
      <c r="C22" s="1" t="s">
        <v>246</v>
      </c>
      <c r="D22" s="84">
        <f>I12/J12</f>
        <v>8.7057133421238682</v>
      </c>
      <c r="E22" s="84">
        <f>I12/K12</f>
        <v>27.507086591045237</v>
      </c>
      <c r="F22" s="84">
        <f>I12/L12</f>
        <v>29.009519084062806</v>
      </c>
      <c r="G22" s="84">
        <v>33.299999999999997</v>
      </c>
      <c r="H22" s="84">
        <v>26.8</v>
      </c>
      <c r="I22" s="84">
        <v>51.7</v>
      </c>
      <c r="J22" s="84">
        <v>46.5</v>
      </c>
      <c r="K22" s="50">
        <v>0.56999999999999995</v>
      </c>
      <c r="L22" s="50">
        <v>3.08</v>
      </c>
    </row>
    <row r="24" spans="2:14" x14ac:dyDescent="0.2">
      <c r="B24" s="65" t="s">
        <v>247</v>
      </c>
      <c r="C24" s="66"/>
      <c r="D24" s="100">
        <f t="shared" ref="D24:K24" si="2">AVERAGE(D21:D22)</f>
        <v>11.40031305677984</v>
      </c>
      <c r="E24" s="100">
        <f t="shared" si="2"/>
        <v>29.283196004568445</v>
      </c>
      <c r="F24" s="100">
        <f t="shared" si="2"/>
        <v>30.961260607456389</v>
      </c>
      <c r="G24" s="100">
        <f t="shared" si="2"/>
        <v>36.200000000000003</v>
      </c>
      <c r="H24" s="100">
        <f t="shared" si="2"/>
        <v>28.950000000000003</v>
      </c>
      <c r="I24" s="100">
        <f>AVERAGE(I21:I22)</f>
        <v>47.1</v>
      </c>
      <c r="J24" s="100">
        <f t="shared" si="2"/>
        <v>40.75</v>
      </c>
      <c r="K24" s="102">
        <f t="shared" si="2"/>
        <v>0.55000000000000004</v>
      </c>
      <c r="L24" s="102">
        <f>AVERAGE(L21:L22)</f>
        <v>3.1</v>
      </c>
    </row>
    <row r="25" spans="2:14" x14ac:dyDescent="0.2">
      <c r="B25" s="65" t="s">
        <v>248</v>
      </c>
      <c r="C25" s="66"/>
      <c r="D25" s="100">
        <f t="shared" ref="D25:L25" si="3">MEDIAN(D21:D22)</f>
        <v>11.40031305677984</v>
      </c>
      <c r="E25" s="100">
        <f t="shared" si="3"/>
        <v>29.283196004568445</v>
      </c>
      <c r="F25" s="100">
        <f t="shared" si="3"/>
        <v>30.961260607456389</v>
      </c>
      <c r="G25" s="100">
        <f t="shared" si="3"/>
        <v>36.200000000000003</v>
      </c>
      <c r="H25" s="100">
        <f t="shared" si="3"/>
        <v>28.950000000000003</v>
      </c>
      <c r="I25" s="100">
        <f t="shared" si="3"/>
        <v>47.1</v>
      </c>
      <c r="J25" s="100">
        <f t="shared" si="3"/>
        <v>40.75</v>
      </c>
      <c r="K25" s="102">
        <f t="shared" si="3"/>
        <v>0.55000000000000004</v>
      </c>
      <c r="L25" s="102">
        <f t="shared" si="3"/>
        <v>3.1</v>
      </c>
    </row>
    <row r="27" spans="2:14" x14ac:dyDescent="0.2">
      <c r="B27" s="43" t="s">
        <v>259</v>
      </c>
    </row>
    <row r="29" spans="2:14" ht="51" x14ac:dyDescent="0.2">
      <c r="B29" s="68" t="s">
        <v>229</v>
      </c>
      <c r="C29" s="68" t="s">
        <v>230</v>
      </c>
      <c r="D29" s="91" t="s">
        <v>260</v>
      </c>
      <c r="E29" s="91" t="s">
        <v>261</v>
      </c>
      <c r="F29" s="91" t="s">
        <v>262</v>
      </c>
      <c r="G29" s="91" t="s">
        <v>263</v>
      </c>
      <c r="H29" s="91" t="s">
        <v>264</v>
      </c>
      <c r="I29" s="91" t="s">
        <v>265</v>
      </c>
      <c r="J29" s="91" t="s">
        <v>266</v>
      </c>
      <c r="K29" s="91" t="s">
        <v>267</v>
      </c>
      <c r="L29" s="91" t="s">
        <v>268</v>
      </c>
      <c r="M29" s="91" t="s">
        <v>269</v>
      </c>
      <c r="N29" s="91"/>
    </row>
    <row r="30" spans="2:14" x14ac:dyDescent="0.2">
      <c r="B30" s="72" t="s">
        <v>241</v>
      </c>
      <c r="C30" s="74" t="s">
        <v>242</v>
      </c>
      <c r="D30" s="101">
        <v>2.9000000000000001E-2</v>
      </c>
      <c r="E30" s="101">
        <v>0.51200000000000001</v>
      </c>
      <c r="F30" s="101">
        <f>K10/J10</f>
        <v>0.35415332467651939</v>
      </c>
      <c r="G30" s="101">
        <f>L10/J10</f>
        <v>0.31923829472559434</v>
      </c>
      <c r="H30" s="101">
        <v>0.25800000000000001</v>
      </c>
      <c r="I30" s="101">
        <v>0.56499999999999995</v>
      </c>
      <c r="J30" s="101">
        <v>0.318</v>
      </c>
      <c r="K30" s="95">
        <v>0.63</v>
      </c>
      <c r="L30" s="103">
        <v>0.15</v>
      </c>
      <c r="M30" s="103">
        <v>1.52</v>
      </c>
      <c r="N30" s="96"/>
    </row>
    <row r="31" spans="2:14" x14ac:dyDescent="0.2">
      <c r="B31" s="1" t="s">
        <v>243</v>
      </c>
      <c r="C31" s="1" t="s">
        <v>244</v>
      </c>
      <c r="D31" s="50">
        <v>0.17199999999999999</v>
      </c>
      <c r="E31" s="50">
        <v>0.61399999999999999</v>
      </c>
      <c r="F31" s="50">
        <f>K11/J11</f>
        <v>0.45380643841525509</v>
      </c>
      <c r="G31" s="50">
        <f>L11/J11</f>
        <v>0.42824755746679172</v>
      </c>
      <c r="H31" s="50">
        <v>0.28199999999999997</v>
      </c>
      <c r="I31" s="50">
        <v>0.89300000000000002</v>
      </c>
      <c r="J31" s="50">
        <v>0.26100000000000001</v>
      </c>
      <c r="K31" s="84">
        <v>0.52</v>
      </c>
      <c r="L31" s="104">
        <v>4.75</v>
      </c>
      <c r="M31" s="104">
        <v>2.4300000000000002</v>
      </c>
      <c r="N31" s="98"/>
    </row>
    <row r="32" spans="2:14" x14ac:dyDescent="0.2">
      <c r="B32" s="1" t="s">
        <v>245</v>
      </c>
      <c r="C32" s="1" t="s">
        <v>246</v>
      </c>
      <c r="D32" s="50">
        <v>2.9000000000000001E-2</v>
      </c>
      <c r="E32" s="50">
        <v>0.47699999999999998</v>
      </c>
      <c r="F32" s="50">
        <f>K12/J12</f>
        <v>0.31648983665750918</v>
      </c>
      <c r="G32" s="50">
        <f>L12/J12</f>
        <v>0.30009850617987649</v>
      </c>
      <c r="H32" s="50">
        <v>0.254</v>
      </c>
      <c r="I32" s="50">
        <v>0.40699999999999997</v>
      </c>
      <c r="J32" s="50">
        <v>0.26800000000000002</v>
      </c>
      <c r="K32" s="84">
        <v>0.72</v>
      </c>
      <c r="L32" s="104">
        <v>0.35</v>
      </c>
      <c r="M32" s="104">
        <v>2.86</v>
      </c>
      <c r="N32" s="98"/>
    </row>
    <row r="34" spans="2:14" x14ac:dyDescent="0.2">
      <c r="B34" s="65" t="s">
        <v>247</v>
      </c>
      <c r="C34" s="66"/>
      <c r="D34" s="102">
        <f t="shared" ref="D34:M34" si="4">AVERAGE(D31:D32)</f>
        <v>0.10049999999999999</v>
      </c>
      <c r="E34" s="102">
        <f t="shared" si="4"/>
        <v>0.54549999999999998</v>
      </c>
      <c r="F34" s="102">
        <f t="shared" si="4"/>
        <v>0.38514813753638211</v>
      </c>
      <c r="G34" s="102">
        <f t="shared" si="4"/>
        <v>0.3641730318233341</v>
      </c>
      <c r="H34" s="102">
        <f t="shared" si="4"/>
        <v>0.26800000000000002</v>
      </c>
      <c r="I34" s="102">
        <f t="shared" si="4"/>
        <v>0.65</v>
      </c>
      <c r="J34" s="102">
        <f t="shared" si="4"/>
        <v>0.26450000000000001</v>
      </c>
      <c r="K34" s="100">
        <f t="shared" si="4"/>
        <v>0.62</v>
      </c>
      <c r="L34" s="105">
        <f t="shared" si="4"/>
        <v>2.5499999999999998</v>
      </c>
      <c r="M34" s="105">
        <f t="shared" si="4"/>
        <v>2.645</v>
      </c>
      <c r="N34" s="66"/>
    </row>
    <row r="35" spans="2:14" x14ac:dyDescent="0.2">
      <c r="B35" s="65" t="s">
        <v>248</v>
      </c>
      <c r="C35" s="66"/>
      <c r="D35" s="102">
        <f t="shared" ref="D35:M35" si="5">MEDIAN(D31:D32)</f>
        <v>0.10049999999999999</v>
      </c>
      <c r="E35" s="102">
        <f t="shared" si="5"/>
        <v>0.54549999999999998</v>
      </c>
      <c r="F35" s="102">
        <f t="shared" si="5"/>
        <v>0.38514813753638211</v>
      </c>
      <c r="G35" s="102">
        <f t="shared" si="5"/>
        <v>0.3641730318233341</v>
      </c>
      <c r="H35" s="102">
        <f t="shared" si="5"/>
        <v>0.26800000000000002</v>
      </c>
      <c r="I35" s="102">
        <f t="shared" si="5"/>
        <v>0.65</v>
      </c>
      <c r="J35" s="102">
        <f t="shared" si="5"/>
        <v>0.26450000000000001</v>
      </c>
      <c r="K35" s="100">
        <f t="shared" si="5"/>
        <v>0.62</v>
      </c>
      <c r="L35" s="105">
        <f t="shared" si="5"/>
        <v>2.5500000000000003</v>
      </c>
      <c r="M35" s="105">
        <f t="shared" si="5"/>
        <v>2.645</v>
      </c>
      <c r="N35" s="66"/>
    </row>
    <row r="37" spans="2:14" x14ac:dyDescent="0.2">
      <c r="B37" s="113"/>
    </row>
    <row r="39" spans="2:14" x14ac:dyDescent="0.2">
      <c r="B39" s="34"/>
      <c r="D39" s="110"/>
      <c r="E39" s="110"/>
      <c r="F39" s="110"/>
    </row>
    <row r="40" spans="2:14" x14ac:dyDescent="0.2">
      <c r="D40" s="117"/>
      <c r="E40" s="98"/>
      <c r="F40" s="98"/>
    </row>
    <row r="41" spans="2:14" x14ac:dyDescent="0.2">
      <c r="D41" s="98"/>
      <c r="E41" s="98"/>
      <c r="F41" s="98"/>
    </row>
    <row r="42" spans="2:14" x14ac:dyDescent="0.2">
      <c r="D42" s="98"/>
      <c r="E42" s="98"/>
      <c r="F42" s="98"/>
    </row>
    <row r="43" spans="2:14" x14ac:dyDescent="0.2">
      <c r="D43" s="98"/>
      <c r="E43" s="98"/>
      <c r="F43" s="98"/>
    </row>
    <row r="45" spans="2:14" x14ac:dyDescent="0.2">
      <c r="B45" s="113"/>
    </row>
    <row r="47" spans="2:14" x14ac:dyDescent="0.2">
      <c r="B47" s="111"/>
    </row>
    <row r="49" spans="2:6" x14ac:dyDescent="0.2">
      <c r="D49" s="110"/>
      <c r="E49" s="110"/>
      <c r="F49" s="110"/>
    </row>
    <row r="50" spans="2:6" x14ac:dyDescent="0.2">
      <c r="D50" s="114"/>
      <c r="E50" s="115"/>
      <c r="F50" s="116"/>
    </row>
    <row r="51" spans="2:6" x14ac:dyDescent="0.2">
      <c r="D51" s="114"/>
      <c r="E51" s="115"/>
      <c r="F51" s="116"/>
    </row>
    <row r="52" spans="2:6" x14ac:dyDescent="0.2">
      <c r="D52" s="114"/>
      <c r="E52" s="115"/>
      <c r="F52" s="116"/>
    </row>
    <row r="54" spans="2:6" x14ac:dyDescent="0.2">
      <c r="B54" s="34"/>
      <c r="D54" s="112"/>
      <c r="E54" s="98"/>
      <c r="F54" s="1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1" timestamp="1769797478928"><![CDATA[{}]]></FdsFormulaCache>
</file>

<file path=customXml/itemProps1.xml><?xml version="1.0" encoding="utf-8"?>
<ds:datastoreItem xmlns:ds="http://schemas.openxmlformats.org/officeDocument/2006/customXml" ds:itemID="{B82FA575-567C-7F4A-8F6D-87606AB72C6D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Summary</vt:lpstr>
      <vt:lpstr>Assumptions and Inputs</vt:lpstr>
      <vt:lpstr>3-Statement Model</vt:lpstr>
      <vt:lpstr>DCF</vt:lpstr>
      <vt:lpstr>Comps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Divij Budhiraja</dc:creator>
  <cp:lastModifiedBy>Divij Budhiraja</cp:lastModifiedBy>
  <dcterms:created xsi:type="dcterms:W3CDTF">2026-01-30T17:38:55Z</dcterms:created>
  <dcterms:modified xsi:type="dcterms:W3CDTF">2026-02-28T13:38:13Z</dcterms:modified>
</cp:coreProperties>
</file>