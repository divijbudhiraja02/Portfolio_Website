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defaultThemeVersion="202300"/>
  <mc:AlternateContent xmlns:mc="http://schemas.openxmlformats.org/markup-compatibility/2006">
    <mc:Choice Requires="x15">
      <x15ac:absPath xmlns:x15ac="http://schemas.microsoft.com/office/spreadsheetml/2010/11/ac" url="/Users/divijbudhiraja/Desktop/Fin_work/Equity Research/Public company research /Europe/Consumer Goods/Hermes/"/>
    </mc:Choice>
  </mc:AlternateContent>
  <xr:revisionPtr revIDLastSave="0" documentId="13_ncr:1_{C3738031-7EC3-BE46-AD6B-CC2C539A4998}" xr6:coauthVersionLast="47" xr6:coauthVersionMax="47" xr10:uidLastSave="{00000000-0000-0000-0000-000000000000}"/>
  <bookViews>
    <workbookView xWindow="3080" yWindow="680" windowWidth="34200" windowHeight="19660" activeTab="2" xr2:uid="{D6D46415-4F71-764C-A0A6-B9336AF9D47C}"/>
  </bookViews>
  <sheets>
    <sheet name="Cover" sheetId="1" r:id="rId1"/>
    <sheet name="TOC" sheetId="2" r:id="rId2"/>
    <sheet name="Executive Summary" sheetId="3" r:id="rId3"/>
    <sheet name="Historical Financials" sheetId="9" r:id="rId4"/>
    <sheet name="Historical Analysis" sheetId="12" r:id="rId5"/>
    <sheet name="Master Assumptions" sheetId="32" r:id="rId6"/>
    <sheet name="Supporting Schedules" sheetId="31" r:id="rId7"/>
    <sheet name="Forecast Model" sheetId="14" r:id="rId8"/>
    <sheet name="Integration Check" sheetId="17" r:id="rId9"/>
    <sheet name="DCF Valuation" sheetId="22" r:id="rId10"/>
    <sheet name="Trading Comps" sheetId="23" r:id="rId11"/>
    <sheet name="Valuation Summary" sheetId="25" r:id="rId12"/>
    <sheet name="Sensitivity Analysis" sheetId="26" r:id="rId13"/>
    <sheet name="Sources &amp; Footnotes" sheetId="30" r:id="rId1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12" l="1"/>
  <c r="J56" i="22"/>
  <c r="E56" i="22"/>
  <c r="E18" i="22"/>
  <c r="E57" i="22" l="1"/>
  <c r="E58" i="22" s="1"/>
  <c r="D32" i="25" l="1"/>
  <c r="C39" i="25" s="1"/>
  <c r="F32" i="25"/>
  <c r="G32" i="25" s="1"/>
  <c r="E39" i="25" s="1"/>
  <c r="J32" i="25"/>
  <c r="G39" i="25" s="1"/>
  <c r="L32" i="25"/>
  <c r="K32" i="25" s="1"/>
  <c r="H39" i="25" s="1"/>
  <c r="M32" i="25" l="1"/>
  <c r="E32" i="25"/>
  <c r="J41" i="32" l="1"/>
  <c r="Q20" i="23" l="1"/>
  <c r="K28" i="23" s="1"/>
  <c r="P20" i="23"/>
  <c r="J28" i="23" s="1"/>
  <c r="K20" i="23"/>
  <c r="M20" i="23" s="1"/>
  <c r="Q19" i="23"/>
  <c r="K27" i="23" s="1"/>
  <c r="P19" i="23"/>
  <c r="J27" i="23" s="1"/>
  <c r="J26" i="23"/>
  <c r="N18" i="23"/>
  <c r="Q18" i="23"/>
  <c r="K26" i="23" s="1"/>
  <c r="H18" i="23"/>
  <c r="J40" i="23"/>
  <c r="I40" i="23"/>
  <c r="H40" i="23"/>
  <c r="D40" i="23"/>
  <c r="L20" i="23"/>
  <c r="I20" i="23"/>
  <c r="H20" i="23"/>
  <c r="M19" i="23"/>
  <c r="L19" i="23"/>
  <c r="I19" i="23"/>
  <c r="H19" i="23"/>
  <c r="L18" i="23"/>
  <c r="H12" i="23"/>
  <c r="H11" i="23"/>
  <c r="H10" i="23"/>
  <c r="K10" i="23" s="1"/>
  <c r="D26" i="23" s="1"/>
  <c r="J78" i="22"/>
  <c r="J75" i="22"/>
  <c r="J72" i="22"/>
  <c r="J71" i="22"/>
  <c r="J70" i="22"/>
  <c r="J69" i="22"/>
  <c r="J68" i="22"/>
  <c r="K40" i="23" l="1"/>
  <c r="F40" i="23"/>
  <c r="K12" i="23"/>
  <c r="J32" i="23"/>
  <c r="J39" i="23" s="1"/>
  <c r="K11" i="23"/>
  <c r="G27" i="23" s="1"/>
  <c r="K31" i="23"/>
  <c r="K34" i="23"/>
  <c r="K33" i="23"/>
  <c r="K32" i="23"/>
  <c r="K39" i="23" s="1"/>
  <c r="I26" i="23"/>
  <c r="H26" i="23"/>
  <c r="F26" i="23"/>
  <c r="E78" i="22"/>
  <c r="E72" i="22"/>
  <c r="E71" i="22"/>
  <c r="E70" i="22"/>
  <c r="E69" i="22"/>
  <c r="E68" i="22"/>
  <c r="E12" i="22"/>
  <c r="J31" i="23" l="1"/>
  <c r="J34" i="23"/>
  <c r="J33" i="23"/>
  <c r="F27" i="23"/>
  <c r="I27" i="23"/>
  <c r="E27" i="23"/>
  <c r="H27" i="23"/>
  <c r="D27" i="23"/>
  <c r="I28" i="23"/>
  <c r="H28" i="23"/>
  <c r="F28" i="23"/>
  <c r="E28" i="23"/>
  <c r="D28" i="23"/>
  <c r="G28" i="23"/>
  <c r="I45" i="22"/>
  <c r="G45" i="22"/>
  <c r="H45" i="22"/>
  <c r="E45" i="22"/>
  <c r="F45" i="22"/>
  <c r="H34" i="23" l="1"/>
  <c r="I31" i="23"/>
  <c r="I34" i="23"/>
  <c r="E33" i="23"/>
  <c r="I32" i="23"/>
  <c r="I39" i="23" s="1"/>
  <c r="I41" i="23" s="1"/>
  <c r="I42" i="23" s="1"/>
  <c r="I43" i="23" s="1"/>
  <c r="I33" i="23"/>
  <c r="H33" i="23"/>
  <c r="E34" i="23"/>
  <c r="H31" i="23"/>
  <c r="D33" i="23"/>
  <c r="H32" i="23"/>
  <c r="H39" i="23" s="1"/>
  <c r="H41" i="23" s="1"/>
  <c r="H42" i="23" s="1"/>
  <c r="H43" i="23" s="1"/>
  <c r="D34" i="23"/>
  <c r="D32" i="23"/>
  <c r="D39" i="23" s="1"/>
  <c r="D41" i="23" s="1"/>
  <c r="D42" i="23" s="1"/>
  <c r="D43" i="23" s="1"/>
  <c r="E32" i="23"/>
  <c r="E39" i="23" s="1"/>
  <c r="F34" i="23"/>
  <c r="F31" i="23"/>
  <c r="G34" i="23"/>
  <c r="G33" i="23"/>
  <c r="G32" i="23"/>
  <c r="G39" i="23" s="1"/>
  <c r="G31" i="23"/>
  <c r="F32" i="23"/>
  <c r="F39" i="23" s="1"/>
  <c r="F41" i="23" s="1"/>
  <c r="F42" i="23" s="1"/>
  <c r="F43" i="23" s="1"/>
  <c r="F33" i="23"/>
  <c r="E31" i="23"/>
  <c r="D31" i="23"/>
  <c r="O48" i="14"/>
  <c r="L48" i="14"/>
  <c r="K48" i="14"/>
  <c r="M48" i="14"/>
  <c r="N48" i="14"/>
  <c r="K95" i="14"/>
  <c r="E342" i="31"/>
  <c r="F342" i="31"/>
  <c r="G342" i="31"/>
  <c r="H342" i="31"/>
  <c r="D342" i="31"/>
  <c r="D334" i="31"/>
  <c r="E334" i="31"/>
  <c r="F334" i="31"/>
  <c r="G334" i="31"/>
  <c r="C334" i="31"/>
  <c r="L95" i="14"/>
  <c r="M95" i="14"/>
  <c r="N95" i="14"/>
  <c r="O95" i="14"/>
  <c r="M79" i="14"/>
  <c r="N79" i="14" s="1"/>
  <c r="O79" i="14" s="1"/>
  <c r="L79" i="14"/>
  <c r="L113" i="14"/>
  <c r="M113" i="14"/>
  <c r="N113" i="14"/>
  <c r="O113" i="14"/>
  <c r="D367" i="31"/>
  <c r="E367" i="31"/>
  <c r="F367" i="31"/>
  <c r="G367" i="31"/>
  <c r="D368" i="31"/>
  <c r="E368" i="31"/>
  <c r="F368" i="31"/>
  <c r="G368" i="31"/>
  <c r="C368" i="31"/>
  <c r="C367" i="31"/>
  <c r="K113" i="14"/>
  <c r="D353" i="31"/>
  <c r="E353" i="31"/>
  <c r="F353" i="31"/>
  <c r="G353" i="31"/>
  <c r="C353" i="31"/>
  <c r="D352" i="31"/>
  <c r="E352" i="31"/>
  <c r="F352" i="31"/>
  <c r="G352" i="31"/>
  <c r="C352" i="31"/>
  <c r="K79" i="14"/>
  <c r="C343" i="31"/>
  <c r="D339" i="31" s="1"/>
  <c r="D324" i="31"/>
  <c r="E324" i="31"/>
  <c r="F324" i="31"/>
  <c r="G324" i="31"/>
  <c r="D325" i="31"/>
  <c r="E325" i="31"/>
  <c r="F325" i="31"/>
  <c r="G325" i="31"/>
  <c r="C324" i="31"/>
  <c r="C325" i="31"/>
  <c r="C326" i="31" s="1"/>
  <c r="D311" i="31"/>
  <c r="E311" i="31"/>
  <c r="F311" i="31"/>
  <c r="G311" i="31"/>
  <c r="C311" i="31"/>
  <c r="D310" i="31"/>
  <c r="E310" i="31"/>
  <c r="F310" i="31"/>
  <c r="G310" i="31"/>
  <c r="C310" i="31"/>
  <c r="L27" i="14"/>
  <c r="M27" i="14" s="1"/>
  <c r="N27" i="14" s="1"/>
  <c r="O27" i="14" s="1"/>
  <c r="K27" i="14"/>
  <c r="L24" i="14"/>
  <c r="M24" i="14"/>
  <c r="N24" i="14"/>
  <c r="O24" i="14" s="1"/>
  <c r="K24" i="14"/>
  <c r="D298" i="31"/>
  <c r="E298" i="31"/>
  <c r="F298" i="31"/>
  <c r="G298" i="31"/>
  <c r="C298" i="31"/>
  <c r="D297" i="31"/>
  <c r="E297" i="31"/>
  <c r="F297" i="31"/>
  <c r="G297" i="31"/>
  <c r="C297" i="31"/>
  <c r="J21" i="14"/>
  <c r="D284" i="31"/>
  <c r="E284" i="31"/>
  <c r="F284" i="31"/>
  <c r="G284" i="31"/>
  <c r="C284" i="31"/>
  <c r="D285" i="31"/>
  <c r="E285" i="31"/>
  <c r="F285" i="31"/>
  <c r="G285" i="31"/>
  <c r="C285" i="31"/>
  <c r="L63" i="14"/>
  <c r="M63" i="14" s="1"/>
  <c r="L64" i="14"/>
  <c r="M64" i="14" s="1"/>
  <c r="N64" i="14" s="1"/>
  <c r="O64" i="14" s="1"/>
  <c r="L65" i="14"/>
  <c r="M65" i="14"/>
  <c r="N65" i="14" s="1"/>
  <c r="O65" i="14" s="1"/>
  <c r="L66" i="14"/>
  <c r="K66" i="14"/>
  <c r="K65" i="14"/>
  <c r="K64" i="14"/>
  <c r="K63" i="14"/>
  <c r="L47" i="14"/>
  <c r="M47" i="14"/>
  <c r="N47" i="14"/>
  <c r="O47" i="14"/>
  <c r="L49" i="14"/>
  <c r="M49" i="14"/>
  <c r="N49" i="14"/>
  <c r="O49" i="14"/>
  <c r="K49" i="14"/>
  <c r="K47" i="14"/>
  <c r="L46" i="14"/>
  <c r="M46" i="14" s="1"/>
  <c r="N46" i="14" s="1"/>
  <c r="O46" i="14" s="1"/>
  <c r="K46" i="14"/>
  <c r="L45" i="14"/>
  <c r="M45" i="14" s="1"/>
  <c r="K45" i="14"/>
  <c r="L20" i="14"/>
  <c r="M20" i="14"/>
  <c r="N20" i="14"/>
  <c r="O20" i="14"/>
  <c r="K20" i="14"/>
  <c r="L19" i="14"/>
  <c r="M19" i="14"/>
  <c r="N19" i="14"/>
  <c r="O19" i="14"/>
  <c r="K19" i="14"/>
  <c r="L62" i="14"/>
  <c r="M62" i="14" s="1"/>
  <c r="N62" i="14" s="1"/>
  <c r="O62" i="14" s="1"/>
  <c r="K62" i="14"/>
  <c r="K57" i="14"/>
  <c r="L57" i="14" s="1"/>
  <c r="M57" i="14" s="1"/>
  <c r="N57" i="14" s="1"/>
  <c r="O57" i="14" s="1"/>
  <c r="D260" i="31"/>
  <c r="E260" i="31"/>
  <c r="F260" i="31"/>
  <c r="G260" i="31"/>
  <c r="C260" i="31"/>
  <c r="D259" i="31"/>
  <c r="E259" i="31"/>
  <c r="F259" i="31"/>
  <c r="G259" i="31"/>
  <c r="C259" i="31"/>
  <c r="D255" i="31"/>
  <c r="E255" i="31"/>
  <c r="F255" i="31"/>
  <c r="G255" i="31"/>
  <c r="D256" i="31"/>
  <c r="E256" i="31"/>
  <c r="F256" i="31"/>
  <c r="G256" i="31"/>
  <c r="C256" i="31"/>
  <c r="C255" i="31"/>
  <c r="E216" i="31"/>
  <c r="E217" i="31" s="1"/>
  <c r="E237" i="31" s="1"/>
  <c r="F216" i="31"/>
  <c r="F217" i="31" s="1"/>
  <c r="G216" i="31"/>
  <c r="G217" i="31" s="1"/>
  <c r="G237" i="31" s="1"/>
  <c r="D216" i="31"/>
  <c r="D217" i="31" s="1"/>
  <c r="D237" i="31" s="1"/>
  <c r="C228" i="31"/>
  <c r="D225" i="31" s="1"/>
  <c r="C244" i="31" s="1"/>
  <c r="D209" i="31"/>
  <c r="E209" i="31"/>
  <c r="F209" i="31"/>
  <c r="G209" i="31"/>
  <c r="C209" i="31"/>
  <c r="K39" i="14"/>
  <c r="L39" i="14" s="1"/>
  <c r="M39" i="14" s="1"/>
  <c r="N39" i="14" s="1"/>
  <c r="O39" i="14" s="1"/>
  <c r="E198" i="31"/>
  <c r="F198" i="31"/>
  <c r="G198" i="31"/>
  <c r="H198" i="31"/>
  <c r="D198" i="31"/>
  <c r="E197" i="31"/>
  <c r="F197" i="31"/>
  <c r="G197" i="31"/>
  <c r="H197" i="31"/>
  <c r="D197" i="31"/>
  <c r="D187" i="31"/>
  <c r="E187" i="31"/>
  <c r="F187" i="31"/>
  <c r="G187" i="31"/>
  <c r="C187" i="31"/>
  <c r="D180" i="31"/>
  <c r="D181" i="31" s="1"/>
  <c r="E180" i="31"/>
  <c r="E181" i="31" s="1"/>
  <c r="F180" i="31"/>
  <c r="F181" i="31" s="1"/>
  <c r="G180" i="31"/>
  <c r="G181" i="31" s="1"/>
  <c r="C180" i="31"/>
  <c r="C181" i="31" s="1"/>
  <c r="D179" i="31"/>
  <c r="E179" i="31"/>
  <c r="F179" i="31"/>
  <c r="G179" i="31"/>
  <c r="C179" i="31"/>
  <c r="D171" i="31"/>
  <c r="D172" i="31" s="1"/>
  <c r="E171" i="31"/>
  <c r="E172" i="31" s="1"/>
  <c r="F171" i="31"/>
  <c r="F172" i="31" s="1"/>
  <c r="G171" i="31"/>
  <c r="G172" i="31" s="1"/>
  <c r="C171" i="31"/>
  <c r="C172" i="31" s="1"/>
  <c r="D170" i="31"/>
  <c r="E170" i="31"/>
  <c r="F170" i="31"/>
  <c r="G170" i="31"/>
  <c r="C170" i="31"/>
  <c r="D146" i="31"/>
  <c r="E146" i="31"/>
  <c r="F146" i="31"/>
  <c r="G146" i="31"/>
  <c r="C146" i="31"/>
  <c r="D145" i="31"/>
  <c r="E145" i="31"/>
  <c r="F145" i="31"/>
  <c r="G145" i="31"/>
  <c r="C145" i="31"/>
  <c r="D125" i="31"/>
  <c r="E125" i="31"/>
  <c r="F125" i="31"/>
  <c r="G125" i="31"/>
  <c r="D126" i="31"/>
  <c r="E126" i="31"/>
  <c r="F126" i="31"/>
  <c r="G126" i="31"/>
  <c r="C126" i="31"/>
  <c r="C125" i="31"/>
  <c r="D354" i="31" l="1"/>
  <c r="G299" i="31"/>
  <c r="D287" i="31"/>
  <c r="F299" i="31"/>
  <c r="C354" i="31"/>
  <c r="G369" i="31"/>
  <c r="D326" i="31"/>
  <c r="D369" i="31"/>
  <c r="G326" i="31"/>
  <c r="G354" i="31"/>
  <c r="E287" i="31"/>
  <c r="E313" i="31"/>
  <c r="C369" i="31"/>
  <c r="E354" i="31"/>
  <c r="C257" i="31"/>
  <c r="C261" i="31" s="1"/>
  <c r="G287" i="31"/>
  <c r="G313" i="31"/>
  <c r="F369" i="31"/>
  <c r="F287" i="31"/>
  <c r="E369" i="31"/>
  <c r="D313" i="31"/>
  <c r="C313" i="31"/>
  <c r="F354" i="31"/>
  <c r="C287" i="31"/>
  <c r="D299" i="31"/>
  <c r="F326" i="31"/>
  <c r="C299" i="31"/>
  <c r="E326" i="31"/>
  <c r="E299" i="31"/>
  <c r="F313" i="31"/>
  <c r="D257" i="31"/>
  <c r="D261" i="31" s="1"/>
  <c r="N63" i="14"/>
  <c r="M66" i="14"/>
  <c r="N45" i="14"/>
  <c r="E257" i="31"/>
  <c r="E261" i="31" s="1"/>
  <c r="F257" i="31"/>
  <c r="F261" i="31" s="1"/>
  <c r="F237" i="31"/>
  <c r="D239" i="31" s="1"/>
  <c r="D219" i="31"/>
  <c r="G257" i="31"/>
  <c r="E173" i="31"/>
  <c r="D173" i="31"/>
  <c r="G138" i="31"/>
  <c r="J15" i="32" s="1"/>
  <c r="C173" i="31"/>
  <c r="C211" i="31"/>
  <c r="F182" i="31"/>
  <c r="G173" i="31"/>
  <c r="E139" i="31"/>
  <c r="H16" i="32" s="1"/>
  <c r="D188" i="31"/>
  <c r="D189" i="31" s="1"/>
  <c r="D190" i="31" s="1"/>
  <c r="E182" i="31"/>
  <c r="G182" i="31"/>
  <c r="D182" i="31"/>
  <c r="F173" i="31"/>
  <c r="D138" i="31"/>
  <c r="G15" i="32" s="1"/>
  <c r="G188" i="31"/>
  <c r="G189" i="31" s="1"/>
  <c r="G190" i="31" s="1"/>
  <c r="D139" i="31"/>
  <c r="G16" i="32" s="1"/>
  <c r="C182" i="31"/>
  <c r="D200" i="31"/>
  <c r="H29" i="32" s="1"/>
  <c r="C138" i="31"/>
  <c r="F15" i="32" s="1"/>
  <c r="C139" i="31"/>
  <c r="F16" i="32" s="1"/>
  <c r="E188" i="31"/>
  <c r="E189" i="31" s="1"/>
  <c r="E190" i="31" s="1"/>
  <c r="E138" i="31"/>
  <c r="H15" i="32" s="1"/>
  <c r="G139" i="31"/>
  <c r="J16" i="32" s="1"/>
  <c r="F138" i="31"/>
  <c r="I15" i="32" s="1"/>
  <c r="F139" i="31"/>
  <c r="I16" i="32" s="1"/>
  <c r="F188" i="31"/>
  <c r="F189" i="31" s="1"/>
  <c r="F190" i="31" s="1"/>
  <c r="E120" i="31"/>
  <c r="H12" i="32" s="1"/>
  <c r="C120" i="31"/>
  <c r="F12" i="32" s="1"/>
  <c r="G120" i="31"/>
  <c r="J12" i="32" s="1"/>
  <c r="D120" i="31"/>
  <c r="G12" i="32" s="1"/>
  <c r="F120" i="31"/>
  <c r="I12" i="32" s="1"/>
  <c r="C358" i="31" l="1"/>
  <c r="F36" i="32" s="1"/>
  <c r="G36" i="32" s="1"/>
  <c r="H36" i="32" s="1"/>
  <c r="C290" i="31"/>
  <c r="F30" i="32" s="1"/>
  <c r="G30" i="32" s="1"/>
  <c r="C329" i="31"/>
  <c r="G37" i="32" s="1"/>
  <c r="C316" i="31"/>
  <c r="I31" i="32" s="1"/>
  <c r="C371" i="31"/>
  <c r="H38" i="32" s="1"/>
  <c r="C263" i="31"/>
  <c r="C303" i="31"/>
  <c r="F23" i="32" s="1"/>
  <c r="G23" i="32" s="1"/>
  <c r="H23" i="32" s="1"/>
  <c r="I23" i="32" s="1"/>
  <c r="J23" i="32" s="1"/>
  <c r="F37" i="32"/>
  <c r="G32" i="32"/>
  <c r="H32" i="32"/>
  <c r="J32" i="32"/>
  <c r="F32" i="32"/>
  <c r="I32" i="32"/>
  <c r="I36" i="32"/>
  <c r="H31" i="32"/>
  <c r="J31" i="32"/>
  <c r="N66" i="14"/>
  <c r="O63" i="14"/>
  <c r="O66" i="14" s="1"/>
  <c r="O45" i="14"/>
  <c r="G261" i="31"/>
  <c r="D269" i="31"/>
  <c r="E269" i="31"/>
  <c r="G269" i="31"/>
  <c r="F269" i="31"/>
  <c r="C269" i="31"/>
  <c r="F19" i="32"/>
  <c r="G19" i="32" s="1"/>
  <c r="H19" i="32" s="1"/>
  <c r="I19" i="32" s="1"/>
  <c r="J19" i="32" s="1"/>
  <c r="D227" i="31"/>
  <c r="C245" i="31"/>
  <c r="K13" i="14" s="1"/>
  <c r="K182" i="31"/>
  <c r="I27" i="32" s="1"/>
  <c r="H182" i="31"/>
  <c r="F27" i="32" s="1"/>
  <c r="J182" i="31"/>
  <c r="H27" i="32" s="1"/>
  <c r="K173" i="31"/>
  <c r="I26" i="32" s="1"/>
  <c r="I182" i="31"/>
  <c r="G27" i="32" s="1"/>
  <c r="L182" i="31"/>
  <c r="J27" i="32" s="1"/>
  <c r="J173" i="31"/>
  <c r="H26" i="32" s="1"/>
  <c r="H173" i="31"/>
  <c r="F26" i="32" s="1"/>
  <c r="G29" i="32"/>
  <c r="J29" i="32"/>
  <c r="F29" i="32"/>
  <c r="I29" i="32"/>
  <c r="L173" i="31"/>
  <c r="J26" i="32" s="1"/>
  <c r="I173" i="31"/>
  <c r="G26" i="32" s="1"/>
  <c r="K190" i="31"/>
  <c r="I28" i="32" s="1"/>
  <c r="L190" i="31"/>
  <c r="J28" i="32" s="1"/>
  <c r="I190" i="31"/>
  <c r="G28" i="32" s="1"/>
  <c r="J190" i="31"/>
  <c r="H28" i="32" s="1"/>
  <c r="H190" i="31"/>
  <c r="F28" i="32" s="1"/>
  <c r="K94" i="14" l="1"/>
  <c r="E13" i="17" s="1"/>
  <c r="E32" i="22"/>
  <c r="G31" i="32"/>
  <c r="F31" i="32"/>
  <c r="H37" i="32"/>
  <c r="J37" i="32"/>
  <c r="J38" i="32"/>
  <c r="G38" i="32"/>
  <c r="I37" i="32"/>
  <c r="F38" i="32"/>
  <c r="D275" i="31"/>
  <c r="L18" i="14" s="1"/>
  <c r="C275" i="31"/>
  <c r="K18" i="14" s="1"/>
  <c r="F275" i="31"/>
  <c r="N18" i="14" s="1"/>
  <c r="G275" i="31"/>
  <c r="O18" i="14" s="1"/>
  <c r="I38" i="32"/>
  <c r="E275" i="31"/>
  <c r="M18" i="14" s="1"/>
  <c r="J36" i="32"/>
  <c r="H30" i="32"/>
  <c r="I30" i="32" l="1"/>
  <c r="J30" i="32" l="1"/>
  <c r="E47" i="31" l="1"/>
  <c r="I83" i="31"/>
  <c r="K83" i="31" s="1"/>
  <c r="L83" i="31" s="1"/>
  <c r="M83" i="31" s="1"/>
  <c r="N83" i="31" s="1"/>
  <c r="O83" i="31" s="1"/>
  <c r="H83" i="31"/>
  <c r="G83" i="31"/>
  <c r="F83" i="31"/>
  <c r="E83" i="31"/>
  <c r="I82" i="31"/>
  <c r="K82" i="31" s="1"/>
  <c r="L82" i="31" s="1"/>
  <c r="M82" i="31" s="1"/>
  <c r="N82" i="31" s="1"/>
  <c r="O82" i="31" s="1"/>
  <c r="H82" i="31"/>
  <c r="G82" i="31"/>
  <c r="F82" i="31"/>
  <c r="E82" i="31"/>
  <c r="I81" i="31"/>
  <c r="K81" i="31" s="1"/>
  <c r="L81" i="31" s="1"/>
  <c r="M81" i="31" s="1"/>
  <c r="N81" i="31" s="1"/>
  <c r="O81" i="31" s="1"/>
  <c r="H81" i="31"/>
  <c r="G81" i="31"/>
  <c r="F81" i="31"/>
  <c r="E81" i="31"/>
  <c r="I80" i="31"/>
  <c r="K80" i="31" s="1"/>
  <c r="L80" i="31" s="1"/>
  <c r="M80" i="31" s="1"/>
  <c r="N80" i="31" s="1"/>
  <c r="O80" i="31" s="1"/>
  <c r="H80" i="31"/>
  <c r="G80" i="31"/>
  <c r="F80" i="31"/>
  <c r="E80" i="31"/>
  <c r="I79" i="31"/>
  <c r="K79" i="31" s="1"/>
  <c r="L79" i="31" s="1"/>
  <c r="M79" i="31" s="1"/>
  <c r="N79" i="31" s="1"/>
  <c r="O79" i="31" s="1"/>
  <c r="H79" i="31"/>
  <c r="G79" i="31"/>
  <c r="F79" i="31"/>
  <c r="E79" i="31"/>
  <c r="I78" i="31"/>
  <c r="K78" i="31" s="1"/>
  <c r="L78" i="31" s="1"/>
  <c r="M78" i="31" s="1"/>
  <c r="N78" i="31" s="1"/>
  <c r="O78" i="31" s="1"/>
  <c r="H78" i="31"/>
  <c r="G78" i="31"/>
  <c r="F78" i="31"/>
  <c r="E78" i="31"/>
  <c r="I77" i="31"/>
  <c r="H77" i="31"/>
  <c r="G77" i="31"/>
  <c r="F77" i="31"/>
  <c r="E77" i="31"/>
  <c r="F53" i="31"/>
  <c r="E53" i="31"/>
  <c r="F52" i="31"/>
  <c r="E52" i="31"/>
  <c r="F51" i="31"/>
  <c r="E51" i="31"/>
  <c r="F50" i="31"/>
  <c r="E50" i="31"/>
  <c r="F49" i="31"/>
  <c r="E49" i="31"/>
  <c r="F48" i="31"/>
  <c r="E48" i="31"/>
  <c r="F47" i="31"/>
  <c r="E27" i="31"/>
  <c r="H33" i="31"/>
  <c r="H53" i="31" s="1"/>
  <c r="G33" i="31"/>
  <c r="F33" i="31"/>
  <c r="E33" i="31"/>
  <c r="H32" i="31"/>
  <c r="H52" i="31" s="1"/>
  <c r="G32" i="31"/>
  <c r="F32" i="31"/>
  <c r="E32" i="31"/>
  <c r="H31" i="31"/>
  <c r="H51" i="31" s="1"/>
  <c r="G31" i="31"/>
  <c r="F31" i="31"/>
  <c r="E31" i="31"/>
  <c r="H30" i="31"/>
  <c r="H50" i="31" s="1"/>
  <c r="G30" i="31"/>
  <c r="F30" i="31"/>
  <c r="E30" i="31"/>
  <c r="H29" i="31"/>
  <c r="H49" i="31" s="1"/>
  <c r="G29" i="31"/>
  <c r="F29" i="31"/>
  <c r="E29" i="31"/>
  <c r="H28" i="31"/>
  <c r="H48" i="31" s="1"/>
  <c r="G28" i="31"/>
  <c r="F28" i="31"/>
  <c r="E28" i="31"/>
  <c r="H27" i="31"/>
  <c r="H47" i="31" s="1"/>
  <c r="G27" i="31"/>
  <c r="F27" i="31"/>
  <c r="E23" i="31"/>
  <c r="F23" i="31"/>
  <c r="F42" i="31" s="1"/>
  <c r="G23" i="31"/>
  <c r="H94" i="31" s="1"/>
  <c r="H23" i="31"/>
  <c r="D23" i="31"/>
  <c r="D40" i="31" s="1"/>
  <c r="J117" i="14"/>
  <c r="I117" i="14"/>
  <c r="H117" i="14"/>
  <c r="G117" i="14"/>
  <c r="F117" i="14"/>
  <c r="J109" i="14"/>
  <c r="I109" i="14"/>
  <c r="H109" i="14"/>
  <c r="H120" i="14" s="1"/>
  <c r="G109" i="14"/>
  <c r="G120" i="14" s="1"/>
  <c r="F109" i="14"/>
  <c r="F120" i="14" s="1"/>
  <c r="J102" i="14"/>
  <c r="J120" i="14" s="1"/>
  <c r="I102" i="14"/>
  <c r="I120" i="14" s="1"/>
  <c r="H102" i="14"/>
  <c r="G102" i="14"/>
  <c r="F102" i="14"/>
  <c r="J80" i="14"/>
  <c r="J82" i="14" s="1"/>
  <c r="I80" i="14"/>
  <c r="I82" i="14" s="1"/>
  <c r="G80" i="14"/>
  <c r="G82" i="14" s="1"/>
  <c r="F80" i="14"/>
  <c r="F82" i="14" s="1"/>
  <c r="J78" i="14"/>
  <c r="I78" i="14"/>
  <c r="H78" i="14"/>
  <c r="H80" i="14" s="1"/>
  <c r="H82" i="14" s="1"/>
  <c r="G78" i="14"/>
  <c r="F78" i="14"/>
  <c r="J66" i="14"/>
  <c r="I66" i="14"/>
  <c r="H66" i="14"/>
  <c r="G66" i="14"/>
  <c r="F66" i="14"/>
  <c r="J60" i="14"/>
  <c r="I60" i="14"/>
  <c r="H60" i="14"/>
  <c r="G60" i="14"/>
  <c r="F60" i="14"/>
  <c r="J50" i="14"/>
  <c r="I50" i="14"/>
  <c r="I52" i="14" s="1"/>
  <c r="H50" i="14"/>
  <c r="G50" i="14"/>
  <c r="F50" i="14"/>
  <c r="J42" i="14"/>
  <c r="I42" i="14"/>
  <c r="H42" i="14"/>
  <c r="G42" i="14"/>
  <c r="F42" i="14"/>
  <c r="F10" i="14"/>
  <c r="F15" i="14" s="1"/>
  <c r="F21" i="14" s="1"/>
  <c r="F25" i="14" s="1"/>
  <c r="F28" i="14" s="1"/>
  <c r="J10" i="14"/>
  <c r="J15" i="14" s="1"/>
  <c r="J25" i="14" s="1"/>
  <c r="J28" i="14" s="1"/>
  <c r="I10" i="14"/>
  <c r="I15" i="14" s="1"/>
  <c r="I21" i="14" s="1"/>
  <c r="I25" i="14" s="1"/>
  <c r="I28" i="14" s="1"/>
  <c r="H10" i="14"/>
  <c r="H15" i="14" s="1"/>
  <c r="H21" i="14" s="1"/>
  <c r="H25" i="14" s="1"/>
  <c r="H28" i="14" s="1"/>
  <c r="G10" i="14"/>
  <c r="G15" i="14" s="1"/>
  <c r="G21" i="14" s="1"/>
  <c r="G25" i="14" s="1"/>
  <c r="G28" i="14" s="1"/>
  <c r="C7" i="32"/>
  <c r="D41" i="31" l="1"/>
  <c r="D42" i="31"/>
  <c r="E34" i="31"/>
  <c r="I84" i="31"/>
  <c r="H84" i="31"/>
  <c r="D38" i="31"/>
  <c r="G84" i="31"/>
  <c r="D39" i="31"/>
  <c r="E94" i="31"/>
  <c r="G37" i="31"/>
  <c r="E38" i="31"/>
  <c r="E41" i="31"/>
  <c r="E54" i="31"/>
  <c r="G48" i="31"/>
  <c r="G50" i="31"/>
  <c r="G52" i="31"/>
  <c r="F37" i="31"/>
  <c r="F40" i="31"/>
  <c r="G40" i="31"/>
  <c r="E84" i="31"/>
  <c r="G47" i="31"/>
  <c r="G53" i="31"/>
  <c r="E39" i="31"/>
  <c r="E42" i="31"/>
  <c r="F94" i="31"/>
  <c r="F95" i="31" s="1"/>
  <c r="G51" i="31"/>
  <c r="G39" i="31"/>
  <c r="G42" i="31"/>
  <c r="F84" i="31"/>
  <c r="G49" i="31"/>
  <c r="F34" i="31"/>
  <c r="G43" i="31"/>
  <c r="K77" i="31"/>
  <c r="F54" i="31"/>
  <c r="H42" i="31"/>
  <c r="H34" i="31"/>
  <c r="H54" i="31" s="1"/>
  <c r="F38" i="31"/>
  <c r="F41" i="31"/>
  <c r="D43" i="31"/>
  <c r="G94" i="31"/>
  <c r="G34" i="31"/>
  <c r="D37" i="31"/>
  <c r="G38" i="31"/>
  <c r="G41" i="31"/>
  <c r="E43" i="31"/>
  <c r="H39" i="31"/>
  <c r="E37" i="31"/>
  <c r="H38" i="31"/>
  <c r="E40" i="31"/>
  <c r="H41" i="31"/>
  <c r="F43" i="31"/>
  <c r="I94" i="31"/>
  <c r="H43" i="31"/>
  <c r="H37" i="31"/>
  <c r="F39" i="31"/>
  <c r="H40" i="31"/>
  <c r="G52" i="14"/>
  <c r="J52" i="14"/>
  <c r="H68" i="14"/>
  <c r="F52" i="14"/>
  <c r="F68" i="14"/>
  <c r="I68" i="14"/>
  <c r="G68" i="14"/>
  <c r="J68" i="14"/>
  <c r="H52" i="14"/>
  <c r="G95" i="31" l="1"/>
  <c r="F44" i="31"/>
  <c r="F103" i="31"/>
  <c r="D44" i="31"/>
  <c r="G44" i="31"/>
  <c r="G54" i="31"/>
  <c r="H99" i="31"/>
  <c r="H98" i="31"/>
  <c r="I95" i="31"/>
  <c r="K84" i="31"/>
  <c r="L77" i="31"/>
  <c r="E44" i="31"/>
  <c r="H44" i="31"/>
  <c r="H95" i="31"/>
  <c r="J110" i="12"/>
  <c r="I110" i="12"/>
  <c r="H110" i="12"/>
  <c r="G110" i="12"/>
  <c r="F110" i="12"/>
  <c r="J108" i="12"/>
  <c r="I108" i="12"/>
  <c r="H108" i="12"/>
  <c r="G108" i="12"/>
  <c r="F108" i="12"/>
  <c r="J107" i="12"/>
  <c r="I107" i="12"/>
  <c r="H107" i="12"/>
  <c r="G107" i="12"/>
  <c r="F107" i="12"/>
  <c r="J106" i="12"/>
  <c r="I106" i="12"/>
  <c r="H106" i="12"/>
  <c r="G106" i="12"/>
  <c r="F106" i="12"/>
  <c r="J105" i="12"/>
  <c r="I105" i="12"/>
  <c r="H105" i="12"/>
  <c r="G105" i="12"/>
  <c r="F105" i="12"/>
  <c r="J102" i="12"/>
  <c r="I102" i="12"/>
  <c r="H102" i="12"/>
  <c r="G102" i="12"/>
  <c r="F102" i="12"/>
  <c r="J101" i="12"/>
  <c r="I101" i="12"/>
  <c r="H101" i="12"/>
  <c r="G101" i="12"/>
  <c r="F101" i="12"/>
  <c r="J100" i="12"/>
  <c r="I100" i="12"/>
  <c r="H100" i="12"/>
  <c r="G100" i="12"/>
  <c r="F100" i="12"/>
  <c r="J96" i="12"/>
  <c r="I96" i="12"/>
  <c r="H96" i="12"/>
  <c r="G96" i="12"/>
  <c r="F96" i="12"/>
  <c r="J93" i="12"/>
  <c r="I93" i="12"/>
  <c r="H93" i="12"/>
  <c r="G93" i="12"/>
  <c r="F93" i="12"/>
  <c r="J87" i="12"/>
  <c r="I87" i="12"/>
  <c r="H87" i="12"/>
  <c r="G87" i="12"/>
  <c r="J85" i="12"/>
  <c r="I85" i="12"/>
  <c r="H85" i="12"/>
  <c r="G85" i="12"/>
  <c r="F85" i="12"/>
  <c r="G80" i="12"/>
  <c r="H80" i="12"/>
  <c r="I80" i="12"/>
  <c r="J80" i="12"/>
  <c r="F80" i="12"/>
  <c r="J81" i="12"/>
  <c r="I81" i="12"/>
  <c r="H81" i="12"/>
  <c r="G81" i="12"/>
  <c r="F81" i="12"/>
  <c r="J78" i="12"/>
  <c r="I78" i="12"/>
  <c r="H78" i="12"/>
  <c r="G78" i="12"/>
  <c r="F78" i="12"/>
  <c r="J77" i="12"/>
  <c r="I77" i="12"/>
  <c r="H77" i="12"/>
  <c r="G77" i="12"/>
  <c r="F77" i="12"/>
  <c r="J72" i="12"/>
  <c r="I72" i="12"/>
  <c r="H72" i="12"/>
  <c r="G72" i="12"/>
  <c r="F72" i="12"/>
  <c r="J71" i="12"/>
  <c r="I71" i="12"/>
  <c r="H71" i="12"/>
  <c r="G71" i="12"/>
  <c r="F71" i="12"/>
  <c r="J64" i="12"/>
  <c r="I64" i="12"/>
  <c r="H64" i="12"/>
  <c r="G64" i="12"/>
  <c r="F64" i="12"/>
  <c r="J62" i="12"/>
  <c r="I62" i="12"/>
  <c r="H62" i="12"/>
  <c r="G62" i="12"/>
  <c r="F62" i="12"/>
  <c r="J61" i="12"/>
  <c r="I61" i="12"/>
  <c r="H61" i="12"/>
  <c r="G61" i="12"/>
  <c r="F61" i="12"/>
  <c r="J54" i="12"/>
  <c r="I54" i="12"/>
  <c r="H54" i="12"/>
  <c r="G54" i="12"/>
  <c r="F54" i="12"/>
  <c r="F56" i="12" s="1"/>
  <c r="J53" i="12"/>
  <c r="I53" i="12"/>
  <c r="H53" i="12"/>
  <c r="G53" i="12"/>
  <c r="F53" i="12"/>
  <c r="J52" i="12"/>
  <c r="J56" i="12" s="1"/>
  <c r="I52" i="12"/>
  <c r="I56" i="12" s="1"/>
  <c r="H52" i="12"/>
  <c r="H56" i="12" s="1"/>
  <c r="G52" i="12"/>
  <c r="G56" i="12" s="1"/>
  <c r="F52" i="12"/>
  <c r="G45" i="12"/>
  <c r="H45" i="12"/>
  <c r="I45" i="12"/>
  <c r="I50" i="12" s="1"/>
  <c r="J45" i="12"/>
  <c r="G46" i="12"/>
  <c r="H46" i="12"/>
  <c r="I46" i="12"/>
  <c r="J46" i="12"/>
  <c r="J50" i="12" s="1"/>
  <c r="G47" i="12"/>
  <c r="H47" i="12"/>
  <c r="I47" i="12"/>
  <c r="J47" i="12"/>
  <c r="G48" i="12"/>
  <c r="H48" i="12"/>
  <c r="I48" i="12"/>
  <c r="J48" i="12"/>
  <c r="F48" i="12"/>
  <c r="F50" i="12" s="1"/>
  <c r="F47" i="12"/>
  <c r="F46" i="12"/>
  <c r="F45" i="12"/>
  <c r="J39" i="12"/>
  <c r="I39" i="12"/>
  <c r="H39" i="12"/>
  <c r="G39" i="12"/>
  <c r="G38" i="12"/>
  <c r="H38" i="12"/>
  <c r="I38" i="12"/>
  <c r="J38" i="12"/>
  <c r="F38" i="12"/>
  <c r="G29" i="12"/>
  <c r="H29" i="12"/>
  <c r="I29" i="12"/>
  <c r="J29" i="12"/>
  <c r="F29" i="12"/>
  <c r="G28" i="12"/>
  <c r="H28" i="12"/>
  <c r="I28" i="12"/>
  <c r="J28" i="12"/>
  <c r="F28" i="12"/>
  <c r="G27" i="12"/>
  <c r="H27" i="12"/>
  <c r="I27" i="12"/>
  <c r="J27" i="12"/>
  <c r="F27" i="12"/>
  <c r="G22" i="12"/>
  <c r="H22" i="12"/>
  <c r="I22" i="12"/>
  <c r="J22" i="12"/>
  <c r="F22" i="12"/>
  <c r="G21" i="12"/>
  <c r="H21" i="12"/>
  <c r="I21" i="12"/>
  <c r="J21" i="12"/>
  <c r="F21" i="12"/>
  <c r="G20" i="12"/>
  <c r="H20" i="12"/>
  <c r="I20" i="12"/>
  <c r="J20" i="12"/>
  <c r="F20" i="12"/>
  <c r="G19" i="12"/>
  <c r="H19" i="12"/>
  <c r="I19" i="12"/>
  <c r="J19" i="12"/>
  <c r="F19" i="12"/>
  <c r="G14" i="12"/>
  <c r="H14" i="12"/>
  <c r="I14" i="12"/>
  <c r="J14" i="12"/>
  <c r="F14" i="12"/>
  <c r="G13" i="12"/>
  <c r="H13" i="12"/>
  <c r="I13" i="12"/>
  <c r="J13" i="12"/>
  <c r="F13" i="12"/>
  <c r="G7" i="12"/>
  <c r="H7" i="12"/>
  <c r="H8" i="12" s="1"/>
  <c r="I7" i="12"/>
  <c r="I8" i="12" s="1"/>
  <c r="J7" i="12"/>
  <c r="J9" i="12" s="1"/>
  <c r="F7" i="12"/>
  <c r="G122" i="9"/>
  <c r="H122" i="9"/>
  <c r="I122" i="9"/>
  <c r="J122" i="9"/>
  <c r="F122" i="9"/>
  <c r="G119" i="9"/>
  <c r="H119" i="9"/>
  <c r="I119" i="9"/>
  <c r="J119" i="9"/>
  <c r="F119" i="9"/>
  <c r="G111" i="9"/>
  <c r="H111" i="9"/>
  <c r="I111" i="9"/>
  <c r="J111" i="9"/>
  <c r="F111" i="9"/>
  <c r="G104" i="9"/>
  <c r="H104" i="9"/>
  <c r="I104" i="9"/>
  <c r="J104" i="9"/>
  <c r="F104" i="9"/>
  <c r="G80" i="9"/>
  <c r="G82" i="9" s="1"/>
  <c r="H80" i="9"/>
  <c r="H82" i="9" s="1"/>
  <c r="I80" i="9"/>
  <c r="I82" i="9" s="1"/>
  <c r="J80" i="9"/>
  <c r="J82" i="9" s="1"/>
  <c r="F80" i="9"/>
  <c r="F82" i="9" s="1"/>
  <c r="F68" i="9"/>
  <c r="G68" i="9"/>
  <c r="H68" i="9"/>
  <c r="I68" i="9"/>
  <c r="J68" i="9"/>
  <c r="G62" i="9"/>
  <c r="H62" i="9"/>
  <c r="I62" i="9"/>
  <c r="J62" i="9"/>
  <c r="F62" i="9"/>
  <c r="G53" i="9"/>
  <c r="H53" i="9"/>
  <c r="I53" i="9"/>
  <c r="J53" i="9"/>
  <c r="F53" i="9"/>
  <c r="G45" i="9"/>
  <c r="H45" i="9"/>
  <c r="I45" i="9"/>
  <c r="J45" i="9"/>
  <c r="F45" i="9"/>
  <c r="G12" i="9"/>
  <c r="G17" i="9" s="1"/>
  <c r="G23" i="9" s="1"/>
  <c r="G27" i="9" s="1"/>
  <c r="G30" i="9" s="1"/>
  <c r="H12" i="9"/>
  <c r="H17" i="9" s="1"/>
  <c r="H23" i="9" s="1"/>
  <c r="H27" i="9" s="1"/>
  <c r="H30" i="9" s="1"/>
  <c r="I12" i="9"/>
  <c r="I17" i="9" s="1"/>
  <c r="I23" i="9" s="1"/>
  <c r="I27" i="9" s="1"/>
  <c r="I30" i="9" s="1"/>
  <c r="J12" i="9"/>
  <c r="J17" i="9" s="1"/>
  <c r="J23" i="9" s="1"/>
  <c r="J27" i="9" s="1"/>
  <c r="J30" i="9" s="1"/>
  <c r="F12" i="9"/>
  <c r="F17" i="9" s="1"/>
  <c r="F23" i="9" s="1"/>
  <c r="F27" i="9" s="1"/>
  <c r="F30" i="9" s="1"/>
  <c r="G103" i="31" l="1"/>
  <c r="L84" i="31"/>
  <c r="M77" i="31"/>
  <c r="H103" i="31"/>
  <c r="K86" i="31"/>
  <c r="K94" i="31"/>
  <c r="K95" i="31" s="1"/>
  <c r="J69" i="31"/>
  <c r="H50" i="12"/>
  <c r="G50" i="12"/>
  <c r="G8" i="12"/>
  <c r="J8" i="12"/>
  <c r="J70" i="9"/>
  <c r="J84" i="9" s="1"/>
  <c r="I70" i="9"/>
  <c r="I84" i="9" s="1"/>
  <c r="H70" i="9"/>
  <c r="H84" i="9" s="1"/>
  <c r="J55" i="9"/>
  <c r="G70" i="9"/>
  <c r="G84" i="9" s="1"/>
  <c r="F70" i="9"/>
  <c r="F84" i="9" s="1"/>
  <c r="F55" i="9"/>
  <c r="I55" i="9"/>
  <c r="H55" i="9"/>
  <c r="G55" i="9"/>
  <c r="K103" i="31" l="1"/>
  <c r="C9" i="31"/>
  <c r="F11" i="32" s="1"/>
  <c r="K8" i="14" s="1"/>
  <c r="E18" i="23" s="1"/>
  <c r="M84" i="31"/>
  <c r="N77" i="31"/>
  <c r="L86" i="31"/>
  <c r="L94" i="31"/>
  <c r="K69" i="31"/>
  <c r="M18" i="23" l="1"/>
  <c r="E26" i="23"/>
  <c r="E40" i="23"/>
  <c r="E41" i="23" s="1"/>
  <c r="E42" i="23" s="1"/>
  <c r="E43" i="23" s="1"/>
  <c r="K105" i="14"/>
  <c r="D226" i="31"/>
  <c r="D228" i="31" s="1"/>
  <c r="E225" i="31" s="1"/>
  <c r="K59" i="14"/>
  <c r="K38" i="14"/>
  <c r="K98" i="14" s="1"/>
  <c r="K41" i="14"/>
  <c r="K14" i="14"/>
  <c r="H171" i="31"/>
  <c r="H172" i="31" s="1"/>
  <c r="H170" i="31" s="1"/>
  <c r="K12" i="14"/>
  <c r="L95" i="31"/>
  <c r="M94" i="31"/>
  <c r="M95" i="31" s="1"/>
  <c r="L69" i="31"/>
  <c r="M86" i="31"/>
  <c r="N84" i="31"/>
  <c r="O77" i="31"/>
  <c r="O84" i="31" s="1"/>
  <c r="K10" i="14"/>
  <c r="K109" i="14" l="1"/>
  <c r="E33" i="22"/>
  <c r="K44" i="14"/>
  <c r="K50" i="14" s="1"/>
  <c r="D244" i="31"/>
  <c r="D245" i="31" s="1"/>
  <c r="L13" i="14" s="1"/>
  <c r="F32" i="22" s="1"/>
  <c r="E227" i="31"/>
  <c r="K9" i="14"/>
  <c r="K15" i="14"/>
  <c r="E9" i="31"/>
  <c r="H11" i="32" s="1"/>
  <c r="M103" i="31"/>
  <c r="N69" i="31"/>
  <c r="O94" i="31"/>
  <c r="O88" i="31"/>
  <c r="O86" i="31"/>
  <c r="N94" i="31"/>
  <c r="N95" i="31" s="1"/>
  <c r="M69" i="31"/>
  <c r="N86" i="31"/>
  <c r="L103" i="31"/>
  <c r="D9" i="31"/>
  <c r="G11" i="32" s="1"/>
  <c r="L8" i="14" s="1"/>
  <c r="K21" i="14" l="1"/>
  <c r="K23" i="14" s="1"/>
  <c r="K58" i="14" s="1"/>
  <c r="K101" i="14" s="1"/>
  <c r="G18" i="23"/>
  <c r="E27" i="22"/>
  <c r="E26" i="22"/>
  <c r="L105" i="14"/>
  <c r="L94" i="14"/>
  <c r="F13" i="17" s="1"/>
  <c r="E226" i="31"/>
  <c r="E228" i="31" s="1"/>
  <c r="L44" i="14" s="1"/>
  <c r="L50" i="14" s="1"/>
  <c r="L59" i="14"/>
  <c r="L38" i="14"/>
  <c r="L98" i="14" s="1"/>
  <c r="L41" i="14"/>
  <c r="H180" i="31"/>
  <c r="H181" i="31" s="1"/>
  <c r="H179" i="31" s="1"/>
  <c r="H188" i="31" s="1"/>
  <c r="H189" i="31" s="1"/>
  <c r="H187" i="31" s="1"/>
  <c r="K40" i="14"/>
  <c r="K99" i="14" s="1"/>
  <c r="I171" i="31"/>
  <c r="I172" i="31" s="1"/>
  <c r="I170" i="31" s="1"/>
  <c r="L14" i="14"/>
  <c r="L12" i="14"/>
  <c r="M8" i="14"/>
  <c r="L10" i="14"/>
  <c r="F9" i="31"/>
  <c r="I11" i="32" s="1"/>
  <c r="N103" i="31"/>
  <c r="O100" i="31"/>
  <c r="O95" i="31"/>
  <c r="L109" i="14" l="1"/>
  <c r="F33" i="22"/>
  <c r="G40" i="23"/>
  <c r="G41" i="23" s="1"/>
  <c r="G42" i="23" s="1"/>
  <c r="G43" i="23" s="1"/>
  <c r="I18" i="23"/>
  <c r="G26" i="23"/>
  <c r="E29" i="22"/>
  <c r="E28" i="22"/>
  <c r="F225" i="31"/>
  <c r="E244" i="31" s="1"/>
  <c r="E245" i="31" s="1"/>
  <c r="M13" i="14" s="1"/>
  <c r="F227" i="31"/>
  <c r="M105" i="14"/>
  <c r="K25" i="14"/>
  <c r="K28" i="14" s="1"/>
  <c r="F226" i="31"/>
  <c r="M59" i="14"/>
  <c r="K56" i="14"/>
  <c r="M38" i="14"/>
  <c r="M98" i="14" s="1"/>
  <c r="M41" i="14"/>
  <c r="J171" i="31"/>
  <c r="J172" i="31" s="1"/>
  <c r="J170" i="31" s="1"/>
  <c r="M12" i="14"/>
  <c r="M14" i="14"/>
  <c r="L9" i="14"/>
  <c r="L15" i="14"/>
  <c r="G9" i="31"/>
  <c r="J11" i="32" s="1"/>
  <c r="O103" i="31"/>
  <c r="N8" i="14"/>
  <c r="M10" i="14"/>
  <c r="L21" i="14" l="1"/>
  <c r="F26" i="22"/>
  <c r="F27" i="22"/>
  <c r="M94" i="14"/>
  <c r="G13" i="17" s="1"/>
  <c r="G32" i="22"/>
  <c r="K112" i="14"/>
  <c r="K117" i="14" s="1"/>
  <c r="E11" i="17"/>
  <c r="M109" i="14"/>
  <c r="G33" i="22"/>
  <c r="F228" i="31"/>
  <c r="G225" i="31" s="1"/>
  <c r="F244" i="31" s="1"/>
  <c r="F245" i="31" s="1"/>
  <c r="N13" i="14" s="1"/>
  <c r="N105" i="14"/>
  <c r="M44" i="14"/>
  <c r="M50" i="14" s="1"/>
  <c r="K60" i="14"/>
  <c r="K68" i="14" s="1"/>
  <c r="K100" i="14"/>
  <c r="E34" i="22" s="1"/>
  <c r="E37" i="22" s="1"/>
  <c r="G227" i="31"/>
  <c r="D340" i="31"/>
  <c r="K93" i="14"/>
  <c r="L23" i="14"/>
  <c r="L58" i="14" s="1"/>
  <c r="L101" i="14" s="1"/>
  <c r="L25" i="14"/>
  <c r="L28" i="14" s="1"/>
  <c r="G226" i="31"/>
  <c r="N59" i="14"/>
  <c r="I180" i="31"/>
  <c r="I181" i="31" s="1"/>
  <c r="I179" i="31" s="1"/>
  <c r="I188" i="31" s="1"/>
  <c r="I189" i="31" s="1"/>
  <c r="I187" i="31" s="1"/>
  <c r="L40" i="14"/>
  <c r="L99" i="14" s="1"/>
  <c r="N41" i="14"/>
  <c r="N38" i="14"/>
  <c r="N98" i="14" s="1"/>
  <c r="K171" i="31"/>
  <c r="K172" i="31" s="1"/>
  <c r="K170" i="31" s="1"/>
  <c r="N12" i="14"/>
  <c r="N14" i="14"/>
  <c r="M9" i="14"/>
  <c r="M15" i="14"/>
  <c r="O8" i="14"/>
  <c r="N10" i="14"/>
  <c r="E38" i="22" l="1"/>
  <c r="E47" i="22"/>
  <c r="M21" i="14"/>
  <c r="M23" i="14" s="1"/>
  <c r="M58" i="14" s="1"/>
  <c r="M101" i="14" s="1"/>
  <c r="G26" i="22"/>
  <c r="G27" i="22"/>
  <c r="L112" i="14"/>
  <c r="L117" i="14" s="1"/>
  <c r="N109" i="14"/>
  <c r="H33" i="22"/>
  <c r="N94" i="14"/>
  <c r="H13" i="17" s="1"/>
  <c r="H32" i="22"/>
  <c r="F29" i="22"/>
  <c r="F28" i="22"/>
  <c r="D343" i="31"/>
  <c r="K102" i="14"/>
  <c r="K120" i="14" s="1"/>
  <c r="K37" i="14" s="1"/>
  <c r="K42" i="14" s="1"/>
  <c r="K52" i="14" s="1"/>
  <c r="O105" i="14"/>
  <c r="G228" i="31"/>
  <c r="H225" i="31" s="1"/>
  <c r="G244" i="31" s="1"/>
  <c r="G245" i="31" s="1"/>
  <c r="O13" i="14" s="1"/>
  <c r="I32" i="22" s="1"/>
  <c r="L93" i="14"/>
  <c r="F11" i="17" s="1"/>
  <c r="E340" i="31"/>
  <c r="E341" i="31" s="1"/>
  <c r="D341" i="31"/>
  <c r="H226" i="31"/>
  <c r="O59" i="14"/>
  <c r="L56" i="14"/>
  <c r="O38" i="14"/>
  <c r="O98" i="14" s="1"/>
  <c r="O41" i="14"/>
  <c r="J180" i="31"/>
  <c r="J181" i="31" s="1"/>
  <c r="J179" i="31" s="1"/>
  <c r="J188" i="31" s="1"/>
  <c r="J189" i="31" s="1"/>
  <c r="J187" i="31" s="1"/>
  <c r="M40" i="14"/>
  <c r="M99" i="14" s="1"/>
  <c r="N9" i="14"/>
  <c r="N15" i="14"/>
  <c r="O10" i="14"/>
  <c r="L171" i="31"/>
  <c r="L172" i="31" s="1"/>
  <c r="L170" i="31" s="1"/>
  <c r="O12" i="14"/>
  <c r="O14" i="14"/>
  <c r="G28" i="22" l="1"/>
  <c r="G29" i="22"/>
  <c r="N21" i="14"/>
  <c r="N23" i="14" s="1"/>
  <c r="N58" i="14" s="1"/>
  <c r="N101" i="14" s="1"/>
  <c r="H27" i="22"/>
  <c r="H26" i="22"/>
  <c r="D13" i="17"/>
  <c r="O109" i="14"/>
  <c r="I33" i="22"/>
  <c r="M25" i="14"/>
  <c r="M28" i="14" s="1"/>
  <c r="H227" i="31"/>
  <c r="H228" i="31" s="1"/>
  <c r="O44" i="14" s="1"/>
  <c r="O50" i="14" s="1"/>
  <c r="N44" i="14"/>
  <c r="N50" i="14" s="1"/>
  <c r="O94" i="14"/>
  <c r="I13" i="17" s="1"/>
  <c r="L60" i="14"/>
  <c r="L68" i="14" s="1"/>
  <c r="L100" i="14"/>
  <c r="K78" i="14"/>
  <c r="K80" i="14" s="1"/>
  <c r="K82" i="14" s="1"/>
  <c r="E9" i="17" s="1"/>
  <c r="E339" i="31"/>
  <c r="E343" i="31" s="1"/>
  <c r="F340" i="31"/>
  <c r="F341" i="31" s="1"/>
  <c r="M93" i="14"/>
  <c r="M56" i="14"/>
  <c r="K180" i="31"/>
  <c r="K181" i="31" s="1"/>
  <c r="K179" i="31" s="1"/>
  <c r="K188" i="31" s="1"/>
  <c r="K189" i="31" s="1"/>
  <c r="K187" i="31" s="1"/>
  <c r="N40" i="14"/>
  <c r="N99" i="14" s="1"/>
  <c r="O9" i="14"/>
  <c r="O15" i="14"/>
  <c r="H28" i="22" l="1"/>
  <c r="H29" i="22"/>
  <c r="O21" i="14"/>
  <c r="J55" i="22"/>
  <c r="J57" i="22" s="1"/>
  <c r="J58" i="22" s="1"/>
  <c r="J65" i="22" s="1"/>
  <c r="I27" i="22"/>
  <c r="I26" i="22"/>
  <c r="M112" i="14"/>
  <c r="M117" i="14" s="1"/>
  <c r="G11" i="17"/>
  <c r="L102" i="14"/>
  <c r="L120" i="14" s="1"/>
  <c r="L37" i="14" s="1"/>
  <c r="F34" i="22"/>
  <c r="F37" i="22" s="1"/>
  <c r="L42" i="14"/>
  <c r="L52" i="14" s="1"/>
  <c r="M60" i="14"/>
  <c r="M68" i="14" s="1"/>
  <c r="M100" i="14"/>
  <c r="G34" i="22" s="1"/>
  <c r="G37" i="22" s="1"/>
  <c r="N25" i="14"/>
  <c r="N28" i="14" s="1"/>
  <c r="F339" i="31"/>
  <c r="F343" i="31" s="1"/>
  <c r="L78" i="14"/>
  <c r="L80" i="14" s="1"/>
  <c r="L82" i="14" s="1"/>
  <c r="N56" i="14"/>
  <c r="O23" i="14"/>
  <c r="O58" i="14" s="1"/>
  <c r="O101" i="14" s="1"/>
  <c r="L180" i="31"/>
  <c r="L181" i="31" s="1"/>
  <c r="L179" i="31" s="1"/>
  <c r="L188" i="31" s="1"/>
  <c r="L189" i="31" s="1"/>
  <c r="L187" i="31" s="1"/>
  <c r="O40" i="14"/>
  <c r="O99" i="14" s="1"/>
  <c r="F9" i="17" l="1"/>
  <c r="G38" i="22"/>
  <c r="G47" i="22"/>
  <c r="I28" i="22"/>
  <c r="I29" i="22"/>
  <c r="F38" i="22"/>
  <c r="F47" i="22"/>
  <c r="M102" i="14"/>
  <c r="M120" i="14" s="1"/>
  <c r="M37" i="14" s="1"/>
  <c r="M42" i="14" s="1"/>
  <c r="M52" i="14" s="1"/>
  <c r="G340" i="31"/>
  <c r="G341" i="31" s="1"/>
  <c r="N112" i="14"/>
  <c r="N117" i="14" s="1"/>
  <c r="N60" i="14"/>
  <c r="N68" i="14" s="1"/>
  <c r="N100" i="14"/>
  <c r="H34" i="22" s="1"/>
  <c r="H37" i="22" s="1"/>
  <c r="N93" i="14"/>
  <c r="H11" i="17" s="1"/>
  <c r="O25" i="14"/>
  <c r="O28" i="14" s="1"/>
  <c r="G339" i="31"/>
  <c r="M78" i="14"/>
  <c r="M80" i="14" s="1"/>
  <c r="M82" i="14" s="1"/>
  <c r="O56" i="14"/>
  <c r="G9" i="17" l="1"/>
  <c r="G343" i="31"/>
  <c r="O112" i="14"/>
  <c r="O117" i="14" s="1"/>
  <c r="H38" i="22"/>
  <c r="H47" i="22"/>
  <c r="I37" i="22"/>
  <c r="H340" i="31"/>
  <c r="H341" i="31" s="1"/>
  <c r="N102" i="14"/>
  <c r="N120" i="14" s="1"/>
  <c r="N37" i="14" s="1"/>
  <c r="N42" i="14" s="1"/>
  <c r="N52" i="14" s="1"/>
  <c r="H9" i="17" s="1"/>
  <c r="O93" i="14"/>
  <c r="I11" i="17" s="1"/>
  <c r="D11" i="17" s="1"/>
  <c r="O60" i="14"/>
  <c r="O68" i="14" s="1"/>
  <c r="O100" i="14"/>
  <c r="I34" i="22" s="1"/>
  <c r="H339" i="31"/>
  <c r="N78" i="14"/>
  <c r="N80" i="14" s="1"/>
  <c r="N82" i="14" s="1"/>
  <c r="I38" i="22" l="1"/>
  <c r="E55" i="22"/>
  <c r="E65" i="22" s="1"/>
  <c r="I47" i="22"/>
  <c r="E49" i="22" s="1"/>
  <c r="H343" i="31"/>
  <c r="O78" i="14" s="1"/>
  <c r="O80" i="14" s="1"/>
  <c r="O82" i="14" s="1"/>
  <c r="O102" i="14"/>
  <c r="O120" i="14" s="1"/>
  <c r="O37" i="14" s="1"/>
  <c r="O42" i="14" s="1"/>
  <c r="O52" i="14" s="1"/>
  <c r="E64" i="22" l="1"/>
  <c r="E66" i="22" s="1"/>
  <c r="J64" i="22"/>
  <c r="J66" i="22" s="1"/>
  <c r="J73" i="22" s="1"/>
  <c r="I9" i="17"/>
  <c r="D9" i="17" s="1"/>
  <c r="C5" i="17" s="1"/>
  <c r="E73" i="22" l="1"/>
  <c r="E79" i="22" s="1"/>
  <c r="E8" i="26" s="1"/>
  <c r="D31" i="25"/>
  <c r="C38" i="25" s="1"/>
  <c r="F31" i="25"/>
  <c r="J79" i="22"/>
  <c r="E21" i="26" s="1"/>
  <c r="J76" i="22"/>
  <c r="E76" i="22" l="1"/>
  <c r="J31" i="25" s="1"/>
  <c r="G38" i="25" s="1"/>
  <c r="E31" i="25"/>
  <c r="G31" i="25"/>
  <c r="E38" i="25" s="1"/>
  <c r="L31" i="25" l="1"/>
  <c r="M31" i="25" s="1"/>
  <c r="K31" i="25" l="1"/>
  <c r="H38" i="2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Divij Budhiraja</author>
  </authors>
  <commentList>
    <comment ref="H98" authorId="0" shapeId="0" xr:uid="{7A3E87EA-0774-314C-B31E-069DF9B604F9}">
      <text>
        <r>
          <rPr>
            <b/>
            <sz val="10"/>
            <color rgb="FF000000"/>
            <rFont val="Tahoma"/>
            <family val="2"/>
          </rPr>
          <t>Divij Budhiraja:</t>
        </r>
        <r>
          <rPr>
            <sz val="10"/>
            <color rgb="FF000000"/>
            <rFont val="Tahoma"/>
            <family val="2"/>
          </rPr>
          <t xml:space="preserve">
5Y CAGR excludes COVID-distorted 2020</t>
        </r>
      </text>
    </comment>
  </commentList>
</comments>
</file>

<file path=xl/sharedStrings.xml><?xml version="1.0" encoding="utf-8"?>
<sst xmlns="http://schemas.openxmlformats.org/spreadsheetml/2006/main" count="1425" uniqueCount="818">
  <si>
    <t>Comprehensive Valuation Model — Table of Contents</t>
  </si>
  <si>
    <t>Tab #</t>
  </si>
  <si>
    <t>Tab Name</t>
  </si>
  <si>
    <t>Description</t>
  </si>
  <si>
    <t>Status</t>
  </si>
  <si>
    <t>SECTION 1: EXECUTIVE SUMMARY &amp; OVERVIEW</t>
  </si>
  <si>
    <t>Cover</t>
  </si>
  <si>
    <t>Title page, version control, confidentiality notice</t>
  </si>
  <si>
    <t>Complete</t>
  </si>
  <si>
    <t>TOC</t>
  </si>
  <si>
    <t>Executive Summary</t>
  </si>
  <si>
    <t>Key Metrics</t>
  </si>
  <si>
    <t>Historical Analysis</t>
  </si>
  <si>
    <t>Margins, growth rates, ratio analysis, trends</t>
  </si>
  <si>
    <t>SECTION 4: FORECASTS &amp; PROJECTIONS</t>
  </si>
  <si>
    <t>Integration Check</t>
  </si>
  <si>
    <t>BS balances, CF reconciliation, error checks</t>
  </si>
  <si>
    <t>DCF Valuation</t>
  </si>
  <si>
    <t>Discounted Cash Flow analysis (WACC, terminal value)</t>
  </si>
  <si>
    <t>Trading Comps</t>
  </si>
  <si>
    <t>Public comparable company analysis (EV/Revenue, EV/EBITDA)</t>
  </si>
  <si>
    <t>Valuation Summary</t>
  </si>
  <si>
    <t>Combined valuation range across all methodologies</t>
  </si>
  <si>
    <t>Sensitivity Tables</t>
  </si>
  <si>
    <t>Scenario Analysis</t>
  </si>
  <si>
    <t>Sources &amp; Footnotes</t>
  </si>
  <si>
    <t>Data sources, methodology notes, disclaimers</t>
  </si>
  <si>
    <t>COLOR CODING LEGEND</t>
  </si>
  <si>
    <t>🔵</t>
  </si>
  <si>
    <t>BLUE cells</t>
  </si>
  <si>
    <t>Hardcoded inputs / assumptions (user changes these)</t>
  </si>
  <si>
    <t>⬛</t>
  </si>
  <si>
    <t>BLACK cells</t>
  </si>
  <si>
    <t>Formulas &amp; calculations (model calculates these)</t>
  </si>
  <si>
    <t>🟢</t>
  </si>
  <si>
    <t>GREEN cells</t>
  </si>
  <si>
    <t>Links from other worksheets within workbook</t>
  </si>
  <si>
    <t>🟡</t>
  </si>
  <si>
    <t>YELLOW cells</t>
  </si>
  <si>
    <t>Flags / checks / key assumptions needing attention</t>
  </si>
  <si>
    <t>🔴</t>
  </si>
  <si>
    <t>RED cells</t>
  </si>
  <si>
    <t>External links to other files</t>
  </si>
  <si>
    <t>Table of contents &amp; model map</t>
  </si>
  <si>
    <t>Investment thesis, highlights, key findings, target price</t>
  </si>
  <si>
    <t>Master Assumptions</t>
  </si>
  <si>
    <t>Key drivers: revenue growth, margins, CapEx, tax, WACC</t>
  </si>
  <si>
    <t>Supporting analysis: TAM, benchmarks, comps backup</t>
  </si>
  <si>
    <t>Historical Financials</t>
  </si>
  <si>
    <t>Historical IS + BS + CF (vertical 3-statement model)</t>
  </si>
  <si>
    <t>Forecast Model</t>
  </si>
  <si>
    <t>Projected IS + BS + CF (vertical 3-statement model)</t>
  </si>
  <si>
    <t>Supporting Schedules</t>
  </si>
  <si>
    <t>WACC vs. growth, revenue vs. margin data tables</t>
  </si>
  <si>
    <t>N/A</t>
  </si>
  <si>
    <t>SG&amp;A % of Revenue</t>
  </si>
  <si>
    <t>D&amp;A % of Revenue</t>
  </si>
  <si>
    <t>SECTION 2: HISTORICAL FINANCIALS &amp; ANALYSIS</t>
  </si>
  <si>
    <t>SECTION 3: ASSUMPTIONS &amp; OTHER INPUTS</t>
  </si>
  <si>
    <t xml:space="preserve">INCOME STATEMENT </t>
  </si>
  <si>
    <t>2020A</t>
  </si>
  <si>
    <t>2021A</t>
  </si>
  <si>
    <t>2022A</t>
  </si>
  <si>
    <t>2023A</t>
  </si>
  <si>
    <t>Revenue</t>
  </si>
  <si>
    <t>COGS (excl. D&amp;A)</t>
  </si>
  <si>
    <t>Gross Profit (excl. D&amp;A)</t>
  </si>
  <si>
    <t>SG&amp;A Expense</t>
  </si>
  <si>
    <t>D&amp;A Expense</t>
  </si>
  <si>
    <t>EBIT</t>
  </si>
  <si>
    <t>Interest Income</t>
  </si>
  <si>
    <t>Interest Expense</t>
  </si>
  <si>
    <t>Other Income (Expense)</t>
  </si>
  <si>
    <t>EBT</t>
  </si>
  <si>
    <t>Income Taxes</t>
  </si>
  <si>
    <t>Equity in Affiliates</t>
  </si>
  <si>
    <t>Net Income</t>
  </si>
  <si>
    <t>Assets</t>
  </si>
  <si>
    <t>Cash &amp; Short-Term Investments</t>
  </si>
  <si>
    <t>Accounts Receivable</t>
  </si>
  <si>
    <t>Other Receivables</t>
  </si>
  <si>
    <t>Inventories</t>
  </si>
  <si>
    <t>Other Current Assets</t>
  </si>
  <si>
    <t>Total Current Assets</t>
  </si>
  <si>
    <t>Net PP&amp;E</t>
  </si>
  <si>
    <t>Goodwill</t>
  </si>
  <si>
    <t>Other Intangible Assets</t>
  </si>
  <si>
    <t>Long-Term Investments</t>
  </si>
  <si>
    <t>Deferred Tax Assets</t>
  </si>
  <si>
    <t>Other Non-Current Assets</t>
  </si>
  <si>
    <t>Total Non-Current Assets</t>
  </si>
  <si>
    <t>Total Assets</t>
  </si>
  <si>
    <t>Liabilities</t>
  </si>
  <si>
    <t>Accounts Payable</t>
  </si>
  <si>
    <t>Income Tax Payable</t>
  </si>
  <si>
    <t>Other Current Liabilities</t>
  </si>
  <si>
    <t>Total Current Liabilities</t>
  </si>
  <si>
    <t>Long-Term Debt</t>
  </si>
  <si>
    <t>Deferred Tax Liabilities</t>
  </si>
  <si>
    <t>Other Non-Current Liabilities</t>
  </si>
  <si>
    <t>Total Non-Current Liabilities</t>
  </si>
  <si>
    <t>Total Liabilities</t>
  </si>
  <si>
    <t>Shareholders' Equity</t>
  </si>
  <si>
    <t>Common Stock &amp; APIC</t>
  </si>
  <si>
    <t>Retained Earnings</t>
  </si>
  <si>
    <t>Treasury Stock</t>
  </si>
  <si>
    <t>Total Shareholders' Equity</t>
  </si>
  <si>
    <t>Total Liabilities &amp; Equity</t>
  </si>
  <si>
    <t>BALANCE STATEMENT</t>
  </si>
  <si>
    <t xml:space="preserve">CASH FLOW STATEMENT  </t>
  </si>
  <si>
    <t>Operating Activities</t>
  </si>
  <si>
    <t>D&amp;A</t>
  </si>
  <si>
    <t>Deferred Taxes</t>
  </si>
  <si>
    <t>Changes in Working Capital:</t>
  </si>
  <si>
    <t xml:space="preserve">  (Increase) / Decrease in Receivables</t>
  </si>
  <si>
    <t xml:space="preserve">  (Increase) / Decrease in Inventories</t>
  </si>
  <si>
    <t xml:space="preserve">  Increase / (Decrease) in Accounts Payable</t>
  </si>
  <si>
    <t xml:space="preserve">  Other Working Capital Changes</t>
  </si>
  <si>
    <t>Cash Flow from Operations</t>
  </si>
  <si>
    <t>Investing Activities</t>
  </si>
  <si>
    <t>Capital Expenditures</t>
  </si>
  <si>
    <t>Acquisitions</t>
  </si>
  <si>
    <t>Purchase / Sale of Investments</t>
  </si>
  <si>
    <t>Other Investing Activities</t>
  </si>
  <si>
    <t>Cash Flow from Investing</t>
  </si>
  <si>
    <t>Financing Activities</t>
  </si>
  <si>
    <t>Dividends Paid</t>
  </si>
  <si>
    <t>Debt Issuance / (Repayment)</t>
  </si>
  <si>
    <t>Cash Flow from Financing</t>
  </si>
  <si>
    <t>Effect of Exchange Rate</t>
  </si>
  <si>
    <t>Net Change in Cash</t>
  </si>
  <si>
    <t>SOURCES &amp; FOOTNOTES</t>
  </si>
  <si>
    <t>SECTION 1: PRIMARY DATA SOURCES</t>
  </si>
  <si>
    <t>#</t>
  </si>
  <si>
    <t>Source Name</t>
  </si>
  <si>
    <t>Type</t>
  </si>
  <si>
    <t>Data Used For</t>
  </si>
  <si>
    <t>Tabs Referenced</t>
  </si>
  <si>
    <t>Access Date</t>
  </si>
  <si>
    <t>URL / Reference</t>
  </si>
  <si>
    <t>S1</t>
  </si>
  <si>
    <t>[Date]</t>
  </si>
  <si>
    <t>S2</t>
  </si>
  <si>
    <t>S3</t>
  </si>
  <si>
    <t>S4</t>
  </si>
  <si>
    <t>S5</t>
  </si>
  <si>
    <t>S6</t>
  </si>
  <si>
    <t>S7</t>
  </si>
  <si>
    <t>S8</t>
  </si>
  <si>
    <t>S9</t>
  </si>
  <si>
    <t>S10</t>
  </si>
  <si>
    <t>SECTION 2: EXTERNAL MARKET INPUTS USED</t>
  </si>
  <si>
    <t>Input</t>
  </si>
  <si>
    <t>Value Used</t>
  </si>
  <si>
    <t>Source / Basis</t>
  </si>
  <si>
    <t>Feeds Into</t>
  </si>
  <si>
    <t>As-Of Date</t>
  </si>
  <si>
    <t>Source Ref</t>
  </si>
  <si>
    <t>Risk-Free Rate (Rf)</t>
  </si>
  <si>
    <t>Equity Risk Premium (ERP)</t>
  </si>
  <si>
    <t>Levered Beta</t>
  </si>
  <si>
    <t>Terminal Growth Rate (g)</t>
  </si>
  <si>
    <t>Marginal Tax Rate</t>
  </si>
  <si>
    <t>Consensus Revenue FY25E ($mm)</t>
  </si>
  <si>
    <t>Consensus EPS FY25E</t>
  </si>
  <si>
    <t>[Add rows as needed]</t>
  </si>
  <si>
    <t>SECTION 3: FOOTNOTES &amp; ADJUSTMENTS</t>
  </si>
  <si>
    <t>Ref #</t>
  </si>
  <si>
    <t>Tab / Cell</t>
  </si>
  <si>
    <t>Footnote Description</t>
  </si>
  <si>
    <t>Impact on Model</t>
  </si>
  <si>
    <t>[1]</t>
  </si>
  <si>
    <t>[2]</t>
  </si>
  <si>
    <t>[3]</t>
  </si>
  <si>
    <t>[4]</t>
  </si>
  <si>
    <t>[5]</t>
  </si>
  <si>
    <t>[6]</t>
  </si>
  <si>
    <t>[7]</t>
  </si>
  <si>
    <t>[8]</t>
  </si>
  <si>
    <t>[9]</t>
  </si>
  <si>
    <t>[10]</t>
  </si>
  <si>
    <t>SECTION 4: METHODOLOGY NOTES</t>
  </si>
  <si>
    <t>Area</t>
  </si>
  <si>
    <t>Methodology Description</t>
  </si>
  <si>
    <t>Applicable Tab(s)</t>
  </si>
  <si>
    <t>Valuation Approach</t>
  </si>
  <si>
    <t>WACC Derivation</t>
  </si>
  <si>
    <t>Revenue Forecast</t>
  </si>
  <si>
    <t>Margin Expansion</t>
  </si>
  <si>
    <t>Working Capital</t>
  </si>
  <si>
    <t>CapEx Treatment</t>
  </si>
  <si>
    <t>SBC Treatment</t>
  </si>
  <si>
    <t>Tax Assumptions</t>
  </si>
  <si>
    <t>Terminal Value</t>
  </si>
  <si>
    <t>[DCF, Sensitivity]</t>
  </si>
  <si>
    <t>Scenario Framework</t>
  </si>
  <si>
    <t>SECTION 5: REVISION LOG</t>
  </si>
  <si>
    <t>Version</t>
  </si>
  <si>
    <t>Date</t>
  </si>
  <si>
    <t>Author</t>
  </si>
  <si>
    <t>Change Description</t>
  </si>
  <si>
    <t>Tabs Affected</t>
  </si>
  <si>
    <t>v1.0</t>
  </si>
  <si>
    <t>[Initials]</t>
  </si>
  <si>
    <t>[e.g., Initial model build; historical financials + DCF]</t>
  </si>
  <si>
    <t>[All]</t>
  </si>
  <si>
    <t>v1.1</t>
  </si>
  <si>
    <t>[e.g., Updated beta + ERP; re-ran sensitivity tables]</t>
  </si>
  <si>
    <t>v1.2</t>
  </si>
  <si>
    <t>[e.g., Added scenario analysis; Bull/Base/Bear assumptions]</t>
  </si>
  <si>
    <t>[Scenarios, Assumptions]</t>
  </si>
  <si>
    <t>v2.0</t>
  </si>
  <si>
    <t>[e.g., Major revision: incorporated Q4 2024 actuals; revised forecast]</t>
  </si>
  <si>
    <t>[Hist. Fin., Forecast]</t>
  </si>
  <si>
    <t>v2.1</t>
  </si>
  <si>
    <t>[Change description]</t>
  </si>
  <si>
    <t>[Tab names]</t>
  </si>
  <si>
    <t>v3.0</t>
  </si>
  <si>
    <t>[Add]</t>
  </si>
  <si>
    <t>SECTION 6: DISCLAIMER &amp; LIMITATIONS</t>
  </si>
  <si>
    <t>IMPORTANT: This financial model is prepared for informational and analytical purposes only.</t>
  </si>
  <si>
    <t>[1] This model does not constitute investment advice, a recommendation, or a solicitation to buy or sell securities.</t>
  </si>
  <si>
    <t>[2] All projections are based on assumptions that may not reflect actual future performance.</t>
  </si>
  <si>
    <t>[3] Historical financial data is sourced from public SEC filings and may be subject to restatement.</t>
  </si>
  <si>
    <t>[4] Market data (prices, rates, betas) is point-in-time and subject to change.</t>
  </si>
  <si>
    <t>[5] Model outputs are highly sensitive to input assumptions; users should review the Sensitivity Analysis tab.</t>
  </si>
  <si>
    <t>[6] The author(s) make no warranty as to accuracy or completeness of data or projections.</t>
  </si>
  <si>
    <t>[7] Users should conduct independent due diligence before making any investment decisions.</t>
  </si>
  <si>
    <t xml:space="preserve">All figures are in millions of Euro </t>
  </si>
  <si>
    <t>unless stated otherwise</t>
  </si>
  <si>
    <t>Other Operating Expense</t>
  </si>
  <si>
    <t>Unusual Expense</t>
  </si>
  <si>
    <t>Consolidated Net Income</t>
  </si>
  <si>
    <t>Minority Interests</t>
  </si>
  <si>
    <t>ST Debt &amp; Curr. Portion of LT</t>
  </si>
  <si>
    <t>Provision for Risks &amp; Charges</t>
  </si>
  <si>
    <t>CTA / Unrealizaed for Exch Gain</t>
  </si>
  <si>
    <t>Unrealized Gain/Loss Marketable Securities</t>
  </si>
  <si>
    <t>Unappropriated Reserves</t>
  </si>
  <si>
    <t>Other Appropriated Reserves</t>
  </si>
  <si>
    <t>Accumulated Minority Interest</t>
  </si>
  <si>
    <t>Total Equity</t>
  </si>
  <si>
    <t xml:space="preserve">Other Funds </t>
  </si>
  <si>
    <t>Change in Capital Stock</t>
  </si>
  <si>
    <t>Repayments of Operating Leases</t>
  </si>
  <si>
    <t>Other Funds</t>
  </si>
  <si>
    <t xml:space="preserve">SECTION A: GROWTH AND MARGIN ANALYSIS </t>
  </si>
  <si>
    <t xml:space="preserve">REVENUE GROWTH: </t>
  </si>
  <si>
    <t>2024A</t>
  </si>
  <si>
    <t>Trend</t>
  </si>
  <si>
    <t>Total Revenue ($M)</t>
  </si>
  <si>
    <t xml:space="preserve">YoY Growth % </t>
  </si>
  <si>
    <t>5Y CAGR</t>
  </si>
  <si>
    <t xml:space="preserve">GROSS MARGIN: </t>
  </si>
  <si>
    <t>Gross Profit ($M)</t>
  </si>
  <si>
    <t>Gross Profit %</t>
  </si>
  <si>
    <t xml:space="preserve">OPEX ANALYSIS: </t>
  </si>
  <si>
    <t>Total Opex % of Revenue</t>
  </si>
  <si>
    <t>PROFITABILITY:</t>
  </si>
  <si>
    <t xml:space="preserve">Operating Margin % </t>
  </si>
  <si>
    <t>EBITDA Margin %</t>
  </si>
  <si>
    <t>Net Margin %</t>
  </si>
  <si>
    <t>YoY Growth</t>
  </si>
  <si>
    <t xml:space="preserve">Other Opex % of Revenue </t>
  </si>
  <si>
    <t>SECTION B: CASH GENERATION AND CAPITAL EFFICIENCY</t>
  </si>
  <si>
    <t>CASH FLOW QUALITY:</t>
  </si>
  <si>
    <t xml:space="preserve">Trend </t>
  </si>
  <si>
    <t>OCF</t>
  </si>
  <si>
    <t>FCF</t>
  </si>
  <si>
    <t>WC DYNAMICS:</t>
  </si>
  <si>
    <t>Changes in WC ($M):</t>
  </si>
  <si>
    <r>
      <t xml:space="preserve">     </t>
    </r>
    <r>
      <rPr>
        <i/>
        <sz val="12"/>
        <color theme="1"/>
        <rFont val="Aptos Narrow"/>
        <scheme val="minor"/>
      </rPr>
      <t xml:space="preserve">  Changes in AR</t>
    </r>
  </si>
  <si>
    <t xml:space="preserve">       Changes in AP</t>
  </si>
  <si>
    <t xml:space="preserve">       Other WC changes </t>
  </si>
  <si>
    <t xml:space="preserve">Net WC Impact </t>
  </si>
  <si>
    <t>DSO</t>
  </si>
  <si>
    <t>DPO</t>
  </si>
  <si>
    <t>CCC</t>
  </si>
  <si>
    <t>CAPEX REQUIREMENTS:</t>
  </si>
  <si>
    <t xml:space="preserve">CapEx ($M) </t>
  </si>
  <si>
    <t xml:space="preserve">      as % of Revenue </t>
  </si>
  <si>
    <t>CapEx / Depreciation</t>
  </si>
  <si>
    <t xml:space="preserve">       Changes in Inventory</t>
  </si>
  <si>
    <t>DIO</t>
  </si>
  <si>
    <t>SECTION C: BALANCE SHEET HEALTH AND RETURN METRICS</t>
  </si>
  <si>
    <t xml:space="preserve">LIQUIDITY: </t>
  </si>
  <si>
    <t xml:space="preserve">Current Ratio </t>
  </si>
  <si>
    <t>Quick Ratio</t>
  </si>
  <si>
    <t>LEVERAGE:</t>
  </si>
  <si>
    <t xml:space="preserve">Total Debt </t>
  </si>
  <si>
    <t>Equity</t>
  </si>
  <si>
    <t>Debt / Equity</t>
  </si>
  <si>
    <t>ICR</t>
  </si>
  <si>
    <t>EQUITY  &amp; RETAINED EARNINGS:</t>
  </si>
  <si>
    <t>Total Shareholder's Equity</t>
  </si>
  <si>
    <t xml:space="preserve">YoY equity Growth </t>
  </si>
  <si>
    <t>RETURN METRICS:</t>
  </si>
  <si>
    <t>RoE(%)</t>
  </si>
  <si>
    <t xml:space="preserve">       =NI/Shareholder's Equity</t>
  </si>
  <si>
    <t>RoA(%)</t>
  </si>
  <si>
    <t xml:space="preserve">       =Net Income/Avg Assets</t>
  </si>
  <si>
    <t>ROIC(%)</t>
  </si>
  <si>
    <t xml:space="preserve">          EBIT</t>
  </si>
  <si>
    <t xml:space="preserve">          x (1-Tax rate)</t>
  </si>
  <si>
    <t xml:space="preserve">         =NOPAT</t>
  </si>
  <si>
    <t xml:space="preserve">         Invested Capital</t>
  </si>
  <si>
    <t xml:space="preserve">        Total Equity </t>
  </si>
  <si>
    <t xml:space="preserve">              +Total Debt </t>
  </si>
  <si>
    <t xml:space="preserve">              -Excess Cash</t>
  </si>
  <si>
    <t xml:space="preserve">        = Invested Capital</t>
  </si>
  <si>
    <t xml:space="preserve">        = NOPAT/Invested Capital</t>
  </si>
  <si>
    <t>MASTER ASSUMPTIONS</t>
  </si>
  <si>
    <t>SCENARIO SELECTOR</t>
  </si>
  <si>
    <t>Active Scenario:</t>
  </si>
  <si>
    <t>Scenario Code:</t>
  </si>
  <si>
    <t>(1=Bull, 2=Base, 3=Bear)</t>
  </si>
  <si>
    <t>ACTIVE ASSUMPTIONS</t>
  </si>
  <si>
    <t>2025E</t>
  </si>
  <si>
    <t>2026E</t>
  </si>
  <si>
    <t>2027E</t>
  </si>
  <si>
    <t>2028E</t>
  </si>
  <si>
    <t>2029E</t>
  </si>
  <si>
    <t>REVENUE &amp; MARGINS</t>
  </si>
  <si>
    <t>Revenue Growth %</t>
  </si>
  <si>
    <t>Gross Margin %</t>
  </si>
  <si>
    <t>OPERATING EXPENSES (% of Revenue)</t>
  </si>
  <si>
    <t>SG&amp;A %</t>
  </si>
  <si>
    <t>TAX &amp; OTHER</t>
  </si>
  <si>
    <t>Effective Tax Rate %</t>
  </si>
  <si>
    <t>BALANCE SHEET &amp; CAPEX</t>
  </si>
  <si>
    <t>DSO (Days)</t>
  </si>
  <si>
    <t>DPO (Days)</t>
  </si>
  <si>
    <t>Other Current Assets % of Revenue</t>
  </si>
  <si>
    <t>Income Tax Payable % of Tax Expense</t>
  </si>
  <si>
    <t>Other CL % of Revenue</t>
  </si>
  <si>
    <t>VALUATION PARAMETERS</t>
  </si>
  <si>
    <t>Terminal Growth Rate</t>
  </si>
  <si>
    <t>Base</t>
  </si>
  <si>
    <t>Hermes International S.A. (RMS-FR)  |   Forecast Assumptions</t>
  </si>
  <si>
    <t>INCOME STATEMENT</t>
  </si>
  <si>
    <t>All figures in millions of euros</t>
  </si>
  <si>
    <t>BALANCE SHEET</t>
  </si>
  <si>
    <t>CASH FLOW STATEMENT</t>
  </si>
  <si>
    <t>SUPPORTING SCHEDULES</t>
  </si>
  <si>
    <t>Hermes International S.A. (RMS-FR)</t>
  </si>
  <si>
    <t>Scenario Assumptions — Revenue Growth Rates</t>
  </si>
  <si>
    <t>REVENUE SCHEDULE -SEGMENT BASED BOTTOM UP APPROACH</t>
  </si>
  <si>
    <t>Section A: Segment wise Revenue Data</t>
  </si>
  <si>
    <t>Leather Goods &amp; Saddlery</t>
  </si>
  <si>
    <t>Clothing &amp; Accessories</t>
  </si>
  <si>
    <t>Other Hermes Trades</t>
  </si>
  <si>
    <t>Silk &amp; Textiles</t>
  </si>
  <si>
    <t>Watchmaking</t>
  </si>
  <si>
    <t>Perfume &amp; Beauty</t>
  </si>
  <si>
    <t>Other</t>
  </si>
  <si>
    <t xml:space="preserve">All figures in millions </t>
  </si>
  <si>
    <t>of Euro</t>
  </si>
  <si>
    <t xml:space="preserve">Total </t>
  </si>
  <si>
    <t>YoY Growth (%)</t>
  </si>
  <si>
    <t>-</t>
  </si>
  <si>
    <t>Total Growth</t>
  </si>
  <si>
    <t>Segment Mix (%)</t>
  </si>
  <si>
    <t>Check (=100%)</t>
  </si>
  <si>
    <t>Historical Statistics</t>
  </si>
  <si>
    <t>3Y CAGR</t>
  </si>
  <si>
    <t>2Y CAGR</t>
  </si>
  <si>
    <t>3Y Avg</t>
  </si>
  <si>
    <t>Last Yr</t>
  </si>
  <si>
    <t>Total</t>
  </si>
  <si>
    <t>Section B: Growth Assumptions</t>
  </si>
  <si>
    <t>Growth Rate Assumptions</t>
  </si>
  <si>
    <t>(Blue = Input)</t>
  </si>
  <si>
    <t>Implied Total Growth</t>
  </si>
  <si>
    <t>Section C: Projected Segment Revenue</t>
  </si>
  <si>
    <t>Revenue by Segment (€M)</t>
  </si>
  <si>
    <t>Total Revenue</t>
  </si>
  <si>
    <t>5Y Projection CAGR (2024-2029)</t>
  </si>
  <si>
    <t>Section D: Consolidated Revenue Output</t>
  </si>
  <si>
    <t>Revenue Summary</t>
  </si>
  <si>
    <t>Total Revenue (€M)</t>
  </si>
  <si>
    <t>Historical 5Y CAGR (2020-2024)</t>
  </si>
  <si>
    <t>Historical 3Y CAGR (2021-2024)</t>
  </si>
  <si>
    <t>Projected 5Y CAGR (2024-2029)</t>
  </si>
  <si>
    <t>Revenue Growth Deceleration</t>
  </si>
  <si>
    <t>Change vs Prior Year (bps)</t>
  </si>
  <si>
    <t>Notes &amp; Assumptions</t>
  </si>
  <si>
    <t>1. All figures in €M unless otherwise stated</t>
  </si>
  <si>
    <t>2. Historical data sourced from Hermès Annual Reports (URD) 2020-2024</t>
  </si>
  <si>
    <t>3. Growth assumptions anchored to 2Y CAGR with fade toward long-term sustainable rates</t>
  </si>
  <si>
    <t>4. Leather Goods growth constrained by artisan training and workshop expansion capacity</t>
  </si>
  <si>
    <t>5. Watchmaking assumes gradual recovery from 2024 trough (-5.6% actual)</t>
  </si>
  <si>
    <t>6. FX assumptions: Constant currency (no FX impact modeled)</t>
  </si>
  <si>
    <t>7. Blue cells = Inputs (adjustable); Black cells = Formulas (calculated)</t>
  </si>
  <si>
    <t xml:space="preserve">Scenario Assumptions </t>
  </si>
  <si>
    <t>SECTION A : Historical Analysis</t>
  </si>
  <si>
    <t>Gross Proft($M)</t>
  </si>
  <si>
    <t>Gross Margin%</t>
  </si>
  <si>
    <t>1. Gross Margin is stable so excluding COVID year taking average of last 4 years</t>
  </si>
  <si>
    <t>Other Opex %</t>
  </si>
  <si>
    <t>SECTION A : Historical Analysis as % of Revenue</t>
  </si>
  <si>
    <t>Other Opex</t>
  </si>
  <si>
    <t>SG&amp;A</t>
  </si>
  <si>
    <t xml:space="preserve">Other Opex </t>
  </si>
  <si>
    <t>as % of Revenue</t>
  </si>
  <si>
    <t>WORKING CAPITAL SCHEDULE</t>
  </si>
  <si>
    <t>GROSS MARGIN CALCULATIONS</t>
  </si>
  <si>
    <t>OTHER OPEX, SG&amp;A CALCULATIONS</t>
  </si>
  <si>
    <t>WC Schedule</t>
  </si>
  <si>
    <t>Days in Period</t>
  </si>
  <si>
    <t>Accounts Receivables:</t>
  </si>
  <si>
    <t xml:space="preserve">Receivables </t>
  </si>
  <si>
    <t>Revenue/(Days in Period)</t>
  </si>
  <si>
    <t xml:space="preserve">*based on 2 yr avg </t>
  </si>
  <si>
    <t>Inventory:</t>
  </si>
  <si>
    <t>Inventory</t>
  </si>
  <si>
    <t>COGS</t>
  </si>
  <si>
    <t>COGS/(Days in Period)</t>
  </si>
  <si>
    <t>Accounts Payables:</t>
  </si>
  <si>
    <t>Purchases</t>
  </si>
  <si>
    <t>Payables</t>
  </si>
  <si>
    <t>Purchases/(Days in Period)</t>
  </si>
  <si>
    <t>DIO (Days)</t>
  </si>
  <si>
    <t xml:space="preserve">Other Current Assets </t>
  </si>
  <si>
    <t xml:space="preserve">as % of Revenue </t>
  </si>
  <si>
    <t>Avg. (Last 4 years)</t>
  </si>
  <si>
    <t>CAPEX &amp; PP&amp;E SCHEDULE</t>
  </si>
  <si>
    <t xml:space="preserve">SECTION A : Capex as % of Revenue </t>
  </si>
  <si>
    <t xml:space="preserve">Capex </t>
  </si>
  <si>
    <t>Avg. (Last 2 years)</t>
  </si>
  <si>
    <t>Beginning Net PP&amp;E</t>
  </si>
  <si>
    <t xml:space="preserve">     (+) Capex</t>
  </si>
  <si>
    <t xml:space="preserve">     (-) Depreciation</t>
  </si>
  <si>
    <t>Ending Net PP&amp;E</t>
  </si>
  <si>
    <t>SECTION C: PP&amp;E Calculations</t>
  </si>
  <si>
    <t xml:space="preserve">SECTION B : Depreciation as % of Beg. PPE  </t>
  </si>
  <si>
    <t xml:space="preserve">PPE </t>
  </si>
  <si>
    <t xml:space="preserve">Dep. as % </t>
  </si>
  <si>
    <t>Depreciation (% of Beg. PPE )</t>
  </si>
  <si>
    <t>Depreciation %</t>
  </si>
  <si>
    <t>DEPRECIATION SCHEDULE</t>
  </si>
  <si>
    <t>SECTION A : Depreciation as % of Beg. PPE  (Historical)</t>
  </si>
  <si>
    <t>Depreciation</t>
  </si>
  <si>
    <t>Depreciation as %</t>
  </si>
  <si>
    <t>SECTION B :  Projected Period</t>
  </si>
  <si>
    <t xml:space="preserve">Beg. PPE </t>
  </si>
  <si>
    <t>DEBT SCHEDULE</t>
  </si>
  <si>
    <t>SECTION A :Historical Debt Analysis</t>
  </si>
  <si>
    <t>ST Debt</t>
  </si>
  <si>
    <t>LT Debt</t>
  </si>
  <si>
    <t>Total Debt</t>
  </si>
  <si>
    <t xml:space="preserve">Cash </t>
  </si>
  <si>
    <t>Net Cash</t>
  </si>
  <si>
    <t>SECTION B : Projected Debt</t>
  </si>
  <si>
    <t xml:space="preserve">Debt </t>
  </si>
  <si>
    <t>* Holding flat as hermes is essentially zero debt</t>
  </si>
  <si>
    <t>SECTION C : Projected Interest Expense</t>
  </si>
  <si>
    <t>Interest Expense %</t>
  </si>
  <si>
    <t>*as % of total debt last 2 yrs</t>
  </si>
  <si>
    <t>INCOME TAX PAYABLE CALCULATIONS</t>
  </si>
  <si>
    <t>SECTION A :Historical  Analysis</t>
  </si>
  <si>
    <t>Income Tax Expense</t>
  </si>
  <si>
    <t>ITP as %</t>
  </si>
  <si>
    <t xml:space="preserve">ITP Avg. </t>
  </si>
  <si>
    <t>TAX SCHEDULE</t>
  </si>
  <si>
    <t>Tax Expense</t>
  </si>
  <si>
    <t xml:space="preserve">ETR </t>
  </si>
  <si>
    <t>Note: Since Hermes is profitable and ETR is stable taking the average</t>
  </si>
  <si>
    <t xml:space="preserve">Avg. ETR : </t>
  </si>
  <si>
    <t>OTHER CL ASSUMPTIONS</t>
  </si>
  <si>
    <t>Other CL</t>
  </si>
  <si>
    <t>Other CL %</t>
  </si>
  <si>
    <t xml:space="preserve">Average 3Y </t>
  </si>
  <si>
    <t>*stabilized in last 3 years</t>
  </si>
  <si>
    <t>EQUITY SCHEDULE</t>
  </si>
  <si>
    <t>SECTION A : Historical Dividend Analysis</t>
  </si>
  <si>
    <t>Dividends</t>
  </si>
  <si>
    <t xml:space="preserve">NI </t>
  </si>
  <si>
    <t>Dividend Payout %</t>
  </si>
  <si>
    <t>* Taking normalized avg 2020,2022,2023</t>
  </si>
  <si>
    <t>Avg. Dividend Payout %</t>
  </si>
  <si>
    <t>SECTION B: Equity Schedule</t>
  </si>
  <si>
    <t>Beginning Equity</t>
  </si>
  <si>
    <t>Ending Equity</t>
  </si>
  <si>
    <t xml:space="preserve">     (+) NI</t>
  </si>
  <si>
    <t xml:space="preserve">     (-) Dividends</t>
  </si>
  <si>
    <t>OTHER FUNDS CALCULATION</t>
  </si>
  <si>
    <t>SECTION A : Historical  Analysis</t>
  </si>
  <si>
    <t xml:space="preserve">Revenue </t>
  </si>
  <si>
    <t>as % of revenue</t>
  </si>
  <si>
    <t>* Taking avg. for 2020-23 as '24 seems like outlier</t>
  </si>
  <si>
    <t xml:space="preserve">Avg. </t>
  </si>
  <si>
    <t>Other Assumptions</t>
  </si>
  <si>
    <t>Other Funds (as % of Revenue)</t>
  </si>
  <si>
    <t>Capex as % of Revenue</t>
  </si>
  <si>
    <t xml:space="preserve">Divident Payout % </t>
  </si>
  <si>
    <t xml:space="preserve">OPERATING LEASES </t>
  </si>
  <si>
    <t>Operating Leases</t>
  </si>
  <si>
    <t>as % of D&amp;A</t>
  </si>
  <si>
    <t xml:space="preserve">5 Y Avg. </t>
  </si>
  <si>
    <t>Operating Leases(% of D&amp;A)</t>
  </si>
  <si>
    <t xml:space="preserve">     (-) Change in Cap stock</t>
  </si>
  <si>
    <t>Capital stock Change</t>
  </si>
  <si>
    <t>SECTION B : Historical Capital Stock Analysis</t>
  </si>
  <si>
    <t>INTEGRATION CHECK</t>
  </si>
  <si>
    <t>STATUS</t>
  </si>
  <si>
    <t>CHECK</t>
  </si>
  <si>
    <t>DESCRIPTION</t>
  </si>
  <si>
    <t>Balance Sheet Balances</t>
  </si>
  <si>
    <t>Assets = Liabilities + Equity</t>
  </si>
  <si>
    <t>Net Income → Cash Flow</t>
  </si>
  <si>
    <t>NI (IS) = NI (CF Statement)</t>
  </si>
  <si>
    <t>D&amp;A Consistency</t>
  </si>
  <si>
    <t>D&amp;A (IS) = D&amp;A (CF add-back)</t>
  </si>
  <si>
    <t>Note:</t>
  </si>
  <si>
    <t>Differences should be 0.000 (small rounding OK). Non-zero = broken link.</t>
  </si>
  <si>
    <t xml:space="preserve">Hermes International S.A. </t>
  </si>
  <si>
    <t xml:space="preserve">DCF VALUATION </t>
  </si>
  <si>
    <t>SECTION 1: CAPITAL STRUCTURE</t>
  </si>
  <si>
    <t>Cost of Equity (CAPM):</t>
  </si>
  <si>
    <t>Cost of Debt:</t>
  </si>
  <si>
    <t>Pre-tax Cost of Debt (Kd)</t>
  </si>
  <si>
    <t>Equity risk premium (ERP)</t>
  </si>
  <si>
    <t>Tax rate</t>
  </si>
  <si>
    <t>Beta (Levered)</t>
  </si>
  <si>
    <t>After-Tax Cost of Debt</t>
  </si>
  <si>
    <t xml:space="preserve">Cost of Equity(Ke) </t>
  </si>
  <si>
    <t xml:space="preserve">Weight of Equity </t>
  </si>
  <si>
    <t xml:space="preserve">Weight of Debt </t>
  </si>
  <si>
    <t xml:space="preserve">Weighted Average Cost of Capital </t>
  </si>
  <si>
    <t xml:space="preserve">SECTION 2: FREE CASH FLOW SCHEDULE </t>
  </si>
  <si>
    <t xml:space="preserve">EBIT </t>
  </si>
  <si>
    <t xml:space="preserve">    % Margin</t>
  </si>
  <si>
    <t>Less: Taxes on EBIT</t>
  </si>
  <si>
    <t>NOPAT (EBIT x (1-Tax rate)</t>
  </si>
  <si>
    <t>Plus: D&amp;A</t>
  </si>
  <si>
    <t>Less: CapEx</t>
  </si>
  <si>
    <t xml:space="preserve">Less: Change in NWC </t>
  </si>
  <si>
    <t xml:space="preserve">Unlevered Free Cash Flow </t>
  </si>
  <si>
    <t xml:space="preserve">          % Conversion (UCF/NOPAT)</t>
  </si>
  <si>
    <t xml:space="preserve">SECTION 3: DISCOUNTING &amp; PRESENT VALUE  </t>
  </si>
  <si>
    <t xml:space="preserve">Discount Period (Mid Year Convention) </t>
  </si>
  <si>
    <t>Discount Factor</t>
  </si>
  <si>
    <t>PV of FCF</t>
  </si>
  <si>
    <t>Sum of FCF</t>
  </si>
  <si>
    <t>SECTION 4: TERMINAL VALUE CALCULATION</t>
  </si>
  <si>
    <t xml:space="preserve">Perpetual Growth Method </t>
  </si>
  <si>
    <t>Terminal Year FCF (2029E)</t>
  </si>
  <si>
    <t>Perpetual Growth Rate</t>
  </si>
  <si>
    <t>Terminal Value (Perpetuity)</t>
  </si>
  <si>
    <t>PV of Terminal Value</t>
  </si>
  <si>
    <t>SECTION 5: ENTERPRISE VALUE TO EQUITY VALUE</t>
  </si>
  <si>
    <t>Sum of PV of FCF</t>
  </si>
  <si>
    <t>Enterprise Value</t>
  </si>
  <si>
    <t>Less: Total Debt</t>
  </si>
  <si>
    <t>Plus: Cash &amp; Equivalents</t>
  </si>
  <si>
    <t>Less: Minority Interest</t>
  </si>
  <si>
    <t>Less: Preferred Stock</t>
  </si>
  <si>
    <t>Plus: Equity Investments</t>
  </si>
  <si>
    <t>Equity Value</t>
  </si>
  <si>
    <t>Shares Outstanding (mm)</t>
  </si>
  <si>
    <t>Implied Share Price ($)</t>
  </si>
  <si>
    <t>Fully Diluted Shares Outstanding(mm)</t>
  </si>
  <si>
    <t>Implied Share Price -Diluted ($)</t>
  </si>
  <si>
    <t>Exit multiple Method</t>
  </si>
  <si>
    <t>Terminal Year EBITDA (2029E)</t>
  </si>
  <si>
    <t>Exit EV/EBITDA Multiple</t>
  </si>
  <si>
    <t xml:space="preserve">Terminal Value </t>
  </si>
  <si>
    <t>Perpetual Growth Method</t>
  </si>
  <si>
    <t>TRADING COMPARABLES ANALYSIS</t>
  </si>
  <si>
    <t>All figures in EUR millions unless stated otherwise</t>
  </si>
  <si>
    <t>SECTION 1: COMPANY OVERVIEW &amp; MARKET DATA</t>
  </si>
  <si>
    <t>Company</t>
  </si>
  <si>
    <t>Ticker</t>
  </si>
  <si>
    <t>Exchange</t>
  </si>
  <si>
    <t>Currency</t>
  </si>
  <si>
    <t>Share Price</t>
  </si>
  <si>
    <t>Shares Out. (mm)</t>
  </si>
  <si>
    <t>Market Cap (€mm)</t>
  </si>
  <si>
    <t>(+) Total Debt (€mm)</t>
  </si>
  <si>
    <t>(-) Cash (€mm)</t>
  </si>
  <si>
    <t>Enterprise Value (€mm)</t>
  </si>
  <si>
    <t>Hermès International</t>
  </si>
  <si>
    <t>RMS FP</t>
  </si>
  <si>
    <t>Euronext Paris</t>
  </si>
  <si>
    <t>EUR</t>
  </si>
  <si>
    <t>LVMH Moët Hennessy</t>
  </si>
  <si>
    <t>MC FP</t>
  </si>
  <si>
    <t>Richemont</t>
  </si>
  <si>
    <t>CFR SW</t>
  </si>
  <si>
    <t>SIX Swiss Exchange</t>
  </si>
  <si>
    <t>CHF</t>
  </si>
  <si>
    <t>SECTION 2: FINANCIAL SUMMARY (LTM &amp; 2025E)</t>
  </si>
  <si>
    <t>Revenue (€mm)</t>
  </si>
  <si>
    <t>EBITDA (€mm)</t>
  </si>
  <si>
    <t>EBITDA Margin</t>
  </si>
  <si>
    <t>EBIT (€mm)</t>
  </si>
  <si>
    <t>EBIT Margin</t>
  </si>
  <si>
    <t>Net Income (€mm)</t>
  </si>
  <si>
    <t>EPS (€)</t>
  </si>
  <si>
    <t>LTM</t>
  </si>
  <si>
    <t>SECTION 3: TRADING MULTIPLES</t>
  </si>
  <si>
    <t>EV / Revenue</t>
  </si>
  <si>
    <t>EV / EBITDA</t>
  </si>
  <si>
    <t>EV / EBIT</t>
  </si>
  <si>
    <t>P / E</t>
  </si>
  <si>
    <t>—  Peer Summary Statistics (Comps Only — Excl. Hermès)  —</t>
  </si>
  <si>
    <t>Mean</t>
  </si>
  <si>
    <t>Median</t>
  </si>
  <si>
    <t>High</t>
  </si>
  <si>
    <t>Low</t>
  </si>
  <si>
    <t>SECTION 4: IMPLIED VALUATION FOR HERMÈS</t>
  </si>
  <si>
    <t>Multiple Basis</t>
  </si>
  <si>
    <t>EV/Rev LTM</t>
  </si>
  <si>
    <t>EV/Rev 2025E</t>
  </si>
  <si>
    <t>EV/EBITDA LTM</t>
  </si>
  <si>
    <t>EV/EBITDA 2025E</t>
  </si>
  <si>
    <t>EV/EBIT LTM</t>
  </si>
  <si>
    <t>EV/EBIT 2025E</t>
  </si>
  <si>
    <t>P/E LTM</t>
  </si>
  <si>
    <t>P/E 2025E</t>
  </si>
  <si>
    <t>Median Multiple Applied</t>
  </si>
  <si>
    <t>Hermès Metric (€mm)</t>
  </si>
  <si>
    <t>Implied Enterprise Value (€mm)</t>
  </si>
  <si>
    <t>Implied Equity Value (€mm)</t>
  </si>
  <si>
    <t>Implied Share Price (€)</t>
  </si>
  <si>
    <t>Notes: (1) Blue cells = manual inputs. (2) Margin % and multiples auto-calculate upon data entry. (3) EV-based multiples = EV / respective metric. (4) P/E = Market Cap / Net Income. (5) Kering multiples should be interpreted cautiously given recent Gucci-driven earnings compression.</t>
  </si>
  <si>
    <t>Delta</t>
  </si>
  <si>
    <t>Mid</t>
  </si>
  <si>
    <t>WACC</t>
  </si>
  <si>
    <t>HERMÈS INTERNATIONAL</t>
  </si>
  <si>
    <t>Equity Research  |  Executive Summary  |  Valuation Analysis</t>
  </si>
  <si>
    <t>RMS FP  |  Euronext Paris</t>
  </si>
  <si>
    <t>CURRENT PRICE</t>
  </si>
  <si>
    <t>MARKET CAP (€bn)</t>
  </si>
  <si>
    <t>LTM REVENUE (€bn)</t>
  </si>
  <si>
    <t>€1,897.50</t>
  </si>
  <si>
    <t>€16.0</t>
  </si>
  <si>
    <t>RMS FP Equity</t>
  </si>
  <si>
    <t>105.6mm shares</t>
  </si>
  <si>
    <t>5Y CAGR: 18.9%</t>
  </si>
  <si>
    <t>Ke: 9.4% | Kd: 0%</t>
  </si>
  <si>
    <t>REVENUE &amp; EBITDA TRAJECTORY (€mm)</t>
  </si>
  <si>
    <t>MARGIN EVOLUTION (%)</t>
  </si>
  <si>
    <t>EBITDA</t>
  </si>
  <si>
    <t>Gross Margin</t>
  </si>
  <si>
    <t>Net Margin</t>
  </si>
  <si>
    <t>VALUATION FOOTBALL FIELD — IMPLIED SHARE PRICE (€)</t>
  </si>
  <si>
    <t>DCF KEY ASSUMPTIONS &amp; OUTPUT</t>
  </si>
  <si>
    <t xml:space="preserve">  CAPITAL STRUCTURE</t>
  </si>
  <si>
    <t xml:space="preserve">  TERMINAL VALUE</t>
  </si>
  <si>
    <t xml:space="preserve">  Equity Risk Premium</t>
  </si>
  <si>
    <t xml:space="preserve">  Exit EV/EBITDA</t>
  </si>
  <si>
    <t>16.6x</t>
  </si>
  <si>
    <t xml:space="preserve">  Levered Beta</t>
  </si>
  <si>
    <t>1.23x</t>
  </si>
  <si>
    <t xml:space="preserve">  Terminal Value (PV)</t>
  </si>
  <si>
    <t>€66.0bn</t>
  </si>
  <si>
    <t xml:space="preserve">  Cost of Equity (Ke)</t>
  </si>
  <si>
    <t xml:space="preserve">  WACC</t>
  </si>
  <si>
    <t xml:space="preserve">  IMPLIED SHARE PRICE</t>
  </si>
  <si>
    <t xml:space="preserve">  DCF Perpetuity</t>
  </si>
  <si>
    <t>€944</t>
  </si>
  <si>
    <t xml:space="preserve">  DCF Exit Multiple</t>
  </si>
  <si>
    <t>€1,511</t>
  </si>
  <si>
    <t xml:space="preserve">  Trading Comps</t>
  </si>
  <si>
    <t xml:space="preserve">  Current Price</t>
  </si>
  <si>
    <t>€1,898</t>
  </si>
  <si>
    <t>SENSITIVITY ANALYSIS — WACC vs. PERPETUAL GROWTH RATE</t>
  </si>
  <si>
    <t>PEER TRADING MULTIPLES (LTM)</t>
  </si>
  <si>
    <t>EV/Rev</t>
  </si>
  <si>
    <t>EV/EBITDA</t>
  </si>
  <si>
    <t>EV/EBIT</t>
  </si>
  <si>
    <t>P/E</t>
  </si>
  <si>
    <t>Mkt Cap (€bn)</t>
  </si>
  <si>
    <t xml:space="preserve">  Hermès</t>
  </si>
  <si>
    <t>11.7x</t>
  </si>
  <si>
    <t>22.8x</t>
  </si>
  <si>
    <t>25.7x</t>
  </si>
  <si>
    <t>43.1x</t>
  </si>
  <si>
    <t xml:space="preserve">  LVMH</t>
  </si>
  <si>
    <t>3.2x</t>
  </si>
  <si>
    <t>10.6x</t>
  </si>
  <si>
    <t>14.5x</t>
  </si>
  <si>
    <t>23.0x</t>
  </si>
  <si>
    <t xml:space="preserve">  Richemont</t>
  </si>
  <si>
    <t>3.5x</t>
  </si>
  <si>
    <t>12.4x</t>
  </si>
  <si>
    <t>17.1x</t>
  </si>
  <si>
    <t>22.4x</t>
  </si>
  <si>
    <t xml:space="preserve">  Peer Median</t>
  </si>
  <si>
    <t>3.4x</t>
  </si>
  <si>
    <t>11.5x</t>
  </si>
  <si>
    <t>15.8x</t>
  </si>
  <si>
    <t>22.7x</t>
  </si>
  <si>
    <t xml:space="preserve">  CONFIDENTIAL — FOR INTERNAL USE ONLY</t>
  </si>
  <si>
    <t xml:space="preserve">All figures are in EUR unless stated otherwise  </t>
  </si>
  <si>
    <t xml:space="preserve">VALUATION SUMMARY </t>
  </si>
  <si>
    <t>VALUATION GRAPHING DATA</t>
  </si>
  <si>
    <t xml:space="preserve">Low </t>
  </si>
  <si>
    <t xml:space="preserve">All figures are in millions of euros </t>
  </si>
  <si>
    <t>EV Chart Data</t>
  </si>
  <si>
    <t>SP Chart Data</t>
  </si>
  <si>
    <t>HighLabel</t>
  </si>
  <si>
    <t>Method</t>
  </si>
  <si>
    <t xml:space="preserve">SENSITIVITY ANALYSIS </t>
  </si>
  <si>
    <t>WACC vs. PERPETUAL GROWTH RATE</t>
  </si>
  <si>
    <t>Implied Price (Diluted)</t>
  </si>
  <si>
    <t>GROWTH RATE</t>
  </si>
  <si>
    <t>WACC vs EXIT MULTIPLE</t>
  </si>
  <si>
    <t>EXIT MULTIPLE (EV/EBITDA)</t>
  </si>
  <si>
    <t>Hermes International S.A.  |  Data Sources, Market Inputs, Methodology &amp; Audit Trail</t>
  </si>
  <si>
    <t>Hermes International S.A</t>
  </si>
  <si>
    <t>ENTERPRISE VALUE (€bn)</t>
  </si>
  <si>
    <t>Hermès Annual Report 2024</t>
  </si>
  <si>
    <t>Company Filing</t>
  </si>
  <si>
    <t>IS, BS, CF statements; segment data</t>
  </si>
  <si>
    <t>https://finance.hermes.com/en/annual-reports</t>
  </si>
  <si>
    <t>Hermès Universal Registration Document</t>
  </si>
  <si>
    <t>Full financials; MD&amp;A; risk factors</t>
  </si>
  <si>
    <t>Historical Financials, Forecast</t>
  </si>
  <si>
    <t>https://finance.hermes.com/en/regulated-information</t>
  </si>
  <si>
    <t>Hermès Investor Relations</t>
  </si>
  <si>
    <t>Company IR</t>
  </si>
  <si>
    <t>Earnings releases, investor presentations, KPIs</t>
  </si>
  <si>
    <t>Historical Analysis, Assumptions</t>
  </si>
  <si>
    <t>https://finance.hermes.com/en/</t>
  </si>
  <si>
    <t>FactSet</t>
  </si>
  <si>
    <t>Terminal</t>
  </si>
  <si>
    <t>Beta, trading data, consensus estimates, ERP</t>
  </si>
  <si>
    <t>DCF Valuation, Trading Comps</t>
  </si>
  <si>
    <t>FactSet: RMS-FR</t>
  </si>
  <si>
    <t>Bloomberg Terminal</t>
  </si>
  <si>
    <t>Market data, trading multiples, comps</t>
  </si>
  <si>
    <t>Trading Comps, Valuation Summary</t>
  </si>
  <si>
    <t>European Central Bank</t>
  </si>
  <si>
    <t>Govt</t>
  </si>
  <si>
    <t>Risk-free rate (Euro Govt Bond Yield)</t>
  </si>
  <si>
    <t>https://www.ecb.europa.eu/stats/</t>
  </si>
  <si>
    <t>Bain &amp; Company Luxury Report</t>
  </si>
  <si>
    <t>3rd Party</t>
  </si>
  <si>
    <t>Luxury market sizing, growth trends</t>
  </si>
  <si>
    <t>Bain Global Luxury Market Study 2024</t>
  </si>
  <si>
    <t>LVMH, Kering, Richemont Filings</t>
  </si>
  <si>
    <t>Peer financials for comparable analysis</t>
  </si>
  <si>
    <t>Company IR websites</t>
  </si>
  <si>
    <t>10-Year Euro Govt Bond Yield (Bund)</t>
  </si>
  <si>
    <t>DCF: WACC</t>
  </si>
  <si>
    <t>FactSet implied ERP for Eurozone</t>
  </si>
  <si>
    <t>FactSet 5Y monthly regression vs. Euro Stoxx</t>
  </si>
  <si>
    <t>Long-run nominal Eurozone GDP proxy</t>
  </si>
  <si>
    <t>DCF: Terminal Value</t>
  </si>
  <si>
    <t>Blended French corporate tax rate</t>
  </si>
  <si>
    <t>DCF: NOPAT</t>
  </si>
  <si>
    <t>FY2024</t>
  </si>
  <si>
    <t>€1.5tn</t>
  </si>
  <si>
    <t>Bain Global Luxury Market Size 2024</t>
  </si>
  <si>
    <t>Forecast: Revenue</t>
  </si>
  <si>
    <t>€17.9bn</t>
  </si>
  <si>
    <t>FactSet consensus FY25E Revenue</t>
  </si>
  <si>
    <t>Benchmark</t>
  </si>
  <si>
    <t>€51.20</t>
  </si>
  <si>
    <t>FactSet consensus FY25E EPS</t>
  </si>
  <si>
    <t>DCF Valuation, D9</t>
  </si>
  <si>
    <t>Risk-free rate based on 10Y German Bund yield; Euro-denominated model</t>
  </si>
  <si>
    <t>Core WACC input</t>
  </si>
  <si>
    <t>DCF Valuation, D11</t>
  </si>
  <si>
    <t>Beta sourced from FactSet 5Y monthly regression vs. Euro Stoxx 50; R-sq = 0.68</t>
  </si>
  <si>
    <t>Affects Ke and WACC</t>
  </si>
  <si>
    <t>Master Assumptions, J38</t>
  </si>
  <si>
    <t>Terminal growth = 2.5% reflects long-term Eurozone nominal GDP; conservative for luxury</t>
  </si>
  <si>
    <t>Terminal value driver</t>
  </si>
  <si>
    <t>DCF Valuation, D51</t>
  </si>
  <si>
    <t>SBC added back to FCF as non-cash; dilution captured via fully diluted shares</t>
  </si>
  <si>
    <t>Increases UCF</t>
  </si>
  <si>
    <t>Forecast Model, Revenue</t>
  </si>
  <si>
    <t>Revenue growth driven by pricing power + volume; Asia-Pacific expansion assumed</t>
  </si>
  <si>
    <t>Core revenue driver</t>
  </si>
  <si>
    <t>Historical Financials, Margins</t>
  </si>
  <si>
    <t>Gross margin held flat at 71.7% historical average; reflects pricing discipline</t>
  </si>
  <si>
    <t>Margin stability</t>
  </si>
  <si>
    <t>Trading Comps, Multiples</t>
  </si>
  <si>
    <t>EV/EBITDA exit multiple of 16.6x based on peer median from Bloomberg</t>
  </si>
  <si>
    <t>Alternative TV method</t>
  </si>
  <si>
    <t>Master Assumptions, CapEx</t>
  </si>
  <si>
    <t>CapEx as 6.7% of revenue; includes store expansions and production facilities</t>
  </si>
  <si>
    <t>FCF reduction</t>
  </si>
  <si>
    <t>Supporting Schedules, NWC</t>
  </si>
  <si>
    <t>Working capital based on historical DSO/DIO/DPO averages; luxury inventory cycle</t>
  </si>
  <si>
    <t>Cash conversion</t>
  </si>
  <si>
    <t>DCF Valuation, Shares</t>
  </si>
  <si>
    <t>Unlevered DCF with perpetuity growth &amp; exit multiple terminal values; mid-year convention applied</t>
  </si>
  <si>
    <t>CAPM-based Ke (Rf + β × ERP); 100% equity weight reflects near-zero net debt position</t>
  </si>
  <si>
    <t>Revenue driven by 11.9% FY25 growth tapering to 7.9% by FY29; reflects luxury market maturation</t>
  </si>
  <si>
    <t>Gross margin held constant at 71.7%; EBITDA margin ~42% reflecting operational excellence</t>
  </si>
  <si>
    <t>DSO 12 days, DIO 237 days (leather goods inventory), DPO 55 days; NWC as % of revenue delta</t>
  </si>
  <si>
    <t>CapEx at 6.7% of revenue; includes retail expansion, production capacity, and digital investment</t>
  </si>
  <si>
    <t>SBC added back to FCF as non-cash expense; share dilution captured in fully diluted share count</t>
  </si>
  <si>
    <t>Effective tax rate of 29% maintained; reflects French corporate tax regime</t>
  </si>
  <si>
    <t>Gordon growth model at 2.5% perpetuity (Eurozone GDP proxy); Exit multiple at 16.6x EV/EBITDA</t>
  </si>
  <si>
    <t>DCF, Sensitivity</t>
  </si>
  <si>
    <t>Bull/Base/Bear scenarios via CHOOSE function; assumptions linked from Master Assumptions tab</t>
  </si>
  <si>
    <t>Fully Diluted Shares</t>
  </si>
  <si>
    <t>Luxury TAM ($bn)</t>
  </si>
  <si>
    <t>Equity Value Bridge</t>
  </si>
  <si>
    <t>SECTION 5: VALUATION</t>
  </si>
  <si>
    <t>SECTION 6: OUTPUTS &amp; ANALYSIS</t>
  </si>
  <si>
    <t>SECTION 7: REFERENCE &amp; DATA</t>
  </si>
  <si>
    <t>Equity Valuation &amp; Financial Analysis</t>
  </si>
  <si>
    <t>RMS FP  |  Euronext Paris  |  Luxury Goods</t>
  </si>
  <si>
    <t>Confidential</t>
  </si>
  <si>
    <t>This document is prepared for informational purposes only and does not constitute investment advice. All projections are based on assumptions that may not reflect actual future performance. Please refer to Sources &amp; Footnotes for full methodology and disclaimers.</t>
  </si>
  <si>
    <t>Prepared by</t>
  </si>
  <si>
    <t>Sources</t>
  </si>
  <si>
    <t>Company Filings (finance.hermes.com), FactSet, Bloomberg</t>
  </si>
  <si>
    <t>Classification</t>
  </si>
  <si>
    <t>Model Type</t>
  </si>
  <si>
    <t>DCF Valuation  |  Trading Comps  |  Scenario Analysis</t>
  </si>
  <si>
    <t>Divij Budhiraja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</si>
</sst>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_(* \(#,##0\);_(* &quot;-&quot;_);_(@_)"/>
    <numFmt numFmtId="43" formatCode="_(* #,##0.00_);_(* \(#,##0.00\);_(* &quot;-&quot;??_);_(@_)"/>
    <numFmt numFmtId="164" formatCode="0.0&quot;x&quot;"/>
    <numFmt numFmtId="165" formatCode="_(* #,##0.00_);_(* \(#,##0.00\);_(* &quot;-&quot;_);_(@_)"/>
    <numFmt numFmtId="166" formatCode="0.0%"/>
    <numFmt numFmtId="167" formatCode="0.0"/>
    <numFmt numFmtId="168" formatCode="_(* #,##0_);_(* \(#,##0\);_(* &quot;-&quot;??_);_(@_)"/>
    <numFmt numFmtId="169" formatCode="#,##0.0"/>
    <numFmt numFmtId="170" formatCode="0.0\x"/>
    <numFmt numFmtId="171" formatCode="\€#,##0.00"/>
    <numFmt numFmtId="172" formatCode="&quot;$&quot;#,##0.00"/>
    <numFmt numFmtId="173" formatCode="[$€-2]\ #,##0;[Red]\-[$€-2]\ #,##0"/>
    <numFmt numFmtId="174" formatCode="_([$€-2]\ * #,##0.00_);_([$€-2]\ * \(#,##0.00\);_([$€-2]\ * &quot;-&quot;??_);_(@_)"/>
  </numFmts>
  <fonts count="125" x14ac:knownFonts="1">
    <font>
      <sz val="12"/>
      <color theme="1"/>
      <name val="Aptos Narrow"/>
      <family val="2"/>
      <scheme val="minor"/>
    </font>
    <font>
      <b/>
      <sz val="22"/>
      <color rgb="FFFFFFFF"/>
      <name val="Arial"/>
      <family val="2"/>
    </font>
    <font>
      <sz val="16"/>
      <color rgb="FFFFFFFF"/>
      <name val="Arial"/>
      <family val="2"/>
    </font>
    <font>
      <sz val="10"/>
      <color rgb="FF4472C4"/>
      <name val="Arial"/>
      <family val="2"/>
    </font>
    <font>
      <b/>
      <sz val="14"/>
      <color rgb="FFC00000"/>
      <name val="Arial"/>
      <family val="2"/>
    </font>
    <font>
      <sz val="11"/>
      <color rgb="FFB4C6E7"/>
      <name val="Arial"/>
      <family val="2"/>
    </font>
    <font>
      <b/>
      <sz val="18"/>
      <color rgb="FF1B2A4A"/>
      <name val="Arial"/>
      <family val="2"/>
    </font>
    <font>
      <sz val="12"/>
      <color rgb="FF4472C4"/>
      <name val="Arial"/>
      <family val="2"/>
    </font>
    <font>
      <sz val="10"/>
      <color rgb="FF333333"/>
      <name val="Arial"/>
      <family val="2"/>
    </font>
    <font>
      <b/>
      <sz val="10"/>
      <color rgb="FFBF8F00"/>
      <name val="Arial"/>
      <family val="2"/>
    </font>
    <font>
      <sz val="10"/>
      <color theme="1"/>
      <name val="Arial"/>
      <family val="2"/>
    </font>
    <font>
      <b/>
      <sz val="10"/>
      <color rgb="FF0000FF"/>
      <name val="Arial"/>
      <family val="2"/>
    </font>
    <font>
      <b/>
      <sz val="10"/>
      <color rgb="FF000000"/>
      <name val="Arial"/>
      <family val="2"/>
    </font>
    <font>
      <b/>
      <sz val="10"/>
      <color rgb="FF008000"/>
      <name val="Arial"/>
      <family val="2"/>
    </font>
    <font>
      <b/>
      <sz val="10"/>
      <color rgb="FFFF0000"/>
      <name val="Arial"/>
      <family val="2"/>
    </font>
    <font>
      <sz val="12"/>
      <color rgb="FF002060"/>
      <name val="Aptos Narrow"/>
      <family val="2"/>
      <scheme val="minor"/>
    </font>
    <font>
      <sz val="10"/>
      <color rgb="FF0000FF"/>
      <name val="Arial"/>
      <family val="2"/>
    </font>
    <font>
      <sz val="12"/>
      <color rgb="FF0000FF"/>
      <name val="Aptos Narrow"/>
      <family val="2"/>
      <scheme val="minor"/>
    </font>
    <font>
      <b/>
      <sz val="12"/>
      <color theme="1"/>
      <name val="Aptos Narrow"/>
      <family val="2"/>
      <scheme val="minor"/>
    </font>
    <font>
      <b/>
      <sz val="14"/>
      <color theme="0"/>
      <name val="Aptos Narrow"/>
      <scheme val="minor"/>
    </font>
    <font>
      <b/>
      <sz val="12"/>
      <color theme="1"/>
      <name val="Aptos Narrow"/>
      <scheme val="minor"/>
    </font>
    <font>
      <b/>
      <u/>
      <sz val="12"/>
      <color theme="1"/>
      <name val="Aptos Narrow"/>
      <family val="2"/>
      <scheme val="minor"/>
    </font>
    <font>
      <sz val="11"/>
      <color rgb="FF000000"/>
      <name val="Aptos Narrow"/>
      <scheme val="minor"/>
    </font>
    <font>
      <b/>
      <sz val="14"/>
      <color rgb="FFFFFFFF"/>
      <name val="Aptos Narrow"/>
      <scheme val="minor"/>
    </font>
    <font>
      <i/>
      <sz val="10"/>
      <color rgb="FF1F4E79"/>
      <name val="Aptos Narrow"/>
      <scheme val="minor"/>
    </font>
    <font>
      <b/>
      <sz val="11"/>
      <color rgb="FF000000"/>
      <name val="Aptos Narrow"/>
      <scheme val="minor"/>
    </font>
    <font>
      <b/>
      <sz val="11"/>
      <color rgb="FFFFFFFF"/>
      <name val="Aptos Narrow"/>
      <scheme val="minor"/>
    </font>
    <font>
      <b/>
      <sz val="10"/>
      <color rgb="FF000000"/>
      <name val="Aptos Narrow"/>
      <scheme val="minor"/>
    </font>
    <font>
      <i/>
      <sz val="10"/>
      <color rgb="FF808080"/>
      <name val="Aptos Narrow"/>
      <scheme val="minor"/>
    </font>
    <font>
      <sz val="10"/>
      <color rgb="FF000000"/>
      <name val="Aptos Narrow"/>
      <scheme val="minor"/>
    </font>
    <font>
      <sz val="10"/>
      <color rgb="FF0000FF"/>
      <name val="Aptos Narrow"/>
      <scheme val="minor"/>
    </font>
    <font>
      <b/>
      <sz val="10"/>
      <color rgb="FF1F4E79"/>
      <name val="Aptos Narrow"/>
      <scheme val="minor"/>
    </font>
    <font>
      <sz val="10"/>
      <color rgb="FF808080"/>
      <name val="Aptos Narrow"/>
      <scheme val="minor"/>
    </font>
    <font>
      <sz val="12"/>
      <color theme="1"/>
      <name val="Aptos Narrow"/>
      <family val="2"/>
      <scheme val="minor"/>
    </font>
    <font>
      <i/>
      <sz val="12"/>
      <color theme="1"/>
      <name val="Aptos Narrow"/>
      <scheme val="minor"/>
    </font>
    <font>
      <sz val="12"/>
      <color rgb="FF0000FF"/>
      <name val="Aptos Narrow"/>
      <scheme val="minor"/>
    </font>
    <font>
      <sz val="12"/>
      <color theme="1"/>
      <name val="Aptos Narrow"/>
      <scheme val="minor"/>
    </font>
    <font>
      <b/>
      <sz val="12"/>
      <color theme="0"/>
      <name val="Aptos Narrow"/>
      <scheme val="minor"/>
    </font>
    <font>
      <sz val="12"/>
      <color theme="9" tint="0.39997558519241921"/>
      <name val="Aptos Narrow"/>
      <family val="2"/>
      <scheme val="minor"/>
    </font>
    <font>
      <b/>
      <u/>
      <sz val="12"/>
      <color theme="1"/>
      <name val="Aptos Narrow"/>
      <scheme val="minor"/>
    </font>
    <font>
      <b/>
      <i/>
      <sz val="12"/>
      <color theme="1"/>
      <name val="Aptos Narrow"/>
      <scheme val="minor"/>
    </font>
    <font>
      <i/>
      <sz val="11"/>
      <color rgb="FF1F4E79"/>
      <name val="Aptos Narrow"/>
      <scheme val="minor"/>
    </font>
    <font>
      <b/>
      <u/>
      <sz val="12"/>
      <color rgb="FF1F4E79"/>
      <name val="Aptos Narrow"/>
      <scheme val="minor"/>
    </font>
    <font>
      <b/>
      <sz val="14"/>
      <color rgb="FF0000FF"/>
      <name val="Aptos Narrow"/>
      <scheme val="minor"/>
    </font>
    <font>
      <b/>
      <sz val="11"/>
      <color rgb="FF808080"/>
      <name val="Aptos Narrow"/>
      <scheme val="minor"/>
    </font>
    <font>
      <sz val="11"/>
      <color rgb="FF808080"/>
      <name val="Aptos Narrow"/>
      <scheme val="minor"/>
    </font>
    <font>
      <b/>
      <u/>
      <sz val="11"/>
      <color rgb="FF1F4E79"/>
      <name val="Aptos Narrow"/>
      <scheme val="minor"/>
    </font>
    <font>
      <b/>
      <sz val="11"/>
      <color theme="1"/>
      <name val="Aptos Narrow"/>
      <scheme val="minor"/>
    </font>
    <font>
      <sz val="11"/>
      <color theme="1"/>
      <name val="Aptos Narrow"/>
      <scheme val="minor"/>
    </font>
    <font>
      <b/>
      <sz val="12"/>
      <color rgb="FFFFFFFF"/>
      <name val="Aptos Narrow"/>
      <scheme val="minor"/>
    </font>
    <font>
      <sz val="11"/>
      <color rgb="FF0000FF"/>
      <name val="Aptos Narrow"/>
      <scheme val="minor"/>
    </font>
    <font>
      <b/>
      <sz val="12"/>
      <color rgb="FFFFFFFF"/>
      <name val="Aptos Narrow"/>
      <family val="2"/>
      <scheme val="minor"/>
    </font>
    <font>
      <i/>
      <sz val="9"/>
      <color theme="0" tint="-0.499984740745262"/>
      <name val="Aptos Narrow"/>
      <scheme val="minor"/>
    </font>
    <font>
      <b/>
      <i/>
      <sz val="12"/>
      <color theme="1"/>
      <name val="Aptos Narrow"/>
      <family val="2"/>
      <scheme val="minor"/>
    </font>
    <font>
      <i/>
      <sz val="12"/>
      <color theme="1"/>
      <name val="Aptos Narrow"/>
      <family val="2"/>
      <scheme val="minor"/>
    </font>
    <font>
      <i/>
      <sz val="9"/>
      <color rgb="FF808080"/>
      <name val="Aptos Narrow"/>
      <family val="2"/>
      <scheme val="minor"/>
    </font>
    <font>
      <i/>
      <sz val="9"/>
      <color rgb="FF0000FF"/>
      <name val="Aptos Narrow"/>
      <family val="2"/>
      <scheme val="minor"/>
    </font>
    <font>
      <sz val="10"/>
      <color rgb="FF000000"/>
      <name val="Tahoma"/>
      <family val="2"/>
    </font>
    <font>
      <b/>
      <sz val="10"/>
      <color rgb="FF000000"/>
      <name val="Tahoma"/>
      <family val="2"/>
    </font>
    <font>
      <sz val="10"/>
      <color theme="1"/>
      <name val="Aptos Narrow"/>
      <family val="2"/>
      <scheme val="minor"/>
    </font>
    <font>
      <sz val="10"/>
      <color rgb="FF0000FF"/>
      <name val="Aptos Narrow"/>
      <family val="2"/>
      <scheme val="minor"/>
    </font>
    <font>
      <b/>
      <i/>
      <sz val="11"/>
      <color theme="1"/>
      <name val="Aptos Narrow"/>
      <scheme val="minor"/>
    </font>
    <font>
      <b/>
      <i/>
      <sz val="11"/>
      <color rgb="FFC62828"/>
      <name val="Aptos Narrow"/>
      <scheme val="minor"/>
    </font>
    <font>
      <b/>
      <i/>
      <sz val="10"/>
      <color theme="1"/>
      <name val="Aptos Narrow"/>
      <scheme val="minor"/>
    </font>
    <font>
      <b/>
      <i/>
      <sz val="11"/>
      <color rgb="FF808080"/>
      <name val="Aptos Narrow"/>
      <scheme val="minor"/>
    </font>
    <font>
      <b/>
      <sz val="12"/>
      <color theme="1"/>
      <name val="Aptos Narrow (Body)"/>
    </font>
    <font>
      <b/>
      <i/>
      <sz val="12"/>
      <color theme="0" tint="-0.14999847407452621"/>
      <name val="Aptos Narrow"/>
      <scheme val="minor"/>
    </font>
    <font>
      <b/>
      <sz val="14"/>
      <color rgb="FFFFFFFF"/>
      <name val="Aptos Narrow"/>
      <family val="2"/>
      <scheme val="minor"/>
    </font>
    <font>
      <i/>
      <sz val="11"/>
      <color rgb="FFBF8F00"/>
      <name val="Aptos Narrow"/>
      <family val="2"/>
      <scheme val="minor"/>
    </font>
    <font>
      <b/>
      <sz val="12"/>
      <color rgb="FFBF8F00"/>
      <name val="Aptos Narrow"/>
      <family val="2"/>
      <scheme val="minor"/>
    </font>
    <font>
      <b/>
      <sz val="10"/>
      <color rgb="FFFFFFFF"/>
      <name val="Aptos Narrow"/>
      <family val="2"/>
      <scheme val="minor"/>
    </font>
    <font>
      <sz val="10"/>
      <color rgb="FF808080"/>
      <name val="Aptos Narrow"/>
      <family val="2"/>
      <scheme val="minor"/>
    </font>
    <font>
      <b/>
      <sz val="10"/>
      <color theme="1"/>
      <name val="Aptos Narrow"/>
      <family val="2"/>
      <scheme val="minor"/>
    </font>
    <font>
      <b/>
      <i/>
      <sz val="9"/>
      <color rgb="FF808080"/>
      <name val="Aptos Narrow"/>
      <family val="2"/>
      <scheme val="minor"/>
    </font>
    <font>
      <b/>
      <sz val="14"/>
      <color theme="1"/>
      <name val="Aptos Narrow"/>
      <scheme val="minor"/>
    </font>
    <font>
      <sz val="12"/>
      <color rgb="FF141413"/>
      <name val="Aptos Narrow"/>
      <family val="1"/>
      <scheme val="minor"/>
    </font>
    <font>
      <b/>
      <sz val="14"/>
      <color rgb="FF000000"/>
      <name val="Aptos Narrow"/>
      <scheme val="minor"/>
    </font>
    <font>
      <i/>
      <sz val="11"/>
      <color rgb="FF595959"/>
      <name val="Aptos Narrow"/>
      <scheme val="minor"/>
    </font>
    <font>
      <sz val="12"/>
      <color rgb="FF000000"/>
      <name val="Aptos Narrow"/>
      <scheme val="minor"/>
    </font>
    <font>
      <b/>
      <sz val="12"/>
      <color rgb="FF000000"/>
      <name val="Aptos Narrow"/>
      <scheme val="minor"/>
    </font>
    <font>
      <i/>
      <sz val="12"/>
      <color rgb="FF595959"/>
      <name val="Aptos Narrow"/>
      <scheme val="minor"/>
    </font>
    <font>
      <i/>
      <sz val="10"/>
      <color rgb="FF595959"/>
      <name val="Aptos Narrow"/>
      <scheme val="minor"/>
    </font>
    <font>
      <b/>
      <sz val="20"/>
      <color rgb="FFFFFFFF"/>
      <name val="Calibri"/>
      <family val="2"/>
    </font>
    <font>
      <sz val="11"/>
      <color rgb="FF8B9DC3"/>
      <name val="Calibri"/>
      <family val="2"/>
    </font>
    <font>
      <sz val="10"/>
      <color rgb="FF8B9DC3"/>
      <name val="Calibri"/>
      <family val="2"/>
    </font>
    <font>
      <sz val="8"/>
      <color rgb="FF7A8599"/>
      <name val="Calibri"/>
      <family val="2"/>
    </font>
    <font>
      <b/>
      <sz val="8"/>
      <color rgb="FF7A8599"/>
      <name val="Calibri"/>
      <family val="2"/>
    </font>
    <font>
      <b/>
      <sz val="16"/>
      <color rgb="FF1B2A4A"/>
      <name val="Calibri"/>
      <family val="2"/>
    </font>
    <font>
      <sz val="7.5"/>
      <color rgb="FFA0A8B8"/>
      <name val="Calibri"/>
      <family val="2"/>
    </font>
    <font>
      <b/>
      <sz val="10"/>
      <color rgb="FF1B2A4A"/>
      <name val="Calibri"/>
      <family val="2"/>
    </font>
    <font>
      <sz val="8"/>
      <color rgb="FF1B2A4A"/>
      <name val="Calibri"/>
      <family val="2"/>
    </font>
    <font>
      <b/>
      <sz val="8.5"/>
      <color rgb="FFFFFFFF"/>
      <name val="Calibri"/>
      <family val="2"/>
    </font>
    <font>
      <sz val="8.5"/>
      <color rgb="FF4A5568"/>
      <name val="Calibri"/>
      <family val="2"/>
    </font>
    <font>
      <b/>
      <sz val="8.5"/>
      <color rgb="FF1B2A4A"/>
      <name val="Calibri"/>
      <family val="2"/>
    </font>
    <font>
      <b/>
      <sz val="8.5"/>
      <color rgb="FFC5A572"/>
      <name val="Calibri"/>
      <family val="2"/>
    </font>
    <font>
      <b/>
      <sz val="8"/>
      <color rgb="FFFFFFFF"/>
      <name val="Calibri"/>
      <family val="2"/>
    </font>
    <font>
      <b/>
      <sz val="8"/>
      <color rgb="FFC5A572"/>
      <name val="Calibri"/>
      <family val="2"/>
    </font>
    <font>
      <b/>
      <sz val="8"/>
      <color rgb="FF1B2A4A"/>
      <name val="Calibri"/>
      <family val="2"/>
    </font>
    <font>
      <sz val="8"/>
      <color rgb="FF4A5568"/>
      <name val="Calibri"/>
      <family val="2"/>
    </font>
    <font>
      <sz val="7"/>
      <color rgb="FF7A8599"/>
      <name val="Calibri"/>
      <family val="2"/>
    </font>
    <font>
      <sz val="12"/>
      <color theme="1"/>
      <name val="Calibri"/>
      <family val="2"/>
    </font>
    <font>
      <sz val="11"/>
      <color theme="1"/>
      <name val="Aptos Narrow"/>
      <family val="2"/>
      <scheme val="minor"/>
    </font>
    <font>
      <sz val="10"/>
      <name val="Arial"/>
      <family val="2"/>
    </font>
    <font>
      <b/>
      <i/>
      <sz val="10"/>
      <color rgb="FFFFFFFF"/>
      <name val="Aptos Narrow"/>
      <family val="2"/>
      <scheme val="minor"/>
    </font>
    <font>
      <b/>
      <sz val="11"/>
      <color theme="0"/>
      <name val="Aptos Narrow"/>
      <family val="2"/>
      <scheme val="minor"/>
    </font>
    <font>
      <b/>
      <sz val="10"/>
      <color theme="0"/>
      <name val="Aptos Narrow"/>
      <family val="2"/>
      <scheme val="minor"/>
    </font>
    <font>
      <b/>
      <sz val="11"/>
      <color rgb="FFFFFFFF"/>
      <name val="Aptos Narrow"/>
      <family val="2"/>
      <scheme val="minor"/>
    </font>
    <font>
      <b/>
      <sz val="11"/>
      <color rgb="FF006100"/>
      <name val="Aptos Narrow"/>
      <family val="2"/>
      <scheme val="minor"/>
    </font>
    <font>
      <sz val="11"/>
      <color rgb="FF006100"/>
      <name val="Aptos Narrow"/>
      <family val="2"/>
      <scheme val="minor"/>
    </font>
    <font>
      <b/>
      <sz val="10"/>
      <color theme="0"/>
      <name val="Aptos Narrow"/>
      <scheme val="minor"/>
    </font>
    <font>
      <sz val="11"/>
      <color rgb="FF7F6000"/>
      <name val="Aptos Narrow"/>
      <family val="2"/>
      <scheme val="minor"/>
    </font>
    <font>
      <b/>
      <sz val="12"/>
      <color rgb="FF000000"/>
      <name val="Aptos Narrow"/>
      <family val="2"/>
      <scheme val="minor"/>
    </font>
    <font>
      <sz val="11"/>
      <color rgb="FF833C0B"/>
      <name val="Aptos Narrow"/>
      <family val="2"/>
      <scheme val="minor"/>
    </font>
    <font>
      <b/>
      <sz val="11"/>
      <color rgb="FF833C0B"/>
      <name val="Aptos Narrow"/>
      <family val="2"/>
      <scheme val="minor"/>
    </font>
    <font>
      <sz val="12"/>
      <color theme="0"/>
      <name val="Aptos Narrow"/>
      <family val="2"/>
      <scheme val="minor"/>
    </font>
    <font>
      <b/>
      <sz val="10"/>
      <color theme="9" tint="-0.249977111117893"/>
      <name val="Arial"/>
      <family val="2"/>
    </font>
    <font>
      <sz val="8"/>
      <name val="Aptos Narrow"/>
      <family val="2"/>
      <scheme val="minor"/>
    </font>
    <font>
      <b/>
      <sz val="10"/>
      <color theme="1"/>
      <name val="Arial"/>
      <family val="2"/>
    </font>
    <font>
      <b/>
      <sz val="10"/>
      <color theme="0"/>
      <name val="Arial"/>
      <family val="2"/>
    </font>
    <font>
      <b/>
      <sz val="28"/>
      <color rgb="FFFFFFFF"/>
      <name val="Calibri"/>
      <family val="2"/>
    </font>
    <font>
      <sz val="14"/>
      <color rgb="FF8B9DC3"/>
      <name val="Calibri"/>
      <family val="2"/>
    </font>
    <font>
      <sz val="11"/>
      <color rgb="FFC5A572"/>
      <name val="Calibri"/>
      <family val="2"/>
    </font>
    <font>
      <sz val="10"/>
      <color rgb="FF7A8599"/>
      <name val="Calibri"/>
      <family val="2"/>
    </font>
    <font>
      <i/>
      <sz val="7"/>
      <color rgb="FFA0A8B8"/>
      <name val="Calibri"/>
      <family val="2"/>
    </font>
    <font>
      <b/>
      <sz val="10"/>
      <color rgb="FFC00000"/>
      <name val="Calibri"/>
      <family val="2"/>
    </font>
  </fonts>
  <fills count="46">
    <fill>
      <patternFill patternType="none"/>
    </fill>
    <fill>
      <patternFill patternType="gray125"/>
    </fill>
    <fill>
      <patternFill patternType="solid">
        <fgColor theme="0"/>
        <bgColor indexed="64"/>
      </patternFill>
    </fill>
    <fill>
      <patternFill patternType="solid">
        <fgColor rgb="FF1B2A4A"/>
        <bgColor indexed="64"/>
      </patternFill>
    </fill>
    <fill>
      <patternFill patternType="solid">
        <fgColor rgb="FF4472C4"/>
        <bgColor indexed="64"/>
      </patternFill>
    </fill>
    <fill>
      <patternFill patternType="solid">
        <fgColor rgb="FFD6E4F0"/>
        <bgColor indexed="64"/>
      </patternFill>
    </fill>
    <fill>
      <patternFill patternType="solid">
        <fgColor rgb="FFBF8F00"/>
        <bgColor indexed="64"/>
      </patternFill>
    </fill>
    <fill>
      <patternFill patternType="solid">
        <fgColor rgb="FF404040"/>
        <bgColor indexed="64"/>
      </patternFill>
    </fill>
    <fill>
      <patternFill patternType="solid">
        <fgColor rgb="FFFFFFFF"/>
        <bgColor indexed="64"/>
      </patternFill>
    </fill>
    <fill>
      <patternFill patternType="solid">
        <fgColor theme="9" tint="-0.249977111117893"/>
        <bgColor indexed="64"/>
      </patternFill>
    </fill>
    <fill>
      <patternFill patternType="solid">
        <fgColor rgb="FF1F4E79"/>
        <bgColor indexed="64"/>
      </patternFill>
    </fill>
    <fill>
      <patternFill patternType="solid">
        <fgColor rgb="FFF7C7AC"/>
        <bgColor indexed="64"/>
      </patternFill>
    </fill>
    <fill>
      <patternFill patternType="solid">
        <fgColor theme="0"/>
        <bgColor rgb="FF000000"/>
      </patternFill>
    </fill>
    <fill>
      <patternFill patternType="solid">
        <fgColor theme="0" tint="-4.9989318521683403E-2"/>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F2CC"/>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rgb="FFDBE9F9"/>
        <bgColor indexed="64"/>
      </patternFill>
    </fill>
    <fill>
      <patternFill patternType="solid">
        <fgColor rgb="FFD9E1F2"/>
        <bgColor indexed="64"/>
      </patternFill>
    </fill>
    <fill>
      <patternFill patternType="solid">
        <fgColor rgb="FFDAE9F8"/>
        <bgColor indexed="64"/>
      </patternFill>
    </fill>
    <fill>
      <patternFill patternType="solid">
        <fgColor rgb="FFC5A572"/>
        <bgColor indexed="64"/>
      </patternFill>
    </fill>
    <fill>
      <patternFill patternType="solid">
        <fgColor rgb="FFF5F6FA"/>
        <bgColor indexed="64"/>
      </patternFill>
    </fill>
    <fill>
      <patternFill patternType="solid">
        <fgColor rgb="FFE8EFF8"/>
        <bgColor indexed="64"/>
      </patternFill>
    </fill>
    <fill>
      <patternFill patternType="solid">
        <fgColor rgb="FF2D3E5F"/>
        <bgColor indexed="64"/>
      </patternFill>
    </fill>
    <fill>
      <patternFill patternType="solid">
        <fgColor theme="8" tint="-0.249977111117893"/>
        <bgColor indexed="64"/>
      </patternFill>
    </fill>
    <fill>
      <patternFill patternType="solid">
        <fgColor rgb="FF782170"/>
        <bgColor indexed="64"/>
      </patternFill>
    </fill>
    <fill>
      <patternFill patternType="solid">
        <fgColor rgb="FF9B59B6"/>
        <bgColor indexed="64"/>
      </patternFill>
    </fill>
    <fill>
      <patternFill patternType="solid">
        <fgColor rgb="FFC6EFCE"/>
        <bgColor indexed="64"/>
      </patternFill>
    </fill>
    <fill>
      <patternFill patternType="solid">
        <fgColor rgb="FFA9D18E"/>
        <bgColor indexed="64"/>
      </patternFill>
    </fill>
    <fill>
      <patternFill patternType="solid">
        <fgColor rgb="FF70AD47"/>
        <bgColor indexed="64"/>
      </patternFill>
    </fill>
    <fill>
      <patternFill patternType="solid">
        <fgColor rgb="FFDFF0D8"/>
        <bgColor indexed="64"/>
      </patternFill>
    </fill>
    <fill>
      <patternFill patternType="solid">
        <fgColor rgb="FFFFD966"/>
        <bgColor indexed="64"/>
      </patternFill>
    </fill>
    <fill>
      <patternFill patternType="solid">
        <fgColor rgb="FFFCE4D6"/>
        <bgColor indexed="64"/>
      </patternFill>
    </fill>
    <fill>
      <patternFill patternType="solid">
        <fgColor rgb="FFF8CBAD"/>
        <bgColor indexed="64"/>
      </patternFill>
    </fill>
    <fill>
      <patternFill patternType="solid">
        <fgColor rgb="FFF4B084"/>
        <bgColor indexed="64"/>
      </patternFill>
    </fill>
    <fill>
      <patternFill patternType="solid">
        <fgColor rgb="FFE2725B"/>
        <bgColor indexed="64"/>
      </patternFill>
    </fill>
    <fill>
      <patternFill patternType="solid">
        <fgColor rgb="FFD7E4F1"/>
        <bgColor indexed="64"/>
      </patternFill>
    </fill>
    <fill>
      <patternFill patternType="solid">
        <fgColor rgb="FFE9F0F7"/>
        <bgColor indexed="64"/>
      </patternFill>
    </fill>
    <fill>
      <patternFill patternType="solid">
        <fgColor rgb="FF548235"/>
        <bgColor indexed="64"/>
      </patternFill>
    </fill>
    <fill>
      <patternFill patternType="solid">
        <fgColor rgb="FF2E75B6"/>
        <bgColor indexed="64"/>
      </patternFill>
    </fill>
    <fill>
      <patternFill patternType="solid">
        <fgColor rgb="FFFF0000"/>
        <bgColor indexed="64"/>
      </patternFill>
    </fill>
    <fill>
      <patternFill patternType="solid">
        <fgColor rgb="FFAD8AC6"/>
        <bgColor indexed="64"/>
      </patternFill>
    </fill>
  </fills>
  <borders count="60">
    <border>
      <left/>
      <right/>
      <top/>
      <bottom/>
      <diagonal/>
    </border>
    <border>
      <left/>
      <right/>
      <top/>
      <bottom style="medium">
        <color rgb="FF1B2A4A"/>
      </bottom>
      <diagonal/>
    </border>
    <border>
      <left/>
      <right/>
      <top/>
      <bottom style="thin">
        <color rgb="FF999999"/>
      </bottom>
      <diagonal/>
    </border>
    <border>
      <left/>
      <right/>
      <top/>
      <bottom style="medium">
        <color indexed="64"/>
      </bottom>
      <diagonal/>
    </border>
    <border>
      <left/>
      <right/>
      <top/>
      <bottom style="thin">
        <color rgb="FFBF8F00"/>
      </bottom>
      <diagonal/>
    </border>
    <border>
      <left/>
      <right/>
      <top/>
      <bottom style="thin">
        <color rgb="FFC08F00"/>
      </bottom>
      <diagonal/>
    </border>
    <border>
      <left/>
      <right/>
      <top/>
      <bottom style="thin">
        <color theme="1"/>
      </bottom>
      <diagonal/>
    </border>
    <border>
      <left/>
      <right/>
      <top style="thin">
        <color rgb="FF000000"/>
      </top>
      <bottom/>
      <diagonal/>
    </border>
    <border>
      <left/>
      <right/>
      <top style="thin">
        <color rgb="FFE0E4EC"/>
      </top>
      <bottom/>
      <diagonal/>
    </border>
    <border>
      <left style="thin">
        <color rgb="FFE0E4EC"/>
      </left>
      <right/>
      <top style="thin">
        <color rgb="FFE0E4EC"/>
      </top>
      <bottom/>
      <diagonal/>
    </border>
    <border>
      <left/>
      <right style="thin">
        <color rgb="FFE0E4EC"/>
      </right>
      <top style="thin">
        <color rgb="FFE0E4EC"/>
      </top>
      <bottom/>
      <diagonal/>
    </border>
    <border>
      <left style="thin">
        <color rgb="FFE0E4EC"/>
      </left>
      <right/>
      <top/>
      <bottom/>
      <diagonal/>
    </border>
    <border>
      <left/>
      <right style="thin">
        <color rgb="FFE0E4EC"/>
      </right>
      <top/>
      <bottom/>
      <diagonal/>
    </border>
    <border>
      <left/>
      <right/>
      <top/>
      <bottom style="thin">
        <color rgb="FFE0E4EC"/>
      </bottom>
      <diagonal/>
    </border>
    <border>
      <left style="thin">
        <color rgb="FFE0E4EC"/>
      </left>
      <right/>
      <top/>
      <bottom style="thin">
        <color rgb="FFE0E4EC"/>
      </bottom>
      <diagonal/>
    </border>
    <border>
      <left/>
      <right style="thin">
        <color rgb="FFE0E4EC"/>
      </right>
      <top/>
      <bottom style="thin">
        <color rgb="FFE0E4EC"/>
      </bottom>
      <diagonal/>
    </border>
    <border>
      <left/>
      <right/>
      <top/>
      <bottom style="medium">
        <color rgb="FFC5A572"/>
      </bottom>
      <diagonal/>
    </border>
    <border>
      <left/>
      <right/>
      <top style="thin">
        <color rgb="FFF0F1F5"/>
      </top>
      <bottom style="thin">
        <color rgb="FFF0F1F5"/>
      </bottom>
      <diagonal/>
    </border>
    <border>
      <left style="thin">
        <color rgb="FFE0E4EC"/>
      </left>
      <right/>
      <top style="thin">
        <color rgb="FFF0F1F5"/>
      </top>
      <bottom style="thin">
        <color rgb="FFF0F1F5"/>
      </bottom>
      <diagonal/>
    </border>
    <border>
      <left/>
      <right style="thin">
        <color rgb="FFE0E4EC"/>
      </right>
      <top style="thin">
        <color rgb="FFF0F1F5"/>
      </top>
      <bottom style="thin">
        <color rgb="FFF0F1F5"/>
      </bottom>
      <diagonal/>
    </border>
    <border>
      <left style="thin">
        <color rgb="FFE0E4EC"/>
      </left>
      <right/>
      <top style="thin">
        <color rgb="FFF0F1F5"/>
      </top>
      <bottom/>
      <diagonal/>
    </border>
    <border>
      <left/>
      <right/>
      <top style="thin">
        <color rgb="FFF0F1F5"/>
      </top>
      <bottom/>
      <diagonal/>
    </border>
    <border>
      <left/>
      <right style="thin">
        <color rgb="FFE0E4EC"/>
      </right>
      <top style="thin">
        <color rgb="FFF0F1F5"/>
      </top>
      <bottom/>
      <diagonal/>
    </border>
    <border>
      <left/>
      <right/>
      <top style="thin">
        <color rgb="FFF0F1F5"/>
      </top>
      <bottom style="thin">
        <color rgb="FFE0E4EC"/>
      </bottom>
      <diagonal/>
    </border>
    <border>
      <left style="thin">
        <color rgb="FFE0E4EC"/>
      </left>
      <right/>
      <top style="thin">
        <color rgb="FFF0F1F5"/>
      </top>
      <bottom style="thin">
        <color rgb="FFE0E4EC"/>
      </bottom>
      <diagonal/>
    </border>
    <border>
      <left/>
      <right style="thin">
        <color rgb="FFE0E4EC"/>
      </right>
      <top style="thin">
        <color rgb="FFF0F1F5"/>
      </top>
      <bottom style="thin">
        <color rgb="FFE0E4EC"/>
      </bottom>
      <diagonal/>
    </border>
    <border>
      <left style="thin">
        <color rgb="FF1B2A4A"/>
      </left>
      <right/>
      <top style="medium">
        <color rgb="FFC5A572"/>
      </top>
      <bottom/>
      <diagonal/>
    </border>
    <border>
      <left/>
      <right style="thin">
        <color rgb="FF1B2A4A"/>
      </right>
      <top style="medium">
        <color rgb="FFC5A572"/>
      </top>
      <bottom/>
      <diagonal/>
    </border>
    <border>
      <left style="thin">
        <color rgb="FF2D3E5F"/>
      </left>
      <right/>
      <top style="thin">
        <color rgb="FFE0E4EC"/>
      </top>
      <bottom/>
      <diagonal/>
    </border>
    <border>
      <left/>
      <right style="thin">
        <color rgb="FF2D3E5F"/>
      </right>
      <top style="thin">
        <color rgb="FFE0E4EC"/>
      </top>
      <bottom/>
      <diagonal/>
    </border>
    <border>
      <left/>
      <right style="thin">
        <color rgb="FFF7C7AD"/>
      </right>
      <top/>
      <bottom/>
      <diagonal/>
    </border>
    <border>
      <left/>
      <right/>
      <top/>
      <bottom style="thin">
        <color rgb="FFF7C7AD"/>
      </bottom>
      <diagonal/>
    </border>
    <border>
      <left style="thin">
        <color rgb="FFF7C7AD"/>
      </left>
      <right/>
      <top/>
      <bottom style="thin">
        <color rgb="FFF7C7AD"/>
      </bottom>
      <diagonal/>
    </border>
    <border>
      <left/>
      <right style="thin">
        <color rgb="FFF7C7AD"/>
      </right>
      <top/>
      <bottom style="thin">
        <color rgb="FFF7C7AD"/>
      </bottom>
      <diagonal/>
    </border>
    <border>
      <left/>
      <right/>
      <top style="thin">
        <color rgb="FFF7C7AD"/>
      </top>
      <bottom style="medium">
        <color rgb="FFF7C7AD"/>
      </bottom>
      <diagonal/>
    </border>
    <border>
      <left/>
      <right style="thin">
        <color rgb="FFF7C7AD"/>
      </right>
      <top style="thin">
        <color rgb="FFF7C7AD"/>
      </top>
      <bottom style="medium">
        <color rgb="FFF7C7AD"/>
      </bottom>
      <diagonal/>
    </border>
    <border>
      <left style="thin">
        <color rgb="FFF7C7AD"/>
      </left>
      <right style="thin">
        <color rgb="FFF7C7AD"/>
      </right>
      <top/>
      <bottom/>
      <diagonal/>
    </border>
    <border>
      <left style="thin">
        <color rgb="FFF7C7AD"/>
      </left>
      <right/>
      <top style="thin">
        <color rgb="FFF7C7AD"/>
      </top>
      <bottom style="thin">
        <color rgb="FFF7C7AD"/>
      </bottom>
      <diagonal/>
    </border>
    <border>
      <left style="thick">
        <color rgb="FF782170"/>
      </left>
      <right/>
      <top style="thick">
        <color rgb="FF782170"/>
      </top>
      <bottom/>
      <diagonal/>
    </border>
    <border>
      <left/>
      <right/>
      <top style="thick">
        <color rgb="FF782170"/>
      </top>
      <bottom/>
      <diagonal/>
    </border>
    <border>
      <left/>
      <right style="thick">
        <color rgb="FF782170"/>
      </right>
      <top style="thick">
        <color rgb="FF782170"/>
      </top>
      <bottom/>
      <diagonal/>
    </border>
    <border>
      <left style="thick">
        <color rgb="FF782170"/>
      </left>
      <right style="medium">
        <color rgb="FF782170"/>
      </right>
      <top/>
      <bottom style="medium">
        <color rgb="FF782170"/>
      </bottom>
      <diagonal/>
    </border>
    <border>
      <left/>
      <right/>
      <top/>
      <bottom style="medium">
        <color rgb="FF782170"/>
      </bottom>
      <diagonal/>
    </border>
    <border>
      <left/>
      <right style="thick">
        <color rgb="FF782170"/>
      </right>
      <top/>
      <bottom style="medium">
        <color rgb="FF782170"/>
      </bottom>
      <diagonal/>
    </border>
    <border>
      <left style="thick">
        <color rgb="FF782170"/>
      </left>
      <right style="medium">
        <color rgb="FF782170"/>
      </right>
      <top/>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style="thick">
        <color rgb="FF782170"/>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D9D9D9"/>
      </left>
      <right style="thick">
        <color rgb="FF782170"/>
      </right>
      <top style="thin">
        <color rgb="FFD9D9D9"/>
      </top>
      <bottom style="thin">
        <color rgb="FFD9D9D9"/>
      </bottom>
      <diagonal/>
    </border>
    <border>
      <left style="thin">
        <color rgb="FFD9D9D9"/>
      </left>
      <right/>
      <top style="thin">
        <color rgb="FFD9D9D9"/>
      </top>
      <bottom style="thin">
        <color rgb="FFD9D9D9"/>
      </bottom>
      <diagonal/>
    </border>
    <border>
      <left style="thick">
        <color rgb="FF000000"/>
      </left>
      <right style="thick">
        <color rgb="FF000000"/>
      </right>
      <top style="thick">
        <color rgb="FF000000"/>
      </top>
      <bottom style="thick">
        <color rgb="FF000000"/>
      </bottom>
      <diagonal/>
    </border>
    <border>
      <left style="thick">
        <color rgb="FF782170"/>
      </left>
      <right style="medium">
        <color rgb="FF782170"/>
      </right>
      <top/>
      <bottom style="thick">
        <color rgb="FF782170"/>
      </bottom>
      <diagonal/>
    </border>
    <border>
      <left/>
      <right style="thin">
        <color rgb="FFD9D9D9"/>
      </right>
      <top style="thin">
        <color rgb="FFD9D9D9"/>
      </top>
      <bottom style="thick">
        <color rgb="FF782170"/>
      </bottom>
      <diagonal/>
    </border>
    <border>
      <left style="thin">
        <color rgb="FFD9D9D9"/>
      </left>
      <right style="thin">
        <color rgb="FFD9D9D9"/>
      </right>
      <top style="thin">
        <color rgb="FFD9D9D9"/>
      </top>
      <bottom style="thick">
        <color rgb="FF782170"/>
      </bottom>
      <diagonal/>
    </border>
    <border>
      <left style="thin">
        <color rgb="FFD9D9D9"/>
      </left>
      <right style="thick">
        <color rgb="FF782170"/>
      </right>
      <top style="thin">
        <color rgb="FFD9D9D9"/>
      </top>
      <bottom style="thick">
        <color rgb="FF782170"/>
      </bottom>
      <diagonal/>
    </border>
    <border>
      <left/>
      <right/>
      <top style="thin">
        <color rgb="FFE0E4EC"/>
      </top>
      <bottom style="thin">
        <color rgb="FFE0E4EC"/>
      </bottom>
      <diagonal/>
    </border>
    <border>
      <left/>
      <right style="thick">
        <color rgb="FF782170"/>
      </right>
      <top/>
      <bottom/>
      <diagonal/>
    </border>
  </borders>
  <cellStyleXfs count="5">
    <xf numFmtId="0" fontId="0" fillId="0" borderId="0"/>
    <xf numFmtId="9" fontId="33" fillId="0" borderId="0" applyFont="0" applyFill="0" applyBorder="0" applyAlignment="0" applyProtection="0"/>
    <xf numFmtId="43" fontId="33" fillId="0" borderId="0" applyFont="0" applyFill="0" applyBorder="0" applyAlignment="0" applyProtection="0"/>
    <xf numFmtId="0" fontId="101" fillId="0" borderId="0"/>
    <xf numFmtId="0" fontId="102" fillId="0" borderId="0"/>
  </cellStyleXfs>
  <cellXfs count="386">
    <xf numFmtId="0" fontId="0" fillId="0" borderId="0" xfId="0"/>
    <xf numFmtId="0" fontId="0" fillId="2" borderId="0" xfId="0" applyFill="1"/>
    <xf numFmtId="0" fontId="0" fillId="3" borderId="0" xfId="0" applyFill="1"/>
    <xf numFmtId="0" fontId="0" fillId="4" borderId="0" xfId="0" applyFill="1"/>
    <xf numFmtId="0" fontId="19" fillId="9" borderId="0" xfId="0" applyFont="1" applyFill="1"/>
    <xf numFmtId="0" fontId="20" fillId="2" borderId="0" xfId="0" applyFont="1" applyFill="1"/>
    <xf numFmtId="0" fontId="20" fillId="2" borderId="0" xfId="0" applyFont="1" applyFill="1" applyAlignment="1">
      <alignment horizontal="center"/>
    </xf>
    <xf numFmtId="0" fontId="18" fillId="2" borderId="0" xfId="0" applyFont="1" applyFill="1"/>
    <xf numFmtId="0" fontId="21" fillId="2" borderId="0" xfId="0" applyFont="1" applyFill="1"/>
    <xf numFmtId="0" fontId="22" fillId="8" borderId="0" xfId="0" applyFont="1" applyFill="1"/>
    <xf numFmtId="0" fontId="23" fillId="10" borderId="0" xfId="0" applyFont="1" applyFill="1"/>
    <xf numFmtId="0" fontId="22" fillId="10" borderId="0" xfId="0" applyFont="1" applyFill="1"/>
    <xf numFmtId="0" fontId="24" fillId="5" borderId="0" xfId="0" applyFont="1" applyFill="1"/>
    <xf numFmtId="0" fontId="22" fillId="5" borderId="0" xfId="0" applyFont="1" applyFill="1"/>
    <xf numFmtId="0" fontId="25" fillId="11" borderId="0" xfId="0" applyFont="1" applyFill="1"/>
    <xf numFmtId="0" fontId="22" fillId="11" borderId="0" xfId="0" applyFont="1" applyFill="1"/>
    <xf numFmtId="0" fontId="26" fillId="10" borderId="0" xfId="0" applyFont="1" applyFill="1" applyAlignment="1">
      <alignment horizontal="center"/>
    </xf>
    <xf numFmtId="0" fontId="26" fillId="10" borderId="0" xfId="0" applyFont="1" applyFill="1"/>
    <xf numFmtId="0" fontId="27" fillId="8" borderId="0" xfId="0" applyFont="1" applyFill="1" applyAlignment="1">
      <alignment horizontal="center"/>
    </xf>
    <xf numFmtId="0" fontId="28" fillId="8" borderId="0" xfId="0" applyFont="1" applyFill="1"/>
    <xf numFmtId="0" fontId="28" fillId="8" borderId="0" xfId="0" applyFont="1" applyFill="1" applyAlignment="1">
      <alignment horizontal="center"/>
    </xf>
    <xf numFmtId="0" fontId="29" fillId="8" borderId="0" xfId="0" applyFont="1" applyFill="1"/>
    <xf numFmtId="0" fontId="30" fillId="8" borderId="0" xfId="0" applyFont="1" applyFill="1" applyAlignment="1">
      <alignment horizontal="center"/>
    </xf>
    <xf numFmtId="0" fontId="27" fillId="8" borderId="0" xfId="0" applyFont="1" applyFill="1"/>
    <xf numFmtId="0" fontId="31" fillId="8" borderId="0" xfId="0" applyFont="1" applyFill="1"/>
    <xf numFmtId="0" fontId="32" fillId="8" borderId="0" xfId="0" applyFont="1" applyFill="1"/>
    <xf numFmtId="0" fontId="34" fillId="2" borderId="0" xfId="0" applyFont="1" applyFill="1"/>
    <xf numFmtId="41" fontId="0" fillId="2" borderId="0" xfId="0" applyNumberFormat="1" applyFill="1"/>
    <xf numFmtId="41" fontId="20" fillId="2" borderId="0" xfId="0" applyNumberFormat="1" applyFont="1" applyFill="1"/>
    <xf numFmtId="41" fontId="17" fillId="2" borderId="0" xfId="0" applyNumberFormat="1" applyFont="1" applyFill="1"/>
    <xf numFmtId="3" fontId="35" fillId="2" borderId="0" xfId="0" applyNumberFormat="1" applyFont="1" applyFill="1"/>
    <xf numFmtId="0" fontId="36" fillId="2" borderId="0" xfId="0" applyFont="1" applyFill="1"/>
    <xf numFmtId="41" fontId="35" fillId="2" borderId="0" xfId="0" applyNumberFormat="1" applyFont="1" applyFill="1"/>
    <xf numFmtId="41" fontId="16" fillId="12" borderId="0" xfId="0" applyNumberFormat="1" applyFont="1" applyFill="1" applyAlignment="1">
      <alignment horizontal="right"/>
    </xf>
    <xf numFmtId="43" fontId="35" fillId="2" borderId="0" xfId="0" applyNumberFormat="1" applyFont="1" applyFill="1" applyAlignment="1">
      <alignment horizontal="right"/>
    </xf>
    <xf numFmtId="0" fontId="37" fillId="9" borderId="0" xfId="0" applyFont="1" applyFill="1"/>
    <xf numFmtId="0" fontId="38" fillId="9" borderId="0" xfId="0" applyFont="1" applyFill="1"/>
    <xf numFmtId="0" fontId="0" fillId="9" borderId="0" xfId="0" applyFill="1"/>
    <xf numFmtId="0" fontId="39" fillId="2" borderId="0" xfId="0" applyFont="1" applyFill="1"/>
    <xf numFmtId="0" fontId="20" fillId="2" borderId="0" xfId="0" applyFont="1" applyFill="1" applyAlignment="1">
      <alignment horizontal="right"/>
    </xf>
    <xf numFmtId="41" fontId="36" fillId="2" borderId="0" xfId="0" applyNumberFormat="1" applyFont="1" applyFill="1" applyAlignment="1">
      <alignment horizontal="right" vertical="center"/>
    </xf>
    <xf numFmtId="9" fontId="0" fillId="13" borderId="0" xfId="1" applyFont="1" applyFill="1"/>
    <xf numFmtId="9" fontId="20" fillId="13" borderId="0" xfId="1" applyFont="1" applyFill="1"/>
    <xf numFmtId="9" fontId="0" fillId="2" borderId="0" xfId="1" applyFont="1" applyFill="1"/>
    <xf numFmtId="2" fontId="0" fillId="2" borderId="0" xfId="0" applyNumberFormat="1" applyFill="1"/>
    <xf numFmtId="9" fontId="36" fillId="2" borderId="0" xfId="1" applyFont="1" applyFill="1"/>
    <xf numFmtId="0" fontId="20" fillId="2" borderId="3" xfId="0" applyFont="1" applyFill="1" applyBorder="1"/>
    <xf numFmtId="0" fontId="36" fillId="2" borderId="3" xfId="0" applyFont="1" applyFill="1" applyBorder="1"/>
    <xf numFmtId="9" fontId="36" fillId="2" borderId="3" xfId="1" applyFont="1" applyFill="1" applyBorder="1"/>
    <xf numFmtId="0" fontId="0" fillId="2" borderId="3" xfId="0" applyFill="1" applyBorder="1"/>
    <xf numFmtId="0" fontId="40" fillId="2" borderId="0" xfId="0" applyFont="1" applyFill="1"/>
    <xf numFmtId="1" fontId="0" fillId="2" borderId="0" xfId="0" applyNumberFormat="1" applyFill="1"/>
    <xf numFmtId="9" fontId="34" fillId="2" borderId="0" xfId="1" applyFont="1" applyFill="1"/>
    <xf numFmtId="164" fontId="0" fillId="2" borderId="0" xfId="0" applyNumberFormat="1" applyFill="1"/>
    <xf numFmtId="10" fontId="0" fillId="2" borderId="0" xfId="0" applyNumberFormat="1" applyFill="1"/>
    <xf numFmtId="41" fontId="0" fillId="2" borderId="0" xfId="0" applyNumberFormat="1" applyFill="1" applyAlignment="1">
      <alignment horizontal="right"/>
    </xf>
    <xf numFmtId="165" fontId="0" fillId="2" borderId="0" xfId="0" applyNumberFormat="1" applyFill="1"/>
    <xf numFmtId="0" fontId="0" fillId="10" borderId="0" xfId="0" applyFill="1"/>
    <xf numFmtId="0" fontId="41" fillId="5" borderId="0" xfId="0" applyFont="1" applyFill="1"/>
    <xf numFmtId="0" fontId="0" fillId="5" borderId="0" xfId="0" applyFill="1"/>
    <xf numFmtId="0" fontId="42" fillId="2" borderId="0" xfId="0" applyFont="1" applyFill="1"/>
    <xf numFmtId="0" fontId="43" fillId="14" borderId="0" xfId="0" applyFont="1" applyFill="1" applyAlignment="1">
      <alignment horizontal="center"/>
    </xf>
    <xf numFmtId="0" fontId="44" fillId="2" borderId="0" xfId="0" applyFont="1" applyFill="1"/>
    <xf numFmtId="0" fontId="45" fillId="2" borderId="0" xfId="0" applyFont="1" applyFill="1" applyAlignment="1">
      <alignment horizontal="center"/>
    </xf>
    <xf numFmtId="0" fontId="28" fillId="2" borderId="0" xfId="0" applyFont="1" applyFill="1"/>
    <xf numFmtId="0" fontId="46" fillId="2" borderId="0" xfId="0" applyFont="1" applyFill="1"/>
    <xf numFmtId="0" fontId="47" fillId="2" borderId="0" xfId="0" applyFont="1" applyFill="1"/>
    <xf numFmtId="166" fontId="48" fillId="2" borderId="0" xfId="0" applyNumberFormat="1" applyFont="1" applyFill="1" applyAlignment="1">
      <alignment horizontal="center"/>
    </xf>
    <xf numFmtId="167" fontId="48" fillId="2" borderId="0" xfId="0" applyNumberFormat="1" applyFont="1" applyFill="1" applyAlignment="1">
      <alignment horizontal="center"/>
    </xf>
    <xf numFmtId="9" fontId="48" fillId="2" borderId="0" xfId="1" applyFont="1" applyFill="1" applyAlignment="1">
      <alignment horizontal="center"/>
    </xf>
    <xf numFmtId="164" fontId="48" fillId="2" borderId="0" xfId="0" applyNumberFormat="1" applyFont="1" applyFill="1" applyAlignment="1">
      <alignment horizontal="center"/>
    </xf>
    <xf numFmtId="0" fontId="23" fillId="2" borderId="0" xfId="0" applyFont="1" applyFill="1"/>
    <xf numFmtId="0" fontId="49" fillId="2" borderId="0" xfId="0" applyFont="1" applyFill="1"/>
    <xf numFmtId="0" fontId="47" fillId="2" borderId="0" xfId="0" applyFont="1" applyFill="1" applyAlignment="1">
      <alignment horizontal="center"/>
    </xf>
    <xf numFmtId="166" fontId="50" fillId="2" borderId="0" xfId="0" applyNumberFormat="1" applyFont="1" applyFill="1" applyAlignment="1">
      <alignment horizontal="center"/>
    </xf>
    <xf numFmtId="167" fontId="50" fillId="2" borderId="0" xfId="0" applyNumberFormat="1" applyFont="1" applyFill="1" applyAlignment="1">
      <alignment horizontal="center"/>
    </xf>
    <xf numFmtId="164" fontId="50" fillId="2" borderId="0" xfId="0" applyNumberFormat="1" applyFont="1" applyFill="1" applyAlignment="1">
      <alignment horizontal="center"/>
    </xf>
    <xf numFmtId="0" fontId="0" fillId="2" borderId="4" xfId="0" applyFill="1" applyBorder="1"/>
    <xf numFmtId="0" fontId="20" fillId="2" borderId="4" xfId="0" applyFont="1" applyFill="1" applyBorder="1" applyAlignment="1">
      <alignment horizontal="right"/>
    </xf>
    <xf numFmtId="41" fontId="35" fillId="2" borderId="0" xfId="0" applyNumberFormat="1" applyFont="1" applyFill="1" applyAlignment="1">
      <alignment horizontal="right" vertical="center"/>
    </xf>
    <xf numFmtId="168" fontId="0" fillId="2" borderId="0" xfId="0" applyNumberFormat="1" applyFill="1"/>
    <xf numFmtId="168" fontId="20" fillId="2" borderId="0" xfId="0" applyNumberFormat="1" applyFont="1" applyFill="1"/>
    <xf numFmtId="43" fontId="0" fillId="2" borderId="0" xfId="0" applyNumberFormat="1" applyFill="1"/>
    <xf numFmtId="168" fontId="20" fillId="2" borderId="0" xfId="0" applyNumberFormat="1" applyFont="1" applyFill="1" applyAlignment="1">
      <alignment horizontal="right"/>
    </xf>
    <xf numFmtId="41" fontId="20" fillId="2" borderId="0" xfId="0" applyNumberFormat="1" applyFont="1" applyFill="1" applyAlignment="1">
      <alignment horizontal="right"/>
    </xf>
    <xf numFmtId="0" fontId="0" fillId="2" borderId="0" xfId="0" applyFill="1" applyAlignment="1">
      <alignment horizontal="right"/>
    </xf>
    <xf numFmtId="0" fontId="20" fillId="2" borderId="5" xfId="0" applyFont="1" applyFill="1" applyBorder="1" applyAlignment="1">
      <alignment horizontal="right"/>
    </xf>
    <xf numFmtId="0" fontId="0" fillId="8" borderId="0" xfId="0" applyFill="1"/>
    <xf numFmtId="0" fontId="51" fillId="10" borderId="0" xfId="0" applyFont="1" applyFill="1"/>
    <xf numFmtId="0" fontId="49" fillId="4" borderId="0" xfId="0" applyFont="1" applyFill="1"/>
    <xf numFmtId="0" fontId="46" fillId="5" borderId="0" xfId="0" applyFont="1" applyFill="1"/>
    <xf numFmtId="0" fontId="18" fillId="5" borderId="0" xfId="0" applyFont="1" applyFill="1" applyAlignment="1">
      <alignment horizontal="center"/>
    </xf>
    <xf numFmtId="0" fontId="52" fillId="2" borderId="0" xfId="0" applyFont="1" applyFill="1"/>
    <xf numFmtId="0" fontId="20" fillId="2" borderId="6" xfId="0" applyFont="1" applyFill="1" applyBorder="1"/>
    <xf numFmtId="0" fontId="0" fillId="2" borderId="6" xfId="0" applyFill="1" applyBorder="1"/>
    <xf numFmtId="41" fontId="0" fillId="2" borderId="6" xfId="0" applyNumberFormat="1" applyFill="1" applyBorder="1"/>
    <xf numFmtId="0" fontId="51" fillId="4" borderId="0" xfId="0" applyFont="1" applyFill="1"/>
    <xf numFmtId="0" fontId="18" fillId="2" borderId="0" xfId="0" applyFont="1" applyFill="1" applyAlignment="1">
      <alignment horizontal="right"/>
    </xf>
    <xf numFmtId="166" fontId="0" fillId="2" borderId="0" xfId="0" applyNumberFormat="1" applyFill="1" applyAlignment="1">
      <alignment horizontal="right"/>
    </xf>
    <xf numFmtId="166" fontId="18" fillId="2" borderId="0" xfId="0" applyNumberFormat="1" applyFont="1" applyFill="1" applyAlignment="1">
      <alignment horizontal="right"/>
    </xf>
    <xf numFmtId="0" fontId="53" fillId="2" borderId="0" xfId="0" applyFont="1" applyFill="1"/>
    <xf numFmtId="166" fontId="54" fillId="2" borderId="0" xfId="0" applyNumberFormat="1" applyFont="1" applyFill="1" applyAlignment="1">
      <alignment horizontal="right"/>
    </xf>
    <xf numFmtId="166" fontId="0" fillId="2" borderId="0" xfId="0" applyNumberFormat="1" applyFill="1" applyAlignment="1">
      <alignment horizontal="center"/>
    </xf>
    <xf numFmtId="166" fontId="18" fillId="2" borderId="0" xfId="0" applyNumberFormat="1" applyFont="1" applyFill="1" applyAlignment="1">
      <alignment horizontal="center"/>
    </xf>
    <xf numFmtId="0" fontId="55" fillId="2" borderId="0" xfId="0" applyFont="1" applyFill="1"/>
    <xf numFmtId="0" fontId="56" fillId="2" borderId="0" xfId="0" applyFont="1" applyFill="1"/>
    <xf numFmtId="166" fontId="17" fillId="2" borderId="0" xfId="0" applyNumberFormat="1" applyFont="1" applyFill="1" applyAlignment="1">
      <alignment horizontal="center"/>
    </xf>
    <xf numFmtId="0" fontId="18" fillId="5" borderId="0" xfId="0" applyFont="1" applyFill="1" applyAlignment="1">
      <alignment horizontal="right"/>
    </xf>
    <xf numFmtId="3" fontId="0" fillId="2" borderId="0" xfId="0" applyNumberFormat="1" applyFill="1" applyAlignment="1">
      <alignment horizontal="right"/>
    </xf>
    <xf numFmtId="3" fontId="18" fillId="2" borderId="0" xfId="0" applyNumberFormat="1" applyFont="1" applyFill="1" applyAlignment="1">
      <alignment horizontal="right"/>
    </xf>
    <xf numFmtId="0" fontId="18" fillId="2" borderId="7" xfId="0" applyFont="1" applyFill="1" applyBorder="1"/>
    <xf numFmtId="0" fontId="0" fillId="2" borderId="7" xfId="0" applyFill="1" applyBorder="1"/>
    <xf numFmtId="3" fontId="18" fillId="2" borderId="7" xfId="0" applyNumberFormat="1" applyFont="1" applyFill="1" applyBorder="1" applyAlignment="1">
      <alignment horizontal="right"/>
    </xf>
    <xf numFmtId="0" fontId="59" fillId="2" borderId="0" xfId="0" applyFont="1" applyFill="1"/>
    <xf numFmtId="0" fontId="60" fillId="2" borderId="0" xfId="0" applyFont="1" applyFill="1"/>
    <xf numFmtId="166" fontId="0" fillId="2" borderId="0" xfId="0" applyNumberFormat="1" applyFill="1"/>
    <xf numFmtId="0" fontId="18" fillId="8" borderId="0" xfId="0" applyFont="1" applyFill="1"/>
    <xf numFmtId="9" fontId="0" fillId="2" borderId="0" xfId="0" applyNumberFormat="1" applyFill="1"/>
    <xf numFmtId="0" fontId="61" fillId="2" borderId="0" xfId="0" applyFont="1" applyFill="1"/>
    <xf numFmtId="0" fontId="37" fillId="4" borderId="0" xfId="0" applyFont="1" applyFill="1"/>
    <xf numFmtId="0" fontId="62" fillId="8" borderId="0" xfId="0" applyFont="1" applyFill="1"/>
    <xf numFmtId="0" fontId="20" fillId="15" borderId="0" xfId="0" applyFont="1" applyFill="1" applyAlignment="1">
      <alignment horizontal="right"/>
    </xf>
    <xf numFmtId="0" fontId="36" fillId="15" borderId="0" xfId="0" applyFont="1" applyFill="1" applyAlignment="1">
      <alignment horizontal="right"/>
    </xf>
    <xf numFmtId="43" fontId="0" fillId="2" borderId="0" xfId="0" applyNumberFormat="1" applyFill="1" applyAlignment="1">
      <alignment horizontal="right"/>
    </xf>
    <xf numFmtId="2" fontId="0" fillId="2" borderId="0" xfId="0" applyNumberFormat="1" applyFill="1" applyAlignment="1">
      <alignment horizontal="right"/>
    </xf>
    <xf numFmtId="167" fontId="0" fillId="2" borderId="0" xfId="0" applyNumberFormat="1" applyFill="1"/>
    <xf numFmtId="0" fontId="63" fillId="2" borderId="0" xfId="0" applyFont="1" applyFill="1"/>
    <xf numFmtId="2" fontId="0" fillId="16" borderId="0" xfId="0" applyNumberFormat="1" applyFill="1"/>
    <xf numFmtId="168" fontId="0" fillId="13" borderId="0" xfId="0" applyNumberFormat="1" applyFill="1"/>
    <xf numFmtId="43" fontId="0" fillId="2" borderId="0" xfId="2" applyFont="1" applyFill="1"/>
    <xf numFmtId="1" fontId="0" fillId="13" borderId="0" xfId="0" applyNumberFormat="1" applyFill="1"/>
    <xf numFmtId="43" fontId="0" fillId="16" borderId="0" xfId="0" applyNumberFormat="1" applyFill="1"/>
    <xf numFmtId="166" fontId="0" fillId="2" borderId="0" xfId="1" applyNumberFormat="1" applyFont="1" applyFill="1"/>
    <xf numFmtId="168" fontId="36" fillId="2" borderId="0" xfId="0" applyNumberFormat="1" applyFont="1" applyFill="1"/>
    <xf numFmtId="0" fontId="64" fillId="2" borderId="0" xfId="0" applyFont="1" applyFill="1"/>
    <xf numFmtId="0" fontId="18" fillId="0" borderId="0" xfId="0" applyFont="1" applyAlignment="1">
      <alignment horizontal="right"/>
    </xf>
    <xf numFmtId="0" fontId="65" fillId="2" borderId="0" xfId="0" applyFont="1" applyFill="1"/>
    <xf numFmtId="41" fontId="0" fillId="2" borderId="0" xfId="0" applyNumberFormat="1" applyFill="1" applyAlignment="1">
      <alignment horizontal="center"/>
    </xf>
    <xf numFmtId="41" fontId="0" fillId="16" borderId="0" xfId="0" applyNumberFormat="1" applyFill="1"/>
    <xf numFmtId="168" fontId="0" fillId="2" borderId="0" xfId="0" applyNumberFormat="1" applyFill="1" applyAlignment="1">
      <alignment horizontal="right"/>
    </xf>
    <xf numFmtId="9" fontId="20" fillId="2" borderId="0" xfId="0" applyNumberFormat="1" applyFont="1" applyFill="1"/>
    <xf numFmtId="166" fontId="0" fillId="2" borderId="0" xfId="1" applyNumberFormat="1" applyFont="1" applyFill="1" applyAlignment="1">
      <alignment horizontal="center"/>
    </xf>
    <xf numFmtId="168" fontId="0" fillId="16" borderId="0" xfId="0" applyNumberFormat="1" applyFill="1"/>
    <xf numFmtId="168" fontId="20" fillId="13" borderId="0" xfId="0" applyNumberFormat="1" applyFont="1" applyFill="1"/>
    <xf numFmtId="0" fontId="66" fillId="2" borderId="0" xfId="0" applyFont="1" applyFill="1"/>
    <xf numFmtId="41" fontId="0" fillId="17" borderId="0" xfId="0" applyNumberFormat="1" applyFill="1"/>
    <xf numFmtId="0" fontId="67" fillId="6" borderId="0" xfId="0" applyFont="1" applyFill="1"/>
    <xf numFmtId="0" fontId="68" fillId="18" borderId="0" xfId="0" applyFont="1" applyFill="1"/>
    <xf numFmtId="0" fontId="69" fillId="2" borderId="0" xfId="0" applyFont="1" applyFill="1"/>
    <xf numFmtId="0" fontId="70" fillId="6" borderId="0" xfId="0" applyFont="1" applyFill="1"/>
    <xf numFmtId="0" fontId="70" fillId="6" borderId="0" xfId="0" applyFont="1" applyFill="1" applyAlignment="1">
      <alignment horizontal="center"/>
    </xf>
    <xf numFmtId="0" fontId="71" fillId="2" borderId="0" xfId="0" applyFont="1" applyFill="1" applyAlignment="1">
      <alignment horizontal="center"/>
    </xf>
    <xf numFmtId="0" fontId="72" fillId="2" borderId="0" xfId="0" applyFont="1" applyFill="1"/>
    <xf numFmtId="0" fontId="72" fillId="2" borderId="0" xfId="0" applyFont="1" applyFill="1" applyAlignment="1">
      <alignment horizontal="center"/>
    </xf>
    <xf numFmtId="0" fontId="73" fillId="2" borderId="0" xfId="0" applyFont="1" applyFill="1"/>
    <xf numFmtId="43" fontId="0" fillId="2" borderId="0" xfId="0" applyNumberFormat="1" applyFill="1" applyAlignment="1">
      <alignment horizontal="center"/>
    </xf>
    <xf numFmtId="43" fontId="71" fillId="2" borderId="0" xfId="0" applyNumberFormat="1" applyFont="1" applyFill="1" applyAlignment="1">
      <alignment horizontal="center"/>
    </xf>
    <xf numFmtId="0" fontId="20" fillId="19" borderId="0" xfId="0" applyFont="1" applyFill="1"/>
    <xf numFmtId="0" fontId="0" fillId="19" borderId="0" xfId="0" applyFill="1"/>
    <xf numFmtId="10" fontId="17" fillId="2" borderId="0" xfId="1" applyNumberFormat="1" applyFont="1" applyFill="1" applyAlignment="1">
      <alignment horizontal="center"/>
    </xf>
    <xf numFmtId="0" fontId="35" fillId="2" borderId="0" xfId="0" applyFont="1" applyFill="1" applyAlignment="1">
      <alignment horizontal="center"/>
    </xf>
    <xf numFmtId="2" fontId="17" fillId="2" borderId="0" xfId="1" applyNumberFormat="1" applyFont="1" applyFill="1" applyAlignment="1">
      <alignment horizontal="center"/>
    </xf>
    <xf numFmtId="9" fontId="17" fillId="2" borderId="0" xfId="0" applyNumberFormat="1" applyFont="1" applyFill="1" applyAlignment="1">
      <alignment horizontal="center"/>
    </xf>
    <xf numFmtId="9" fontId="20" fillId="2" borderId="0" xfId="0" applyNumberFormat="1" applyFont="1" applyFill="1" applyAlignment="1">
      <alignment horizontal="center"/>
    </xf>
    <xf numFmtId="0" fontId="20" fillId="20" borderId="0" xfId="0" applyFont="1" applyFill="1"/>
    <xf numFmtId="0" fontId="0" fillId="20" borderId="0" xfId="0" applyFill="1"/>
    <xf numFmtId="168" fontId="0" fillId="2" borderId="0" xfId="0" applyNumberFormat="1" applyFill="1" applyAlignment="1">
      <alignment horizontal="center"/>
    </xf>
    <xf numFmtId="168" fontId="0" fillId="20" borderId="0" xfId="1" applyNumberFormat="1" applyFont="1" applyFill="1"/>
    <xf numFmtId="0" fontId="20" fillId="21" borderId="0" xfId="0" applyFont="1" applyFill="1"/>
    <xf numFmtId="0" fontId="0" fillId="21" borderId="0" xfId="0" applyFill="1"/>
    <xf numFmtId="43" fontId="20" fillId="21" borderId="0" xfId="0" applyNumberFormat="1" applyFont="1" applyFill="1"/>
    <xf numFmtId="166" fontId="75" fillId="0" borderId="0" xfId="1" applyNumberFormat="1" applyFont="1"/>
    <xf numFmtId="0" fontId="18" fillId="22" borderId="0" xfId="0" applyFont="1" applyFill="1"/>
    <xf numFmtId="0" fontId="0" fillId="22" borderId="0" xfId="0" applyFill="1"/>
    <xf numFmtId="0" fontId="54" fillId="2" borderId="0" xfId="0" applyFont="1" applyFill="1"/>
    <xf numFmtId="0" fontId="18" fillId="21" borderId="0" xfId="0" applyFont="1" applyFill="1"/>
    <xf numFmtId="168" fontId="20" fillId="21" borderId="0" xfId="0" applyNumberFormat="1" applyFont="1" applyFill="1"/>
    <xf numFmtId="0" fontId="40" fillId="21" borderId="0" xfId="0" applyFont="1" applyFill="1"/>
    <xf numFmtId="10" fontId="20" fillId="2" borderId="0" xfId="1" applyNumberFormat="1" applyFont="1" applyFill="1" applyAlignment="1">
      <alignment horizontal="center"/>
    </xf>
    <xf numFmtId="0" fontId="76" fillId="11" borderId="0" xfId="0" applyFont="1" applyFill="1"/>
    <xf numFmtId="0" fontId="0" fillId="11" borderId="0" xfId="0" applyFill="1"/>
    <xf numFmtId="0" fontId="77" fillId="2" borderId="0" xfId="0" applyFont="1" applyFill="1"/>
    <xf numFmtId="0" fontId="78" fillId="2" borderId="0" xfId="0" applyFont="1" applyFill="1"/>
    <xf numFmtId="0" fontId="79" fillId="2" borderId="0" xfId="0" applyFont="1" applyFill="1"/>
    <xf numFmtId="0" fontId="79" fillId="11" borderId="0" xfId="0" applyFont="1" applyFill="1"/>
    <xf numFmtId="0" fontId="79" fillId="2" borderId="0" xfId="0" applyFont="1" applyFill="1" applyAlignment="1">
      <alignment horizontal="center"/>
    </xf>
    <xf numFmtId="0" fontId="78" fillId="2" borderId="0" xfId="0" applyFont="1" applyFill="1" applyAlignment="1">
      <alignment horizontal="center"/>
    </xf>
    <xf numFmtId="4" fontId="35" fillId="2" borderId="0" xfId="0" applyNumberFormat="1" applyFont="1" applyFill="1" applyAlignment="1">
      <alignment horizontal="center"/>
    </xf>
    <xf numFmtId="169" fontId="35" fillId="2" borderId="0" xfId="0" applyNumberFormat="1" applyFont="1" applyFill="1" applyAlignment="1">
      <alignment horizontal="center"/>
    </xf>
    <xf numFmtId="3" fontId="78" fillId="2" borderId="0" xfId="0" applyNumberFormat="1" applyFont="1" applyFill="1" applyAlignment="1">
      <alignment horizontal="center"/>
    </xf>
    <xf numFmtId="3" fontId="35" fillId="2" borderId="0" xfId="0" applyNumberFormat="1" applyFont="1" applyFill="1" applyAlignment="1">
      <alignment horizontal="center"/>
    </xf>
    <xf numFmtId="3" fontId="79" fillId="2" borderId="0" xfId="0" applyNumberFormat="1" applyFont="1" applyFill="1" applyAlignment="1">
      <alignment horizontal="center"/>
    </xf>
    <xf numFmtId="0" fontId="77" fillId="2" borderId="0" xfId="0" applyFont="1" applyFill="1" applyAlignment="1">
      <alignment horizontal="center"/>
    </xf>
    <xf numFmtId="166" fontId="78" fillId="2" borderId="0" xfId="0" applyNumberFormat="1" applyFont="1" applyFill="1" applyAlignment="1">
      <alignment horizontal="center"/>
    </xf>
    <xf numFmtId="2" fontId="35" fillId="2" borderId="0" xfId="0" applyNumberFormat="1" applyFont="1" applyFill="1" applyAlignment="1">
      <alignment horizontal="center"/>
    </xf>
    <xf numFmtId="170" fontId="79" fillId="2" borderId="0" xfId="0" applyNumberFormat="1" applyFont="1" applyFill="1" applyAlignment="1">
      <alignment horizontal="center"/>
    </xf>
    <xf numFmtId="170" fontId="78" fillId="2" borderId="0" xfId="0" applyNumberFormat="1" applyFont="1" applyFill="1" applyAlignment="1">
      <alignment horizontal="center"/>
    </xf>
    <xf numFmtId="0" fontId="79" fillId="23" borderId="0" xfId="0" applyFont="1" applyFill="1"/>
    <xf numFmtId="170" fontId="79" fillId="23" borderId="0" xfId="0" applyNumberFormat="1" applyFont="1" applyFill="1" applyAlignment="1">
      <alignment horizontal="center"/>
    </xf>
    <xf numFmtId="0" fontId="80" fillId="2" borderId="0" xfId="0" applyFont="1" applyFill="1"/>
    <xf numFmtId="0" fontId="79" fillId="21" borderId="0" xfId="0" applyFont="1" applyFill="1"/>
    <xf numFmtId="3" fontId="79" fillId="21" borderId="0" xfId="0" applyNumberFormat="1" applyFont="1" applyFill="1" applyAlignment="1">
      <alignment horizontal="center"/>
    </xf>
    <xf numFmtId="171" fontId="79" fillId="21" borderId="0" xfId="0" applyNumberFormat="1" applyFont="1" applyFill="1" applyAlignment="1">
      <alignment horizontal="center"/>
    </xf>
    <xf numFmtId="0" fontId="81" fillId="2" borderId="0" xfId="0" applyFont="1" applyFill="1"/>
    <xf numFmtId="0" fontId="84" fillId="3" borderId="0" xfId="0" applyFont="1" applyFill="1" applyAlignment="1">
      <alignment horizontal="right"/>
    </xf>
    <xf numFmtId="0" fontId="87" fillId="8" borderId="11" xfId="0" applyFont="1" applyFill="1" applyBorder="1" applyAlignment="1">
      <alignment horizontal="center"/>
    </xf>
    <xf numFmtId="10" fontId="87" fillId="8" borderId="11" xfId="0" applyNumberFormat="1" applyFont="1" applyFill="1" applyBorder="1" applyAlignment="1">
      <alignment horizontal="center"/>
    </xf>
    <xf numFmtId="0" fontId="88" fillId="8" borderId="14" xfId="0" applyFont="1" applyFill="1" applyBorder="1" applyAlignment="1">
      <alignment horizontal="center"/>
    </xf>
    <xf numFmtId="0" fontId="89" fillId="25" borderId="16" xfId="0" applyFont="1" applyFill="1" applyBorder="1"/>
    <xf numFmtId="0" fontId="86" fillId="25" borderId="0" xfId="0" applyFont="1" applyFill="1"/>
    <xf numFmtId="0" fontId="86" fillId="25" borderId="0" xfId="0" applyFont="1" applyFill="1" applyAlignment="1">
      <alignment horizontal="center"/>
    </xf>
    <xf numFmtId="0" fontId="90" fillId="25" borderId="0" xfId="0" applyFont="1" applyFill="1"/>
    <xf numFmtId="3" fontId="90" fillId="25" borderId="0" xfId="0" applyNumberFormat="1" applyFont="1" applyFill="1" applyAlignment="1">
      <alignment horizontal="center"/>
    </xf>
    <xf numFmtId="166" fontId="90" fillId="25" borderId="0" xfId="0" applyNumberFormat="1" applyFont="1" applyFill="1" applyAlignment="1">
      <alignment horizontal="center"/>
    </xf>
    <xf numFmtId="0" fontId="91" fillId="3" borderId="0" xfId="0" applyFont="1" applyFill="1"/>
    <xf numFmtId="0" fontId="92" fillId="8" borderId="11" xfId="0" applyFont="1" applyFill="1" applyBorder="1"/>
    <xf numFmtId="0" fontId="92" fillId="8" borderId="18" xfId="0" applyFont="1" applyFill="1" applyBorder="1"/>
    <xf numFmtId="0" fontId="93" fillId="8" borderId="17" xfId="0" applyFont="1" applyFill="1" applyBorder="1" applyAlignment="1">
      <alignment horizontal="right"/>
    </xf>
    <xf numFmtId="0" fontId="92" fillId="8" borderId="20" xfId="0" applyFont="1" applyFill="1" applyBorder="1"/>
    <xf numFmtId="0" fontId="93" fillId="8" borderId="21" xfId="0" applyFont="1" applyFill="1" applyBorder="1" applyAlignment="1">
      <alignment horizontal="right"/>
    </xf>
    <xf numFmtId="0" fontId="93" fillId="26" borderId="24" xfId="0" applyFont="1" applyFill="1" applyBorder="1"/>
    <xf numFmtId="0" fontId="93" fillId="8" borderId="0" xfId="0" applyFont="1" applyFill="1" applyAlignment="1">
      <alignment horizontal="right"/>
    </xf>
    <xf numFmtId="0" fontId="94" fillId="26" borderId="23" xfId="0" applyFont="1" applyFill="1" applyBorder="1" applyAlignment="1">
      <alignment horizontal="right"/>
    </xf>
    <xf numFmtId="0" fontId="89" fillId="25" borderId="0" xfId="0" applyFont="1" applyFill="1"/>
    <xf numFmtId="0" fontId="95" fillId="3" borderId="26" xfId="0" applyFont="1" applyFill="1" applyBorder="1" applyAlignment="1">
      <alignment horizontal="left"/>
    </xf>
    <xf numFmtId="0" fontId="96" fillId="3" borderId="0" xfId="0" applyFont="1" applyFill="1" applyAlignment="1">
      <alignment horizontal="center"/>
    </xf>
    <xf numFmtId="0" fontId="97" fillId="26" borderId="11" xfId="0" applyFont="1" applyFill="1" applyBorder="1"/>
    <xf numFmtId="0" fontId="97" fillId="26" borderId="0" xfId="0" applyFont="1" applyFill="1" applyAlignment="1">
      <alignment horizontal="center"/>
    </xf>
    <xf numFmtId="0" fontId="98" fillId="8" borderId="20" xfId="0" applyFont="1" applyFill="1" applyBorder="1"/>
    <xf numFmtId="0" fontId="98" fillId="8" borderId="21" xfId="0" applyFont="1" applyFill="1" applyBorder="1" applyAlignment="1">
      <alignment horizontal="center"/>
    </xf>
    <xf numFmtId="0" fontId="98" fillId="8" borderId="23" xfId="0" applyFont="1" applyFill="1" applyBorder="1" applyAlignment="1">
      <alignment horizontal="center"/>
    </xf>
    <xf numFmtId="0" fontId="95" fillId="27" borderId="28" xfId="0" applyFont="1" applyFill="1" applyBorder="1"/>
    <xf numFmtId="0" fontId="96" fillId="27" borderId="0" xfId="0" applyFont="1" applyFill="1" applyAlignment="1">
      <alignment horizontal="center"/>
    </xf>
    <xf numFmtId="0" fontId="99" fillId="3" borderId="0" xfId="0" applyFont="1" applyFill="1"/>
    <xf numFmtId="0" fontId="99" fillId="3" borderId="0" xfId="0" applyFont="1" applyFill="1" applyAlignment="1">
      <alignment horizontal="right"/>
    </xf>
    <xf numFmtId="0" fontId="100" fillId="3" borderId="0" xfId="0" applyFont="1" applyFill="1"/>
    <xf numFmtId="0" fontId="100" fillId="25" borderId="0" xfId="0" applyFont="1" applyFill="1"/>
    <xf numFmtId="0" fontId="100" fillId="24" borderId="0" xfId="0" applyFont="1" applyFill="1"/>
    <xf numFmtId="0" fontId="85" fillId="8" borderId="8" xfId="0" applyFont="1" applyFill="1" applyBorder="1"/>
    <xf numFmtId="0" fontId="100" fillId="8" borderId="10" xfId="0" applyFont="1" applyFill="1" applyBorder="1"/>
    <xf numFmtId="0" fontId="100" fillId="8" borderId="8" xfId="0" applyFont="1" applyFill="1" applyBorder="1"/>
    <xf numFmtId="0" fontId="100" fillId="8" borderId="0" xfId="0" applyFont="1" applyFill="1"/>
    <xf numFmtId="0" fontId="100" fillId="8" borderId="12" xfId="0" applyFont="1" applyFill="1" applyBorder="1"/>
    <xf numFmtId="0" fontId="100" fillId="8" borderId="13" xfId="0" applyFont="1" applyFill="1" applyBorder="1"/>
    <xf numFmtId="0" fontId="100" fillId="8" borderId="15" xfId="0" applyFont="1" applyFill="1" applyBorder="1"/>
    <xf numFmtId="0" fontId="100" fillId="25" borderId="16" xfId="0" applyFont="1" applyFill="1" applyBorder="1"/>
    <xf numFmtId="0" fontId="100" fillId="8" borderId="21" xfId="0" applyFont="1" applyFill="1" applyBorder="1"/>
    <xf numFmtId="0" fontId="100" fillId="8" borderId="22" xfId="0" applyFont="1" applyFill="1" applyBorder="1"/>
    <xf numFmtId="0" fontId="100" fillId="8" borderId="19" xfId="0" applyFont="1" applyFill="1" applyBorder="1"/>
    <xf numFmtId="0" fontId="100" fillId="26" borderId="23" xfId="0" applyFont="1" applyFill="1" applyBorder="1"/>
    <xf numFmtId="0" fontId="100" fillId="26" borderId="25" xfId="0" applyFont="1" applyFill="1" applyBorder="1"/>
    <xf numFmtId="0" fontId="100" fillId="3" borderId="27" xfId="0" applyFont="1" applyFill="1" applyBorder="1"/>
    <xf numFmtId="0" fontId="100" fillId="26" borderId="0" xfId="0" applyFont="1" applyFill="1"/>
    <xf numFmtId="0" fontId="100" fillId="26" borderId="12" xfId="0" applyFont="1" applyFill="1" applyBorder="1"/>
    <xf numFmtId="0" fontId="100" fillId="8" borderId="23" xfId="0" applyFont="1" applyFill="1" applyBorder="1"/>
    <xf numFmtId="0" fontId="100" fillId="27" borderId="0" xfId="0" applyFont="1" applyFill="1"/>
    <xf numFmtId="0" fontId="100" fillId="27" borderId="29" xfId="0" applyFont="1" applyFill="1" applyBorder="1"/>
    <xf numFmtId="169" fontId="97" fillId="26" borderId="0" xfId="0" applyNumberFormat="1" applyFont="1" applyFill="1" applyAlignment="1">
      <alignment horizontal="center"/>
    </xf>
    <xf numFmtId="169" fontId="98" fillId="8" borderId="21" xfId="0" applyNumberFormat="1" applyFont="1" applyFill="1" applyBorder="1" applyAlignment="1">
      <alignment horizontal="center"/>
    </xf>
    <xf numFmtId="169" fontId="98" fillId="8" borderId="23" xfId="0" applyNumberFormat="1" applyFont="1" applyFill="1" applyBorder="1" applyAlignment="1">
      <alignment horizontal="center"/>
    </xf>
    <xf numFmtId="0" fontId="0" fillId="2" borderId="30" xfId="0" applyFill="1" applyBorder="1"/>
    <xf numFmtId="0" fontId="0" fillId="2" borderId="31" xfId="0" applyFill="1" applyBorder="1"/>
    <xf numFmtId="0" fontId="0" fillId="2" borderId="32" xfId="0" applyFill="1" applyBorder="1"/>
    <xf numFmtId="0" fontId="0" fillId="2" borderId="33" xfId="0" applyFill="1" applyBorder="1"/>
    <xf numFmtId="0" fontId="74" fillId="2" borderId="0" xfId="0" applyFont="1" applyFill="1"/>
    <xf numFmtId="168" fontId="0" fillId="2" borderId="30" xfId="0" applyNumberFormat="1" applyFill="1" applyBorder="1"/>
    <xf numFmtId="168" fontId="0" fillId="2" borderId="0" xfId="0" applyNumberFormat="1" applyFill="1" applyAlignment="1">
      <alignment horizontal="left"/>
    </xf>
    <xf numFmtId="0" fontId="20" fillId="2" borderId="34" xfId="0" applyFont="1" applyFill="1" applyBorder="1" applyAlignment="1">
      <alignment horizontal="right"/>
    </xf>
    <xf numFmtId="0" fontId="20" fillId="2" borderId="35" xfId="0" applyFont="1" applyFill="1" applyBorder="1" applyAlignment="1">
      <alignment horizontal="right"/>
    </xf>
    <xf numFmtId="0" fontId="0" fillId="2" borderId="36" xfId="0" applyFill="1" applyBorder="1"/>
    <xf numFmtId="0" fontId="0" fillId="2" borderId="37" xfId="0" applyFill="1" applyBorder="1"/>
    <xf numFmtId="0" fontId="51" fillId="29" borderId="0" xfId="0" applyFont="1" applyFill="1"/>
    <xf numFmtId="0" fontId="0" fillId="29" borderId="0" xfId="0" applyFill="1"/>
    <xf numFmtId="0" fontId="103" fillId="29" borderId="38" xfId="0" applyFont="1" applyFill="1" applyBorder="1" applyAlignment="1">
      <alignment horizontal="center"/>
    </xf>
    <xf numFmtId="172" fontId="106" fillId="30" borderId="41" xfId="0" applyNumberFormat="1" applyFont="1" applyFill="1" applyBorder="1" applyAlignment="1">
      <alignment horizontal="center"/>
    </xf>
    <xf numFmtId="166" fontId="106" fillId="30" borderId="42" xfId="0" applyNumberFormat="1" applyFont="1" applyFill="1" applyBorder="1" applyAlignment="1">
      <alignment horizontal="center"/>
    </xf>
    <xf numFmtId="166" fontId="106" fillId="30" borderId="43" xfId="0" applyNumberFormat="1" applyFont="1" applyFill="1" applyBorder="1" applyAlignment="1">
      <alignment horizontal="center"/>
    </xf>
    <xf numFmtId="166" fontId="106" fillId="30" borderId="44" xfId="0" applyNumberFormat="1" applyFont="1" applyFill="1" applyBorder="1" applyAlignment="1">
      <alignment horizontal="center"/>
    </xf>
    <xf numFmtId="172" fontId="107" fillId="31" borderId="45" xfId="0" applyNumberFormat="1" applyFont="1" applyFill="1" applyBorder="1" applyAlignment="1">
      <alignment horizontal="center"/>
    </xf>
    <xf numFmtId="172" fontId="107" fillId="31" borderId="46" xfId="0" applyNumberFormat="1" applyFont="1" applyFill="1" applyBorder="1" applyAlignment="1">
      <alignment horizontal="center"/>
    </xf>
    <xf numFmtId="172" fontId="107" fillId="32" borderId="46" xfId="0" applyNumberFormat="1" applyFont="1" applyFill="1" applyBorder="1" applyAlignment="1">
      <alignment horizontal="center"/>
    </xf>
    <xf numFmtId="172" fontId="106" fillId="33" borderId="47" xfId="0" applyNumberFormat="1" applyFont="1" applyFill="1" applyBorder="1" applyAlignment="1">
      <alignment horizontal="center"/>
    </xf>
    <xf numFmtId="172" fontId="108" fillId="34" borderId="48" xfId="0" applyNumberFormat="1" applyFont="1" applyFill="1" applyBorder="1" applyAlignment="1">
      <alignment horizontal="center"/>
    </xf>
    <xf numFmtId="172" fontId="108" fillId="34" borderId="49" xfId="0" applyNumberFormat="1" applyFont="1" applyFill="1" applyBorder="1" applyAlignment="1">
      <alignment horizontal="center"/>
    </xf>
    <xf numFmtId="172" fontId="108" fillId="31" borderId="50" xfId="0" applyNumberFormat="1" applyFont="1" applyFill="1" applyBorder="1" applyAlignment="1">
      <alignment horizontal="center"/>
    </xf>
    <xf numFmtId="172" fontId="108" fillId="31" borderId="49" xfId="0" applyNumberFormat="1" applyFont="1" applyFill="1" applyBorder="1" applyAlignment="1">
      <alignment horizontal="center"/>
    </xf>
    <xf numFmtId="172" fontId="108" fillId="32" borderId="51" xfId="0" applyNumberFormat="1" applyFont="1" applyFill="1" applyBorder="1" applyAlignment="1">
      <alignment horizontal="center"/>
    </xf>
    <xf numFmtId="172" fontId="110" fillId="18" borderId="48" xfId="0" applyNumberFormat="1" applyFont="1" applyFill="1" applyBorder="1" applyAlignment="1">
      <alignment horizontal="center"/>
    </xf>
    <xf numFmtId="172" fontId="110" fillId="18" borderId="52" xfId="0" applyNumberFormat="1" applyFont="1" applyFill="1" applyBorder="1" applyAlignment="1">
      <alignment horizontal="center"/>
    </xf>
    <xf numFmtId="172" fontId="111" fillId="35" borderId="53" xfId="0" applyNumberFormat="1" applyFont="1" applyFill="1" applyBorder="1" applyAlignment="1">
      <alignment horizontal="center"/>
    </xf>
    <xf numFmtId="172" fontId="110" fillId="18" borderId="51" xfId="0" applyNumberFormat="1" applyFont="1" applyFill="1" applyBorder="1" applyAlignment="1">
      <alignment horizontal="center"/>
    </xf>
    <xf numFmtId="172" fontId="112" fillId="36" borderId="48" xfId="0" applyNumberFormat="1" applyFont="1" applyFill="1" applyBorder="1" applyAlignment="1">
      <alignment horizontal="center"/>
    </xf>
    <xf numFmtId="172" fontId="112" fillId="36" borderId="49" xfId="0" applyNumberFormat="1" applyFont="1" applyFill="1" applyBorder="1" applyAlignment="1">
      <alignment horizontal="center"/>
    </xf>
    <xf numFmtId="172" fontId="112" fillId="37" borderId="46" xfId="0" applyNumberFormat="1" applyFont="1" applyFill="1" applyBorder="1" applyAlignment="1">
      <alignment horizontal="center"/>
    </xf>
    <xf numFmtId="172" fontId="112" fillId="37" borderId="49" xfId="0" applyNumberFormat="1" applyFont="1" applyFill="1" applyBorder="1" applyAlignment="1">
      <alignment horizontal="center"/>
    </xf>
    <xf numFmtId="172" fontId="112" fillId="36" borderId="51" xfId="0" applyNumberFormat="1" applyFont="1" applyFill="1" applyBorder="1" applyAlignment="1">
      <alignment horizontal="center"/>
    </xf>
    <xf numFmtId="166" fontId="106" fillId="30" borderId="54" xfId="0" applyNumberFormat="1" applyFont="1" applyFill="1" applyBorder="1" applyAlignment="1">
      <alignment horizontal="center"/>
    </xf>
    <xf numFmtId="172" fontId="113" fillId="38" borderId="55" xfId="0" applyNumberFormat="1" applyFont="1" applyFill="1" applyBorder="1" applyAlignment="1">
      <alignment horizontal="center"/>
    </xf>
    <xf numFmtId="172" fontId="113" fillId="38" borderId="56" xfId="0" applyNumberFormat="1" applyFont="1" applyFill="1" applyBorder="1" applyAlignment="1">
      <alignment horizontal="center"/>
    </xf>
    <xf numFmtId="172" fontId="106" fillId="39" borderId="56" xfId="0" applyNumberFormat="1" applyFont="1" applyFill="1" applyBorder="1" applyAlignment="1">
      <alignment horizontal="center"/>
    </xf>
    <xf numFmtId="172" fontId="113" fillId="38" borderId="57" xfId="0" applyNumberFormat="1" applyFont="1" applyFill="1" applyBorder="1" applyAlignment="1">
      <alignment horizontal="center"/>
    </xf>
    <xf numFmtId="10" fontId="20" fillId="20" borderId="0" xfId="1" applyNumberFormat="1" applyFont="1" applyFill="1" applyAlignment="1">
      <alignment horizontal="center"/>
    </xf>
    <xf numFmtId="2" fontId="106" fillId="30" borderId="42" xfId="0" applyNumberFormat="1" applyFont="1" applyFill="1" applyBorder="1" applyAlignment="1">
      <alignment horizontal="center"/>
    </xf>
    <xf numFmtId="2" fontId="106" fillId="30" borderId="43" xfId="0" applyNumberFormat="1" applyFont="1" applyFill="1" applyBorder="1" applyAlignment="1">
      <alignment horizontal="center"/>
    </xf>
    <xf numFmtId="166" fontId="93" fillId="8" borderId="21" xfId="1" applyNumberFormat="1" applyFont="1" applyFill="1" applyBorder="1" applyAlignment="1">
      <alignment horizontal="right"/>
    </xf>
    <xf numFmtId="166" fontId="93" fillId="26" borderId="23" xfId="1" applyNumberFormat="1" applyFont="1" applyFill="1" applyBorder="1" applyAlignment="1">
      <alignment horizontal="right"/>
    </xf>
    <xf numFmtId="10" fontId="93" fillId="8" borderId="21" xfId="1" applyNumberFormat="1" applyFont="1" applyFill="1" applyBorder="1" applyAlignment="1">
      <alignment horizontal="right"/>
    </xf>
    <xf numFmtId="173" fontId="93" fillId="8" borderId="21" xfId="0" applyNumberFormat="1" applyFont="1" applyFill="1" applyBorder="1" applyAlignment="1">
      <alignment horizontal="right"/>
    </xf>
    <xf numFmtId="0" fontId="87" fillId="8" borderId="11" xfId="0" applyFont="1" applyFill="1" applyBorder="1" applyAlignment="1">
      <alignment horizontal="left"/>
    </xf>
    <xf numFmtId="0" fontId="86" fillId="8" borderId="9" xfId="0" applyFont="1" applyFill="1" applyBorder="1" applyAlignment="1">
      <alignment horizontal="left"/>
    </xf>
    <xf numFmtId="0" fontId="88" fillId="8" borderId="14" xfId="0" applyFont="1" applyFill="1" applyBorder="1" applyAlignment="1">
      <alignment horizontal="left"/>
    </xf>
    <xf numFmtId="0" fontId="103" fillId="29" borderId="38" xfId="0" applyFont="1" applyFill="1" applyBorder="1" applyAlignment="1">
      <alignment horizontal="center" wrapText="1"/>
    </xf>
    <xf numFmtId="174" fontId="87" fillId="8" borderId="11" xfId="0" applyNumberFormat="1" applyFont="1" applyFill="1" applyBorder="1" applyAlignment="1">
      <alignment horizontal="center"/>
    </xf>
    <xf numFmtId="17" fontId="28" fillId="8" borderId="0" xfId="0" applyNumberFormat="1" applyFont="1" applyFill="1" applyAlignment="1">
      <alignment horizontal="center"/>
    </xf>
    <xf numFmtId="10" fontId="30" fillId="8" borderId="0" xfId="0" applyNumberFormat="1" applyFont="1" applyFill="1" applyAlignment="1">
      <alignment horizontal="center"/>
    </xf>
    <xf numFmtId="0" fontId="6" fillId="2" borderId="0" xfId="0" applyFont="1" applyFill="1" applyAlignment="1">
      <alignment horizontal="left"/>
    </xf>
    <xf numFmtId="0" fontId="7" fillId="2" borderId="0" xfId="0" applyFont="1" applyFill="1" applyAlignment="1">
      <alignment horizontal="left"/>
    </xf>
    <xf numFmtId="0" fontId="8" fillId="2" borderId="0" xfId="0" applyFont="1" applyFill="1"/>
    <xf numFmtId="0" fontId="8" fillId="2" borderId="2" xfId="0" applyFont="1" applyFill="1" applyBorder="1"/>
    <xf numFmtId="0" fontId="10" fillId="2" borderId="0" xfId="0" applyFont="1" applyFill="1" applyAlignment="1">
      <alignment horizontal="center"/>
    </xf>
    <xf numFmtId="0" fontId="11" fillId="2" borderId="0" xfId="0" applyFont="1" applyFill="1"/>
    <xf numFmtId="0" fontId="12" fillId="2" borderId="0" xfId="0" applyFont="1" applyFill="1"/>
    <xf numFmtId="0" fontId="13" fillId="2" borderId="0" xfId="0" applyFont="1" applyFill="1"/>
    <xf numFmtId="0" fontId="9" fillId="2" borderId="0" xfId="0" applyFont="1" applyFill="1"/>
    <xf numFmtId="0" fontId="10" fillId="2" borderId="2" xfId="0" applyFont="1" applyFill="1" applyBorder="1" applyAlignment="1">
      <alignment horizontal="center"/>
    </xf>
    <xf numFmtId="0" fontId="14" fillId="2" borderId="2" xfId="0" applyFont="1" applyFill="1" applyBorder="1"/>
    <xf numFmtId="0" fontId="0" fillId="2" borderId="2" xfId="0" applyFill="1" applyBorder="1"/>
    <xf numFmtId="0" fontId="10" fillId="2" borderId="0" xfId="0" applyFont="1" applyFill="1"/>
    <xf numFmtId="0" fontId="117" fillId="2" borderId="0" xfId="0" applyFont="1" applyFill="1" applyAlignment="1">
      <alignment horizontal="center"/>
    </xf>
    <xf numFmtId="0" fontId="118" fillId="3" borderId="1" xfId="0" applyFont="1" applyFill="1" applyBorder="1" applyAlignment="1">
      <alignment horizontal="center"/>
    </xf>
    <xf numFmtId="0" fontId="118" fillId="3" borderId="1" xfId="0" applyFont="1" applyFill="1" applyBorder="1" applyAlignment="1">
      <alignment horizontal="left"/>
    </xf>
    <xf numFmtId="0" fontId="118" fillId="4" borderId="0" xfId="0" applyFont="1" applyFill="1"/>
    <xf numFmtId="0" fontId="10" fillId="40" borderId="0" xfId="0" applyFont="1" applyFill="1" applyAlignment="1">
      <alignment horizontal="center"/>
    </xf>
    <xf numFmtId="0" fontId="10" fillId="40" borderId="0" xfId="0" applyFont="1" applyFill="1"/>
    <xf numFmtId="0" fontId="117" fillId="40" borderId="0" xfId="0" applyFont="1" applyFill="1" applyAlignment="1">
      <alignment horizontal="center"/>
    </xf>
    <xf numFmtId="0" fontId="10" fillId="41" borderId="0" xfId="0" applyFont="1" applyFill="1" applyAlignment="1">
      <alignment horizontal="center"/>
    </xf>
    <xf numFmtId="0" fontId="10" fillId="41" borderId="0" xfId="0" applyFont="1" applyFill="1"/>
    <xf numFmtId="0" fontId="117" fillId="41" borderId="0" xfId="0" applyFont="1" applyFill="1" applyAlignment="1">
      <alignment horizontal="center"/>
    </xf>
    <xf numFmtId="0" fontId="115" fillId="41" borderId="0" xfId="0" applyFont="1" applyFill="1" applyAlignment="1">
      <alignment horizontal="center"/>
    </xf>
    <xf numFmtId="0" fontId="8" fillId="41" borderId="2" xfId="0" applyFont="1" applyFill="1" applyBorder="1" applyAlignment="1">
      <alignment horizontal="center"/>
    </xf>
    <xf numFmtId="0" fontId="8" fillId="41" borderId="2" xfId="0" applyFont="1" applyFill="1" applyBorder="1"/>
    <xf numFmtId="0" fontId="115" fillId="41" borderId="2" xfId="0" applyFont="1" applyFill="1" applyBorder="1" applyAlignment="1">
      <alignment horizontal="center"/>
    </xf>
    <xf numFmtId="0" fontId="118" fillId="42" borderId="0" xfId="0" applyFont="1" applyFill="1"/>
    <xf numFmtId="0" fontId="114" fillId="42" borderId="0" xfId="0" applyFont="1" applyFill="1"/>
    <xf numFmtId="0" fontId="118" fillId="43" borderId="0" xfId="0" applyFont="1" applyFill="1"/>
    <xf numFmtId="0" fontId="114" fillId="43" borderId="0" xfId="0" applyFont="1" applyFill="1"/>
    <xf numFmtId="0" fontId="118" fillId="6" borderId="0" xfId="0" applyFont="1" applyFill="1"/>
    <xf numFmtId="0" fontId="114" fillId="6" borderId="0" xfId="0" applyFont="1" applyFill="1"/>
    <xf numFmtId="0" fontId="118" fillId="44" borderId="0" xfId="0" applyFont="1" applyFill="1"/>
    <xf numFmtId="0" fontId="114" fillId="44" borderId="0" xfId="0" applyFont="1" applyFill="1"/>
    <xf numFmtId="0" fontId="118" fillId="45" borderId="0" xfId="0" applyFont="1" applyFill="1"/>
    <xf numFmtId="0" fontId="114" fillId="45" borderId="0" xfId="0" applyFont="1" applyFill="1"/>
    <xf numFmtId="0" fontId="118" fillId="7" borderId="0" xfId="0" applyFont="1" applyFill="1"/>
    <xf numFmtId="0" fontId="114" fillId="7" borderId="0" xfId="0" applyFont="1" applyFill="1"/>
    <xf numFmtId="0" fontId="15" fillId="3" borderId="0" xfId="0" applyFont="1" applyFill="1"/>
    <xf numFmtId="0" fontId="1" fillId="3" borderId="0" xfId="0" applyFont="1" applyFill="1" applyAlignment="1">
      <alignment horizontal="center"/>
    </xf>
    <xf numFmtId="0" fontId="2" fillId="3" borderId="0" xfId="0" applyFont="1" applyFill="1" applyAlignment="1">
      <alignment horizontal="center"/>
    </xf>
    <xf numFmtId="0" fontId="3" fillId="3" borderId="0" xfId="0" applyFont="1"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xf numFmtId="0" fontId="0" fillId="25" borderId="0" xfId="0" applyFill="1"/>
    <xf numFmtId="0" fontId="19" fillId="6" borderId="0" xfId="0" applyFont="1" applyFill="1" applyAlignment="1">
      <alignment horizontal="left"/>
    </xf>
    <xf numFmtId="0" fontId="122" fillId="25" borderId="8" xfId="0" applyFont="1" applyFill="1" applyBorder="1" applyAlignment="1">
      <alignment vertical="center"/>
    </xf>
    <xf numFmtId="0" fontId="89" fillId="25" borderId="8" xfId="0" applyFont="1" applyFill="1" applyBorder="1" applyAlignment="1">
      <alignment vertical="center"/>
    </xf>
    <xf numFmtId="0" fontId="119" fillId="3" borderId="0" xfId="0" applyFont="1" applyFill="1" applyAlignment="1">
      <alignment horizontal="center"/>
    </xf>
    <xf numFmtId="0" fontId="120" fillId="3" borderId="0" xfId="0" applyFont="1" applyFill="1" applyAlignment="1">
      <alignment horizontal="center"/>
    </xf>
    <xf numFmtId="0" fontId="0" fillId="0" borderId="0" xfId="0"/>
    <xf numFmtId="0" fontId="121" fillId="3" borderId="0" xfId="0" applyFont="1" applyFill="1" applyAlignment="1">
      <alignment horizontal="center"/>
    </xf>
    <xf numFmtId="0" fontId="122" fillId="25" borderId="0" xfId="0" applyFont="1" applyFill="1" applyAlignment="1">
      <alignment vertical="center"/>
    </xf>
    <xf numFmtId="0" fontId="89" fillId="25" borderId="0" xfId="0" applyFont="1" applyFill="1" applyAlignment="1">
      <alignment vertical="center"/>
    </xf>
    <xf numFmtId="17" fontId="89" fillId="25" borderId="8" xfId="0" applyNumberFormat="1" applyFont="1" applyFill="1" applyBorder="1" applyAlignment="1">
      <alignment horizontal="left" vertical="center"/>
    </xf>
    <xf numFmtId="0" fontId="124" fillId="25" borderId="8" xfId="0" applyFont="1" applyFill="1" applyBorder="1" applyAlignment="1">
      <alignment vertical="center"/>
    </xf>
    <xf numFmtId="0" fontId="122" fillId="25" borderId="58" xfId="0" applyFont="1" applyFill="1" applyBorder="1" applyAlignment="1">
      <alignment vertical="center"/>
    </xf>
    <xf numFmtId="0" fontId="89" fillId="25" borderId="58" xfId="0" applyFont="1" applyFill="1" applyBorder="1" applyAlignment="1">
      <alignment vertical="center"/>
    </xf>
    <xf numFmtId="0" fontId="123" fillId="25" borderId="0" xfId="0" applyFont="1" applyFill="1" applyAlignment="1">
      <alignment horizontal="center"/>
    </xf>
    <xf numFmtId="0" fontId="82" fillId="3" borderId="0" xfId="0" applyFont="1" applyFill="1" applyAlignment="1">
      <alignment horizontal="center"/>
    </xf>
    <xf numFmtId="0" fontId="83" fillId="3" borderId="0" xfId="0" applyFont="1" applyFill="1"/>
    <xf numFmtId="0" fontId="104" fillId="29" borderId="39" xfId="0" applyFont="1" applyFill="1" applyBorder="1" applyAlignment="1">
      <alignment horizontal="center" vertical="center"/>
    </xf>
    <xf numFmtId="0" fontId="105" fillId="29" borderId="39" xfId="0" applyFont="1" applyFill="1" applyBorder="1" applyAlignment="1">
      <alignment horizontal="center" vertical="center"/>
    </xf>
    <xf numFmtId="0" fontId="104" fillId="29" borderId="40" xfId="0" applyFont="1" applyFill="1" applyBorder="1" applyAlignment="1">
      <alignment horizontal="center" vertical="center"/>
    </xf>
    <xf numFmtId="0" fontId="37" fillId="29" borderId="0" xfId="0" applyFont="1" applyFill="1" applyAlignment="1">
      <alignment horizontal="right" vertical="center" textRotation="90" wrapText="1"/>
    </xf>
    <xf numFmtId="0" fontId="109" fillId="29" borderId="0" xfId="0" applyFont="1" applyFill="1" applyAlignment="1">
      <alignment horizontal="right" vertical="center" textRotation="90" wrapText="1"/>
    </xf>
    <xf numFmtId="0" fontId="0" fillId="2" borderId="0" xfId="0" applyFill="1" applyAlignment="1">
      <alignment horizontal="center"/>
    </xf>
    <xf numFmtId="0" fontId="74" fillId="19" borderId="0" xfId="0" applyFont="1" applyFill="1" applyAlignment="1">
      <alignment horizontal="left"/>
    </xf>
    <xf numFmtId="0" fontId="19" fillId="28" borderId="0" xfId="0" applyFont="1" applyFill="1" applyAlignment="1">
      <alignment horizontal="left"/>
    </xf>
    <xf numFmtId="0" fontId="37" fillId="29" borderId="59" xfId="0" applyFont="1" applyFill="1" applyBorder="1" applyAlignment="1">
      <alignment horizontal="right" vertical="center" textRotation="90" wrapText="1"/>
    </xf>
  </cellXfs>
  <cellStyles count="5">
    <cellStyle name="Comma" xfId="2" builtinId="3"/>
    <cellStyle name="Normal" xfId="0" builtinId="0"/>
    <cellStyle name="Normal 2" xfId="4" xr:uid="{13B1D617-28B3-454F-A264-C71EF1B767BC}"/>
    <cellStyle name="Normal 2 2 2" xfId="3" xr:uid="{551409DD-2E9B-5849-80DD-5B571D698EBF}"/>
    <cellStyle name="Percent" xfId="1" builtinId="5"/>
  </cellStyles>
  <dxfs count="35">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
      <font>
        <color rgb="FF999999"/>
      </font>
    </dxf>
    <dxf>
      <font>
        <color rgb="FFBF8F00"/>
      </font>
    </dxf>
    <dxf>
      <font>
        <color rgb="FFBF8F00"/>
      </font>
    </dxf>
    <dxf>
      <font>
        <color rgb="FFBF8F00"/>
      </font>
    </dxf>
    <dxf>
      <font>
        <color rgb="FF548235"/>
      </font>
    </dxf>
  </dxfs>
  <tableStyles count="0" defaultTableStyle="TableStyleMedium2" defaultPivotStyle="PivotStyleLight16"/>
  <colors>
    <mruColors>
      <color rgb="FF404040"/>
      <color rgb="FFAD8AC6"/>
      <color rgb="FFF8C7AD"/>
      <color rgb="FFBF8F00"/>
      <color rgb="FF2E75B6"/>
      <color rgb="FF548235"/>
      <color rgb="FFE9F0F7"/>
      <color rgb="FFD7E4F1"/>
      <color rgb="FF4472C4"/>
      <color rgb="FF1B2A4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'Executive Summary'!$B$11</c:f>
              <c:strCache>
                <c:ptCount val="1"/>
                <c:pt idx="0">
                  <c:v>Revenue</c:v>
                </c:pt>
              </c:strCache>
            </c:strRef>
          </c:tx>
          <c:spPr>
            <a:solidFill>
              <a:srgbClr val="6B8EBF"/>
            </a:solidFill>
            <a:ln>
              <a:noFill/>
            </a:ln>
            <a:effectLst/>
          </c:spPr>
          <c:invertIfNegative val="0"/>
          <c:cat>
            <c:strRef>
              <c:f>'Executive Summary'!$C$10:$I$10</c:f>
              <c:strCache>
                <c:ptCount val="7"/>
                <c:pt idx="0">
                  <c:v>2020A</c:v>
                </c:pt>
                <c:pt idx="1">
                  <c:v>2021A</c:v>
                </c:pt>
                <c:pt idx="2">
                  <c:v>2022A</c:v>
                </c:pt>
                <c:pt idx="3">
                  <c:v>2023A</c:v>
                </c:pt>
                <c:pt idx="4">
                  <c:v>2024A</c:v>
                </c:pt>
                <c:pt idx="5">
                  <c:v>2025E</c:v>
                </c:pt>
                <c:pt idx="6">
                  <c:v>2026E</c:v>
                </c:pt>
              </c:strCache>
            </c:strRef>
          </c:cat>
          <c:val>
            <c:numRef>
              <c:f>'Executive Summary'!$C$11:$I$11</c:f>
              <c:numCache>
                <c:formatCode>#,##0</c:formatCode>
                <c:ptCount val="7"/>
                <c:pt idx="0">
                  <c:v>6389</c:v>
                </c:pt>
                <c:pt idx="1">
                  <c:v>8982</c:v>
                </c:pt>
                <c:pt idx="2">
                  <c:v>11602</c:v>
                </c:pt>
                <c:pt idx="3">
                  <c:v>13427</c:v>
                </c:pt>
                <c:pt idx="4">
                  <c:v>15170</c:v>
                </c:pt>
                <c:pt idx="5">
                  <c:v>16979</c:v>
                </c:pt>
                <c:pt idx="6">
                  <c:v>18782</c:v>
                </c:pt>
              </c:numCache>
            </c:numRef>
          </c:val>
          <c:extLst>
            <c:ext xmlns:c16="http://schemas.microsoft.com/office/drawing/2014/chart" uri="{C3380CC4-5D6E-409C-BE32-E72D297353CC}">
              <c16:uniqueId val="{00000000-840A-F14A-9594-C63D9B245AE1}"/>
            </c:ext>
          </c:extLst>
        </c:ser>
        <c:ser>
          <c:idx val="1"/>
          <c:order val="1"/>
          <c:tx>
            <c:strRef>
              <c:f>'Executive Summary'!$B$12</c:f>
              <c:strCache>
                <c:ptCount val="1"/>
                <c:pt idx="0">
                  <c:v>EBITDA</c:v>
                </c:pt>
              </c:strCache>
            </c:strRef>
          </c:tx>
          <c:spPr>
            <a:solidFill>
              <a:srgbClr val="C5A572"/>
            </a:solidFill>
            <a:ln>
              <a:noFill/>
            </a:ln>
            <a:effectLst/>
          </c:spPr>
          <c:invertIfNegative val="0"/>
          <c:cat>
            <c:strRef>
              <c:f>'Executive Summary'!$C$10:$I$10</c:f>
              <c:strCache>
                <c:ptCount val="7"/>
                <c:pt idx="0">
                  <c:v>2020A</c:v>
                </c:pt>
                <c:pt idx="1">
                  <c:v>2021A</c:v>
                </c:pt>
                <c:pt idx="2">
                  <c:v>2022A</c:v>
                </c:pt>
                <c:pt idx="3">
                  <c:v>2023A</c:v>
                </c:pt>
                <c:pt idx="4">
                  <c:v>2024A</c:v>
                </c:pt>
                <c:pt idx="5">
                  <c:v>2025E</c:v>
                </c:pt>
                <c:pt idx="6">
                  <c:v>2026E</c:v>
                </c:pt>
              </c:strCache>
            </c:strRef>
          </c:cat>
          <c:val>
            <c:numRef>
              <c:f>'Executive Summary'!$C$12:$I$12</c:f>
              <c:numCache>
                <c:formatCode>#,##0</c:formatCode>
                <c:ptCount val="7"/>
                <c:pt idx="0">
                  <c:v>2565</c:v>
                </c:pt>
                <c:pt idx="1">
                  <c:v>4155</c:v>
                </c:pt>
                <c:pt idx="2">
                  <c:v>5483</c:v>
                </c:pt>
                <c:pt idx="3">
                  <c:v>6411</c:v>
                </c:pt>
                <c:pt idx="4">
                  <c:v>7003</c:v>
                </c:pt>
                <c:pt idx="5">
                  <c:v>7956</c:v>
                </c:pt>
                <c:pt idx="6">
                  <c:v>8800</c:v>
                </c:pt>
              </c:numCache>
            </c:numRef>
          </c:val>
          <c:extLst>
            <c:ext xmlns:c16="http://schemas.microsoft.com/office/drawing/2014/chart" uri="{C3380CC4-5D6E-409C-BE32-E72D297353CC}">
              <c16:uniqueId val="{00000001-840A-F14A-9594-C63D9B245AE1}"/>
            </c:ext>
          </c:extLst>
        </c:ser>
        <c:ser>
          <c:idx val="2"/>
          <c:order val="2"/>
          <c:tx>
            <c:strRef>
              <c:f>'Executive Summary'!$B$13</c:f>
              <c:strCache>
                <c:ptCount val="1"/>
                <c:pt idx="0">
                  <c:v>Net Income</c:v>
                </c:pt>
              </c:strCache>
            </c:strRef>
          </c:tx>
          <c:spPr>
            <a:solidFill>
              <a:srgbClr val="A8C4D7"/>
            </a:solidFill>
            <a:ln>
              <a:noFill/>
            </a:ln>
            <a:effectLst/>
          </c:spPr>
          <c:invertIfNegative val="0"/>
          <c:cat>
            <c:strRef>
              <c:f>'Executive Summary'!$C$10:$I$10</c:f>
              <c:strCache>
                <c:ptCount val="7"/>
                <c:pt idx="0">
                  <c:v>2020A</c:v>
                </c:pt>
                <c:pt idx="1">
                  <c:v>2021A</c:v>
                </c:pt>
                <c:pt idx="2">
                  <c:v>2022A</c:v>
                </c:pt>
                <c:pt idx="3">
                  <c:v>2023A</c:v>
                </c:pt>
                <c:pt idx="4">
                  <c:v>2024A</c:v>
                </c:pt>
                <c:pt idx="5">
                  <c:v>2025E</c:v>
                </c:pt>
                <c:pt idx="6">
                  <c:v>2026E</c:v>
                </c:pt>
              </c:strCache>
            </c:strRef>
          </c:cat>
          <c:val>
            <c:numRef>
              <c:f>'Executive Summary'!$C$13:$I$13</c:f>
              <c:numCache>
                <c:formatCode>#,##0</c:formatCode>
                <c:ptCount val="7"/>
                <c:pt idx="0">
                  <c:v>1385</c:v>
                </c:pt>
                <c:pt idx="1">
                  <c:v>2446</c:v>
                </c:pt>
                <c:pt idx="2">
                  <c:v>3367</c:v>
                </c:pt>
                <c:pt idx="3">
                  <c:v>4311</c:v>
                </c:pt>
                <c:pt idx="4">
                  <c:v>4603</c:v>
                </c:pt>
                <c:pt idx="5">
                  <c:v>5058</c:v>
                </c:pt>
                <c:pt idx="6">
                  <c:v>5617</c:v>
                </c:pt>
              </c:numCache>
            </c:numRef>
          </c:val>
          <c:extLst>
            <c:ext xmlns:c16="http://schemas.microsoft.com/office/drawing/2014/chart" uri="{C3380CC4-5D6E-409C-BE32-E72D297353CC}">
              <c16:uniqueId val="{00000002-840A-F14A-9594-C63D9B245AE1}"/>
            </c:ext>
          </c:extLst>
        </c:ser>
        <c:dLbls>
          <c:showLegendKey val="0"/>
          <c:showVal val="0"/>
          <c:showCatName val="0"/>
          <c:showSerName val="0"/>
          <c:showPercent val="0"/>
          <c:showBubbleSize val="0"/>
        </c:dLbls>
        <c:gapWidth val="219"/>
        <c:overlap val="-27"/>
        <c:axId val="2128987456"/>
        <c:axId val="2128994624"/>
      </c:barChart>
      <c:catAx>
        <c:axId val="2128987456"/>
        <c:scaling>
          <c:orientation val="minMax"/>
        </c:scaling>
        <c:delete val="0"/>
        <c:axPos val="b"/>
        <c:numFmt formatCode="General" sourceLinked="1"/>
        <c:majorTickMark val="none"/>
        <c:minorTickMark val="none"/>
        <c:tickLblPos val="nextTo"/>
        <c:spPr>
          <a:noFill/>
          <a:ln w="9525" cap="flat" cmpd="sng" algn="ctr">
            <a:solidFill>
              <a:srgbClr val="E0E4EC"/>
            </a:solidFill>
            <a:prstDash val="solid"/>
            <a:round/>
          </a:ln>
          <a:effectLst/>
        </c:spPr>
        <c:txPr>
          <a:bodyPr rot="-6000000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crossAx val="2128994624"/>
        <c:crosses val="autoZero"/>
        <c:auto val="1"/>
        <c:lblAlgn val="ctr"/>
        <c:lblOffset val="100"/>
        <c:noMultiLvlLbl val="0"/>
      </c:catAx>
      <c:valAx>
        <c:axId val="2128994624"/>
        <c:scaling>
          <c:orientation val="minMax"/>
        </c:scaling>
        <c:delete val="0"/>
        <c:axPos val="l"/>
        <c:majorGridlines>
          <c:spPr>
            <a:ln w="9525" cap="flat" cmpd="sng" algn="ctr">
              <a:solidFill>
                <a:srgbClr val="E8EBF0"/>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crossAx val="21289874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'Executive Summary'!$K$11</c:f>
              <c:strCache>
                <c:ptCount val="1"/>
                <c:pt idx="0">
                  <c:v>Gross Margin</c:v>
                </c:pt>
              </c:strCache>
            </c:strRef>
          </c:tx>
          <c:spPr>
            <a:ln w="28575" cap="rnd">
              <a:solidFill>
                <a:srgbClr val="6B8EBF"/>
              </a:solidFill>
              <a:prstDash val="solid"/>
              <a:round/>
            </a:ln>
            <a:effectLst/>
          </c:spPr>
          <c:marker>
            <c:symbol val="circle"/>
            <c:size val="6"/>
            <c:spPr>
              <a:solidFill>
                <a:srgbClr val="FFFFFF"/>
              </a:solidFill>
              <a:ln w="9525">
                <a:solidFill>
                  <a:srgbClr val="6B8EBF"/>
                </a:solidFill>
                <a:prstDash val="solid"/>
              </a:ln>
              <a:effectLst/>
            </c:spPr>
          </c:marker>
          <c:cat>
            <c:strRef>
              <c:f>'Executive Summary'!$L$10:$R$10</c:f>
              <c:strCache>
                <c:ptCount val="7"/>
                <c:pt idx="0">
                  <c:v>2020A</c:v>
                </c:pt>
                <c:pt idx="1">
                  <c:v>2021A</c:v>
                </c:pt>
                <c:pt idx="2">
                  <c:v>2022A</c:v>
                </c:pt>
                <c:pt idx="3">
                  <c:v>2023A</c:v>
                </c:pt>
                <c:pt idx="4">
                  <c:v>2024A</c:v>
                </c:pt>
                <c:pt idx="5">
                  <c:v>2025E</c:v>
                </c:pt>
                <c:pt idx="6">
                  <c:v>2026E</c:v>
                </c:pt>
              </c:strCache>
            </c:strRef>
          </c:cat>
          <c:val>
            <c:numRef>
              <c:f>'Executive Summary'!$L$11:$R$11</c:f>
              <c:numCache>
                <c:formatCode>0.0%</c:formatCode>
                <c:ptCount val="7"/>
                <c:pt idx="0">
                  <c:v>0.69099999999999995</c:v>
                </c:pt>
                <c:pt idx="1">
                  <c:v>0.71799999999999997</c:v>
                </c:pt>
                <c:pt idx="2">
                  <c:v>0.71299999999999997</c:v>
                </c:pt>
                <c:pt idx="3">
                  <c:v>0.72799999999999998</c:v>
                </c:pt>
                <c:pt idx="4">
                  <c:v>0.71</c:v>
                </c:pt>
                <c:pt idx="5">
                  <c:v>0.71699999999999997</c:v>
                </c:pt>
                <c:pt idx="6">
                  <c:v>0.71699999999999997</c:v>
                </c:pt>
              </c:numCache>
            </c:numRef>
          </c:val>
          <c:smooth val="0"/>
          <c:extLst>
            <c:ext xmlns:c16="http://schemas.microsoft.com/office/drawing/2014/chart" uri="{C3380CC4-5D6E-409C-BE32-E72D297353CC}">
              <c16:uniqueId val="{00000000-097E-9848-8590-CF45EDFFB2E5}"/>
            </c:ext>
          </c:extLst>
        </c:ser>
        <c:ser>
          <c:idx val="1"/>
          <c:order val="1"/>
          <c:tx>
            <c:strRef>
              <c:f>'Executive Summary'!$K$12</c:f>
              <c:strCache>
                <c:ptCount val="1"/>
                <c:pt idx="0">
                  <c:v>EBITDA Margin</c:v>
                </c:pt>
              </c:strCache>
            </c:strRef>
          </c:tx>
          <c:spPr>
            <a:ln w="28575" cap="rnd">
              <a:solidFill>
                <a:srgbClr val="C5A572"/>
              </a:solidFill>
              <a:prstDash val="solid"/>
              <a:round/>
            </a:ln>
            <a:effectLst/>
          </c:spPr>
          <c:marker>
            <c:symbol val="circle"/>
            <c:size val="6"/>
            <c:spPr>
              <a:solidFill>
                <a:srgbClr val="FFFFFF"/>
              </a:solidFill>
              <a:ln w="9525">
                <a:solidFill>
                  <a:srgbClr val="C5A572"/>
                </a:solidFill>
                <a:prstDash val="solid"/>
              </a:ln>
              <a:effectLst/>
            </c:spPr>
          </c:marker>
          <c:cat>
            <c:strRef>
              <c:f>'Executive Summary'!$L$10:$R$10</c:f>
              <c:strCache>
                <c:ptCount val="7"/>
                <c:pt idx="0">
                  <c:v>2020A</c:v>
                </c:pt>
                <c:pt idx="1">
                  <c:v>2021A</c:v>
                </c:pt>
                <c:pt idx="2">
                  <c:v>2022A</c:v>
                </c:pt>
                <c:pt idx="3">
                  <c:v>2023A</c:v>
                </c:pt>
                <c:pt idx="4">
                  <c:v>2024A</c:v>
                </c:pt>
                <c:pt idx="5">
                  <c:v>2025E</c:v>
                </c:pt>
                <c:pt idx="6">
                  <c:v>2026E</c:v>
                </c:pt>
              </c:strCache>
            </c:strRef>
          </c:cat>
          <c:val>
            <c:numRef>
              <c:f>'Executive Summary'!$L$12:$R$12</c:f>
              <c:numCache>
                <c:formatCode>0.0%</c:formatCode>
                <c:ptCount val="7"/>
                <c:pt idx="0">
                  <c:v>0.40100000000000002</c:v>
                </c:pt>
                <c:pt idx="1">
                  <c:v>0.46300000000000002</c:v>
                </c:pt>
                <c:pt idx="2">
                  <c:v>0.47299999999999998</c:v>
                </c:pt>
                <c:pt idx="3">
                  <c:v>0.47699999999999998</c:v>
                </c:pt>
                <c:pt idx="4">
                  <c:v>0.46200000000000002</c:v>
                </c:pt>
                <c:pt idx="5">
                  <c:v>0.46899999999999997</c:v>
                </c:pt>
                <c:pt idx="6">
                  <c:v>0.46899999999999997</c:v>
                </c:pt>
              </c:numCache>
            </c:numRef>
          </c:val>
          <c:smooth val="0"/>
          <c:extLst>
            <c:ext xmlns:c16="http://schemas.microsoft.com/office/drawing/2014/chart" uri="{C3380CC4-5D6E-409C-BE32-E72D297353CC}">
              <c16:uniqueId val="{00000001-097E-9848-8590-CF45EDFFB2E5}"/>
            </c:ext>
          </c:extLst>
        </c:ser>
        <c:ser>
          <c:idx val="2"/>
          <c:order val="2"/>
          <c:tx>
            <c:strRef>
              <c:f>'Executive Summary'!$K$13</c:f>
              <c:strCache>
                <c:ptCount val="1"/>
                <c:pt idx="0">
                  <c:v>Net Margin</c:v>
                </c:pt>
              </c:strCache>
            </c:strRef>
          </c:tx>
          <c:spPr>
            <a:ln w="28575" cap="rnd">
              <a:solidFill>
                <a:srgbClr val="A8C4D7"/>
              </a:solidFill>
              <a:prstDash val="solid"/>
              <a:round/>
            </a:ln>
            <a:effectLst/>
          </c:spPr>
          <c:marker>
            <c:symbol val="circle"/>
            <c:size val="6"/>
            <c:spPr>
              <a:solidFill>
                <a:srgbClr val="FFFFFF"/>
              </a:solidFill>
              <a:ln w="9525">
                <a:solidFill>
                  <a:srgbClr val="A8C4D7"/>
                </a:solidFill>
                <a:prstDash val="solid"/>
              </a:ln>
              <a:effectLst/>
            </c:spPr>
          </c:marker>
          <c:cat>
            <c:strRef>
              <c:f>'Executive Summary'!$L$10:$R$10</c:f>
              <c:strCache>
                <c:ptCount val="7"/>
                <c:pt idx="0">
                  <c:v>2020A</c:v>
                </c:pt>
                <c:pt idx="1">
                  <c:v>2021A</c:v>
                </c:pt>
                <c:pt idx="2">
                  <c:v>2022A</c:v>
                </c:pt>
                <c:pt idx="3">
                  <c:v>2023A</c:v>
                </c:pt>
                <c:pt idx="4">
                  <c:v>2024A</c:v>
                </c:pt>
                <c:pt idx="5">
                  <c:v>2025E</c:v>
                </c:pt>
                <c:pt idx="6">
                  <c:v>2026E</c:v>
                </c:pt>
              </c:strCache>
            </c:strRef>
          </c:cat>
          <c:val>
            <c:numRef>
              <c:f>'Executive Summary'!$L$13:$R$13</c:f>
              <c:numCache>
                <c:formatCode>0.0%</c:formatCode>
                <c:ptCount val="7"/>
                <c:pt idx="0">
                  <c:v>0.217</c:v>
                </c:pt>
                <c:pt idx="1">
                  <c:v>0.27200000000000002</c:v>
                </c:pt>
                <c:pt idx="2">
                  <c:v>0.28999999999999998</c:v>
                </c:pt>
                <c:pt idx="3">
                  <c:v>0.32100000000000001</c:v>
                </c:pt>
                <c:pt idx="4">
                  <c:v>0.30299999999999999</c:v>
                </c:pt>
                <c:pt idx="5">
                  <c:v>0.29799999999999999</c:v>
                </c:pt>
                <c:pt idx="6">
                  <c:v>0.29899999999999999</c:v>
                </c:pt>
              </c:numCache>
            </c:numRef>
          </c:val>
          <c:smooth val="0"/>
          <c:extLst>
            <c:ext xmlns:c16="http://schemas.microsoft.com/office/drawing/2014/chart" uri="{C3380CC4-5D6E-409C-BE32-E72D297353CC}">
              <c16:uniqueId val="{00000002-097E-9848-8590-CF45EDFFB2E5}"/>
            </c:ext>
          </c:extLst>
        </c:ser>
        <c:dLbls>
          <c:showLegendKey val="0"/>
          <c:showVal val="0"/>
          <c:showCatName val="0"/>
          <c:showSerName val="0"/>
          <c:showPercent val="0"/>
          <c:showBubbleSize val="0"/>
        </c:dLbls>
        <c:marker val="1"/>
        <c:smooth val="0"/>
        <c:axId val="2128786560"/>
        <c:axId val="2128785664"/>
      </c:lineChart>
      <c:catAx>
        <c:axId val="2128786560"/>
        <c:scaling>
          <c:orientation val="minMax"/>
        </c:scaling>
        <c:delete val="0"/>
        <c:axPos val="b"/>
        <c:numFmt formatCode="General" sourceLinked="1"/>
        <c:majorTickMark val="none"/>
        <c:minorTickMark val="none"/>
        <c:tickLblPos val="nextTo"/>
        <c:spPr>
          <a:noFill/>
          <a:ln w="9525" cap="flat" cmpd="sng" algn="ctr">
            <a:solidFill>
              <a:srgbClr val="E0E4EC"/>
            </a:solidFill>
            <a:prstDash val="solid"/>
            <a:round/>
          </a:ln>
          <a:effectLst/>
        </c:spPr>
        <c:txPr>
          <a:bodyPr rot="-6000000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crossAx val="2128785664"/>
        <c:crosses val="autoZero"/>
        <c:auto val="1"/>
        <c:lblAlgn val="ctr"/>
        <c:lblOffset val="100"/>
        <c:noMultiLvlLbl val="0"/>
      </c:catAx>
      <c:valAx>
        <c:axId val="2128785664"/>
        <c:scaling>
          <c:orientation val="minMax"/>
        </c:scaling>
        <c:delete val="0"/>
        <c:axPos val="l"/>
        <c:majorGridlines>
          <c:spPr>
            <a:ln w="9525" cap="flat" cmpd="sng" algn="ctr">
              <a:solidFill>
                <a:srgbClr val="E8EBF0"/>
              </a:solidFill>
              <a:prstDash val="solid"/>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crossAx val="2128786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rgbClr val="7A8599"/>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5F6FA"/>
    </a:solidFill>
    <a:ln w="25400"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Share</a:t>
            </a:r>
            <a:r>
              <a:rPr lang="en-US" b="1" baseline="0"/>
              <a:t> Price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Summary'!$I$31:$I$32</c:f>
              <c:strCache>
                <c:ptCount val="2"/>
                <c:pt idx="0">
                  <c:v>DCF Valuation</c:v>
                </c:pt>
                <c:pt idx="1">
                  <c:v>Trading Comps</c:v>
                </c:pt>
              </c:strCache>
            </c:strRef>
          </c:cat>
          <c:val>
            <c:numRef>
              <c:f>'Valuation Summary'!$J$31:$J$32</c:f>
              <c:numCache>
                <c:formatCode>_(* #,##0_);_(* \(#,##0\);_(* "-"??_);_(@_)</c:formatCode>
                <c:ptCount val="2"/>
                <c:pt idx="0">
                  <c:v>946.12129543287699</c:v>
                </c:pt>
                <c:pt idx="1">
                  <c:v>985.7375311187883</c:v>
                </c:pt>
              </c:numCache>
            </c:numRef>
          </c:val>
          <c:extLst>
            <c:ext xmlns:c16="http://schemas.microsoft.com/office/drawing/2014/chart" uri="{C3380CC4-5D6E-409C-BE32-E72D297353CC}">
              <c16:uniqueId val="{00000000-3F50-304B-A2A9-70F35BB1789C}"/>
            </c:ext>
          </c:extLst>
        </c:ser>
        <c:ser>
          <c:idx val="1"/>
          <c:order val="1"/>
          <c:spPr>
            <a:solidFill>
              <a:srgbClr val="C6A572"/>
            </a:solidFill>
            <a:ln>
              <a:noFill/>
            </a:ln>
            <a:effectLst/>
          </c:spPr>
          <c:invertIfNegative val="0"/>
          <c:cat>
            <c:strRef>
              <c:f>'Valuation Summary'!$I$31:$I$32</c:f>
              <c:strCache>
                <c:ptCount val="2"/>
                <c:pt idx="0">
                  <c:v>DCF Valuation</c:v>
                </c:pt>
                <c:pt idx="1">
                  <c:v>Trading Comps</c:v>
                </c:pt>
              </c:strCache>
            </c:strRef>
          </c:cat>
          <c:val>
            <c:numRef>
              <c:f>'Valuation Summary'!$K$31:$K$32</c:f>
              <c:numCache>
                <c:formatCode>_(* #,##0_);_(* \(#,##0\);_(* "-"??_);_(@_)</c:formatCode>
                <c:ptCount val="2"/>
                <c:pt idx="0">
                  <c:v>568.89258561619693</c:v>
                </c:pt>
                <c:pt idx="1">
                  <c:v>27.768392431035409</c:v>
                </c:pt>
              </c:numCache>
            </c:numRef>
          </c:val>
          <c:extLst>
            <c:ext xmlns:c16="http://schemas.microsoft.com/office/drawing/2014/chart" uri="{C3380CC4-5D6E-409C-BE32-E72D297353CC}">
              <c16:uniqueId val="{00000001-3F50-304B-A2A9-70F35BB1789C}"/>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Summary'!$I$31:$I$32</c:f>
              <c:strCache>
                <c:ptCount val="2"/>
                <c:pt idx="0">
                  <c:v>DCF Valuation</c:v>
                </c:pt>
                <c:pt idx="1">
                  <c:v>Trading Comps</c:v>
                </c:pt>
              </c:strCache>
            </c:strRef>
          </c:cat>
          <c:val>
            <c:numRef>
              <c:f>'Valuation Summary'!$L$31:$L$32</c:f>
              <c:numCache>
                <c:formatCode>_(* #,##0_);_(* \(#,##0\);_(* "-"??_);_(@_)</c:formatCode>
                <c:ptCount val="2"/>
                <c:pt idx="0">
                  <c:v>1515.0138810490739</c:v>
                </c:pt>
                <c:pt idx="1">
                  <c:v>1013.5059235498237</c:v>
                </c:pt>
              </c:numCache>
            </c:numRef>
          </c:val>
          <c:extLst>
            <c:ext xmlns:c16="http://schemas.microsoft.com/office/drawing/2014/chart" uri="{C3380CC4-5D6E-409C-BE32-E72D297353CC}">
              <c16:uniqueId val="{00000002-3F50-304B-A2A9-70F35BB1789C}"/>
            </c:ext>
          </c:extLst>
        </c:ser>
        <c:dLbls>
          <c:showLegendKey val="0"/>
          <c:showVal val="0"/>
          <c:showCatName val="0"/>
          <c:showSerName val="0"/>
          <c:showPercent val="0"/>
          <c:showBubbleSize val="0"/>
        </c:dLbls>
        <c:gapWidth val="150"/>
        <c:overlap val="100"/>
        <c:axId val="1157191808"/>
        <c:axId val="1157196288"/>
      </c:barChart>
      <c:catAx>
        <c:axId val="115719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96288"/>
        <c:crosses val="autoZero"/>
        <c:auto val="1"/>
        <c:lblAlgn val="ctr"/>
        <c:lblOffset val="100"/>
        <c:noMultiLvlLbl val="0"/>
      </c:catAx>
      <c:valAx>
        <c:axId val="1157196288"/>
        <c:scaling>
          <c:orientation val="minMax"/>
          <c:max val="2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91808"/>
        <c:crosses val="autoZero"/>
        <c:crossBetween val="between"/>
        <c:majorUnit val="500"/>
        <c:min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Enterprise</a:t>
            </a:r>
            <a:r>
              <a:rPr lang="en-US" b="1" baseline="0"/>
              <a:t> Value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Summary'!$C$31:$C$32</c:f>
              <c:strCache>
                <c:ptCount val="2"/>
                <c:pt idx="0">
                  <c:v>DCF Valuation</c:v>
                </c:pt>
                <c:pt idx="1">
                  <c:v>Trading Comps</c:v>
                </c:pt>
              </c:strCache>
            </c:strRef>
          </c:cat>
          <c:val>
            <c:numRef>
              <c:f>'Valuation Summary'!$D$31:$D$32</c:f>
              <c:numCache>
                <c:formatCode>_(* #,##0_);_(* \(#,##0\);_(* "-"??_);_(@_)</c:formatCode>
                <c:ptCount val="2"/>
                <c:pt idx="0">
                  <c:v>88253.132354096248</c:v>
                </c:pt>
                <c:pt idx="1">
                  <c:v>84065.638486502488</c:v>
                </c:pt>
              </c:numCache>
            </c:numRef>
          </c:val>
          <c:extLst>
            <c:ext xmlns:c16="http://schemas.microsoft.com/office/drawing/2014/chart" uri="{C3380CC4-5D6E-409C-BE32-E72D297353CC}">
              <c16:uniqueId val="{00000000-B548-4647-B85C-A9554F85D1FA}"/>
            </c:ext>
          </c:extLst>
        </c:ser>
        <c:ser>
          <c:idx val="1"/>
          <c:order val="1"/>
          <c:spPr>
            <a:solidFill>
              <a:schemeClr val="tx2">
                <a:lumMod val="50000"/>
                <a:lumOff val="50000"/>
              </a:schemeClr>
            </a:solidFill>
            <a:ln>
              <a:noFill/>
            </a:ln>
            <a:effectLst/>
          </c:spPr>
          <c:invertIfNegative val="0"/>
          <c:cat>
            <c:strRef>
              <c:f>'Valuation Summary'!$C$31:$C$32</c:f>
              <c:strCache>
                <c:ptCount val="2"/>
                <c:pt idx="0">
                  <c:v>DCF Valuation</c:v>
                </c:pt>
                <c:pt idx="1">
                  <c:v>Trading Comps</c:v>
                </c:pt>
              </c:strCache>
            </c:strRef>
          </c:cat>
          <c:val>
            <c:numRef>
              <c:f>'Valuation Summary'!$E$31:$E$32</c:f>
              <c:numCache>
                <c:formatCode>_(* #,##0_);_(* \(#,##0\);_(* "-"??_);_(@_)</c:formatCode>
                <c:ptCount val="2"/>
                <c:pt idx="0">
                  <c:v>59528.920158878842</c:v>
                </c:pt>
                <c:pt idx="1">
                  <c:v>17790.887934635713</c:v>
                </c:pt>
              </c:numCache>
            </c:numRef>
          </c:val>
          <c:extLst>
            <c:ext xmlns:c16="http://schemas.microsoft.com/office/drawing/2014/chart" uri="{C3380CC4-5D6E-409C-BE32-E72D297353CC}">
              <c16:uniqueId val="{00000001-B548-4647-B85C-A9554F85D1FA}"/>
            </c:ext>
          </c:extLst>
        </c:ser>
        <c:ser>
          <c:idx val="2"/>
          <c:order val="2"/>
          <c:spPr>
            <a:noFill/>
            <a:ln>
              <a:noFill/>
            </a:ln>
            <a:effectLst/>
          </c:spPr>
          <c:invertIfNegative val="0"/>
          <c:dLbls>
            <c:dLbl>
              <c:idx val="0"/>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548-4647-B85C-A9554F85D1FA}"/>
                </c:ext>
              </c:extLst>
            </c:dLbl>
            <c:dLbl>
              <c:idx val="1"/>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48-4647-B85C-A9554F85D1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Summary'!$C$31:$C$32</c:f>
              <c:strCache>
                <c:ptCount val="2"/>
                <c:pt idx="0">
                  <c:v>DCF Valuation</c:v>
                </c:pt>
                <c:pt idx="1">
                  <c:v>Trading Comps</c:v>
                </c:pt>
              </c:strCache>
            </c:strRef>
          </c:cat>
          <c:val>
            <c:numRef>
              <c:f>'Valuation Summary'!$F$31:$F$32</c:f>
              <c:numCache>
                <c:formatCode>_(* #,##0_);_(* \(#,##0\);_(* "-"??_);_(@_)</c:formatCode>
                <c:ptCount val="2"/>
                <c:pt idx="0">
                  <c:v>147782.05251297509</c:v>
                </c:pt>
                <c:pt idx="1">
                  <c:v>101856.5264211382</c:v>
                </c:pt>
              </c:numCache>
            </c:numRef>
          </c:val>
          <c:extLst>
            <c:ext xmlns:c16="http://schemas.microsoft.com/office/drawing/2014/chart" uri="{C3380CC4-5D6E-409C-BE32-E72D297353CC}">
              <c16:uniqueId val="{00000002-B548-4647-B85C-A9554F85D1FA}"/>
            </c:ext>
          </c:extLst>
        </c:ser>
        <c:dLbls>
          <c:showLegendKey val="0"/>
          <c:showVal val="0"/>
          <c:showCatName val="0"/>
          <c:showSerName val="0"/>
          <c:showPercent val="0"/>
          <c:showBubbleSize val="0"/>
        </c:dLbls>
        <c:gapWidth val="150"/>
        <c:overlap val="100"/>
        <c:axId val="1178246144"/>
        <c:axId val="1178244800"/>
      </c:barChart>
      <c:catAx>
        <c:axId val="117824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44800"/>
        <c:crosses val="autoZero"/>
        <c:auto val="1"/>
        <c:lblAlgn val="ctr"/>
        <c:lblOffset val="100"/>
        <c:noMultiLvlLbl val="0"/>
      </c:catAx>
      <c:valAx>
        <c:axId val="1178244800"/>
        <c:scaling>
          <c:orientation val="minMax"/>
          <c:max val="200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24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Share</a:t>
            </a:r>
            <a:r>
              <a:rPr lang="en-US" b="1" baseline="0"/>
              <a:t> Price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Summary'!$I$31:$I$32</c:f>
              <c:strCache>
                <c:ptCount val="2"/>
                <c:pt idx="0">
                  <c:v>DCF Valuation</c:v>
                </c:pt>
                <c:pt idx="1">
                  <c:v>Trading Comps</c:v>
                </c:pt>
              </c:strCache>
            </c:strRef>
          </c:cat>
          <c:val>
            <c:numRef>
              <c:f>'Valuation Summary'!$J$31:$J$32</c:f>
              <c:numCache>
                <c:formatCode>_(* #,##0_);_(* \(#,##0\);_(* "-"??_);_(@_)</c:formatCode>
                <c:ptCount val="2"/>
                <c:pt idx="0">
                  <c:v>946.12129543287699</c:v>
                </c:pt>
                <c:pt idx="1">
                  <c:v>985.7375311187883</c:v>
                </c:pt>
              </c:numCache>
            </c:numRef>
          </c:val>
          <c:extLst>
            <c:ext xmlns:c16="http://schemas.microsoft.com/office/drawing/2014/chart" uri="{C3380CC4-5D6E-409C-BE32-E72D297353CC}">
              <c16:uniqueId val="{00000000-48E4-244F-9E2E-F035A3F22FDE}"/>
            </c:ext>
          </c:extLst>
        </c:ser>
        <c:ser>
          <c:idx val="1"/>
          <c:order val="1"/>
          <c:spPr>
            <a:solidFill>
              <a:schemeClr val="tx2">
                <a:lumMod val="50000"/>
                <a:lumOff val="50000"/>
              </a:schemeClr>
            </a:solidFill>
            <a:ln>
              <a:noFill/>
            </a:ln>
            <a:effectLst/>
          </c:spPr>
          <c:invertIfNegative val="0"/>
          <c:cat>
            <c:strRef>
              <c:f>'Valuation Summary'!$I$31:$I$32</c:f>
              <c:strCache>
                <c:ptCount val="2"/>
                <c:pt idx="0">
                  <c:v>DCF Valuation</c:v>
                </c:pt>
                <c:pt idx="1">
                  <c:v>Trading Comps</c:v>
                </c:pt>
              </c:strCache>
            </c:strRef>
          </c:cat>
          <c:val>
            <c:numRef>
              <c:f>'Valuation Summary'!$K$31:$K$32</c:f>
              <c:numCache>
                <c:formatCode>_(* #,##0_);_(* \(#,##0\);_(* "-"??_);_(@_)</c:formatCode>
                <c:ptCount val="2"/>
                <c:pt idx="0">
                  <c:v>568.89258561619693</c:v>
                </c:pt>
                <c:pt idx="1">
                  <c:v>27.768392431035409</c:v>
                </c:pt>
              </c:numCache>
            </c:numRef>
          </c:val>
          <c:extLst>
            <c:ext xmlns:c16="http://schemas.microsoft.com/office/drawing/2014/chart" uri="{C3380CC4-5D6E-409C-BE32-E72D297353CC}">
              <c16:uniqueId val="{00000001-48E4-244F-9E2E-F035A3F22FDE}"/>
            </c:ext>
          </c:extLst>
        </c:ser>
        <c:ser>
          <c:idx val="2"/>
          <c:order val="2"/>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'Valuation Summary'!$I$31:$I$32</c:f>
              <c:strCache>
                <c:ptCount val="2"/>
                <c:pt idx="0">
                  <c:v>DCF Valuation</c:v>
                </c:pt>
                <c:pt idx="1">
                  <c:v>Trading Comps</c:v>
                </c:pt>
              </c:strCache>
            </c:strRef>
          </c:cat>
          <c:val>
            <c:numRef>
              <c:f>'Valuation Summary'!$L$31:$L$32</c:f>
              <c:numCache>
                <c:formatCode>_(* #,##0_);_(* \(#,##0\);_(* "-"??_);_(@_)</c:formatCode>
                <c:ptCount val="2"/>
                <c:pt idx="0">
                  <c:v>1515.0138810490739</c:v>
                </c:pt>
                <c:pt idx="1">
                  <c:v>1013.5059235498237</c:v>
                </c:pt>
              </c:numCache>
            </c:numRef>
          </c:val>
          <c:extLst>
            <c:ext xmlns:c16="http://schemas.microsoft.com/office/drawing/2014/chart" uri="{C3380CC4-5D6E-409C-BE32-E72D297353CC}">
              <c16:uniqueId val="{00000002-48E4-244F-9E2E-F035A3F22FDE}"/>
            </c:ext>
          </c:extLst>
        </c:ser>
        <c:dLbls>
          <c:showLegendKey val="0"/>
          <c:showVal val="0"/>
          <c:showCatName val="0"/>
          <c:showSerName val="0"/>
          <c:showPercent val="0"/>
          <c:showBubbleSize val="0"/>
        </c:dLbls>
        <c:gapWidth val="150"/>
        <c:overlap val="100"/>
        <c:axId val="1157191808"/>
        <c:axId val="1157196288"/>
      </c:barChart>
      <c:catAx>
        <c:axId val="1157191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96288"/>
        <c:crosses val="autoZero"/>
        <c:auto val="1"/>
        <c:lblAlgn val="ctr"/>
        <c:lblOffset val="100"/>
        <c:noMultiLvlLbl val="0"/>
      </c:catAx>
      <c:valAx>
        <c:axId val="1157196288"/>
        <c:scaling>
          <c:orientation val="minMax"/>
          <c:max val="2000"/>
        </c:scaling>
        <c:delete val="0"/>
        <c:axPos val="b"/>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91808"/>
        <c:crosses val="autoZero"/>
        <c:crossBetween val="between"/>
        <c:majorUnit val="500"/>
        <c:minorUnit val="5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444500</xdr:colOff>
      <xdr:row>13</xdr:row>
      <xdr:rowOff>177800</xdr:rowOff>
    </xdr:from>
    <xdr:to>
      <xdr:col>8</xdr:col>
      <xdr:colOff>317500</xdr:colOff>
      <xdr:row>27</xdr:row>
      <xdr:rowOff>23374</xdr:rowOff>
    </xdr:to>
    <xdr:graphicFrame macro="">
      <xdr:nvGraphicFramePr>
        <xdr:cNvPr id="2" name="Chart 1">
          <a:extLst>
            <a:ext uri="{FF2B5EF4-FFF2-40B4-BE49-F238E27FC236}">
              <a16:creationId xmlns:a16="http://schemas.microsoft.com/office/drawing/2014/main" id="{71599888-0565-C588-48A6-9806E8F964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128637</xdr:colOff>
      <xdr:row>13</xdr:row>
      <xdr:rowOff>170009</xdr:rowOff>
    </xdr:from>
    <xdr:to>
      <xdr:col>18</xdr:col>
      <xdr:colOff>62332</xdr:colOff>
      <xdr:row>27</xdr:row>
      <xdr:rowOff>85706</xdr:rowOff>
    </xdr:to>
    <xdr:graphicFrame macro="">
      <xdr:nvGraphicFramePr>
        <xdr:cNvPr id="3" name="Chart 2">
          <a:extLst>
            <a:ext uri="{FF2B5EF4-FFF2-40B4-BE49-F238E27FC236}">
              <a16:creationId xmlns:a16="http://schemas.microsoft.com/office/drawing/2014/main" id="{172AA184-5224-C8F2-F3DE-459BBCC75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545399</xdr:colOff>
      <xdr:row>29</xdr:row>
      <xdr:rowOff>46747</xdr:rowOff>
    </xdr:from>
    <xdr:to>
      <xdr:col>8</xdr:col>
      <xdr:colOff>654479</xdr:colOff>
      <xdr:row>39</xdr:row>
      <xdr:rowOff>622</xdr:rowOff>
    </xdr:to>
    <xdr:graphicFrame macro="">
      <xdr:nvGraphicFramePr>
        <xdr:cNvPr id="5" name="Chart 4">
          <a:extLst>
            <a:ext uri="{FF2B5EF4-FFF2-40B4-BE49-F238E27FC236}">
              <a16:creationId xmlns:a16="http://schemas.microsoft.com/office/drawing/2014/main" id="{AE9F59F2-D281-324A-950A-E1F589858E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813165</xdr:colOff>
      <xdr:row>6</xdr:row>
      <xdr:rowOff>191870</xdr:rowOff>
    </xdr:from>
    <xdr:to>
      <xdr:col>10</xdr:col>
      <xdr:colOff>0</xdr:colOff>
      <xdr:row>7</xdr:row>
      <xdr:rowOff>18274</xdr:rowOff>
    </xdr:to>
    <xdr:cxnSp macro="">
      <xdr:nvCxnSpPr>
        <xdr:cNvPr id="3" name="Straight Connector 2">
          <a:extLst>
            <a:ext uri="{FF2B5EF4-FFF2-40B4-BE49-F238E27FC236}">
              <a16:creationId xmlns:a16="http://schemas.microsoft.com/office/drawing/2014/main" id="{24FE8928-47E2-B988-C99B-E7BB2DDD47D0}"/>
            </a:ext>
          </a:extLst>
        </xdr:cNvPr>
        <xdr:cNvCxnSpPr/>
      </xdr:nvCxnSpPr>
      <xdr:spPr>
        <a:xfrm flipV="1">
          <a:off x="4102374" y="1434460"/>
          <a:ext cx="4942950" cy="274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813165</xdr:colOff>
      <xdr:row>35</xdr:row>
      <xdr:rowOff>191870</xdr:rowOff>
    </xdr:from>
    <xdr:to>
      <xdr:col>10</xdr:col>
      <xdr:colOff>0</xdr:colOff>
      <xdr:row>36</xdr:row>
      <xdr:rowOff>18274</xdr:rowOff>
    </xdr:to>
    <xdr:cxnSp macro="">
      <xdr:nvCxnSpPr>
        <xdr:cNvPr id="8" name="Straight Connector 7">
          <a:extLst>
            <a:ext uri="{FF2B5EF4-FFF2-40B4-BE49-F238E27FC236}">
              <a16:creationId xmlns:a16="http://schemas.microsoft.com/office/drawing/2014/main" id="{A2A0A579-4860-EC45-9FBA-5328C5B0D484}"/>
            </a:ext>
          </a:extLst>
        </xdr:cNvPr>
        <xdr:cNvCxnSpPr/>
      </xdr:nvCxnSpPr>
      <xdr:spPr>
        <a:xfrm flipV="1">
          <a:off x="4102374" y="1434460"/>
          <a:ext cx="4120648" cy="274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813165</xdr:colOff>
      <xdr:row>90</xdr:row>
      <xdr:rowOff>191870</xdr:rowOff>
    </xdr:from>
    <xdr:to>
      <xdr:col>10</xdr:col>
      <xdr:colOff>0</xdr:colOff>
      <xdr:row>91</xdr:row>
      <xdr:rowOff>18274</xdr:rowOff>
    </xdr:to>
    <xdr:cxnSp macro="">
      <xdr:nvCxnSpPr>
        <xdr:cNvPr id="9" name="Straight Connector 8">
          <a:extLst>
            <a:ext uri="{FF2B5EF4-FFF2-40B4-BE49-F238E27FC236}">
              <a16:creationId xmlns:a16="http://schemas.microsoft.com/office/drawing/2014/main" id="{6AE56E0A-B82B-8D4F-BADD-F988C56617F8}"/>
            </a:ext>
          </a:extLst>
        </xdr:cNvPr>
        <xdr:cNvCxnSpPr/>
      </xdr:nvCxnSpPr>
      <xdr:spPr>
        <a:xfrm flipV="1">
          <a:off x="4102374" y="6697194"/>
          <a:ext cx="4120648" cy="27411"/>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496956</xdr:colOff>
      <xdr:row>5</xdr:row>
      <xdr:rowOff>163443</xdr:rowOff>
    </xdr:from>
    <xdr:to>
      <xdr:col>7</xdr:col>
      <xdr:colOff>485913</xdr:colOff>
      <xdr:row>19</xdr:row>
      <xdr:rowOff>123687</xdr:rowOff>
    </xdr:to>
    <xdr:graphicFrame macro="">
      <xdr:nvGraphicFramePr>
        <xdr:cNvPr id="12" name="Chart 11">
          <a:extLst>
            <a:ext uri="{FF2B5EF4-FFF2-40B4-BE49-F238E27FC236}">
              <a16:creationId xmlns:a16="http://schemas.microsoft.com/office/drawing/2014/main" id="{62F6DA6A-4ED1-DB05-0C50-243516DCBC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463826</xdr:colOff>
      <xdr:row>5</xdr:row>
      <xdr:rowOff>119269</xdr:rowOff>
    </xdr:from>
    <xdr:to>
      <xdr:col>13</xdr:col>
      <xdr:colOff>574261</xdr:colOff>
      <xdr:row>19</xdr:row>
      <xdr:rowOff>79513</xdr:rowOff>
    </xdr:to>
    <xdr:graphicFrame macro="">
      <xdr:nvGraphicFramePr>
        <xdr:cNvPr id="13" name="Chart 12">
          <a:extLst>
            <a:ext uri="{FF2B5EF4-FFF2-40B4-BE49-F238E27FC236}">
              <a16:creationId xmlns:a16="http://schemas.microsoft.com/office/drawing/2014/main" id="{8484A1D4-427E-9D32-7AC9-143F269917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AB20F94-4240-AA40-9381-3C8E217334FB}">
  <we:reference id="wa200009404" version="1.0.0.5" store="en-US" storeType="OMEX"/>
  <we:alternateReferences>
    <we:reference id="wa200009404" version="1.0.0.5" store="en-US" storeType="OMEX"/>
  </we:alternateReferences>
  <we:properties>
    <we:property name="Office.AutoShowTaskpaneWithDocument" value="true"/>
  </we:properties>
  <we:bindings/>
  <we:snapshot xmlns:r="http://schemas.openxmlformats.org/officeDocument/2006/relationships"/>
</we:webextension>
</file>

<file path=xl/webextensions/webextension2.xml><?xml version="1.0" encoding="utf-8"?>
<we:webextension xmlns:we="http://schemas.microsoft.com/office/webextensions/webextension/2010/11" id="{51FFF943-6875-7D44-9E8E-FCC040B5B625}">
  <we:reference id="wa200001456" version="3.1.1.0" store="en-US" storeType="OMEX"/>
  <we:alternateReferences>
    <we:reference id="WA200001456" version="3.1.1.0" store="" storeType="OMEX"/>
  </we:alternateReferences>
  <we:properties>
    <we:property name="Office.DisableTrustUX" value="true"/>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FDS</we:customFunctionIds>
        <we:customFunctionIds>FDSN</we:customFunctionIds>
        <we:customFunctionIds>FDSZ</we:customFunctionIds>
        <we:customFunctionIds>FDSB</we:customFunctionIds>
        <we:customFunctionIds>FDSC</we:customFunctionIds>
        <we:customFunctionIds>FDSR</we:customFunctionIds>
        <we:customFunctionIds>FDSRN</we:customFunctionIds>
        <we:customFunctionIds>FDSRZ</we:customFunctionIds>
        <we:customFunctionIds>FDSRB</we:customFunctionIds>
        <we:customFunctionIds>FDSRC</we:customFunctionIds>
        <we:customFunctionIds>FDSLIVE</we:customFunctionIds>
        <we:customFunctionIds>FactSetLive.RTDFunction.1.FDSLIVE</we:customFunctionIds>
      </we:customFunctionIdList>
    </a:ext>
  </we:extLst>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55309-9523-5143-80DD-F368B652E0F8}">
  <sheetPr>
    <tabColor rgb="FF1B2A4A"/>
  </sheetPr>
  <dimension ref="A1:T37"/>
  <sheetViews>
    <sheetView showGridLines="0" zoomScale="125" workbookViewId="0">
      <selection activeCell="V17" sqref="V17"/>
    </sheetView>
  </sheetViews>
  <sheetFormatPr baseColWidth="10" defaultRowHeight="16" x14ac:dyDescent="0.2"/>
  <cols>
    <col min="1" max="1" width="1.33203125" style="1" customWidth="1"/>
    <col min="2" max="19" width="8.6640625" style="1" customWidth="1"/>
    <col min="20" max="20" width="1.33203125" style="1" customWidth="1"/>
    <col min="21" max="16384" width="10.83203125" style="1"/>
  </cols>
  <sheetData>
    <row r="1" spans="1:20" ht="15" customHeight="1" x14ac:dyDescent="0.2">
      <c r="A1" s="2"/>
      <c r="B1" s="354"/>
      <c r="C1" s="2"/>
      <c r="D1" s="2"/>
      <c r="E1" s="2"/>
      <c r="F1" s="2"/>
      <c r="G1" s="2"/>
      <c r="H1" s="2"/>
      <c r="I1" s="2"/>
      <c r="J1" s="2"/>
      <c r="K1" s="2"/>
      <c r="L1" s="2"/>
      <c r="M1" s="2"/>
      <c r="N1" s="2"/>
      <c r="O1" s="2"/>
      <c r="P1" s="2"/>
      <c r="Q1" s="2"/>
      <c r="R1" s="2"/>
      <c r="S1" s="2"/>
      <c r="T1" s="2"/>
    </row>
    <row r="2" spans="1:20" ht="8" customHeight="1" x14ac:dyDescent="0.3">
      <c r="A2" s="2"/>
      <c r="B2" s="355"/>
      <c r="C2" s="2"/>
      <c r="D2" s="2"/>
      <c r="E2" s="2"/>
      <c r="F2" s="2"/>
      <c r="G2" s="2"/>
      <c r="H2" s="2"/>
      <c r="I2" s="2"/>
      <c r="J2" s="2"/>
      <c r="K2" s="2"/>
      <c r="L2" s="2"/>
      <c r="M2" s="2"/>
      <c r="N2" s="2"/>
      <c r="O2" s="2"/>
      <c r="P2" s="2"/>
      <c r="Q2" s="2"/>
      <c r="R2" s="2"/>
      <c r="S2" s="2"/>
      <c r="T2" s="2"/>
    </row>
    <row r="3" spans="1:20" ht="8" customHeight="1" x14ac:dyDescent="0.2">
      <c r="A3" s="2"/>
      <c r="B3" s="356"/>
      <c r="C3" s="2"/>
      <c r="D3" s="2"/>
      <c r="E3" s="2"/>
      <c r="F3" s="2"/>
      <c r="G3" s="2"/>
      <c r="H3" s="2"/>
      <c r="I3" s="2"/>
      <c r="J3" s="2"/>
      <c r="K3" s="2"/>
      <c r="L3" s="2"/>
      <c r="M3" s="2"/>
      <c r="N3" s="2"/>
      <c r="O3" s="2"/>
      <c r="P3" s="2"/>
      <c r="Q3" s="2"/>
      <c r="R3" s="2"/>
      <c r="S3" s="2"/>
      <c r="T3" s="2"/>
    </row>
    <row r="4" spans="1:20" ht="8" customHeight="1" x14ac:dyDescent="0.2">
      <c r="A4" s="2"/>
      <c r="B4" s="2"/>
      <c r="C4" s="2"/>
      <c r="D4" s="2"/>
      <c r="E4" s="2"/>
      <c r="F4" s="2"/>
      <c r="G4" s="2"/>
      <c r="H4" s="2"/>
      <c r="I4" s="2"/>
      <c r="J4" s="2"/>
      <c r="K4" s="2"/>
      <c r="L4" s="2"/>
      <c r="M4" s="2"/>
      <c r="N4" s="2"/>
      <c r="O4" s="2"/>
      <c r="P4" s="2"/>
      <c r="Q4" s="2"/>
      <c r="R4" s="2"/>
      <c r="S4" s="2"/>
      <c r="T4" s="2"/>
    </row>
    <row r="5" spans="1:20" ht="8" customHeight="1" x14ac:dyDescent="0.2">
      <c r="A5" s="2"/>
      <c r="B5" s="357"/>
      <c r="C5" s="2"/>
      <c r="D5" s="2"/>
      <c r="E5" s="2"/>
      <c r="F5" s="2"/>
      <c r="G5" s="2"/>
      <c r="H5" s="2"/>
      <c r="I5" s="2"/>
      <c r="J5" s="2"/>
      <c r="K5" s="2"/>
      <c r="L5" s="2"/>
      <c r="M5" s="2"/>
      <c r="N5" s="2"/>
      <c r="O5" s="2"/>
      <c r="P5" s="2"/>
      <c r="Q5" s="2"/>
      <c r="R5" s="2"/>
      <c r="S5" s="2"/>
      <c r="T5" s="2"/>
    </row>
    <row r="6" spans="1:20" ht="50" customHeight="1" x14ac:dyDescent="0.45">
      <c r="A6" s="2"/>
      <c r="B6" s="364" t="s">
        <v>629</v>
      </c>
      <c r="C6" s="364"/>
      <c r="D6" s="364"/>
      <c r="E6" s="364"/>
      <c r="F6" s="364"/>
      <c r="G6" s="364"/>
      <c r="H6" s="364"/>
      <c r="I6" s="364"/>
      <c r="J6" s="364"/>
      <c r="K6" s="364"/>
      <c r="L6" s="364"/>
      <c r="M6" s="364"/>
      <c r="N6" s="364"/>
      <c r="O6" s="364"/>
      <c r="P6" s="364"/>
      <c r="Q6" s="364"/>
      <c r="R6" s="364"/>
      <c r="S6" s="364"/>
      <c r="T6" s="2"/>
    </row>
    <row r="7" spans="1:20" ht="8" customHeight="1" x14ac:dyDescent="0.2">
      <c r="A7" s="2"/>
      <c r="B7" s="358"/>
      <c r="C7" s="2"/>
      <c r="D7" s="2"/>
      <c r="E7" s="2"/>
      <c r="F7" s="2"/>
      <c r="G7" s="2"/>
      <c r="H7" s="2"/>
      <c r="I7" s="2"/>
      <c r="J7" s="2"/>
      <c r="K7" s="2"/>
      <c r="L7" s="2"/>
      <c r="M7" s="2"/>
      <c r="N7" s="2"/>
      <c r="O7" s="2"/>
      <c r="P7" s="2"/>
      <c r="Q7" s="2"/>
      <c r="R7" s="2"/>
      <c r="S7" s="2"/>
      <c r="T7" s="2"/>
    </row>
    <row r="8" spans="1:20" ht="30" customHeight="1" x14ac:dyDescent="0.25">
      <c r="A8" s="2"/>
      <c r="B8" s="365" t="s">
        <v>807</v>
      </c>
      <c r="C8" s="365"/>
      <c r="D8" s="365"/>
      <c r="E8" s="365"/>
      <c r="F8" s="365"/>
      <c r="G8" s="365"/>
      <c r="H8" s="365"/>
      <c r="I8" s="365"/>
      <c r="J8" s="365"/>
      <c r="K8" s="365"/>
      <c r="L8" s="365"/>
      <c r="M8" s="365"/>
      <c r="N8" s="365"/>
      <c r="O8" s="365"/>
      <c r="P8" s="365"/>
      <c r="Q8" s="365"/>
      <c r="R8" s="365"/>
      <c r="S8" s="365"/>
      <c r="T8" s="2"/>
    </row>
    <row r="9" spans="1:20" ht="5" customHeight="1" x14ac:dyDescent="0.2">
      <c r="A9" s="2"/>
      <c r="B9" s="366"/>
      <c r="C9" s="366"/>
      <c r="D9" s="366"/>
      <c r="E9" s="366"/>
      <c r="F9" s="366"/>
      <c r="G9" s="366"/>
      <c r="H9" s="366"/>
      <c r="I9" s="366"/>
      <c r="J9" s="366"/>
      <c r="K9" s="366"/>
      <c r="L9" s="366"/>
      <c r="M9" s="366"/>
      <c r="N9" s="366"/>
      <c r="O9" s="366"/>
      <c r="P9" s="366"/>
      <c r="Q9" s="366"/>
      <c r="R9" s="366"/>
      <c r="S9" s="366"/>
      <c r="T9" s="2"/>
    </row>
    <row r="10" spans="1:20" ht="8" customHeight="1" x14ac:dyDescent="0.2">
      <c r="A10" s="2"/>
      <c r="B10" s="359"/>
      <c r="C10" s="2"/>
      <c r="D10" s="2"/>
      <c r="E10" s="2"/>
      <c r="F10" s="2"/>
      <c r="G10" s="2"/>
      <c r="H10" s="2"/>
      <c r="I10" s="2"/>
      <c r="J10" s="2"/>
      <c r="K10" s="2"/>
      <c r="L10" s="2"/>
      <c r="M10" s="2"/>
      <c r="N10" s="2"/>
      <c r="O10" s="2"/>
      <c r="P10" s="2"/>
      <c r="Q10" s="2"/>
      <c r="R10" s="2"/>
      <c r="S10" s="2"/>
      <c r="T10" s="2"/>
    </row>
    <row r="11" spans="1:20" ht="28" customHeight="1" x14ac:dyDescent="0.2">
      <c r="A11" s="2"/>
      <c r="B11" s="367" t="s">
        <v>808</v>
      </c>
      <c r="C11" s="367"/>
      <c r="D11" s="367"/>
      <c r="E11" s="367"/>
      <c r="F11" s="367"/>
      <c r="G11" s="367"/>
      <c r="H11" s="367"/>
      <c r="I11" s="367"/>
      <c r="J11" s="367"/>
      <c r="K11" s="367"/>
      <c r="L11" s="367"/>
      <c r="M11" s="367"/>
      <c r="N11" s="367"/>
      <c r="O11" s="367"/>
      <c r="P11" s="367"/>
      <c r="Q11" s="367"/>
      <c r="R11" s="367"/>
      <c r="S11" s="367"/>
      <c r="T11" s="2"/>
    </row>
    <row r="12" spans="1:20" ht="8" customHeight="1" x14ac:dyDescent="0.2">
      <c r="A12" s="2"/>
      <c r="B12" s="2"/>
      <c r="C12" s="2"/>
      <c r="D12" s="2"/>
      <c r="E12" s="2"/>
      <c r="F12" s="2"/>
      <c r="G12" s="2"/>
      <c r="H12" s="2"/>
      <c r="I12" s="2"/>
      <c r="J12" s="2"/>
      <c r="K12" s="2"/>
      <c r="L12" s="2"/>
      <c r="M12" s="2"/>
      <c r="N12" s="2"/>
      <c r="O12" s="2"/>
      <c r="P12" s="2"/>
      <c r="Q12" s="2"/>
      <c r="R12" s="2"/>
      <c r="S12" s="2"/>
      <c r="T12" s="2"/>
    </row>
    <row r="13" spans="1:20" ht="8" customHeight="1" x14ac:dyDescent="0.2">
      <c r="A13" s="2"/>
      <c r="B13" s="359"/>
      <c r="C13" s="2"/>
      <c r="D13" s="2"/>
      <c r="E13" s="2"/>
      <c r="F13" s="2"/>
      <c r="G13" s="2"/>
      <c r="H13" s="2"/>
      <c r="I13" s="2"/>
      <c r="J13" s="2"/>
      <c r="K13" s="2"/>
      <c r="L13" s="2"/>
      <c r="M13" s="2"/>
      <c r="N13" s="2"/>
      <c r="O13" s="2"/>
      <c r="P13" s="2"/>
      <c r="Q13" s="2"/>
      <c r="R13" s="2"/>
      <c r="S13" s="2"/>
      <c r="T13" s="2"/>
    </row>
    <row r="14" spans="1:20" ht="40" customHeight="1" x14ac:dyDescent="0.2">
      <c r="A14" s="360"/>
      <c r="B14" s="360"/>
      <c r="C14" s="360"/>
      <c r="D14" s="360"/>
      <c r="E14" s="360"/>
      <c r="F14" s="360"/>
      <c r="G14" s="360"/>
      <c r="H14" s="360"/>
      <c r="I14" s="360"/>
      <c r="J14" s="360"/>
      <c r="K14" s="360"/>
      <c r="L14" s="360"/>
      <c r="M14" s="360"/>
      <c r="N14" s="360"/>
      <c r="O14" s="360"/>
      <c r="P14" s="360"/>
      <c r="Q14" s="360"/>
      <c r="R14" s="360"/>
      <c r="S14" s="360"/>
      <c r="T14" s="360"/>
    </row>
    <row r="15" spans="1:20" ht="5" customHeight="1" x14ac:dyDescent="0.2">
      <c r="A15" s="360"/>
      <c r="B15" s="366"/>
      <c r="C15" s="366"/>
      <c r="D15" s="366"/>
      <c r="E15" s="366"/>
      <c r="F15" s="366"/>
      <c r="G15" s="366"/>
      <c r="H15" s="366"/>
      <c r="I15" s="366"/>
      <c r="J15" s="366"/>
      <c r="K15" s="366"/>
      <c r="L15" s="366"/>
      <c r="M15" s="366"/>
      <c r="N15" s="366"/>
      <c r="O15" s="366"/>
      <c r="P15" s="366"/>
      <c r="Q15" s="366"/>
      <c r="R15" s="366"/>
      <c r="S15" s="366"/>
      <c r="T15" s="360"/>
    </row>
    <row r="16" spans="1:20" ht="25" customHeight="1" x14ac:dyDescent="0.2">
      <c r="A16" s="360"/>
      <c r="B16" s="360"/>
      <c r="C16" s="360"/>
      <c r="D16" s="360"/>
      <c r="E16" s="360"/>
      <c r="F16" s="360"/>
      <c r="G16" s="360"/>
      <c r="H16" s="360"/>
      <c r="I16" s="360"/>
      <c r="J16" s="360"/>
      <c r="K16" s="360"/>
      <c r="L16" s="360"/>
      <c r="M16" s="360"/>
      <c r="N16" s="360"/>
      <c r="O16" s="360"/>
      <c r="P16" s="360"/>
      <c r="Q16" s="360"/>
      <c r="R16" s="360"/>
      <c r="S16" s="360"/>
      <c r="T16" s="360"/>
    </row>
    <row r="17" spans="1:20" ht="22" customHeight="1" x14ac:dyDescent="0.2">
      <c r="A17" s="360"/>
      <c r="B17" s="360"/>
      <c r="C17" s="360"/>
      <c r="D17" s="368" t="s">
        <v>811</v>
      </c>
      <c r="E17" s="368"/>
      <c r="F17" s="368"/>
      <c r="G17" s="368"/>
      <c r="H17" s="369" t="s">
        <v>817</v>
      </c>
      <c r="I17" s="369"/>
      <c r="J17" s="369"/>
      <c r="K17" s="369"/>
      <c r="L17" s="369"/>
      <c r="M17" s="369"/>
      <c r="N17" s="369"/>
      <c r="O17" s="369"/>
      <c r="P17" s="360"/>
      <c r="Q17" s="360"/>
      <c r="R17" s="360"/>
      <c r="S17" s="360"/>
      <c r="T17" s="360"/>
    </row>
    <row r="18" spans="1:20" ht="22" customHeight="1" x14ac:dyDescent="0.2">
      <c r="A18" s="360"/>
      <c r="B18" s="360"/>
      <c r="C18" s="360"/>
      <c r="D18" s="362" t="s">
        <v>198</v>
      </c>
      <c r="E18" s="362"/>
      <c r="F18" s="362"/>
      <c r="G18" s="362"/>
      <c r="H18" s="370">
        <v>45717</v>
      </c>
      <c r="I18" s="370"/>
      <c r="J18" s="370"/>
      <c r="K18" s="370"/>
      <c r="L18" s="370"/>
      <c r="M18" s="370"/>
      <c r="N18" s="370"/>
      <c r="O18" s="370"/>
      <c r="P18" s="360"/>
      <c r="Q18" s="360"/>
      <c r="R18" s="360"/>
      <c r="S18" s="360"/>
      <c r="T18" s="360"/>
    </row>
    <row r="19" spans="1:20" ht="22" customHeight="1" x14ac:dyDescent="0.2">
      <c r="A19" s="360"/>
      <c r="B19" s="360"/>
      <c r="C19" s="360"/>
      <c r="D19" s="362" t="s">
        <v>197</v>
      </c>
      <c r="E19" s="362"/>
      <c r="F19" s="362"/>
      <c r="G19" s="362"/>
      <c r="H19" s="363" t="s">
        <v>202</v>
      </c>
      <c r="I19" s="363"/>
      <c r="J19" s="363"/>
      <c r="K19" s="363"/>
      <c r="L19" s="363"/>
      <c r="M19" s="363"/>
      <c r="N19" s="363"/>
      <c r="O19" s="363"/>
      <c r="P19" s="360"/>
      <c r="Q19" s="360"/>
      <c r="R19" s="360"/>
      <c r="S19" s="360"/>
      <c r="T19" s="360"/>
    </row>
    <row r="20" spans="1:20" ht="22" customHeight="1" x14ac:dyDescent="0.2">
      <c r="A20" s="360"/>
      <c r="B20" s="360"/>
      <c r="C20" s="360"/>
      <c r="D20" s="362" t="s">
        <v>812</v>
      </c>
      <c r="E20" s="362"/>
      <c r="F20" s="362"/>
      <c r="G20" s="362"/>
      <c r="H20" s="363" t="s">
        <v>813</v>
      </c>
      <c r="I20" s="363"/>
      <c r="J20" s="363"/>
      <c r="K20" s="363"/>
      <c r="L20" s="363"/>
      <c r="M20" s="363"/>
      <c r="N20" s="363"/>
      <c r="O20" s="363"/>
      <c r="P20" s="360"/>
      <c r="Q20" s="360"/>
      <c r="R20" s="360"/>
      <c r="S20" s="360"/>
      <c r="T20" s="360"/>
    </row>
    <row r="21" spans="1:20" ht="22" customHeight="1" x14ac:dyDescent="0.2">
      <c r="A21" s="360"/>
      <c r="B21" s="360"/>
      <c r="C21" s="360"/>
      <c r="D21" s="362" t="s">
        <v>814</v>
      </c>
      <c r="E21" s="362"/>
      <c r="F21" s="362"/>
      <c r="G21" s="362"/>
      <c r="H21" s="371" t="s">
        <v>809</v>
      </c>
      <c r="I21" s="371"/>
      <c r="J21" s="371"/>
      <c r="K21" s="371"/>
      <c r="L21" s="371"/>
      <c r="M21" s="371"/>
      <c r="N21" s="371"/>
      <c r="O21" s="371"/>
      <c r="P21" s="360"/>
      <c r="Q21" s="360"/>
      <c r="R21" s="360"/>
      <c r="S21" s="360"/>
      <c r="T21" s="360"/>
    </row>
    <row r="22" spans="1:20" ht="22" customHeight="1" x14ac:dyDescent="0.2">
      <c r="A22" s="360"/>
      <c r="B22" s="360"/>
      <c r="C22" s="360"/>
      <c r="D22" s="372" t="s">
        <v>815</v>
      </c>
      <c r="E22" s="372"/>
      <c r="F22" s="372"/>
      <c r="G22" s="372"/>
      <c r="H22" s="373" t="s">
        <v>816</v>
      </c>
      <c r="I22" s="373"/>
      <c r="J22" s="373"/>
      <c r="K22" s="373"/>
      <c r="L22" s="373"/>
      <c r="M22" s="373"/>
      <c r="N22" s="373"/>
      <c r="O22" s="373"/>
      <c r="P22" s="360"/>
      <c r="Q22" s="360"/>
      <c r="R22" s="360"/>
      <c r="S22" s="360"/>
      <c r="T22" s="360"/>
    </row>
    <row r="23" spans="1:20" ht="25" customHeight="1" x14ac:dyDescent="0.2">
      <c r="A23" s="360"/>
      <c r="B23" s="360"/>
      <c r="C23" s="360"/>
      <c r="D23" s="360"/>
      <c r="E23" s="360"/>
      <c r="F23" s="360"/>
      <c r="G23" s="360"/>
      <c r="H23" s="360"/>
      <c r="I23" s="360"/>
      <c r="J23" s="360"/>
      <c r="K23" s="360"/>
      <c r="L23" s="360"/>
      <c r="M23" s="360"/>
      <c r="N23" s="360"/>
      <c r="O23" s="360"/>
      <c r="P23" s="360"/>
      <c r="Q23" s="360"/>
      <c r="R23" s="360"/>
      <c r="S23" s="360"/>
      <c r="T23" s="360"/>
    </row>
    <row r="24" spans="1:20" ht="5" customHeight="1" x14ac:dyDescent="0.2">
      <c r="A24" s="360"/>
      <c r="B24" s="366"/>
      <c r="C24" s="366"/>
      <c r="D24" s="366"/>
      <c r="E24" s="366"/>
      <c r="F24" s="366"/>
      <c r="G24" s="366"/>
      <c r="H24" s="366"/>
      <c r="I24" s="366"/>
      <c r="J24" s="366"/>
      <c r="K24" s="366"/>
      <c r="L24" s="366"/>
      <c r="M24" s="366"/>
      <c r="N24" s="366"/>
      <c r="O24" s="366"/>
      <c r="P24" s="366"/>
      <c r="Q24" s="366"/>
      <c r="R24" s="366"/>
      <c r="S24" s="366"/>
      <c r="T24" s="360"/>
    </row>
    <row r="25" spans="1:20" ht="15" customHeight="1" x14ac:dyDescent="0.2">
      <c r="A25" s="360"/>
      <c r="B25" s="360"/>
      <c r="C25" s="360"/>
      <c r="D25" s="360"/>
      <c r="E25" s="360"/>
      <c r="F25" s="360"/>
      <c r="G25" s="360"/>
      <c r="H25" s="360"/>
      <c r="I25" s="360"/>
      <c r="J25" s="360"/>
      <c r="K25" s="360"/>
      <c r="L25" s="360"/>
      <c r="M25" s="360"/>
      <c r="N25" s="360"/>
      <c r="O25" s="360"/>
      <c r="P25" s="360"/>
      <c r="Q25" s="360"/>
      <c r="R25" s="360"/>
      <c r="S25" s="360"/>
      <c r="T25" s="360"/>
    </row>
    <row r="26" spans="1:20" ht="40" customHeight="1" x14ac:dyDescent="0.2">
      <c r="A26" s="360"/>
      <c r="B26" s="374" t="s">
        <v>810</v>
      </c>
      <c r="C26" s="374"/>
      <c r="D26" s="374"/>
      <c r="E26" s="374"/>
      <c r="F26" s="374"/>
      <c r="G26" s="374"/>
      <c r="H26" s="374"/>
      <c r="I26" s="374"/>
      <c r="J26" s="374"/>
      <c r="K26" s="374"/>
      <c r="L26" s="374"/>
      <c r="M26" s="374"/>
      <c r="N26" s="374"/>
      <c r="O26" s="374"/>
      <c r="P26" s="374"/>
      <c r="Q26" s="374"/>
      <c r="R26" s="374"/>
      <c r="S26" s="374"/>
      <c r="T26" s="360"/>
    </row>
    <row r="27" spans="1:20" ht="15" customHeight="1" x14ac:dyDescent="0.2">
      <c r="A27" s="360"/>
      <c r="B27" s="360"/>
      <c r="C27" s="360"/>
      <c r="D27" s="360"/>
      <c r="E27" s="360"/>
      <c r="F27" s="360"/>
      <c r="G27" s="360"/>
      <c r="H27" s="360"/>
      <c r="I27" s="360"/>
      <c r="J27" s="360"/>
      <c r="K27" s="360"/>
      <c r="L27" s="360"/>
      <c r="M27" s="360"/>
      <c r="N27" s="360"/>
      <c r="O27" s="360"/>
      <c r="P27" s="360"/>
      <c r="Q27" s="360"/>
      <c r="R27" s="360"/>
      <c r="S27" s="360"/>
      <c r="T27" s="360"/>
    </row>
    <row r="28" spans="1:20" ht="8" hidden="1" customHeight="1" x14ac:dyDescent="0.2">
      <c r="A28" s="360"/>
      <c r="B28"/>
      <c r="C28"/>
      <c r="D28"/>
      <c r="E28"/>
      <c r="F28"/>
      <c r="G28"/>
      <c r="H28"/>
      <c r="I28"/>
      <c r="J28"/>
      <c r="K28"/>
      <c r="L28"/>
      <c r="M28"/>
      <c r="N28"/>
      <c r="O28"/>
      <c r="P28"/>
      <c r="Q28"/>
      <c r="R28"/>
      <c r="S28"/>
      <c r="T28" s="360"/>
    </row>
    <row r="29" spans="1:20" ht="5" hidden="1" customHeight="1" x14ac:dyDescent="0.2">
      <c r="A29" s="360"/>
      <c r="B29"/>
      <c r="C29"/>
      <c r="D29"/>
      <c r="E29"/>
      <c r="F29"/>
      <c r="G29"/>
      <c r="H29"/>
      <c r="I29"/>
      <c r="J29"/>
      <c r="K29"/>
      <c r="L29"/>
      <c r="M29"/>
      <c r="N29"/>
      <c r="O29"/>
      <c r="P29"/>
      <c r="Q29"/>
      <c r="R29"/>
      <c r="S29"/>
      <c r="T29" s="360"/>
    </row>
    <row r="30" spans="1:20" ht="15" hidden="1" customHeight="1" x14ac:dyDescent="0.2">
      <c r="A30" s="360"/>
      <c r="B30"/>
      <c r="C30"/>
      <c r="D30"/>
      <c r="E30"/>
      <c r="F30"/>
      <c r="G30"/>
      <c r="H30"/>
      <c r="I30"/>
      <c r="J30"/>
      <c r="K30"/>
      <c r="L30"/>
      <c r="M30"/>
      <c r="N30"/>
      <c r="O30"/>
      <c r="P30"/>
      <c r="Q30"/>
      <c r="R30"/>
      <c r="S30"/>
      <c r="T30" s="360"/>
    </row>
    <row r="31" spans="1:20" ht="20" hidden="1" customHeight="1" x14ac:dyDescent="0.2">
      <c r="A31" s="360"/>
      <c r="B31"/>
      <c r="C31"/>
      <c r="D31"/>
      <c r="E31"/>
      <c r="F31"/>
      <c r="G31"/>
      <c r="H31"/>
      <c r="I31"/>
      <c r="J31"/>
      <c r="K31"/>
      <c r="L31"/>
      <c r="M31"/>
      <c r="N31"/>
      <c r="O31"/>
      <c r="P31"/>
      <c r="Q31"/>
      <c r="R31"/>
      <c r="S31"/>
      <c r="T31" s="360"/>
    </row>
    <row r="32" spans="1:20" ht="20" hidden="1" customHeight="1" x14ac:dyDescent="0.2">
      <c r="A32" s="360"/>
      <c r="B32"/>
      <c r="C32"/>
      <c r="D32"/>
      <c r="E32"/>
      <c r="F32"/>
      <c r="G32"/>
      <c r="H32"/>
      <c r="I32"/>
      <c r="J32"/>
      <c r="K32"/>
      <c r="L32"/>
      <c r="M32"/>
      <c r="N32"/>
      <c r="O32"/>
      <c r="P32"/>
      <c r="Q32"/>
      <c r="R32"/>
      <c r="S32"/>
      <c r="T32" s="360"/>
    </row>
    <row r="33" spans="1:20" ht="20" hidden="1" customHeight="1" x14ac:dyDescent="0.2">
      <c r="A33" s="360"/>
      <c r="B33"/>
      <c r="C33"/>
      <c r="D33"/>
      <c r="E33"/>
      <c r="F33"/>
      <c r="G33"/>
      <c r="H33"/>
      <c r="I33"/>
      <c r="J33"/>
      <c r="K33"/>
      <c r="L33"/>
      <c r="M33"/>
      <c r="N33"/>
      <c r="O33"/>
      <c r="P33"/>
      <c r="Q33"/>
      <c r="R33"/>
      <c r="S33"/>
      <c r="T33" s="360"/>
    </row>
    <row r="34" spans="1:20" ht="8" hidden="1" customHeight="1" x14ac:dyDescent="0.2">
      <c r="A34" s="360"/>
      <c r="B34"/>
      <c r="C34"/>
      <c r="D34"/>
      <c r="E34"/>
      <c r="F34"/>
      <c r="G34"/>
      <c r="H34"/>
      <c r="I34"/>
      <c r="J34"/>
      <c r="K34"/>
      <c r="L34"/>
      <c r="M34"/>
      <c r="N34"/>
      <c r="O34"/>
      <c r="P34"/>
      <c r="Q34"/>
      <c r="R34"/>
      <c r="S34"/>
      <c r="T34" s="360"/>
    </row>
    <row r="35" spans="1:20" ht="5" hidden="1" customHeight="1" x14ac:dyDescent="0.2">
      <c r="A35" s="360"/>
      <c r="B35"/>
      <c r="C35"/>
      <c r="D35"/>
      <c r="E35"/>
      <c r="F35"/>
      <c r="G35"/>
      <c r="H35"/>
      <c r="I35"/>
      <c r="J35"/>
      <c r="K35"/>
      <c r="L35"/>
      <c r="M35"/>
      <c r="N35"/>
      <c r="O35"/>
      <c r="P35"/>
      <c r="Q35"/>
      <c r="R35"/>
      <c r="S35"/>
      <c r="T35" s="360"/>
    </row>
    <row r="36" spans="1:20" ht="40" hidden="1" customHeight="1" x14ac:dyDescent="0.2">
      <c r="A36" s="360"/>
      <c r="B36"/>
      <c r="C36"/>
      <c r="D36"/>
      <c r="E36"/>
      <c r="F36"/>
      <c r="G36"/>
      <c r="H36"/>
      <c r="I36"/>
      <c r="J36"/>
      <c r="K36"/>
      <c r="L36"/>
      <c r="M36"/>
      <c r="N36"/>
      <c r="O36"/>
      <c r="P36"/>
      <c r="Q36"/>
      <c r="R36"/>
      <c r="S36"/>
      <c r="T36" s="360"/>
    </row>
    <row r="37" spans="1:20" ht="15" hidden="1" customHeight="1" x14ac:dyDescent="0.2">
      <c r="A37" s="360"/>
      <c r="B37"/>
      <c r="C37"/>
      <c r="D37"/>
      <c r="E37"/>
      <c r="F37"/>
      <c r="G37"/>
      <c r="H37"/>
      <c r="I37"/>
      <c r="J37"/>
      <c r="K37"/>
      <c r="L37"/>
      <c r="M37"/>
      <c r="N37"/>
      <c r="O37"/>
      <c r="P37"/>
      <c r="Q37"/>
      <c r="R37"/>
      <c r="S37"/>
      <c r="T37" s="360"/>
    </row>
  </sheetData>
  <mergeCells count="19">
    <mergeCell ref="D21:G21"/>
    <mergeCell ref="H21:O21"/>
    <mergeCell ref="D22:G22"/>
    <mergeCell ref="H22:O22"/>
    <mergeCell ref="B26:S26"/>
    <mergeCell ref="B24:S24"/>
    <mergeCell ref="D20:G20"/>
    <mergeCell ref="H20:O20"/>
    <mergeCell ref="B6:S6"/>
    <mergeCell ref="B8:S8"/>
    <mergeCell ref="B9:S9"/>
    <mergeCell ref="B11:S11"/>
    <mergeCell ref="B15:S15"/>
    <mergeCell ref="D17:G17"/>
    <mergeCell ref="H17:O17"/>
    <mergeCell ref="D18:G18"/>
    <mergeCell ref="H18:O18"/>
    <mergeCell ref="D19:G19"/>
    <mergeCell ref="H19:O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9FEC8-C216-2C43-95E5-6A5E8D9E16D5}">
  <sheetPr>
    <tabColor rgb="FF000080"/>
  </sheetPr>
  <dimension ref="B1:E39"/>
  <sheetViews>
    <sheetView zoomScale="143" workbookViewId="0">
      <pane ySplit="4" topLeftCell="A5" activePane="bottomLeft" state="frozen"/>
      <selection pane="bottomLeft" activeCell="C2" sqref="C2"/>
    </sheetView>
  </sheetViews>
  <sheetFormatPr baseColWidth="10" defaultRowHeight="16" x14ac:dyDescent="0.2"/>
  <cols>
    <col min="1" max="1" width="5" style="1" customWidth="1"/>
    <col min="2" max="2" width="9.1640625" style="1" customWidth="1"/>
    <col min="3" max="4" width="46.6640625" style="1" customWidth="1"/>
    <col min="5" max="5" width="16.6640625" style="1" customWidth="1"/>
    <col min="6" max="16384" width="10.83203125" style="1"/>
  </cols>
  <sheetData>
    <row r="1" spans="2:5" ht="23" x14ac:dyDescent="0.25">
      <c r="B1" s="315" t="s">
        <v>711</v>
      </c>
    </row>
    <row r="2" spans="2:5" x14ac:dyDescent="0.2">
      <c r="B2" s="316" t="s">
        <v>0</v>
      </c>
    </row>
    <row r="4" spans="2:5" ht="17" thickBot="1" x14ac:dyDescent="0.25">
      <c r="B4" s="329" t="s">
        <v>1</v>
      </c>
      <c r="C4" s="330" t="s">
        <v>2</v>
      </c>
      <c r="D4" s="330" t="s">
        <v>3</v>
      </c>
      <c r="E4" s="329" t="s">
        <v>4</v>
      </c>
    </row>
    <row r="5" spans="2:5" x14ac:dyDescent="0.2">
      <c r="B5" s="331" t="s">
        <v>5</v>
      </c>
      <c r="C5" s="3"/>
      <c r="D5" s="3"/>
      <c r="E5" s="3"/>
    </row>
    <row r="6" spans="2:5" x14ac:dyDescent="0.2">
      <c r="B6" s="332">
        <v>1</v>
      </c>
      <c r="C6" s="333" t="s">
        <v>6</v>
      </c>
      <c r="D6" s="333" t="s">
        <v>7</v>
      </c>
      <c r="E6" s="334" t="s">
        <v>8</v>
      </c>
    </row>
    <row r="7" spans="2:5" x14ac:dyDescent="0.2">
      <c r="B7" s="335">
        <v>2</v>
      </c>
      <c r="C7" s="336" t="s">
        <v>9</v>
      </c>
      <c r="D7" s="336" t="s">
        <v>43</v>
      </c>
      <c r="E7" s="337" t="s">
        <v>8</v>
      </c>
    </row>
    <row r="8" spans="2:5" x14ac:dyDescent="0.2">
      <c r="B8" s="332">
        <v>3</v>
      </c>
      <c r="C8" s="333" t="s">
        <v>10</v>
      </c>
      <c r="D8" s="333" t="s">
        <v>44</v>
      </c>
      <c r="E8" s="334" t="s">
        <v>8</v>
      </c>
    </row>
    <row r="10" spans="2:5" x14ac:dyDescent="0.2">
      <c r="B10" s="342" t="s">
        <v>57</v>
      </c>
      <c r="C10" s="343"/>
      <c r="D10" s="343"/>
      <c r="E10" s="343"/>
    </row>
    <row r="11" spans="2:5" x14ac:dyDescent="0.2">
      <c r="B11" s="332">
        <v>4</v>
      </c>
      <c r="C11" s="333" t="s">
        <v>48</v>
      </c>
      <c r="D11" s="333" t="s">
        <v>49</v>
      </c>
      <c r="E11" s="334" t="s">
        <v>8</v>
      </c>
    </row>
    <row r="12" spans="2:5" x14ac:dyDescent="0.2">
      <c r="B12" s="335">
        <v>5</v>
      </c>
      <c r="C12" s="336" t="s">
        <v>12</v>
      </c>
      <c r="D12" s="336" t="s">
        <v>13</v>
      </c>
      <c r="E12" s="337" t="s">
        <v>8</v>
      </c>
    </row>
    <row r="14" spans="2:5" x14ac:dyDescent="0.2">
      <c r="B14" s="344" t="s">
        <v>58</v>
      </c>
      <c r="C14" s="345"/>
      <c r="D14" s="345"/>
      <c r="E14" s="345"/>
    </row>
    <row r="15" spans="2:5" x14ac:dyDescent="0.2">
      <c r="B15" s="332">
        <v>6</v>
      </c>
      <c r="C15" s="333" t="s">
        <v>45</v>
      </c>
      <c r="D15" s="333" t="s">
        <v>46</v>
      </c>
      <c r="E15" s="334" t="s">
        <v>8</v>
      </c>
    </row>
    <row r="16" spans="2:5" x14ac:dyDescent="0.2">
      <c r="B16" s="335">
        <v>7</v>
      </c>
      <c r="C16" s="336" t="s">
        <v>52</v>
      </c>
      <c r="D16" s="336" t="s">
        <v>47</v>
      </c>
      <c r="E16" s="337" t="s">
        <v>8</v>
      </c>
    </row>
    <row r="18" spans="2:5" x14ac:dyDescent="0.2">
      <c r="B18" s="346" t="s">
        <v>14</v>
      </c>
      <c r="C18" s="347"/>
      <c r="D18" s="347"/>
      <c r="E18" s="347"/>
    </row>
    <row r="19" spans="2:5" x14ac:dyDescent="0.2">
      <c r="B19" s="332">
        <v>8</v>
      </c>
      <c r="C19" s="333" t="s">
        <v>50</v>
      </c>
      <c r="D19" s="333" t="s">
        <v>51</v>
      </c>
      <c r="E19" s="334" t="s">
        <v>8</v>
      </c>
    </row>
    <row r="20" spans="2:5" x14ac:dyDescent="0.2">
      <c r="B20" s="335">
        <v>9</v>
      </c>
      <c r="C20" s="336" t="s">
        <v>15</v>
      </c>
      <c r="D20" s="336" t="s">
        <v>16</v>
      </c>
      <c r="E20" s="337" t="s">
        <v>8</v>
      </c>
    </row>
    <row r="21" spans="2:5" x14ac:dyDescent="0.2">
      <c r="B21" s="319"/>
      <c r="C21" s="327"/>
      <c r="D21" s="327"/>
      <c r="E21" s="328"/>
    </row>
    <row r="22" spans="2:5" x14ac:dyDescent="0.2">
      <c r="B22" s="348" t="s">
        <v>804</v>
      </c>
      <c r="C22" s="349"/>
      <c r="D22" s="349"/>
      <c r="E22" s="349"/>
    </row>
    <row r="23" spans="2:5" x14ac:dyDescent="0.2">
      <c r="B23" s="335">
        <v>11</v>
      </c>
      <c r="C23" s="336" t="s">
        <v>17</v>
      </c>
      <c r="D23" s="336" t="s">
        <v>18</v>
      </c>
      <c r="E23" s="337" t="s">
        <v>8</v>
      </c>
    </row>
    <row r="24" spans="2:5" x14ac:dyDescent="0.2">
      <c r="B24" s="332">
        <v>12</v>
      </c>
      <c r="C24" s="333" t="s">
        <v>19</v>
      </c>
      <c r="D24" s="333" t="s">
        <v>20</v>
      </c>
      <c r="E24" s="334" t="s">
        <v>8</v>
      </c>
    </row>
    <row r="25" spans="2:5" x14ac:dyDescent="0.2">
      <c r="B25" s="335">
        <v>13</v>
      </c>
      <c r="C25" s="336" t="s">
        <v>21</v>
      </c>
      <c r="D25" s="336" t="s">
        <v>22</v>
      </c>
      <c r="E25" s="338" t="s">
        <v>8</v>
      </c>
    </row>
    <row r="27" spans="2:5" x14ac:dyDescent="0.2">
      <c r="B27" s="350" t="s">
        <v>805</v>
      </c>
      <c r="C27" s="351"/>
      <c r="D27" s="351"/>
      <c r="E27" s="351"/>
    </row>
    <row r="28" spans="2:5" x14ac:dyDescent="0.2">
      <c r="B28" s="335">
        <v>14</v>
      </c>
      <c r="C28" s="336" t="s">
        <v>23</v>
      </c>
      <c r="D28" s="336" t="s">
        <v>53</v>
      </c>
      <c r="E28" s="337" t="s">
        <v>8</v>
      </c>
    </row>
    <row r="30" spans="2:5" x14ac:dyDescent="0.2">
      <c r="B30" s="352" t="s">
        <v>806</v>
      </c>
      <c r="C30" s="353"/>
      <c r="D30" s="353"/>
      <c r="E30" s="353"/>
    </row>
    <row r="31" spans="2:5" x14ac:dyDescent="0.2">
      <c r="B31" s="339">
        <v>15</v>
      </c>
      <c r="C31" s="340" t="s">
        <v>25</v>
      </c>
      <c r="D31" s="340" t="s">
        <v>26</v>
      </c>
      <c r="E31" s="341" t="s">
        <v>8</v>
      </c>
    </row>
    <row r="34" spans="2:5" x14ac:dyDescent="0.2">
      <c r="B34" s="352" t="s">
        <v>27</v>
      </c>
      <c r="C34" s="353"/>
      <c r="D34" s="353"/>
      <c r="E34" s="353"/>
    </row>
    <row r="35" spans="2:5" x14ac:dyDescent="0.2">
      <c r="B35" s="319" t="s">
        <v>28</v>
      </c>
      <c r="C35" s="320" t="s">
        <v>29</v>
      </c>
      <c r="D35" s="317" t="s">
        <v>30</v>
      </c>
    </row>
    <row r="36" spans="2:5" x14ac:dyDescent="0.2">
      <c r="B36" s="319" t="s">
        <v>31</v>
      </c>
      <c r="C36" s="321" t="s">
        <v>32</v>
      </c>
      <c r="D36" s="317" t="s">
        <v>33</v>
      </c>
    </row>
    <row r="37" spans="2:5" x14ac:dyDescent="0.2">
      <c r="B37" s="319" t="s">
        <v>34</v>
      </c>
      <c r="C37" s="322" t="s">
        <v>35</v>
      </c>
      <c r="D37" s="317" t="s">
        <v>36</v>
      </c>
    </row>
    <row r="38" spans="2:5" x14ac:dyDescent="0.2">
      <c r="B38" s="319" t="s">
        <v>37</v>
      </c>
      <c r="C38" s="323" t="s">
        <v>38</v>
      </c>
      <c r="D38" s="317" t="s">
        <v>39</v>
      </c>
    </row>
    <row r="39" spans="2:5" x14ac:dyDescent="0.2">
      <c r="B39" s="324" t="s">
        <v>40</v>
      </c>
      <c r="C39" s="325" t="s">
        <v>41</v>
      </c>
      <c r="D39" s="318" t="s">
        <v>42</v>
      </c>
      <c r="E39" s="326"/>
    </row>
  </sheetData>
  <conditionalFormatting sqref="E6:E8">
    <cfRule type="cellIs" dxfId="34" priority="1" operator="equal">
      <formula>"Complete"</formula>
    </cfRule>
    <cfRule type="cellIs" dxfId="33" priority="2" operator="equal">
      <formula>"In Progress"</formula>
    </cfRule>
    <cfRule type="cellIs" dxfId="32" priority="3" operator="equal">
      <formula>"Pending"</formula>
    </cfRule>
    <cfRule type="cellIs" dxfId="31" priority="4" operator="equal">
      <formula>"Not Started"</formula>
    </cfRule>
    <cfRule type="cellIs" dxfId="30" priority="5" operator="equal">
      <formula>"N/A"</formula>
    </cfRule>
  </conditionalFormatting>
  <conditionalFormatting sqref="E11:E12">
    <cfRule type="cellIs" dxfId="29" priority="26" operator="equal">
      <formula>"Complete"</formula>
    </cfRule>
    <cfRule type="cellIs" dxfId="28" priority="27" operator="equal">
      <formula>"In Progress"</formula>
    </cfRule>
    <cfRule type="cellIs" dxfId="27" priority="28" operator="equal">
      <formula>"Pending"</formula>
    </cfRule>
    <cfRule type="cellIs" dxfId="26" priority="29" operator="equal">
      <formula>"Not Started"</formula>
    </cfRule>
    <cfRule type="cellIs" dxfId="25" priority="30" operator="equal">
      <formula>"N/A"</formula>
    </cfRule>
  </conditionalFormatting>
  <conditionalFormatting sqref="E15:E16">
    <cfRule type="cellIs" dxfId="24" priority="36" operator="equal">
      <formula>"Complete"</formula>
    </cfRule>
    <cfRule type="cellIs" dxfId="23" priority="37" operator="equal">
      <formula>"In Progress"</formula>
    </cfRule>
    <cfRule type="cellIs" dxfId="22" priority="38" operator="equal">
      <formula>"Pending"</formula>
    </cfRule>
    <cfRule type="cellIs" dxfId="21" priority="39" operator="equal">
      <formula>"Not Started"</formula>
    </cfRule>
    <cfRule type="cellIs" dxfId="20" priority="40" operator="equal">
      <formula>"N/A"</formula>
    </cfRule>
  </conditionalFormatting>
  <conditionalFormatting sqref="E19:E20">
    <cfRule type="cellIs" dxfId="19" priority="46" operator="equal">
      <formula>"Complete"</formula>
    </cfRule>
    <cfRule type="cellIs" dxfId="18" priority="47" operator="equal">
      <formula>"In Progress"</formula>
    </cfRule>
    <cfRule type="cellIs" dxfId="17" priority="48" operator="equal">
      <formula>"Pending"</formula>
    </cfRule>
    <cfRule type="cellIs" dxfId="16" priority="49" operator="equal">
      <formula>"Not Started"</formula>
    </cfRule>
    <cfRule type="cellIs" dxfId="15" priority="50" operator="equal">
      <formula>"N/A"</formula>
    </cfRule>
  </conditionalFormatting>
  <conditionalFormatting sqref="E22:E24">
    <cfRule type="cellIs" dxfId="14" priority="61" operator="equal">
      <formula>"Complete"</formula>
    </cfRule>
    <cfRule type="cellIs" dxfId="13" priority="62" operator="equal">
      <formula>"In Progress"</formula>
    </cfRule>
    <cfRule type="cellIs" dxfId="12" priority="63" operator="equal">
      <formula>"Pending"</formula>
    </cfRule>
    <cfRule type="cellIs" dxfId="11" priority="64" operator="equal">
      <formula>"Not Started"</formula>
    </cfRule>
    <cfRule type="cellIs" dxfId="10" priority="65" operator="equal">
      <formula>"N/A"</formula>
    </cfRule>
  </conditionalFormatting>
  <conditionalFormatting sqref="E27:E28">
    <cfRule type="cellIs" dxfId="9" priority="81" operator="equal">
      <formula>"Complete"</formula>
    </cfRule>
    <cfRule type="cellIs" dxfId="8" priority="82" operator="equal">
      <formula>"In Progress"</formula>
    </cfRule>
    <cfRule type="cellIs" dxfId="7" priority="83" operator="equal">
      <formula>"Pending"</formula>
    </cfRule>
    <cfRule type="cellIs" dxfId="6" priority="84" operator="equal">
      <formula>"Not Started"</formula>
    </cfRule>
    <cfRule type="cellIs" dxfId="5" priority="85" operator="equal">
      <formula>"N/A"</formula>
    </cfRule>
  </conditionalFormatting>
  <conditionalFormatting sqref="E30">
    <cfRule type="cellIs" dxfId="4" priority="96" operator="equal">
      <formula>"Complete"</formula>
    </cfRule>
    <cfRule type="cellIs" dxfId="3" priority="97" operator="equal">
      <formula>"In Progress"</formula>
    </cfRule>
    <cfRule type="cellIs" dxfId="2" priority="98" operator="equal">
      <formula>"Pending"</formula>
    </cfRule>
    <cfRule type="cellIs" dxfId="1" priority="99" operator="equal">
      <formula>"Not Started"</formula>
    </cfRule>
    <cfRule type="cellIs" dxfId="0" priority="100" operator="equal">
      <formula>"N/A"</formula>
    </cfRule>
  </conditionalFormatting>
  <dataValidations count="1">
    <dataValidation type="list" allowBlank="1" showInputMessage="1" showErrorMessage="1" sqref="E6 E7 E8 E11 E12 E15 E18 E16 E20:E21 E23 E24 E25 E28 E19 E31" xr:uid="{06FFBA76-29B4-094F-B921-D7A87FC73297}">
      <formula1>"Complete,In Progress,Pending,Not Started,N/A"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0AECA-D317-BC4C-ABFB-CE4BAEC81BA6}">
  <sheetPr>
    <tabColor rgb="FF4472C4"/>
  </sheetPr>
  <dimension ref="B1:S53"/>
  <sheetViews>
    <sheetView showGridLines="0" tabSelected="1" zoomScale="163" workbookViewId="0">
      <selection activeCell="J12" sqref="J12"/>
    </sheetView>
  </sheetViews>
  <sheetFormatPr baseColWidth="10" defaultRowHeight="16" x14ac:dyDescent="0.2"/>
  <cols>
    <col min="1" max="1" width="1" style="1" customWidth="1"/>
    <col min="2" max="4" width="8.33203125" style="1" customWidth="1"/>
    <col min="5" max="5" width="9.1640625" style="1" customWidth="1"/>
    <col min="6" max="6" width="11.83203125" style="1" customWidth="1"/>
    <col min="7" max="8" width="8.33203125" style="1" customWidth="1"/>
    <col min="9" max="9" width="5.33203125" style="1" customWidth="1"/>
    <col min="10" max="10" width="12.1640625" style="1" customWidth="1"/>
    <col min="11" max="12" width="8.33203125" style="1" customWidth="1"/>
    <col min="13" max="13" width="4.5" style="1" customWidth="1"/>
    <col min="14" max="15" width="8.33203125" style="1" customWidth="1"/>
    <col min="16" max="16" width="12" style="1" customWidth="1"/>
    <col min="17" max="18" width="8.33203125" style="1" customWidth="1"/>
    <col min="19" max="16384" width="10.83203125" style="1"/>
  </cols>
  <sheetData>
    <row r="1" spans="2:19" ht="28" customHeight="1" x14ac:dyDescent="0.3">
      <c r="B1" s="375" t="s">
        <v>629</v>
      </c>
      <c r="C1" s="375"/>
      <c r="D1" s="375"/>
      <c r="E1" s="375"/>
      <c r="F1" s="375"/>
      <c r="G1" s="375"/>
      <c r="H1" s="375"/>
      <c r="I1" s="375"/>
      <c r="J1" s="375"/>
      <c r="K1" s="375"/>
      <c r="L1" s="375"/>
      <c r="M1" s="375"/>
      <c r="N1" s="375"/>
      <c r="O1" s="375"/>
      <c r="P1" s="375"/>
      <c r="Q1" s="235"/>
      <c r="R1" s="235"/>
      <c r="S1" s="235"/>
    </row>
    <row r="2" spans="2:19" ht="28" customHeight="1" x14ac:dyDescent="0.2">
      <c r="B2" s="376" t="s">
        <v>630</v>
      </c>
      <c r="C2" s="376"/>
      <c r="D2" s="376"/>
      <c r="E2" s="376"/>
      <c r="F2" s="376"/>
      <c r="G2" s="376"/>
      <c r="H2" s="376"/>
      <c r="I2" s="376"/>
      <c r="J2" s="376"/>
      <c r="K2" s="376"/>
      <c r="L2" s="376"/>
      <c r="M2" s="376"/>
      <c r="N2" s="376"/>
      <c r="O2" s="376"/>
      <c r="P2" s="235"/>
      <c r="Q2" s="204" t="s">
        <v>631</v>
      </c>
      <c r="R2" s="235"/>
      <c r="S2" s="235"/>
    </row>
    <row r="3" spans="2:19" ht="13" customHeight="1" x14ac:dyDescent="0.2">
      <c r="B3" s="237"/>
      <c r="C3" s="237"/>
      <c r="D3" s="237"/>
      <c r="E3" s="237"/>
      <c r="F3" s="237"/>
      <c r="G3" s="237"/>
      <c r="H3" s="237"/>
      <c r="I3" s="237"/>
      <c r="J3" s="237"/>
      <c r="K3" s="237"/>
      <c r="L3" s="237"/>
      <c r="M3" s="237"/>
      <c r="N3" s="237"/>
      <c r="O3" s="237"/>
      <c r="P3" s="237"/>
      <c r="Q3" s="237"/>
      <c r="R3" s="237"/>
      <c r="S3" s="237"/>
    </row>
    <row r="4" spans="2:19" ht="20" customHeight="1" x14ac:dyDescent="0.2">
      <c r="B4" s="236"/>
      <c r="C4" s="236"/>
      <c r="D4" s="236"/>
      <c r="E4" s="236"/>
      <c r="F4" s="236"/>
      <c r="G4" s="236"/>
      <c r="H4" s="236"/>
      <c r="I4" s="236"/>
      <c r="J4" s="236"/>
      <c r="K4" s="236"/>
      <c r="L4" s="236"/>
      <c r="M4" s="236"/>
      <c r="N4" s="236"/>
      <c r="O4" s="236"/>
      <c r="P4" s="236"/>
      <c r="Q4" s="236"/>
      <c r="R4" s="236"/>
      <c r="S4" s="236"/>
    </row>
    <row r="5" spans="2:19" ht="16" customHeight="1" x14ac:dyDescent="0.2">
      <c r="B5" s="309" t="s">
        <v>632</v>
      </c>
      <c r="C5" s="238"/>
      <c r="D5" s="239"/>
      <c r="E5" s="236"/>
      <c r="F5" s="309" t="s">
        <v>633</v>
      </c>
      <c r="G5" s="240"/>
      <c r="H5" s="239"/>
      <c r="I5" s="236"/>
      <c r="J5" s="309" t="s">
        <v>712</v>
      </c>
      <c r="K5" s="240"/>
      <c r="L5" s="236"/>
      <c r="M5" s="236"/>
      <c r="N5" s="309" t="s">
        <v>634</v>
      </c>
      <c r="O5" s="240"/>
      <c r="P5" s="236"/>
      <c r="Q5" s="309" t="s">
        <v>628</v>
      </c>
      <c r="R5" s="239"/>
      <c r="S5" s="236"/>
    </row>
    <row r="6" spans="2:19" ht="28" customHeight="1" x14ac:dyDescent="0.25">
      <c r="B6" s="308" t="s">
        <v>635</v>
      </c>
      <c r="C6" s="241"/>
      <c r="D6" s="242"/>
      <c r="E6" s="236"/>
      <c r="F6" s="312">
        <v>200.4</v>
      </c>
      <c r="G6" s="241"/>
      <c r="H6" s="242"/>
      <c r="I6" s="236"/>
      <c r="J6" s="312">
        <v>186.8</v>
      </c>
      <c r="K6" s="241"/>
      <c r="L6" s="236"/>
      <c r="M6" s="236"/>
      <c r="N6" s="205" t="s">
        <v>636</v>
      </c>
      <c r="O6" s="241"/>
      <c r="P6" s="236"/>
      <c r="Q6" s="206">
        <v>9.4E-2</v>
      </c>
      <c r="R6" s="242"/>
      <c r="S6" s="236"/>
    </row>
    <row r="7" spans="2:19" ht="14" customHeight="1" x14ac:dyDescent="0.2">
      <c r="B7" s="207" t="s">
        <v>637</v>
      </c>
      <c r="C7" s="243"/>
      <c r="D7" s="244"/>
      <c r="E7" s="236"/>
      <c r="F7" s="207" t="s">
        <v>638</v>
      </c>
      <c r="G7" s="243"/>
      <c r="H7" s="244"/>
      <c r="I7" s="236"/>
      <c r="J7" s="243"/>
      <c r="K7" s="243"/>
      <c r="L7" s="236"/>
      <c r="M7" s="236"/>
      <c r="N7" s="207" t="s">
        <v>639</v>
      </c>
      <c r="O7" s="243"/>
      <c r="P7" s="236"/>
      <c r="Q7" s="310" t="s">
        <v>640</v>
      </c>
      <c r="R7" s="244"/>
      <c r="S7" s="236"/>
    </row>
    <row r="8" spans="2:19" ht="10" customHeight="1" x14ac:dyDescent="0.2">
      <c r="B8" s="236"/>
      <c r="C8" s="236"/>
      <c r="D8" s="236"/>
      <c r="E8" s="236"/>
      <c r="F8" s="236"/>
      <c r="G8" s="236"/>
      <c r="H8" s="236"/>
      <c r="I8" s="236"/>
      <c r="J8" s="236"/>
      <c r="K8" s="236"/>
      <c r="L8" s="236"/>
      <c r="M8" s="236"/>
      <c r="N8" s="236"/>
      <c r="O8" s="236"/>
      <c r="P8" s="236"/>
      <c r="Q8" s="236"/>
      <c r="R8" s="236"/>
      <c r="S8" s="236"/>
    </row>
    <row r="9" spans="2:19" ht="18" customHeight="1" thickBot="1" x14ac:dyDescent="0.25">
      <c r="B9" s="208" t="s">
        <v>641</v>
      </c>
      <c r="C9" s="245"/>
      <c r="D9" s="245"/>
      <c r="E9" s="245"/>
      <c r="F9" s="245"/>
      <c r="G9" s="245"/>
      <c r="H9" s="245"/>
      <c r="I9" s="245"/>
      <c r="J9" s="236"/>
      <c r="K9" s="208" t="s">
        <v>642</v>
      </c>
      <c r="L9" s="245"/>
      <c r="M9" s="245"/>
      <c r="N9" s="245"/>
      <c r="O9" s="245"/>
      <c r="P9" s="245"/>
      <c r="Q9" s="245"/>
      <c r="R9" s="245"/>
      <c r="S9" s="236"/>
    </row>
    <row r="10" spans="2:19" ht="14" customHeight="1" x14ac:dyDescent="0.2">
      <c r="B10" s="209"/>
      <c r="C10" s="210" t="s">
        <v>60</v>
      </c>
      <c r="D10" s="210" t="s">
        <v>61</v>
      </c>
      <c r="E10" s="210" t="s">
        <v>62</v>
      </c>
      <c r="F10" s="210" t="s">
        <v>63</v>
      </c>
      <c r="G10" s="210" t="s">
        <v>248</v>
      </c>
      <c r="H10" s="210" t="s">
        <v>317</v>
      </c>
      <c r="I10" s="210" t="s">
        <v>318</v>
      </c>
      <c r="J10" s="236"/>
      <c r="K10" s="209"/>
      <c r="L10" s="210" t="s">
        <v>60</v>
      </c>
      <c r="M10" s="210" t="s">
        <v>61</v>
      </c>
      <c r="N10" s="210" t="s">
        <v>62</v>
      </c>
      <c r="O10" s="210" t="s">
        <v>63</v>
      </c>
      <c r="P10" s="210" t="s">
        <v>248</v>
      </c>
      <c r="Q10" s="210" t="s">
        <v>317</v>
      </c>
      <c r="R10" s="210" t="s">
        <v>318</v>
      </c>
      <c r="S10" s="236"/>
    </row>
    <row r="11" spans="2:19" ht="14" customHeight="1" x14ac:dyDescent="0.2">
      <c r="B11" s="211" t="s">
        <v>64</v>
      </c>
      <c r="C11" s="212">
        <v>6389</v>
      </c>
      <c r="D11" s="212">
        <v>8982</v>
      </c>
      <c r="E11" s="212">
        <v>11602</v>
      </c>
      <c r="F11" s="212">
        <v>13427</v>
      </c>
      <c r="G11" s="212">
        <v>15170</v>
      </c>
      <c r="H11" s="212">
        <v>16979</v>
      </c>
      <c r="I11" s="212">
        <v>18782</v>
      </c>
      <c r="J11" s="236"/>
      <c r="K11" s="211" t="s">
        <v>644</v>
      </c>
      <c r="L11" s="213">
        <v>0.69099999999999995</v>
      </c>
      <c r="M11" s="213">
        <v>0.71799999999999997</v>
      </c>
      <c r="N11" s="213">
        <v>0.71299999999999997</v>
      </c>
      <c r="O11" s="213">
        <v>0.72799999999999998</v>
      </c>
      <c r="P11" s="213">
        <v>0.71</v>
      </c>
      <c r="Q11" s="213">
        <v>0.71699999999999997</v>
      </c>
      <c r="R11" s="213">
        <v>0.71699999999999997</v>
      </c>
      <c r="S11" s="236"/>
    </row>
    <row r="12" spans="2:19" ht="14" customHeight="1" x14ac:dyDescent="0.2">
      <c r="B12" s="211" t="s">
        <v>643</v>
      </c>
      <c r="C12" s="212">
        <v>2565</v>
      </c>
      <c r="D12" s="212">
        <v>4155</v>
      </c>
      <c r="E12" s="212">
        <v>5483</v>
      </c>
      <c r="F12" s="212">
        <v>6411</v>
      </c>
      <c r="G12" s="212">
        <v>7003</v>
      </c>
      <c r="H12" s="212">
        <v>7956</v>
      </c>
      <c r="I12" s="212">
        <v>8800</v>
      </c>
      <c r="J12" s="236"/>
      <c r="K12" s="211" t="s">
        <v>594</v>
      </c>
      <c r="L12" s="213">
        <v>0.40100000000000002</v>
      </c>
      <c r="M12" s="213">
        <v>0.46300000000000002</v>
      </c>
      <c r="N12" s="213">
        <v>0.47299999999999998</v>
      </c>
      <c r="O12" s="213">
        <v>0.47699999999999998</v>
      </c>
      <c r="P12" s="213">
        <v>0.46200000000000002</v>
      </c>
      <c r="Q12" s="213">
        <v>0.46899999999999997</v>
      </c>
      <c r="R12" s="213">
        <v>0.46899999999999997</v>
      </c>
      <c r="S12" s="236"/>
    </row>
    <row r="13" spans="2:19" ht="14" customHeight="1" x14ac:dyDescent="0.2">
      <c r="B13" s="211" t="s">
        <v>76</v>
      </c>
      <c r="C13" s="212">
        <v>1385</v>
      </c>
      <c r="D13" s="212">
        <v>2446</v>
      </c>
      <c r="E13" s="212">
        <v>3367</v>
      </c>
      <c r="F13" s="212">
        <v>4311</v>
      </c>
      <c r="G13" s="212">
        <v>4603</v>
      </c>
      <c r="H13" s="212">
        <v>5058</v>
      </c>
      <c r="I13" s="212">
        <v>5617</v>
      </c>
      <c r="J13" s="236"/>
      <c r="K13" s="211" t="s">
        <v>645</v>
      </c>
      <c r="L13" s="213">
        <v>0.217</v>
      </c>
      <c r="M13" s="213">
        <v>0.27200000000000002</v>
      </c>
      <c r="N13" s="213">
        <v>0.28999999999999998</v>
      </c>
      <c r="O13" s="213">
        <v>0.32100000000000001</v>
      </c>
      <c r="P13" s="213">
        <v>0.30299999999999999</v>
      </c>
      <c r="Q13" s="213">
        <v>0.29799999999999999</v>
      </c>
      <c r="R13" s="213">
        <v>0.29899999999999999</v>
      </c>
      <c r="S13" s="236"/>
    </row>
    <row r="14" spans="2:19" x14ac:dyDescent="0.2">
      <c r="B14" s="236"/>
      <c r="C14" s="236"/>
      <c r="D14" s="236"/>
      <c r="E14" s="236"/>
      <c r="F14" s="236"/>
      <c r="G14" s="236"/>
      <c r="H14" s="236"/>
      <c r="I14" s="236"/>
      <c r="J14" s="236"/>
      <c r="K14" s="236"/>
      <c r="L14" s="236"/>
      <c r="M14" s="236"/>
      <c r="N14" s="236"/>
      <c r="O14" s="236"/>
      <c r="P14" s="236"/>
      <c r="Q14" s="236"/>
      <c r="R14" s="236"/>
      <c r="S14" s="236"/>
    </row>
    <row r="15" spans="2:19" x14ac:dyDescent="0.2">
      <c r="B15" s="236"/>
      <c r="C15" s="236"/>
      <c r="D15" s="236"/>
      <c r="E15" s="236"/>
      <c r="F15" s="236"/>
      <c r="G15" s="236"/>
      <c r="H15" s="236"/>
      <c r="I15" s="236"/>
      <c r="J15" s="236"/>
      <c r="K15" s="236"/>
      <c r="L15" s="236"/>
      <c r="M15" s="236"/>
      <c r="N15" s="236"/>
      <c r="O15" s="236"/>
      <c r="P15" s="236"/>
      <c r="Q15" s="236"/>
      <c r="R15" s="236"/>
      <c r="S15" s="236"/>
    </row>
    <row r="16" spans="2:19" x14ac:dyDescent="0.2">
      <c r="B16" s="236"/>
      <c r="C16" s="236"/>
      <c r="D16" s="236"/>
      <c r="E16" s="236"/>
      <c r="F16" s="236"/>
      <c r="G16" s="236"/>
      <c r="H16" s="236"/>
      <c r="I16" s="236"/>
      <c r="J16" s="236"/>
      <c r="K16" s="236"/>
      <c r="L16" s="236"/>
      <c r="M16" s="236"/>
      <c r="N16" s="236"/>
      <c r="O16" s="236"/>
      <c r="P16" s="236"/>
      <c r="Q16" s="236"/>
      <c r="R16" s="236"/>
      <c r="S16" s="236"/>
    </row>
    <row r="17" spans="2:19" x14ac:dyDescent="0.2">
      <c r="B17" s="236"/>
      <c r="C17" s="236"/>
      <c r="D17" s="236"/>
      <c r="E17" s="236"/>
      <c r="F17" s="236"/>
      <c r="G17" s="236"/>
      <c r="H17" s="236"/>
      <c r="I17" s="236"/>
      <c r="J17" s="236"/>
      <c r="K17" s="236"/>
      <c r="L17" s="236"/>
      <c r="M17" s="236"/>
      <c r="N17" s="236"/>
      <c r="O17" s="236"/>
      <c r="P17" s="236"/>
      <c r="Q17" s="236"/>
      <c r="R17" s="236"/>
      <c r="S17" s="236"/>
    </row>
    <row r="18" spans="2:19" x14ac:dyDescent="0.2">
      <c r="B18" s="236"/>
      <c r="C18" s="236"/>
      <c r="D18" s="236"/>
      <c r="E18" s="236"/>
      <c r="F18" s="236"/>
      <c r="G18" s="236"/>
      <c r="H18" s="236"/>
      <c r="I18" s="236"/>
      <c r="J18" s="236"/>
      <c r="K18" s="236"/>
      <c r="L18" s="236"/>
      <c r="M18" s="236"/>
      <c r="N18" s="236"/>
      <c r="O18" s="236"/>
      <c r="P18" s="236"/>
      <c r="Q18" s="236"/>
      <c r="R18" s="236"/>
      <c r="S18" s="236"/>
    </row>
    <row r="19" spans="2:19" x14ac:dyDescent="0.2">
      <c r="B19" s="236"/>
      <c r="C19" s="236"/>
      <c r="D19" s="236"/>
      <c r="E19" s="236"/>
      <c r="F19" s="236"/>
      <c r="G19" s="236"/>
      <c r="H19" s="236"/>
      <c r="I19" s="236"/>
      <c r="J19" s="236"/>
      <c r="K19" s="236"/>
      <c r="L19" s="236"/>
      <c r="M19" s="236"/>
      <c r="N19" s="236"/>
      <c r="O19" s="236"/>
      <c r="P19" s="236"/>
      <c r="Q19" s="236"/>
      <c r="R19" s="236"/>
      <c r="S19" s="236"/>
    </row>
    <row r="20" spans="2:19" x14ac:dyDescent="0.2">
      <c r="B20" s="236"/>
      <c r="C20" s="236"/>
      <c r="D20" s="236"/>
      <c r="E20" s="236"/>
      <c r="F20" s="236"/>
      <c r="G20" s="236"/>
      <c r="H20" s="236"/>
      <c r="I20" s="236"/>
      <c r="J20" s="236"/>
      <c r="K20" s="236"/>
      <c r="L20" s="236"/>
      <c r="M20" s="236"/>
      <c r="N20" s="236"/>
      <c r="O20" s="236"/>
      <c r="P20" s="236"/>
      <c r="Q20" s="236"/>
      <c r="R20" s="236"/>
      <c r="S20" s="236"/>
    </row>
    <row r="21" spans="2:19" x14ac:dyDescent="0.2">
      <c r="B21" s="236"/>
      <c r="C21" s="236"/>
      <c r="D21" s="236"/>
      <c r="E21" s="236"/>
      <c r="F21" s="236"/>
      <c r="G21" s="236"/>
      <c r="H21" s="236"/>
      <c r="I21" s="236"/>
      <c r="J21" s="236"/>
      <c r="K21" s="236"/>
      <c r="L21" s="236"/>
      <c r="M21" s="236"/>
      <c r="N21" s="236"/>
      <c r="O21" s="236"/>
      <c r="P21" s="236"/>
      <c r="Q21" s="236"/>
      <c r="R21" s="236"/>
      <c r="S21" s="236"/>
    </row>
    <row r="22" spans="2:19" x14ac:dyDescent="0.2">
      <c r="B22" s="236"/>
      <c r="C22" s="236"/>
      <c r="D22" s="236"/>
      <c r="E22" s="236"/>
      <c r="F22" s="236"/>
      <c r="G22" s="236"/>
      <c r="H22" s="236"/>
      <c r="I22" s="236"/>
      <c r="J22" s="236"/>
      <c r="K22" s="236"/>
      <c r="L22" s="236"/>
      <c r="M22" s="236"/>
      <c r="N22" s="236"/>
      <c r="O22" s="236"/>
      <c r="P22" s="236"/>
      <c r="Q22" s="236"/>
      <c r="R22" s="236"/>
      <c r="S22" s="236"/>
    </row>
    <row r="23" spans="2:19" x14ac:dyDescent="0.2">
      <c r="B23" s="236"/>
      <c r="C23" s="236"/>
      <c r="D23" s="236"/>
      <c r="E23" s="236"/>
      <c r="F23" s="236"/>
      <c r="G23" s="236"/>
      <c r="H23" s="236"/>
      <c r="I23" s="236"/>
      <c r="J23" s="236"/>
      <c r="K23" s="236"/>
      <c r="L23" s="236"/>
      <c r="M23" s="236"/>
      <c r="N23" s="236"/>
      <c r="O23" s="236"/>
      <c r="P23" s="236"/>
      <c r="Q23" s="236"/>
      <c r="R23" s="236"/>
      <c r="S23" s="236"/>
    </row>
    <row r="24" spans="2:19" x14ac:dyDescent="0.2">
      <c r="B24" s="236"/>
      <c r="C24" s="236"/>
      <c r="D24" s="236"/>
      <c r="E24" s="236"/>
      <c r="F24" s="236"/>
      <c r="G24" s="236"/>
      <c r="H24" s="236"/>
      <c r="I24" s="236"/>
      <c r="J24" s="236"/>
      <c r="K24" s="236"/>
      <c r="L24" s="236"/>
      <c r="M24" s="236"/>
      <c r="N24" s="236"/>
      <c r="O24" s="236"/>
      <c r="P24" s="236"/>
      <c r="Q24" s="236"/>
      <c r="R24" s="236"/>
      <c r="S24" s="236"/>
    </row>
    <row r="25" spans="2:19" x14ac:dyDescent="0.2">
      <c r="B25" s="236"/>
      <c r="C25" s="236"/>
      <c r="D25" s="236"/>
      <c r="E25" s="236"/>
      <c r="F25" s="236"/>
      <c r="G25" s="236"/>
      <c r="H25" s="236"/>
      <c r="I25" s="236"/>
      <c r="J25" s="236"/>
      <c r="K25" s="236"/>
      <c r="L25" s="236"/>
      <c r="M25" s="236"/>
      <c r="N25" s="236"/>
      <c r="O25" s="236"/>
      <c r="P25" s="236"/>
      <c r="Q25" s="236"/>
      <c r="R25" s="236"/>
      <c r="S25" s="236"/>
    </row>
    <row r="26" spans="2:19" x14ac:dyDescent="0.2">
      <c r="B26" s="236"/>
      <c r="C26" s="236"/>
      <c r="D26" s="236"/>
      <c r="E26" s="236"/>
      <c r="F26" s="236"/>
      <c r="G26" s="236"/>
      <c r="H26" s="236"/>
      <c r="I26" s="236"/>
      <c r="J26" s="236"/>
      <c r="K26" s="236"/>
      <c r="L26" s="236"/>
      <c r="M26" s="236"/>
      <c r="N26" s="236"/>
      <c r="O26" s="236"/>
      <c r="P26" s="236"/>
      <c r="Q26" s="236"/>
      <c r="R26" s="236"/>
      <c r="S26" s="236"/>
    </row>
    <row r="27" spans="2:19" x14ac:dyDescent="0.2">
      <c r="B27" s="236"/>
      <c r="C27" s="236"/>
      <c r="D27" s="236"/>
      <c r="E27" s="236"/>
      <c r="F27" s="236"/>
      <c r="G27" s="236"/>
      <c r="H27" s="236"/>
      <c r="I27" s="236"/>
      <c r="J27" s="236"/>
      <c r="K27" s="236"/>
      <c r="L27" s="236"/>
      <c r="M27" s="236"/>
      <c r="N27" s="236"/>
      <c r="O27" s="236"/>
      <c r="P27" s="236"/>
      <c r="Q27" s="236"/>
      <c r="R27" s="236"/>
      <c r="S27" s="236"/>
    </row>
    <row r="28" spans="2:19" ht="18" customHeight="1" x14ac:dyDescent="0.2">
      <c r="B28" s="236"/>
      <c r="C28" s="236"/>
      <c r="D28" s="236"/>
      <c r="E28" s="236"/>
      <c r="F28" s="236"/>
      <c r="G28" s="236"/>
      <c r="H28" s="236"/>
      <c r="I28" s="236"/>
      <c r="J28" s="236"/>
      <c r="K28" s="236"/>
      <c r="L28" s="236"/>
      <c r="M28" s="236"/>
      <c r="N28" s="236"/>
      <c r="O28" s="236"/>
      <c r="P28" s="236"/>
      <c r="Q28" s="236"/>
      <c r="R28" s="236"/>
      <c r="S28" s="236"/>
    </row>
    <row r="29" spans="2:19" ht="18" customHeight="1" thickBot="1" x14ac:dyDescent="0.25">
      <c r="B29" s="208" t="s">
        <v>646</v>
      </c>
      <c r="C29" s="245"/>
      <c r="D29" s="245"/>
      <c r="E29" s="245"/>
      <c r="F29" s="245"/>
      <c r="G29" s="245"/>
      <c r="H29" s="245"/>
      <c r="I29" s="245"/>
      <c r="J29" s="236"/>
      <c r="K29" s="208" t="s">
        <v>647</v>
      </c>
      <c r="L29" s="245"/>
      <c r="M29" s="245"/>
      <c r="N29" s="245"/>
      <c r="O29" s="245"/>
      <c r="P29" s="245"/>
      <c r="Q29" s="245"/>
      <c r="R29" s="245"/>
      <c r="S29" s="236"/>
    </row>
    <row r="30" spans="2:19" ht="16" customHeight="1" x14ac:dyDescent="0.2">
      <c r="B30" s="209"/>
      <c r="C30" s="210" t="s">
        <v>609</v>
      </c>
      <c r="D30" s="210" t="s">
        <v>608</v>
      </c>
      <c r="E30" s="236"/>
      <c r="F30" s="236"/>
      <c r="G30" s="236"/>
      <c r="H30" s="236"/>
      <c r="I30" s="236"/>
      <c r="J30" s="236"/>
      <c r="K30" s="236"/>
      <c r="L30" s="236"/>
      <c r="M30" s="236"/>
      <c r="N30" s="236"/>
      <c r="O30" s="236"/>
      <c r="P30" s="236"/>
      <c r="Q30" s="236"/>
      <c r="R30" s="236"/>
      <c r="S30" s="236"/>
    </row>
    <row r="31" spans="2:19" ht="16" customHeight="1" x14ac:dyDescent="0.2">
      <c r="B31" s="211" t="s">
        <v>17</v>
      </c>
      <c r="C31" s="212">
        <v>946</v>
      </c>
      <c r="D31" s="212">
        <v>1515</v>
      </c>
      <c r="E31" s="236"/>
      <c r="F31" s="236"/>
      <c r="G31" s="236"/>
      <c r="H31" s="236"/>
      <c r="I31" s="236"/>
      <c r="J31" s="236"/>
      <c r="K31" s="214" t="s">
        <v>648</v>
      </c>
      <c r="L31" s="235"/>
      <c r="M31" s="235"/>
      <c r="N31" s="235"/>
      <c r="O31" s="236"/>
      <c r="P31" s="214" t="s">
        <v>649</v>
      </c>
      <c r="Q31" s="235"/>
      <c r="R31" s="235"/>
      <c r="S31" s="236"/>
    </row>
    <row r="32" spans="2:19" ht="16" customHeight="1" x14ac:dyDescent="0.2">
      <c r="B32" s="211" t="s">
        <v>19</v>
      </c>
      <c r="C32" s="212">
        <v>986</v>
      </c>
      <c r="D32" s="212">
        <v>1014</v>
      </c>
      <c r="E32" s="236"/>
      <c r="F32" s="236"/>
      <c r="G32" s="236"/>
      <c r="H32" s="236"/>
      <c r="I32" s="236"/>
      <c r="J32" s="236"/>
      <c r="K32" s="218" t="s">
        <v>650</v>
      </c>
      <c r="L32" s="246"/>
      <c r="M32" s="306">
        <v>0.05</v>
      </c>
      <c r="N32" s="247"/>
      <c r="O32" s="236"/>
      <c r="P32" s="218" t="s">
        <v>651</v>
      </c>
      <c r="Q32" s="219" t="s">
        <v>652</v>
      </c>
      <c r="R32" s="247"/>
      <c r="S32" s="236"/>
    </row>
    <row r="33" spans="2:19" ht="16" customHeight="1" x14ac:dyDescent="0.2">
      <c r="B33" s="236"/>
      <c r="C33" s="236"/>
      <c r="D33" s="236"/>
      <c r="E33" s="236"/>
      <c r="F33" s="236"/>
      <c r="G33" s="236"/>
      <c r="H33" s="236"/>
      <c r="I33" s="236"/>
      <c r="J33" s="236"/>
      <c r="K33" s="218" t="s">
        <v>653</v>
      </c>
      <c r="L33" s="246"/>
      <c r="M33" s="219" t="s">
        <v>654</v>
      </c>
      <c r="N33" s="247"/>
      <c r="O33" s="236"/>
      <c r="P33" s="216" t="s">
        <v>655</v>
      </c>
      <c r="Q33" s="217" t="s">
        <v>656</v>
      </c>
      <c r="R33" s="248"/>
      <c r="S33" s="236"/>
    </row>
    <row r="34" spans="2:19" ht="16" customHeight="1" x14ac:dyDescent="0.2">
      <c r="B34" s="236"/>
      <c r="C34" s="236"/>
      <c r="D34" s="236"/>
      <c r="E34" s="236"/>
      <c r="F34" s="236"/>
      <c r="G34" s="236"/>
      <c r="H34" s="236"/>
      <c r="I34" s="236"/>
      <c r="J34" s="236"/>
      <c r="K34" s="218" t="s">
        <v>657</v>
      </c>
      <c r="L34" s="246"/>
      <c r="M34" s="304">
        <v>9.4E-2</v>
      </c>
      <c r="N34" s="247"/>
      <c r="O34" s="236"/>
      <c r="P34" s="236"/>
      <c r="Q34" s="236"/>
      <c r="R34" s="236"/>
      <c r="S34" s="236"/>
    </row>
    <row r="35" spans="2:19" ht="16" customHeight="1" x14ac:dyDescent="0.2">
      <c r="B35" s="236"/>
      <c r="C35" s="236"/>
      <c r="D35" s="236"/>
      <c r="E35" s="236"/>
      <c r="F35" s="236"/>
      <c r="G35" s="236"/>
      <c r="H35" s="236"/>
      <c r="I35" s="236"/>
      <c r="J35" s="236"/>
      <c r="K35" s="220" t="s">
        <v>658</v>
      </c>
      <c r="L35" s="249"/>
      <c r="M35" s="305">
        <v>9.4E-2</v>
      </c>
      <c r="N35" s="250"/>
      <c r="O35" s="236"/>
      <c r="P35" s="214" t="s">
        <v>659</v>
      </c>
      <c r="Q35" s="235"/>
      <c r="R35" s="235"/>
      <c r="S35" s="236"/>
    </row>
    <row r="36" spans="2:19" ht="16" customHeight="1" x14ac:dyDescent="0.2">
      <c r="B36" s="236"/>
      <c r="C36" s="236"/>
      <c r="D36" s="236"/>
      <c r="E36" s="236"/>
      <c r="F36" s="236"/>
      <c r="G36" s="236"/>
      <c r="H36" s="236"/>
      <c r="I36" s="236"/>
      <c r="J36" s="236"/>
      <c r="K36" s="236"/>
      <c r="L36" s="236"/>
      <c r="M36" s="236"/>
      <c r="N36" s="236"/>
      <c r="O36" s="236"/>
      <c r="P36" s="215" t="s">
        <v>660</v>
      </c>
      <c r="Q36" s="221" t="s">
        <v>661</v>
      </c>
      <c r="R36" s="242"/>
      <c r="S36" s="236"/>
    </row>
    <row r="37" spans="2:19" ht="16" customHeight="1" x14ac:dyDescent="0.2">
      <c r="B37" s="236"/>
      <c r="C37" s="236"/>
      <c r="D37" s="236"/>
      <c r="E37" s="236"/>
      <c r="F37" s="236"/>
      <c r="G37" s="236"/>
      <c r="H37" s="236"/>
      <c r="I37" s="236"/>
      <c r="J37" s="236"/>
      <c r="K37" s="236"/>
      <c r="L37" s="236"/>
      <c r="M37" s="236"/>
      <c r="N37" s="236"/>
      <c r="O37" s="236"/>
      <c r="P37" s="218" t="s">
        <v>662</v>
      </c>
      <c r="Q37" s="219" t="s">
        <v>663</v>
      </c>
      <c r="R37" s="247"/>
      <c r="S37" s="236"/>
    </row>
    <row r="38" spans="2:19" ht="16" customHeight="1" x14ac:dyDescent="0.2">
      <c r="B38" s="236"/>
      <c r="C38" s="236"/>
      <c r="D38" s="236"/>
      <c r="E38" s="236"/>
      <c r="F38" s="236"/>
      <c r="G38" s="236"/>
      <c r="H38" s="236"/>
      <c r="I38" s="236"/>
      <c r="J38" s="236"/>
      <c r="K38" s="236"/>
      <c r="L38" s="236"/>
      <c r="M38" s="236"/>
      <c r="N38" s="236"/>
      <c r="O38" s="236"/>
      <c r="P38" s="218" t="s">
        <v>664</v>
      </c>
      <c r="Q38" s="307">
        <v>1012</v>
      </c>
      <c r="R38" s="247"/>
      <c r="S38" s="236"/>
    </row>
    <row r="39" spans="2:19" ht="16" customHeight="1" x14ac:dyDescent="0.2">
      <c r="B39" s="236"/>
      <c r="C39" s="236"/>
      <c r="D39" s="236"/>
      <c r="E39" s="236"/>
      <c r="F39" s="236"/>
      <c r="G39" s="236"/>
      <c r="H39" s="236"/>
      <c r="I39" s="236"/>
      <c r="J39" s="236"/>
      <c r="K39" s="236"/>
      <c r="L39" s="236"/>
      <c r="M39" s="236"/>
      <c r="N39" s="236"/>
      <c r="O39" s="236"/>
      <c r="P39" s="220" t="s">
        <v>665</v>
      </c>
      <c r="Q39" s="222" t="s">
        <v>666</v>
      </c>
      <c r="R39" s="250"/>
      <c r="S39" s="236"/>
    </row>
    <row r="40" spans="2:19" ht="16" customHeight="1" x14ac:dyDescent="0.2">
      <c r="B40" s="236"/>
      <c r="C40" s="236"/>
      <c r="D40" s="236"/>
      <c r="E40" s="236"/>
      <c r="F40" s="236"/>
      <c r="G40" s="236"/>
      <c r="H40" s="236"/>
      <c r="I40" s="236"/>
      <c r="J40" s="236"/>
      <c r="K40" s="236"/>
      <c r="L40" s="236"/>
      <c r="M40" s="236"/>
      <c r="N40" s="236"/>
      <c r="O40" s="236"/>
      <c r="P40" s="236"/>
      <c r="Q40" s="236"/>
      <c r="R40" s="236"/>
      <c r="S40" s="236"/>
    </row>
    <row r="41" spans="2:19" ht="8" customHeight="1" x14ac:dyDescent="0.2">
      <c r="B41" s="236"/>
      <c r="C41" s="236"/>
      <c r="D41" s="236"/>
      <c r="E41" s="236"/>
      <c r="F41" s="236"/>
      <c r="G41" s="236"/>
      <c r="H41" s="236"/>
      <c r="I41" s="236"/>
      <c r="J41" s="236"/>
      <c r="K41" s="236"/>
      <c r="L41" s="236"/>
      <c r="M41" s="236"/>
      <c r="N41" s="236"/>
      <c r="O41" s="236"/>
      <c r="P41" s="236"/>
      <c r="Q41" s="236"/>
      <c r="R41" s="236"/>
      <c r="S41" s="236"/>
    </row>
    <row r="42" spans="2:19" ht="18" customHeight="1" thickBot="1" x14ac:dyDescent="0.25">
      <c r="B42" s="223" t="s">
        <v>667</v>
      </c>
      <c r="C42" s="245"/>
      <c r="D42" s="245"/>
      <c r="E42" s="245"/>
      <c r="F42" s="245"/>
      <c r="G42" s="245"/>
      <c r="H42" s="245"/>
      <c r="I42" s="245"/>
      <c r="J42" s="236"/>
      <c r="K42" s="223" t="s">
        <v>668</v>
      </c>
      <c r="L42" s="245"/>
      <c r="M42" s="245"/>
      <c r="N42" s="245"/>
      <c r="O42" s="245"/>
      <c r="P42" s="245"/>
      <c r="Q42" s="245"/>
      <c r="R42" s="236"/>
      <c r="S42" s="236"/>
    </row>
    <row r="43" spans="2:19" ht="13" customHeight="1" thickBot="1" x14ac:dyDescent="0.25">
      <c r="B43" s="236"/>
      <c r="C43" s="236"/>
      <c r="D43" s="236"/>
      <c r="E43" s="236"/>
      <c r="F43" s="236"/>
      <c r="G43" s="236"/>
      <c r="H43" s="236"/>
      <c r="I43" s="236"/>
      <c r="J43" s="236"/>
      <c r="K43" s="224" t="s">
        <v>571</v>
      </c>
      <c r="L43" s="235"/>
      <c r="M43" s="225" t="s">
        <v>669</v>
      </c>
      <c r="N43" s="225" t="s">
        <v>670</v>
      </c>
      <c r="O43" s="225" t="s">
        <v>671</v>
      </c>
      <c r="P43" s="225" t="s">
        <v>672</v>
      </c>
      <c r="Q43" s="225" t="s">
        <v>673</v>
      </c>
      <c r="R43" s="251"/>
      <c r="S43" s="236"/>
    </row>
    <row r="44" spans="2:19" ht="17" customHeight="1" thickTop="1" x14ac:dyDescent="0.2">
      <c r="B44" s="272"/>
      <c r="C44" s="311" t="s">
        <v>706</v>
      </c>
      <c r="D44" s="377" t="s">
        <v>707</v>
      </c>
      <c r="E44" s="377"/>
      <c r="F44" s="377"/>
      <c r="G44" s="377"/>
      <c r="H44" s="379"/>
      <c r="I44" s="236"/>
      <c r="J44" s="236"/>
      <c r="K44" s="226" t="s">
        <v>674</v>
      </c>
      <c r="L44" s="252"/>
      <c r="M44" s="227" t="s">
        <v>675</v>
      </c>
      <c r="N44" s="227" t="s">
        <v>676</v>
      </c>
      <c r="O44" s="227" t="s">
        <v>677</v>
      </c>
      <c r="P44" s="227" t="s">
        <v>678</v>
      </c>
      <c r="Q44" s="257">
        <v>200.4</v>
      </c>
      <c r="R44" s="253"/>
      <c r="S44" s="236"/>
    </row>
    <row r="45" spans="2:19" ht="18" customHeight="1" thickBot="1" x14ac:dyDescent="0.25">
      <c r="B45" s="272"/>
      <c r="C45" s="274"/>
      <c r="D45" s="275">
        <v>1.4999999999999999E-2</v>
      </c>
      <c r="E45" s="275">
        <v>0.02</v>
      </c>
      <c r="F45" s="275">
        <v>2.5000000000000001E-2</v>
      </c>
      <c r="G45" s="275">
        <v>0.03</v>
      </c>
      <c r="H45" s="276">
        <v>3.5000000000000003E-2</v>
      </c>
      <c r="I45" s="236"/>
      <c r="J45" s="236"/>
      <c r="K45" s="228" t="s">
        <v>679</v>
      </c>
      <c r="L45" s="246"/>
      <c r="M45" s="229" t="s">
        <v>680</v>
      </c>
      <c r="N45" s="229" t="s">
        <v>681</v>
      </c>
      <c r="O45" s="229" t="s">
        <v>682</v>
      </c>
      <c r="P45" s="229" t="s">
        <v>683</v>
      </c>
      <c r="Q45" s="258">
        <v>250</v>
      </c>
      <c r="R45" s="247"/>
      <c r="S45" s="236"/>
    </row>
    <row r="46" spans="2:19" ht="20" customHeight="1" x14ac:dyDescent="0.2">
      <c r="B46" s="385" t="s">
        <v>628</v>
      </c>
      <c r="C46" s="277">
        <v>7.3899999999999993E-2</v>
      </c>
      <c r="D46" s="278">
        <v>1116.6943023807933</v>
      </c>
      <c r="E46" s="279">
        <v>1194.433158472674</v>
      </c>
      <c r="F46" s="280">
        <v>1288.0695311477612</v>
      </c>
      <c r="G46" s="280">
        <v>1403.0353736804996</v>
      </c>
      <c r="H46" s="281">
        <v>1547.5554173784662</v>
      </c>
      <c r="I46" s="236"/>
      <c r="J46" s="236"/>
      <c r="K46" s="228" t="s">
        <v>684</v>
      </c>
      <c r="L46" s="254"/>
      <c r="M46" s="230" t="s">
        <v>685</v>
      </c>
      <c r="N46" s="230" t="s">
        <v>686</v>
      </c>
      <c r="O46" s="230" t="s">
        <v>687</v>
      </c>
      <c r="P46" s="230" t="s">
        <v>688</v>
      </c>
      <c r="Q46" s="259">
        <v>84.2</v>
      </c>
      <c r="R46" s="247"/>
      <c r="S46" s="236"/>
    </row>
    <row r="47" spans="2:19" ht="20" customHeight="1" thickBot="1" x14ac:dyDescent="0.25">
      <c r="B47" s="385"/>
      <c r="C47" s="277">
        <v>8.3900000000000002E-2</v>
      </c>
      <c r="D47" s="282">
        <v>968.90685625922072</v>
      </c>
      <c r="E47" s="283">
        <v>1023.1735443176133</v>
      </c>
      <c r="F47" s="284">
        <v>1086.6535919784492</v>
      </c>
      <c r="G47" s="285">
        <v>1161.9110139733921</v>
      </c>
      <c r="H47" s="286">
        <v>1252.5585018159718</v>
      </c>
      <c r="I47" s="236"/>
      <c r="J47" s="236"/>
      <c r="K47" s="231" t="s">
        <v>689</v>
      </c>
      <c r="L47" s="255"/>
      <c r="M47" s="232" t="s">
        <v>690</v>
      </c>
      <c r="N47" s="232" t="s">
        <v>691</v>
      </c>
      <c r="O47" s="232" t="s">
        <v>692</v>
      </c>
      <c r="P47" s="232" t="s">
        <v>693</v>
      </c>
      <c r="Q47" s="255"/>
      <c r="R47" s="256"/>
      <c r="S47" s="236"/>
    </row>
    <row r="48" spans="2:19" ht="20" customHeight="1" thickTop="1" thickBot="1" x14ac:dyDescent="0.25">
      <c r="B48" s="385"/>
      <c r="C48" s="277">
        <v>9.3899999999999997E-2</v>
      </c>
      <c r="D48" s="287">
        <v>858.66792830812687</v>
      </c>
      <c r="E48" s="288">
        <v>898.34800787505753</v>
      </c>
      <c r="F48" s="289">
        <v>943.78717010772561</v>
      </c>
      <c r="G48" s="287">
        <v>996.33731234550612</v>
      </c>
      <c r="H48" s="290">
        <v>1057.8093802603291</v>
      </c>
      <c r="I48" s="236"/>
      <c r="J48" s="236"/>
      <c r="K48" s="236"/>
      <c r="L48" s="236"/>
      <c r="M48" s="236"/>
      <c r="N48" s="236"/>
      <c r="O48" s="236"/>
      <c r="P48" s="236"/>
      <c r="Q48" s="236"/>
      <c r="R48" s="236"/>
      <c r="S48" s="236"/>
    </row>
    <row r="49" spans="2:19" ht="20" customHeight="1" thickTop="1" x14ac:dyDescent="0.2">
      <c r="B49" s="385"/>
      <c r="C49" s="277">
        <v>0.104</v>
      </c>
      <c r="D49" s="291">
        <v>772.54646131557752</v>
      </c>
      <c r="E49" s="292">
        <v>802.51424357394262</v>
      </c>
      <c r="F49" s="293">
        <v>836.27541599159429</v>
      </c>
      <c r="G49" s="294">
        <v>874.59890900622599</v>
      </c>
      <c r="H49" s="295">
        <v>918.47653144326819</v>
      </c>
      <c r="I49" s="236"/>
      <c r="J49" s="236"/>
      <c r="K49" s="236"/>
      <c r="L49" s="236"/>
      <c r="M49" s="236"/>
      <c r="N49" s="236"/>
      <c r="O49" s="236"/>
      <c r="P49" s="236"/>
      <c r="Q49" s="236"/>
      <c r="R49" s="236"/>
      <c r="S49" s="236"/>
    </row>
    <row r="50" spans="2:19" ht="20" customHeight="1" thickBot="1" x14ac:dyDescent="0.25">
      <c r="B50" s="385"/>
      <c r="C50" s="296">
        <v>0.1139</v>
      </c>
      <c r="D50" s="297">
        <v>705.26348825974299</v>
      </c>
      <c r="E50" s="298">
        <v>728.64604820617319</v>
      </c>
      <c r="F50" s="299">
        <v>754.65881737042423</v>
      </c>
      <c r="G50" s="299">
        <v>783.77203577952071</v>
      </c>
      <c r="H50" s="300">
        <v>816.57514245339485</v>
      </c>
      <c r="I50" s="236"/>
      <c r="J50" s="236"/>
      <c r="K50" s="236"/>
      <c r="L50" s="236"/>
      <c r="M50" s="236"/>
      <c r="N50" s="236"/>
      <c r="O50" s="236"/>
      <c r="P50" s="236"/>
      <c r="Q50" s="236"/>
      <c r="R50" s="236"/>
      <c r="S50" s="236"/>
    </row>
    <row r="51" spans="2:19" ht="20" customHeight="1" thickTop="1" x14ac:dyDescent="0.2">
      <c r="B51" s="236"/>
      <c r="C51" s="236"/>
      <c r="D51" s="236"/>
      <c r="E51" s="236"/>
      <c r="F51" s="236"/>
      <c r="G51" s="236"/>
      <c r="H51" s="236"/>
      <c r="I51" s="236"/>
      <c r="J51" s="236"/>
      <c r="K51" s="236"/>
      <c r="L51" s="236"/>
      <c r="M51" s="236"/>
      <c r="N51" s="236"/>
      <c r="O51" s="236"/>
      <c r="P51" s="236"/>
      <c r="Q51" s="236"/>
      <c r="R51" s="236"/>
      <c r="S51" s="236"/>
    </row>
    <row r="52" spans="2:19" ht="16" customHeight="1" x14ac:dyDescent="0.2">
      <c r="B52" s="236"/>
      <c r="C52" s="236"/>
      <c r="D52" s="236"/>
      <c r="E52" s="236"/>
      <c r="F52" s="236"/>
      <c r="G52" s="236"/>
      <c r="H52" s="236"/>
      <c r="I52" s="236"/>
      <c r="J52" s="236"/>
      <c r="K52" s="236"/>
      <c r="L52" s="236"/>
      <c r="M52" s="236"/>
      <c r="N52" s="236"/>
      <c r="O52" s="236"/>
      <c r="P52" s="236"/>
      <c r="Q52" s="236"/>
      <c r="R52" s="236"/>
      <c r="S52" s="236"/>
    </row>
    <row r="53" spans="2:19" ht="16" customHeight="1" x14ac:dyDescent="0.2">
      <c r="B53" s="233" t="s">
        <v>694</v>
      </c>
      <c r="C53" s="235"/>
      <c r="D53" s="235"/>
      <c r="E53" s="235"/>
      <c r="F53" s="235"/>
      <c r="G53" s="235"/>
      <c r="H53" s="235"/>
      <c r="I53" s="235"/>
      <c r="J53" s="235"/>
      <c r="K53" s="235"/>
      <c r="L53" s="235"/>
      <c r="M53" s="235"/>
      <c r="N53" s="235"/>
      <c r="O53" s="235"/>
      <c r="P53" s="235"/>
      <c r="Q53" s="234" t="s">
        <v>695</v>
      </c>
      <c r="R53" s="235"/>
      <c r="S53" s="235"/>
    </row>
  </sheetData>
  <mergeCells count="4">
    <mergeCell ref="B1:P1"/>
    <mergeCell ref="B2:O2"/>
    <mergeCell ref="D44:H44"/>
    <mergeCell ref="B46:B5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96D3-65A8-E34F-9A14-7C604C280FCC}">
  <sheetPr>
    <tabColor rgb="FF548235"/>
  </sheetPr>
  <dimension ref="B4:J122"/>
  <sheetViews>
    <sheetView topLeftCell="A94" zoomScale="139" workbookViewId="0">
      <selection activeCell="E117" sqref="E117"/>
    </sheetView>
  </sheetViews>
  <sheetFormatPr baseColWidth="10" defaultRowHeight="16" x14ac:dyDescent="0.2"/>
  <cols>
    <col min="1" max="1" width="5.1640625" style="1" customWidth="1"/>
    <col min="2" max="16384" width="10.83203125" style="1"/>
  </cols>
  <sheetData>
    <row r="4" spans="2:10" ht="19" x14ac:dyDescent="0.25">
      <c r="B4" s="4" t="s">
        <v>59</v>
      </c>
      <c r="C4" s="4"/>
      <c r="D4" s="4"/>
      <c r="E4" s="4"/>
      <c r="F4" s="4"/>
      <c r="G4" s="4"/>
      <c r="H4" s="4"/>
      <c r="I4" s="4"/>
      <c r="J4" s="4"/>
    </row>
    <row r="6" spans="2:10" x14ac:dyDescent="0.2">
      <c r="B6" s="26" t="s">
        <v>228</v>
      </c>
    </row>
    <row r="7" spans="2:10" x14ac:dyDescent="0.2">
      <c r="B7" s="26" t="s">
        <v>229</v>
      </c>
      <c r="F7" s="6" t="s">
        <v>60</v>
      </c>
      <c r="G7" s="6" t="s">
        <v>61</v>
      </c>
      <c r="H7" s="6" t="s">
        <v>62</v>
      </c>
      <c r="I7" s="6" t="s">
        <v>63</v>
      </c>
      <c r="J7" s="6" t="s">
        <v>248</v>
      </c>
    </row>
    <row r="10" spans="2:10" x14ac:dyDescent="0.2">
      <c r="B10" s="1" t="s">
        <v>64</v>
      </c>
      <c r="F10" s="29">
        <v>6389.4</v>
      </c>
      <c r="G10" s="29">
        <v>8982</v>
      </c>
      <c r="H10" s="29">
        <v>11602</v>
      </c>
      <c r="I10" s="29">
        <v>13427</v>
      </c>
      <c r="J10" s="29">
        <v>15170</v>
      </c>
    </row>
    <row r="11" spans="2:10" x14ac:dyDescent="0.2">
      <c r="B11" s="1" t="s">
        <v>65</v>
      </c>
      <c r="F11" s="29">
        <v>-1971.4</v>
      </c>
      <c r="G11" s="29">
        <v>-2531</v>
      </c>
      <c r="H11" s="29">
        <v>-3334</v>
      </c>
      <c r="I11" s="29">
        <v>-3658</v>
      </c>
      <c r="J11" s="29">
        <v>-4393</v>
      </c>
    </row>
    <row r="12" spans="2:10" x14ac:dyDescent="0.2">
      <c r="B12" s="5" t="s">
        <v>66</v>
      </c>
      <c r="F12" s="28">
        <f>SUM(F10:F11)</f>
        <v>4418</v>
      </c>
      <c r="G12" s="28">
        <f t="shared" ref="G12:J12" si="0">SUM(G10:G11)</f>
        <v>6451</v>
      </c>
      <c r="H12" s="28">
        <f t="shared" si="0"/>
        <v>8268</v>
      </c>
      <c r="I12" s="28">
        <f t="shared" si="0"/>
        <v>9769</v>
      </c>
      <c r="J12" s="28">
        <f t="shared" si="0"/>
        <v>10777</v>
      </c>
    </row>
    <row r="13" spans="2:10" x14ac:dyDescent="0.2">
      <c r="F13" s="27"/>
      <c r="G13" s="27"/>
      <c r="H13" s="27"/>
      <c r="I13" s="27"/>
      <c r="J13" s="27"/>
    </row>
    <row r="14" spans="2:10" x14ac:dyDescent="0.2">
      <c r="B14" s="1" t="s">
        <v>67</v>
      </c>
      <c r="F14" s="29">
        <v>-1816.3</v>
      </c>
      <c r="G14" s="29">
        <v>-2259</v>
      </c>
      <c r="H14" s="29">
        <v>-2745</v>
      </c>
      <c r="I14" s="29">
        <v>-3320</v>
      </c>
      <c r="J14" s="29">
        <v>-3749</v>
      </c>
    </row>
    <row r="15" spans="2:10" x14ac:dyDescent="0.2">
      <c r="B15" s="1" t="s">
        <v>68</v>
      </c>
      <c r="F15" s="29">
        <v>-509.6</v>
      </c>
      <c r="G15" s="29">
        <v>-561</v>
      </c>
      <c r="H15" s="29">
        <v>-607</v>
      </c>
      <c r="I15" s="29">
        <v>-666</v>
      </c>
      <c r="J15" s="29">
        <v>-811</v>
      </c>
    </row>
    <row r="16" spans="2:10" x14ac:dyDescent="0.2">
      <c r="B16" s="1" t="s">
        <v>230</v>
      </c>
      <c r="F16" s="29">
        <v>-36.5</v>
      </c>
      <c r="G16" s="29">
        <v>-37</v>
      </c>
      <c r="H16" s="29">
        <v>-40</v>
      </c>
      <c r="I16" s="29">
        <v>-38</v>
      </c>
      <c r="J16" s="29">
        <v>-25</v>
      </c>
    </row>
    <row r="17" spans="2:10" x14ac:dyDescent="0.2">
      <c r="B17" s="7" t="s">
        <v>69</v>
      </c>
      <c r="F17" s="28">
        <f>SUM(F12:F16)</f>
        <v>2055.6</v>
      </c>
      <c r="G17" s="28">
        <f t="shared" ref="G17:J17" si="1">SUM(G12:G16)</f>
        <v>3594</v>
      </c>
      <c r="H17" s="28">
        <f t="shared" si="1"/>
        <v>4876</v>
      </c>
      <c r="I17" s="28">
        <f t="shared" si="1"/>
        <v>5745</v>
      </c>
      <c r="J17" s="28">
        <f t="shared" si="1"/>
        <v>6192</v>
      </c>
    </row>
    <row r="18" spans="2:10" x14ac:dyDescent="0.2">
      <c r="F18" s="27"/>
      <c r="G18" s="27"/>
      <c r="H18" s="27"/>
      <c r="I18" s="27"/>
      <c r="J18" s="27"/>
    </row>
    <row r="19" spans="2:10" x14ac:dyDescent="0.2">
      <c r="B19" s="1" t="s">
        <v>70</v>
      </c>
      <c r="F19" s="29">
        <v>10.6</v>
      </c>
      <c r="G19" s="29">
        <v>12</v>
      </c>
      <c r="H19" s="29">
        <v>67</v>
      </c>
      <c r="I19" s="29">
        <v>331</v>
      </c>
      <c r="J19" s="29">
        <v>400</v>
      </c>
    </row>
    <row r="20" spans="2:10" x14ac:dyDescent="0.2">
      <c r="B20" s="1" t="s">
        <v>71</v>
      </c>
      <c r="F20" s="29">
        <v>-29.9</v>
      </c>
      <c r="G20" s="29">
        <v>-32</v>
      </c>
      <c r="H20" s="29">
        <v>-43</v>
      </c>
      <c r="I20" s="29">
        <v>-56</v>
      </c>
      <c r="J20" s="29">
        <v>-59</v>
      </c>
    </row>
    <row r="21" spans="2:10" x14ac:dyDescent="0.2">
      <c r="B21" s="1" t="s">
        <v>72</v>
      </c>
      <c r="F21" s="29">
        <v>68.5</v>
      </c>
      <c r="G21" s="29">
        <v>6</v>
      </c>
      <c r="H21" s="29">
        <v>-65</v>
      </c>
      <c r="I21" s="29">
        <v>20</v>
      </c>
      <c r="J21" s="29">
        <v>67</v>
      </c>
    </row>
    <row r="22" spans="2:10" x14ac:dyDescent="0.2">
      <c r="B22" s="1" t="s">
        <v>231</v>
      </c>
      <c r="F22" s="29">
        <v>-118.4</v>
      </c>
      <c r="G22" s="29">
        <v>-145</v>
      </c>
      <c r="H22" s="29">
        <v>-200</v>
      </c>
      <c r="I22" s="29">
        <v>-200</v>
      </c>
      <c r="J22" s="29">
        <v>-168</v>
      </c>
    </row>
    <row r="23" spans="2:10" x14ac:dyDescent="0.2">
      <c r="B23" s="7" t="s">
        <v>73</v>
      </c>
      <c r="F23" s="28">
        <f>SUM(F17:F22)</f>
        <v>1986.3999999999996</v>
      </c>
      <c r="G23" s="28">
        <f t="shared" ref="G23:J23" si="2">SUM(G17:G22)</f>
        <v>3435</v>
      </c>
      <c r="H23" s="28">
        <f t="shared" si="2"/>
        <v>4635</v>
      </c>
      <c r="I23" s="28">
        <f t="shared" si="2"/>
        <v>5840</v>
      </c>
      <c r="J23" s="28">
        <f t="shared" si="2"/>
        <v>6432</v>
      </c>
    </row>
    <row r="24" spans="2:10" x14ac:dyDescent="0.2">
      <c r="F24" s="27"/>
      <c r="G24" s="27"/>
      <c r="H24" s="27"/>
      <c r="I24" s="27"/>
      <c r="J24" s="27"/>
    </row>
    <row r="25" spans="2:10" x14ac:dyDescent="0.2">
      <c r="B25" s="1" t="s">
        <v>74</v>
      </c>
      <c r="F25" s="29">
        <v>-613</v>
      </c>
      <c r="G25" s="29">
        <v>-1015</v>
      </c>
      <c r="H25" s="29">
        <v>-1305</v>
      </c>
      <c r="I25" s="29">
        <v>-1623</v>
      </c>
      <c r="J25" s="29">
        <v>-1845</v>
      </c>
    </row>
    <row r="26" spans="2:10" x14ac:dyDescent="0.2">
      <c r="B26" s="1" t="s">
        <v>75</v>
      </c>
      <c r="F26" s="29">
        <v>16.100000000000001</v>
      </c>
      <c r="G26" s="29">
        <v>34</v>
      </c>
      <c r="H26" s="29">
        <v>50</v>
      </c>
      <c r="I26" s="29">
        <v>106</v>
      </c>
      <c r="J26" s="29">
        <v>44</v>
      </c>
    </row>
    <row r="27" spans="2:10" x14ac:dyDescent="0.2">
      <c r="B27" s="7" t="s">
        <v>232</v>
      </c>
      <c r="F27" s="28">
        <f>SUM(F23:F26)</f>
        <v>1389.4999999999995</v>
      </c>
      <c r="G27" s="28">
        <f t="shared" ref="G27:J27" si="3">SUM(G23:G26)</f>
        <v>2454</v>
      </c>
      <c r="H27" s="28">
        <f t="shared" si="3"/>
        <v>3380</v>
      </c>
      <c r="I27" s="28">
        <f t="shared" si="3"/>
        <v>4323</v>
      </c>
      <c r="J27" s="28">
        <f t="shared" si="3"/>
        <v>4631</v>
      </c>
    </row>
    <row r="29" spans="2:10" x14ac:dyDescent="0.2">
      <c r="B29" s="1" t="s">
        <v>233</v>
      </c>
      <c r="F29" s="29">
        <v>-4.0999999999999996</v>
      </c>
      <c r="G29" s="29">
        <v>-8</v>
      </c>
      <c r="H29" s="29">
        <v>-13</v>
      </c>
      <c r="I29" s="29">
        <v>-12</v>
      </c>
      <c r="J29" s="29">
        <v>-28</v>
      </c>
    </row>
    <row r="30" spans="2:10" x14ac:dyDescent="0.2">
      <c r="B30" s="5" t="s">
        <v>76</v>
      </c>
      <c r="F30" s="28">
        <f>SUM(F27:F29)</f>
        <v>1385.3999999999996</v>
      </c>
      <c r="G30" s="28">
        <f t="shared" ref="G30:J30" si="4">SUM(G27:G29)</f>
        <v>2446</v>
      </c>
      <c r="H30" s="28">
        <f t="shared" si="4"/>
        <v>3367</v>
      </c>
      <c r="I30" s="28">
        <f t="shared" si="4"/>
        <v>4311</v>
      </c>
      <c r="J30" s="28">
        <f t="shared" si="4"/>
        <v>4603</v>
      </c>
    </row>
    <row r="32" spans="2:10" ht="19" x14ac:dyDescent="0.25">
      <c r="B32" s="4" t="s">
        <v>108</v>
      </c>
      <c r="C32" s="4"/>
      <c r="D32" s="4"/>
      <c r="E32" s="4"/>
      <c r="F32" s="4"/>
      <c r="G32" s="4"/>
      <c r="H32" s="4"/>
      <c r="I32" s="4"/>
      <c r="J32" s="4"/>
    </row>
    <row r="36" spans="2:10" x14ac:dyDescent="0.2">
      <c r="F36" s="6" t="s">
        <v>60</v>
      </c>
      <c r="G36" s="6" t="s">
        <v>61</v>
      </c>
      <c r="H36" s="6" t="s">
        <v>62</v>
      </c>
      <c r="I36" s="6" t="s">
        <v>63</v>
      </c>
      <c r="J36" s="6" t="s">
        <v>248</v>
      </c>
    </row>
    <row r="39" spans="2:10" x14ac:dyDescent="0.2">
      <c r="B39" s="8" t="s">
        <v>77</v>
      </c>
    </row>
    <row r="40" spans="2:10" x14ac:dyDescent="0.2">
      <c r="B40" s="1" t="s">
        <v>78</v>
      </c>
      <c r="F40" s="29">
        <v>4732.7</v>
      </c>
      <c r="G40" s="29">
        <v>6696</v>
      </c>
      <c r="H40" s="29">
        <v>9225</v>
      </c>
      <c r="I40" s="29">
        <v>10625</v>
      </c>
      <c r="J40" s="29">
        <v>11642</v>
      </c>
    </row>
    <row r="41" spans="2:10" x14ac:dyDescent="0.2">
      <c r="B41" s="1" t="s">
        <v>79</v>
      </c>
      <c r="F41" s="29">
        <v>249.7</v>
      </c>
      <c r="G41" s="29">
        <v>333</v>
      </c>
      <c r="H41" s="29">
        <v>383</v>
      </c>
      <c r="I41" s="29">
        <v>431</v>
      </c>
      <c r="J41" s="29">
        <v>478</v>
      </c>
    </row>
    <row r="42" spans="2:10" x14ac:dyDescent="0.2">
      <c r="B42" s="1" t="s">
        <v>80</v>
      </c>
      <c r="F42" s="29">
        <v>256.5</v>
      </c>
      <c r="G42" s="29">
        <v>58</v>
      </c>
      <c r="H42" s="29">
        <v>19</v>
      </c>
      <c r="I42" s="29">
        <v>51</v>
      </c>
      <c r="J42" s="29">
        <v>28</v>
      </c>
    </row>
    <row r="43" spans="2:10" x14ac:dyDescent="0.2">
      <c r="B43" s="1" t="s">
        <v>81</v>
      </c>
      <c r="F43" s="29">
        <v>1289.4000000000001</v>
      </c>
      <c r="G43" s="29">
        <v>1449</v>
      </c>
      <c r="H43" s="29">
        <v>1779</v>
      </c>
      <c r="I43" s="29">
        <v>2414</v>
      </c>
      <c r="J43" s="29">
        <v>2797</v>
      </c>
    </row>
    <row r="44" spans="2:10" x14ac:dyDescent="0.2">
      <c r="B44" s="1" t="s">
        <v>82</v>
      </c>
      <c r="F44" s="29">
        <v>121.4</v>
      </c>
      <c r="G44" s="29">
        <v>309</v>
      </c>
      <c r="H44" s="29">
        <v>422</v>
      </c>
      <c r="I44" s="29">
        <v>487</v>
      </c>
      <c r="J44" s="29">
        <v>531</v>
      </c>
    </row>
    <row r="45" spans="2:10" x14ac:dyDescent="0.2">
      <c r="B45" s="7" t="s">
        <v>83</v>
      </c>
      <c r="F45" s="28">
        <f>SUM(F40:F44)</f>
        <v>6649.6999999999989</v>
      </c>
      <c r="G45" s="28">
        <f t="shared" ref="G45:J45" si="5">SUM(G40:G44)</f>
        <v>8845</v>
      </c>
      <c r="H45" s="28">
        <f t="shared" si="5"/>
        <v>11828</v>
      </c>
      <c r="I45" s="28">
        <f t="shared" si="5"/>
        <v>14008</v>
      </c>
      <c r="J45" s="28">
        <f t="shared" si="5"/>
        <v>15476</v>
      </c>
    </row>
    <row r="46" spans="2:10" x14ac:dyDescent="0.2">
      <c r="F46" s="27"/>
      <c r="G46" s="27"/>
      <c r="H46" s="27"/>
      <c r="I46" s="27"/>
      <c r="J46" s="27"/>
    </row>
    <row r="47" spans="2:10" x14ac:dyDescent="0.2">
      <c r="B47" s="1" t="s">
        <v>84</v>
      </c>
      <c r="F47" s="29">
        <v>3092.2</v>
      </c>
      <c r="G47" s="29">
        <v>3398</v>
      </c>
      <c r="H47" s="29">
        <v>3589</v>
      </c>
      <c r="I47" s="29">
        <v>4056</v>
      </c>
      <c r="J47" s="29">
        <v>4766</v>
      </c>
    </row>
    <row r="48" spans="2:10" x14ac:dyDescent="0.2">
      <c r="B48" s="1" t="s">
        <v>85</v>
      </c>
      <c r="F48" s="29">
        <v>42.4</v>
      </c>
      <c r="G48" s="29">
        <v>42</v>
      </c>
      <c r="H48" s="29">
        <v>0</v>
      </c>
      <c r="I48" s="29">
        <v>72</v>
      </c>
      <c r="J48" s="29">
        <v>228</v>
      </c>
    </row>
    <row r="49" spans="2:10" x14ac:dyDescent="0.2">
      <c r="B49" s="1" t="s">
        <v>86</v>
      </c>
      <c r="F49" s="29">
        <v>221.3</v>
      </c>
      <c r="G49" s="29">
        <v>258</v>
      </c>
      <c r="H49" s="29">
        <v>213</v>
      </c>
      <c r="I49" s="29">
        <v>225</v>
      </c>
      <c r="J49" s="29">
        <v>237</v>
      </c>
    </row>
    <row r="50" spans="2:10" x14ac:dyDescent="0.2">
      <c r="B50" s="1" t="s">
        <v>87</v>
      </c>
      <c r="F50" s="29">
        <v>515.4</v>
      </c>
      <c r="G50" s="29">
        <v>677</v>
      </c>
      <c r="H50" s="29">
        <v>1171</v>
      </c>
      <c r="I50" s="29">
        <v>1348</v>
      </c>
      <c r="J50" s="29">
        <v>1288</v>
      </c>
    </row>
    <row r="51" spans="2:10" x14ac:dyDescent="0.2">
      <c r="B51" s="1" t="s">
        <v>88</v>
      </c>
      <c r="F51" s="29">
        <v>475.2</v>
      </c>
      <c r="G51" s="29">
        <v>546</v>
      </c>
      <c r="H51" s="29">
        <v>555</v>
      </c>
      <c r="I51" s="29">
        <v>631</v>
      </c>
      <c r="J51" s="29">
        <v>929</v>
      </c>
    </row>
    <row r="52" spans="2:10" x14ac:dyDescent="0.2">
      <c r="B52" s="1" t="s">
        <v>89</v>
      </c>
      <c r="F52" s="29">
        <v>54.3</v>
      </c>
      <c r="G52" s="29">
        <v>81</v>
      </c>
      <c r="H52" s="29">
        <v>103</v>
      </c>
      <c r="I52" s="29">
        <v>107</v>
      </c>
      <c r="J52" s="29">
        <v>160</v>
      </c>
    </row>
    <row r="53" spans="2:10" x14ac:dyDescent="0.2">
      <c r="B53" s="7" t="s">
        <v>90</v>
      </c>
      <c r="F53" s="28">
        <f>SUM(F47:F52)</f>
        <v>4400.8</v>
      </c>
      <c r="G53" s="28">
        <f t="shared" ref="G53:J53" si="6">SUM(G47:G52)</f>
        <v>5002</v>
      </c>
      <c r="H53" s="28">
        <f t="shared" si="6"/>
        <v>5631</v>
      </c>
      <c r="I53" s="28">
        <f t="shared" si="6"/>
        <v>6439</v>
      </c>
      <c r="J53" s="28">
        <f t="shared" si="6"/>
        <v>7608</v>
      </c>
    </row>
    <row r="54" spans="2:10" x14ac:dyDescent="0.2">
      <c r="B54" s="7"/>
      <c r="F54" s="28"/>
      <c r="G54" s="28"/>
      <c r="H54" s="28"/>
      <c r="I54" s="28"/>
      <c r="J54" s="28"/>
    </row>
    <row r="55" spans="2:10" x14ac:dyDescent="0.2">
      <c r="B55" s="7" t="s">
        <v>91</v>
      </c>
      <c r="F55" s="28">
        <f>F45+F53</f>
        <v>11050.5</v>
      </c>
      <c r="G55" s="28">
        <f t="shared" ref="G55:J55" si="7">G45+G53</f>
        <v>13847</v>
      </c>
      <c r="H55" s="28">
        <f t="shared" si="7"/>
        <v>17459</v>
      </c>
      <c r="I55" s="28">
        <f t="shared" si="7"/>
        <v>20447</v>
      </c>
      <c r="J55" s="28">
        <f t="shared" si="7"/>
        <v>23084</v>
      </c>
    </row>
    <row r="56" spans="2:10" x14ac:dyDescent="0.2">
      <c r="F56" s="27"/>
      <c r="G56" s="27"/>
      <c r="H56" s="27"/>
      <c r="I56" s="27"/>
      <c r="J56" s="27"/>
    </row>
    <row r="57" spans="2:10" x14ac:dyDescent="0.2">
      <c r="B57" s="8" t="s">
        <v>92</v>
      </c>
      <c r="F57" s="27"/>
      <c r="G57" s="27"/>
      <c r="H57" s="27"/>
      <c r="I57" s="27"/>
      <c r="J57" s="27"/>
    </row>
    <row r="58" spans="2:10" x14ac:dyDescent="0.2">
      <c r="B58" s="1" t="s">
        <v>93</v>
      </c>
      <c r="F58" s="29">
        <v>372.5</v>
      </c>
      <c r="G58" s="29">
        <v>450</v>
      </c>
      <c r="H58" s="29">
        <v>659</v>
      </c>
      <c r="I58" s="29">
        <v>685</v>
      </c>
      <c r="J58" s="29">
        <v>683</v>
      </c>
    </row>
    <row r="59" spans="2:10" x14ac:dyDescent="0.2">
      <c r="B59" s="1" t="s">
        <v>234</v>
      </c>
      <c r="F59" s="29">
        <v>220.1</v>
      </c>
      <c r="G59" s="29">
        <v>249</v>
      </c>
      <c r="H59" s="29">
        <v>270</v>
      </c>
      <c r="I59" s="29">
        <v>290</v>
      </c>
      <c r="J59" s="29">
        <v>332</v>
      </c>
    </row>
    <row r="60" spans="2:10" x14ac:dyDescent="0.2">
      <c r="B60" s="1" t="s">
        <v>94</v>
      </c>
      <c r="F60" s="29">
        <v>217.8</v>
      </c>
      <c r="G60" s="29">
        <v>347</v>
      </c>
      <c r="H60" s="29">
        <v>496</v>
      </c>
      <c r="I60" s="29">
        <v>586</v>
      </c>
      <c r="J60" s="29">
        <v>773</v>
      </c>
    </row>
    <row r="61" spans="2:10" x14ac:dyDescent="0.2">
      <c r="B61" s="1" t="s">
        <v>95</v>
      </c>
      <c r="F61" s="29">
        <v>1028.2</v>
      </c>
      <c r="G61" s="29">
        <v>1529</v>
      </c>
      <c r="H61" s="29">
        <v>1579</v>
      </c>
      <c r="I61" s="29">
        <v>1622</v>
      </c>
      <c r="J61" s="29">
        <v>1841</v>
      </c>
    </row>
    <row r="62" spans="2:10" x14ac:dyDescent="0.2">
      <c r="B62" s="7" t="s">
        <v>96</v>
      </c>
      <c r="F62" s="28">
        <f>SUM(F58:F61)</f>
        <v>1838.6000000000001</v>
      </c>
      <c r="G62" s="28">
        <f t="shared" ref="G62:J62" si="8">SUM(G58:G61)</f>
        <v>2575</v>
      </c>
      <c r="H62" s="28">
        <f t="shared" si="8"/>
        <v>3004</v>
      </c>
      <c r="I62" s="28">
        <f t="shared" si="8"/>
        <v>3183</v>
      </c>
      <c r="J62" s="28">
        <f t="shared" si="8"/>
        <v>3629</v>
      </c>
    </row>
    <row r="63" spans="2:10" x14ac:dyDescent="0.2">
      <c r="F63" s="27"/>
      <c r="G63" s="27"/>
      <c r="H63" s="27"/>
      <c r="I63" s="27"/>
      <c r="J63" s="27"/>
    </row>
    <row r="64" spans="2:10" x14ac:dyDescent="0.2">
      <c r="B64" s="1" t="s">
        <v>97</v>
      </c>
      <c r="F64" s="29">
        <v>1465.9</v>
      </c>
      <c r="G64" s="29">
        <v>1553</v>
      </c>
      <c r="H64" s="29">
        <v>1664</v>
      </c>
      <c r="I64" s="29">
        <v>1770</v>
      </c>
      <c r="J64" s="29">
        <v>1842</v>
      </c>
    </row>
    <row r="65" spans="2:10" x14ac:dyDescent="0.2">
      <c r="B65" s="1" t="s">
        <v>98</v>
      </c>
      <c r="F65" s="29">
        <v>21.9</v>
      </c>
      <c r="G65" s="29">
        <v>15</v>
      </c>
      <c r="H65" s="29">
        <v>20</v>
      </c>
      <c r="I65" s="29">
        <v>2</v>
      </c>
      <c r="J65" s="29">
        <v>5</v>
      </c>
    </row>
    <row r="66" spans="2:10" x14ac:dyDescent="0.2">
      <c r="B66" s="1" t="s">
        <v>99</v>
      </c>
      <c r="F66" s="29">
        <v>36.200000000000003</v>
      </c>
      <c r="G66" s="29">
        <v>46</v>
      </c>
      <c r="H66" s="29">
        <v>104</v>
      </c>
      <c r="I66" s="29">
        <v>107</v>
      </c>
      <c r="J66" s="29">
        <v>68</v>
      </c>
    </row>
    <row r="67" spans="2:10" x14ac:dyDescent="0.2">
      <c r="B67" s="1" t="s">
        <v>235</v>
      </c>
      <c r="F67" s="29">
        <v>296.89999999999998</v>
      </c>
      <c r="G67" s="29">
        <v>246</v>
      </c>
      <c r="H67" s="29">
        <v>211</v>
      </c>
      <c r="I67" s="29">
        <v>182</v>
      </c>
      <c r="J67" s="29">
        <v>206</v>
      </c>
    </row>
    <row r="68" spans="2:10" x14ac:dyDescent="0.2">
      <c r="B68" s="7" t="s">
        <v>100</v>
      </c>
      <c r="F68" s="28">
        <f>SUM(F64:F67)</f>
        <v>1820.9</v>
      </c>
      <c r="G68" s="28">
        <f t="shared" ref="G68:J68" si="9">SUM(G64:G67)</f>
        <v>1860</v>
      </c>
      <c r="H68" s="28">
        <f t="shared" si="9"/>
        <v>1999</v>
      </c>
      <c r="I68" s="28">
        <f t="shared" si="9"/>
        <v>2061</v>
      </c>
      <c r="J68" s="28">
        <f t="shared" si="9"/>
        <v>2121</v>
      </c>
    </row>
    <row r="69" spans="2:10" x14ac:dyDescent="0.2">
      <c r="B69" s="7"/>
      <c r="F69" s="28"/>
      <c r="G69" s="28"/>
      <c r="H69" s="28"/>
      <c r="I69" s="28"/>
      <c r="J69" s="28"/>
    </row>
    <row r="70" spans="2:10" x14ac:dyDescent="0.2">
      <c r="B70" s="7" t="s">
        <v>101</v>
      </c>
      <c r="F70" s="28">
        <f>F62+F68</f>
        <v>3659.5</v>
      </c>
      <c r="G70" s="28">
        <f t="shared" ref="G70:J70" si="10">G62+G68</f>
        <v>4435</v>
      </c>
      <c r="H70" s="28">
        <f t="shared" si="10"/>
        <v>5003</v>
      </c>
      <c r="I70" s="28">
        <f t="shared" si="10"/>
        <v>5244</v>
      </c>
      <c r="J70" s="28">
        <f t="shared" si="10"/>
        <v>5750</v>
      </c>
    </row>
    <row r="71" spans="2:10" x14ac:dyDescent="0.2">
      <c r="F71" s="27"/>
      <c r="G71" s="27"/>
      <c r="H71" s="27"/>
      <c r="I71" s="27"/>
      <c r="J71" s="27"/>
    </row>
    <row r="72" spans="2:10" x14ac:dyDescent="0.2">
      <c r="B72" s="8" t="s">
        <v>102</v>
      </c>
      <c r="F72" s="27"/>
      <c r="G72" s="27"/>
      <c r="H72" s="27"/>
      <c r="I72" s="27"/>
      <c r="J72" s="27"/>
    </row>
    <row r="73" spans="2:10" x14ac:dyDescent="0.2">
      <c r="B73" s="1" t="s">
        <v>103</v>
      </c>
      <c r="F73" s="30">
        <v>103.4</v>
      </c>
      <c r="G73" s="30">
        <v>104</v>
      </c>
      <c r="H73" s="30">
        <v>104</v>
      </c>
      <c r="I73" s="30">
        <v>104</v>
      </c>
      <c r="J73" s="30">
        <v>104</v>
      </c>
    </row>
    <row r="74" spans="2:10" x14ac:dyDescent="0.2">
      <c r="B74" s="1" t="s">
        <v>104</v>
      </c>
      <c r="F74" s="29">
        <v>0</v>
      </c>
      <c r="G74" s="29">
        <v>0</v>
      </c>
      <c r="H74" s="29">
        <v>0</v>
      </c>
      <c r="I74" s="29">
        <v>0</v>
      </c>
      <c r="J74" s="29">
        <v>0</v>
      </c>
    </row>
    <row r="75" spans="2:10" x14ac:dyDescent="0.2">
      <c r="B75" s="1" t="s">
        <v>105</v>
      </c>
      <c r="F75" s="29">
        <v>-463.7</v>
      </c>
      <c r="G75" s="29">
        <v>-551</v>
      </c>
      <c r="H75" s="29">
        <v>-674</v>
      </c>
      <c r="I75" s="29">
        <v>-698</v>
      </c>
      <c r="J75" s="29">
        <v>-670</v>
      </c>
    </row>
    <row r="76" spans="2:10" x14ac:dyDescent="0.2">
      <c r="B76" s="1" t="s">
        <v>236</v>
      </c>
      <c r="F76" s="29">
        <v>5.2</v>
      </c>
      <c r="G76" s="29">
        <v>178</v>
      </c>
      <c r="H76" s="29">
        <v>303</v>
      </c>
      <c r="I76" s="29">
        <v>189</v>
      </c>
      <c r="J76" s="29">
        <v>355</v>
      </c>
    </row>
    <row r="77" spans="2:10" x14ac:dyDescent="0.2">
      <c r="B77" s="1" t="s">
        <v>237</v>
      </c>
      <c r="F77" s="29">
        <v>100.3</v>
      </c>
      <c r="G77" s="29">
        <v>188</v>
      </c>
      <c r="H77" s="29">
        <v>521</v>
      </c>
      <c r="I77" s="29">
        <v>521</v>
      </c>
      <c r="J77" s="29">
        <v>551</v>
      </c>
    </row>
    <row r="78" spans="2:10" x14ac:dyDescent="0.2">
      <c r="B78" s="1" t="s">
        <v>238</v>
      </c>
      <c r="F78" s="29">
        <v>7732.1</v>
      </c>
      <c r="G78" s="29">
        <v>9711</v>
      </c>
      <c r="H78" s="29">
        <v>12246</v>
      </c>
      <c r="I78" s="29">
        <v>15128</v>
      </c>
      <c r="J78" s="29">
        <v>17162</v>
      </c>
    </row>
    <row r="79" spans="2:10" x14ac:dyDescent="0.2">
      <c r="B79" s="1" t="s">
        <v>239</v>
      </c>
      <c r="F79" s="29">
        <v>-97.2</v>
      </c>
      <c r="G79" s="29">
        <v>-230</v>
      </c>
      <c r="H79" s="29">
        <v>-60</v>
      </c>
      <c r="I79" s="29">
        <v>-43</v>
      </c>
      <c r="J79" s="29">
        <v>-175</v>
      </c>
    </row>
    <row r="80" spans="2:10" x14ac:dyDescent="0.2">
      <c r="B80" s="7" t="s">
        <v>106</v>
      </c>
      <c r="F80" s="28">
        <f>SUM(F73:F79)</f>
        <v>7380.1</v>
      </c>
      <c r="G80" s="28">
        <f t="shared" ref="G80:J80" si="11">SUM(G73:G79)</f>
        <v>9400</v>
      </c>
      <c r="H80" s="28">
        <f t="shared" si="11"/>
        <v>12440</v>
      </c>
      <c r="I80" s="28">
        <f t="shared" si="11"/>
        <v>15201</v>
      </c>
      <c r="J80" s="28">
        <f t="shared" si="11"/>
        <v>17327</v>
      </c>
    </row>
    <row r="81" spans="2:10" x14ac:dyDescent="0.2">
      <c r="B81" s="31" t="s">
        <v>240</v>
      </c>
      <c r="F81" s="32">
        <v>10.9</v>
      </c>
      <c r="G81" s="32">
        <v>12</v>
      </c>
      <c r="H81" s="32">
        <v>16</v>
      </c>
      <c r="I81" s="32">
        <v>2</v>
      </c>
      <c r="J81" s="32">
        <v>7</v>
      </c>
    </row>
    <row r="82" spans="2:10" x14ac:dyDescent="0.2">
      <c r="B82" s="7" t="s">
        <v>241</v>
      </c>
      <c r="F82" s="28">
        <f>SUM(F80:F81)</f>
        <v>7391</v>
      </c>
      <c r="G82" s="28">
        <f t="shared" ref="G82:J82" si="12">SUM(G80:G81)</f>
        <v>9412</v>
      </c>
      <c r="H82" s="28">
        <f t="shared" si="12"/>
        <v>12456</v>
      </c>
      <c r="I82" s="28">
        <f t="shared" si="12"/>
        <v>15203</v>
      </c>
      <c r="J82" s="28">
        <f t="shared" si="12"/>
        <v>17334</v>
      </c>
    </row>
    <row r="83" spans="2:10" x14ac:dyDescent="0.2">
      <c r="F83" s="27"/>
      <c r="G83" s="27"/>
      <c r="H83" s="27"/>
      <c r="I83" s="27"/>
      <c r="J83" s="27"/>
    </row>
    <row r="84" spans="2:10" x14ac:dyDescent="0.2">
      <c r="B84" s="7" t="s">
        <v>107</v>
      </c>
      <c r="F84" s="28">
        <f>F70+F82</f>
        <v>11050.5</v>
      </c>
      <c r="G84" s="28">
        <f t="shared" ref="G84:J84" si="13">G70+G82</f>
        <v>13847</v>
      </c>
      <c r="H84" s="28">
        <f t="shared" si="13"/>
        <v>17459</v>
      </c>
      <c r="I84" s="28">
        <f t="shared" si="13"/>
        <v>20447</v>
      </c>
      <c r="J84" s="28">
        <f t="shared" si="13"/>
        <v>23084</v>
      </c>
    </row>
    <row r="87" spans="2:10" ht="19" x14ac:dyDescent="0.25">
      <c r="B87" s="4" t="s">
        <v>109</v>
      </c>
      <c r="C87" s="4"/>
      <c r="D87" s="4"/>
      <c r="E87" s="4"/>
      <c r="F87" s="4"/>
      <c r="G87" s="4"/>
      <c r="H87" s="4"/>
      <c r="I87" s="4"/>
      <c r="J87" s="4"/>
    </row>
    <row r="91" spans="2:10" x14ac:dyDescent="0.2">
      <c r="F91" s="6" t="s">
        <v>60</v>
      </c>
      <c r="G91" s="6" t="s">
        <v>61</v>
      </c>
      <c r="H91" s="6" t="s">
        <v>62</v>
      </c>
      <c r="I91" s="6" t="s">
        <v>63</v>
      </c>
      <c r="J91" s="6" t="s">
        <v>248</v>
      </c>
    </row>
    <row r="94" spans="2:10" x14ac:dyDescent="0.2">
      <c r="B94" s="8" t="s">
        <v>110</v>
      </c>
    </row>
    <row r="95" spans="2:10" x14ac:dyDescent="0.2">
      <c r="B95" s="1" t="s">
        <v>76</v>
      </c>
      <c r="F95" s="29">
        <v>1385.4</v>
      </c>
      <c r="G95" s="29">
        <v>2445</v>
      </c>
      <c r="H95" s="29">
        <v>3367</v>
      </c>
      <c r="I95" s="29">
        <v>4311</v>
      </c>
      <c r="J95" s="29">
        <v>4603</v>
      </c>
    </row>
    <row r="96" spans="2:10" x14ac:dyDescent="0.2">
      <c r="B96" s="1" t="s">
        <v>111</v>
      </c>
      <c r="F96" s="29">
        <v>512</v>
      </c>
      <c r="G96" s="29">
        <v>561</v>
      </c>
      <c r="H96" s="29">
        <v>607</v>
      </c>
      <c r="I96" s="29">
        <v>666</v>
      </c>
      <c r="J96" s="29">
        <v>811</v>
      </c>
    </row>
    <row r="97" spans="2:10" x14ac:dyDescent="0.2">
      <c r="B97" s="1" t="s">
        <v>112</v>
      </c>
      <c r="F97" s="29">
        <v>5.4</v>
      </c>
      <c r="G97" s="29">
        <v>-15</v>
      </c>
      <c r="H97" s="29">
        <v>-16</v>
      </c>
      <c r="I97" s="29">
        <v>-14</v>
      </c>
      <c r="J97" s="29">
        <v>-93</v>
      </c>
    </row>
    <row r="98" spans="2:10" x14ac:dyDescent="0.2">
      <c r="B98" s="1" t="s">
        <v>242</v>
      </c>
      <c r="F98" s="29">
        <v>111.3</v>
      </c>
      <c r="G98" s="29">
        <v>115</v>
      </c>
      <c r="H98" s="29">
        <v>220</v>
      </c>
      <c r="I98" s="29">
        <v>271</v>
      </c>
      <c r="J98" s="29">
        <v>87</v>
      </c>
    </row>
    <row r="99" spans="2:10" x14ac:dyDescent="0.2">
      <c r="B99" s="1" t="s">
        <v>113</v>
      </c>
      <c r="F99" s="27"/>
      <c r="G99" s="27"/>
      <c r="H99" s="27"/>
      <c r="I99" s="27"/>
      <c r="J99" s="27"/>
    </row>
    <row r="100" spans="2:10" x14ac:dyDescent="0.2">
      <c r="B100" s="1" t="s">
        <v>114</v>
      </c>
      <c r="F100" s="29">
        <v>38.4</v>
      </c>
      <c r="G100" s="29">
        <v>-30</v>
      </c>
      <c r="H100" s="29">
        <v>-54</v>
      </c>
      <c r="I100" s="29">
        <v>-122</v>
      </c>
      <c r="J100" s="29">
        <v>4</v>
      </c>
    </row>
    <row r="101" spans="2:10" x14ac:dyDescent="0.2">
      <c r="B101" s="1" t="s">
        <v>115</v>
      </c>
      <c r="F101" s="29">
        <v>-157.9</v>
      </c>
      <c r="G101" s="29">
        <v>-116</v>
      </c>
      <c r="H101" s="29">
        <v>-324</v>
      </c>
      <c r="I101" s="29">
        <v>-662</v>
      </c>
      <c r="J101" s="29">
        <v>-313</v>
      </c>
    </row>
    <row r="102" spans="2:10" x14ac:dyDescent="0.2">
      <c r="B102" s="1" t="s">
        <v>116</v>
      </c>
      <c r="F102" s="33">
        <v>-23.7</v>
      </c>
      <c r="G102" s="33">
        <v>71</v>
      </c>
      <c r="H102" s="33">
        <v>203</v>
      </c>
      <c r="I102" s="33">
        <v>42</v>
      </c>
      <c r="J102" s="33">
        <v>-60</v>
      </c>
    </row>
    <row r="103" spans="2:10" x14ac:dyDescent="0.2">
      <c r="B103" s="1" t="s">
        <v>117</v>
      </c>
      <c r="F103" s="29">
        <v>-207.1</v>
      </c>
      <c r="G103" s="29">
        <v>421</v>
      </c>
      <c r="H103" s="29">
        <v>248</v>
      </c>
      <c r="I103" s="29">
        <v>-52</v>
      </c>
      <c r="J103" s="29">
        <v>130</v>
      </c>
    </row>
    <row r="104" spans="2:10" x14ac:dyDescent="0.2">
      <c r="B104" s="7" t="s">
        <v>118</v>
      </c>
      <c r="F104" s="28">
        <f>SUM(F95:F103)</f>
        <v>1663.8</v>
      </c>
      <c r="G104" s="28">
        <f>SUM(G95:G103)</f>
        <v>3452</v>
      </c>
      <c r="H104" s="28">
        <f>SUM(H95:H103)</f>
        <v>4251</v>
      </c>
      <c r="I104" s="28">
        <f>SUM(I95:I103)</f>
        <v>4440</v>
      </c>
      <c r="J104" s="28">
        <f>SUM(J95:J103)</f>
        <v>5169</v>
      </c>
    </row>
    <row r="105" spans="2:10" x14ac:dyDescent="0.2">
      <c r="F105" s="27"/>
      <c r="G105" s="27"/>
      <c r="H105" s="27"/>
      <c r="I105" s="27"/>
      <c r="J105" s="27"/>
    </row>
    <row r="106" spans="2:10" x14ac:dyDescent="0.2">
      <c r="B106" s="8" t="s">
        <v>119</v>
      </c>
      <c r="F106" s="27"/>
      <c r="G106" s="27"/>
      <c r="H106" s="27"/>
      <c r="I106" s="27"/>
      <c r="J106" s="27"/>
    </row>
    <row r="107" spans="2:10" x14ac:dyDescent="0.2">
      <c r="B107" s="1" t="s">
        <v>120</v>
      </c>
      <c r="F107" s="32">
        <v>-448.4</v>
      </c>
      <c r="G107" s="32">
        <v>-532</v>
      </c>
      <c r="H107" s="32">
        <v>-518</v>
      </c>
      <c r="I107" s="32">
        <v>-859</v>
      </c>
      <c r="J107" s="32">
        <v>-1067</v>
      </c>
    </row>
    <row r="108" spans="2:10" x14ac:dyDescent="0.2">
      <c r="B108" s="1" t="s">
        <v>121</v>
      </c>
      <c r="F108" s="32">
        <v>0.2</v>
      </c>
      <c r="G108" s="32">
        <v>3</v>
      </c>
      <c r="H108" s="32">
        <v>0</v>
      </c>
      <c r="I108" s="32">
        <v>-288</v>
      </c>
      <c r="J108" s="32">
        <v>-228</v>
      </c>
    </row>
    <row r="109" spans="2:10" x14ac:dyDescent="0.2">
      <c r="B109" s="1" t="s">
        <v>122</v>
      </c>
      <c r="F109" s="32">
        <v>-16.3</v>
      </c>
      <c r="G109" s="32">
        <v>-192</v>
      </c>
      <c r="H109" s="32">
        <v>-160</v>
      </c>
      <c r="I109" s="32">
        <v>-52</v>
      </c>
      <c r="J109" s="32">
        <v>118</v>
      </c>
    </row>
    <row r="110" spans="2:10" x14ac:dyDescent="0.2">
      <c r="B110" s="1" t="s">
        <v>123</v>
      </c>
      <c r="F110" s="32">
        <v>10.9</v>
      </c>
      <c r="G110" s="32">
        <v>5</v>
      </c>
      <c r="H110" s="32">
        <v>32</v>
      </c>
      <c r="I110" s="32">
        <v>92</v>
      </c>
      <c r="J110" s="32">
        <v>-48</v>
      </c>
    </row>
    <row r="111" spans="2:10" x14ac:dyDescent="0.2">
      <c r="B111" s="7" t="s">
        <v>124</v>
      </c>
      <c r="F111" s="28">
        <f>SUM(F107:F110)</f>
        <v>-453.6</v>
      </c>
      <c r="G111" s="28">
        <f t="shared" ref="G111:J111" si="14">SUM(G107:G110)</f>
        <v>-716</v>
      </c>
      <c r="H111" s="28">
        <f t="shared" si="14"/>
        <v>-646</v>
      </c>
      <c r="I111" s="28">
        <f t="shared" si="14"/>
        <v>-1107</v>
      </c>
      <c r="J111" s="28">
        <f t="shared" si="14"/>
        <v>-1225</v>
      </c>
    </row>
    <row r="112" spans="2:10" x14ac:dyDescent="0.2">
      <c r="F112" s="27"/>
      <c r="G112" s="27"/>
      <c r="H112" s="27"/>
      <c r="I112" s="27"/>
      <c r="J112" s="27"/>
    </row>
    <row r="113" spans="2:10" x14ac:dyDescent="0.2">
      <c r="B113" s="8" t="s">
        <v>125</v>
      </c>
      <c r="F113" s="27"/>
      <c r="G113" s="27"/>
      <c r="H113" s="27"/>
      <c r="I113" s="27"/>
      <c r="J113" s="27"/>
    </row>
    <row r="114" spans="2:10" x14ac:dyDescent="0.2">
      <c r="B114" s="1" t="s">
        <v>126</v>
      </c>
      <c r="F114" s="29">
        <v>-485.1</v>
      </c>
      <c r="G114" s="29">
        <v>-485</v>
      </c>
      <c r="H114" s="29">
        <v>-845</v>
      </c>
      <c r="I114" s="29">
        <v>-1376</v>
      </c>
      <c r="J114" s="29">
        <v>-2642</v>
      </c>
    </row>
    <row r="115" spans="2:10" x14ac:dyDescent="0.2">
      <c r="B115" s="1" t="s">
        <v>243</v>
      </c>
      <c r="F115" s="29">
        <v>-122.2</v>
      </c>
      <c r="G115" s="29">
        <v>-158</v>
      </c>
      <c r="H115" s="29">
        <v>-123</v>
      </c>
      <c r="I115" s="29">
        <v>-130</v>
      </c>
      <c r="J115" s="29">
        <v>-37</v>
      </c>
    </row>
    <row r="116" spans="2:10" x14ac:dyDescent="0.2">
      <c r="B116" s="1" t="s">
        <v>244</v>
      </c>
      <c r="F116" s="29">
        <v>-198.7</v>
      </c>
      <c r="G116" s="29">
        <v>-213</v>
      </c>
      <c r="H116" s="29">
        <v>-261</v>
      </c>
      <c r="I116" s="29">
        <v>-277</v>
      </c>
      <c r="J116" s="29">
        <v>-305</v>
      </c>
    </row>
    <row r="117" spans="2:10" x14ac:dyDescent="0.2">
      <c r="B117" s="1" t="s">
        <v>127</v>
      </c>
      <c r="F117" s="34">
        <v>0.3</v>
      </c>
      <c r="G117" s="34">
        <v>-8</v>
      </c>
      <c r="H117" s="34">
        <v>0</v>
      </c>
      <c r="I117" s="34">
        <v>-1</v>
      </c>
      <c r="J117" s="34">
        <v>-1</v>
      </c>
    </row>
    <row r="118" spans="2:10" x14ac:dyDescent="0.2">
      <c r="B118" s="1" t="s">
        <v>245</v>
      </c>
      <c r="F118" s="34">
        <v>-4.5</v>
      </c>
      <c r="G118" s="34">
        <v>-5</v>
      </c>
      <c r="H118" s="34">
        <v>-8</v>
      </c>
      <c r="I118" s="34">
        <v>-10</v>
      </c>
      <c r="J118" s="34">
        <v>-61</v>
      </c>
    </row>
    <row r="119" spans="2:10" x14ac:dyDescent="0.2">
      <c r="B119" s="7" t="s">
        <v>128</v>
      </c>
      <c r="F119" s="28">
        <f>SUM(F114:F118)</f>
        <v>-810.2</v>
      </c>
      <c r="G119" s="28">
        <f t="shared" ref="G119:J119" si="15">SUM(G114:G118)</f>
        <v>-869</v>
      </c>
      <c r="H119" s="28">
        <f t="shared" si="15"/>
        <v>-1237</v>
      </c>
      <c r="I119" s="28">
        <f t="shared" si="15"/>
        <v>-1794</v>
      </c>
      <c r="J119" s="28">
        <f t="shared" si="15"/>
        <v>-3046</v>
      </c>
    </row>
    <row r="120" spans="2:10" x14ac:dyDescent="0.2">
      <c r="F120" s="27"/>
      <c r="G120" s="27"/>
      <c r="H120" s="27"/>
      <c r="I120" s="27"/>
      <c r="J120" s="27"/>
    </row>
    <row r="121" spans="2:10" x14ac:dyDescent="0.2">
      <c r="B121" s="1" t="s">
        <v>129</v>
      </c>
      <c r="F121" s="29">
        <v>-54.6</v>
      </c>
      <c r="G121" s="29">
        <v>110</v>
      </c>
      <c r="H121" s="29">
        <v>159</v>
      </c>
      <c r="I121" s="29">
        <v>-138</v>
      </c>
      <c r="J121" s="29">
        <v>119</v>
      </c>
    </row>
    <row r="122" spans="2:10" x14ac:dyDescent="0.2">
      <c r="B122" s="7" t="s">
        <v>130</v>
      </c>
      <c r="F122" s="28">
        <f>F104+F111+F119+F121</f>
        <v>345.39999999999975</v>
      </c>
      <c r="G122" s="28">
        <f t="shared" ref="G122:J122" si="16">G104+G111+G119+G121</f>
        <v>1977</v>
      </c>
      <c r="H122" s="28">
        <f t="shared" si="16"/>
        <v>2527</v>
      </c>
      <c r="I122" s="28">
        <f t="shared" si="16"/>
        <v>1401</v>
      </c>
      <c r="J122" s="28">
        <f t="shared" si="16"/>
        <v>1017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E4C3-5A3A-394F-B157-38856A18C342}">
  <sheetPr>
    <tabColor rgb="FF548235"/>
  </sheetPr>
  <dimension ref="B3:L110"/>
  <sheetViews>
    <sheetView zoomScale="125" workbookViewId="0">
      <selection activeCell="F40" sqref="F40"/>
    </sheetView>
  </sheetViews>
  <sheetFormatPr baseColWidth="10" defaultRowHeight="16" x14ac:dyDescent="0.2"/>
  <cols>
    <col min="1" max="1" width="5.83203125" style="1" customWidth="1"/>
    <col min="2" max="16384" width="10.83203125" style="1"/>
  </cols>
  <sheetData>
    <row r="3" spans="2:12" x14ac:dyDescent="0.2">
      <c r="B3" s="35" t="s">
        <v>246</v>
      </c>
      <c r="C3" s="36"/>
      <c r="D3" s="36"/>
      <c r="E3" s="36"/>
      <c r="F3" s="36"/>
      <c r="G3" s="36"/>
      <c r="H3" s="36"/>
      <c r="I3" s="36"/>
      <c r="J3" s="36"/>
      <c r="K3" s="36"/>
      <c r="L3" s="37"/>
    </row>
    <row r="5" spans="2:12" x14ac:dyDescent="0.2">
      <c r="B5" s="38" t="s">
        <v>247</v>
      </c>
    </row>
    <row r="6" spans="2:12" x14ac:dyDescent="0.2">
      <c r="F6" s="39" t="s">
        <v>60</v>
      </c>
      <c r="G6" s="39" t="s">
        <v>61</v>
      </c>
      <c r="H6" s="39" t="s">
        <v>62</v>
      </c>
      <c r="I6" s="39" t="s">
        <v>63</v>
      </c>
      <c r="J6" s="39" t="s">
        <v>248</v>
      </c>
      <c r="K6" s="6"/>
      <c r="L6" s="5" t="s">
        <v>249</v>
      </c>
    </row>
    <row r="7" spans="2:12" x14ac:dyDescent="0.2">
      <c r="B7" s="5" t="s">
        <v>250</v>
      </c>
      <c r="F7" s="40">
        <f>'Historical Financials'!F10</f>
        <v>6389.4</v>
      </c>
      <c r="G7" s="40">
        <f>'Historical Financials'!G10</f>
        <v>8982</v>
      </c>
      <c r="H7" s="40">
        <f>'Historical Financials'!H10</f>
        <v>11602</v>
      </c>
      <c r="I7" s="40">
        <f>'Historical Financials'!I10</f>
        <v>13427</v>
      </c>
      <c r="J7" s="40">
        <f>'Historical Financials'!J10</f>
        <v>15170</v>
      </c>
      <c r="L7" s="382"/>
    </row>
    <row r="8" spans="2:12" x14ac:dyDescent="0.2">
      <c r="B8" s="5" t="s">
        <v>251</v>
      </c>
      <c r="G8" s="41">
        <f>(G7/F7-1)</f>
        <v>0.40576579960559678</v>
      </c>
      <c r="H8" s="41">
        <f t="shared" ref="H8:I8" si="0">(H7/G7-1)</f>
        <v>0.2916945001113338</v>
      </c>
      <c r="I8" s="41">
        <f t="shared" si="0"/>
        <v>0.15730046543699361</v>
      </c>
      <c r="J8" s="41">
        <f>(J7/I7-1)</f>
        <v>0.12981306323080366</v>
      </c>
      <c r="L8" s="382"/>
    </row>
    <row r="9" spans="2:12" x14ac:dyDescent="0.2">
      <c r="B9" s="5" t="s">
        <v>252</v>
      </c>
      <c r="J9" s="42">
        <f>(J7/F7)^(1/5)-1</f>
        <v>0.18878988363712157</v>
      </c>
      <c r="L9" s="5" t="s">
        <v>262</v>
      </c>
    </row>
    <row r="11" spans="2:12" x14ac:dyDescent="0.2">
      <c r="B11" s="38" t="s">
        <v>253</v>
      </c>
    </row>
    <row r="12" spans="2:12" x14ac:dyDescent="0.2">
      <c r="F12" s="39" t="s">
        <v>60</v>
      </c>
      <c r="G12" s="39" t="s">
        <v>61</v>
      </c>
      <c r="H12" s="39" t="s">
        <v>62</v>
      </c>
      <c r="I12" s="39" t="s">
        <v>63</v>
      </c>
      <c r="J12" s="39" t="s">
        <v>248</v>
      </c>
      <c r="L12" s="5" t="s">
        <v>249</v>
      </c>
    </row>
    <row r="13" spans="2:12" x14ac:dyDescent="0.2">
      <c r="B13" s="5" t="s">
        <v>254</v>
      </c>
      <c r="F13" s="27">
        <f>'Historical Financials'!F12</f>
        <v>4418</v>
      </c>
      <c r="G13" s="27">
        <f>'Historical Financials'!G12</f>
        <v>6451</v>
      </c>
      <c r="H13" s="27">
        <f>'Historical Financials'!H12</f>
        <v>8268</v>
      </c>
      <c r="I13" s="27">
        <f>'Historical Financials'!I12</f>
        <v>9769</v>
      </c>
      <c r="J13" s="27">
        <f>'Historical Financials'!J12</f>
        <v>10777</v>
      </c>
    </row>
    <row r="14" spans="2:12" x14ac:dyDescent="0.2">
      <c r="B14" s="5" t="s">
        <v>255</v>
      </c>
      <c r="F14" s="43">
        <f>'Historical Financials'!F12/'Historical Financials'!F10</f>
        <v>0.69145772686011209</v>
      </c>
      <c r="G14" s="43">
        <f>'Historical Financials'!G12/'Historical Financials'!G10</f>
        <v>0.71821420619015808</v>
      </c>
      <c r="H14" s="43">
        <f>'Historical Financials'!H12/'Historical Financials'!H10</f>
        <v>0.71263575245647304</v>
      </c>
      <c r="I14" s="43">
        <f>'Historical Financials'!I12/'Historical Financials'!I10</f>
        <v>0.7275638638564087</v>
      </c>
      <c r="J14" s="43">
        <f>'Historical Financials'!J12/'Historical Financials'!J10</f>
        <v>0.71041529334212261</v>
      </c>
    </row>
    <row r="15" spans="2:12" x14ac:dyDescent="0.2">
      <c r="B15" s="5"/>
      <c r="G15" s="44"/>
      <c r="H15" s="44"/>
      <c r="I15" s="44"/>
      <c r="J15" s="44"/>
    </row>
    <row r="17" spans="2:12" x14ac:dyDescent="0.2">
      <c r="B17" s="38" t="s">
        <v>256</v>
      </c>
    </row>
    <row r="18" spans="2:12" x14ac:dyDescent="0.2">
      <c r="F18" s="39" t="s">
        <v>60</v>
      </c>
      <c r="G18" s="39" t="s">
        <v>61</v>
      </c>
      <c r="H18" s="39" t="s">
        <v>62</v>
      </c>
      <c r="I18" s="39" t="s">
        <v>63</v>
      </c>
      <c r="J18" s="39" t="s">
        <v>248</v>
      </c>
      <c r="L18" s="5" t="s">
        <v>249</v>
      </c>
    </row>
    <row r="19" spans="2:12" x14ac:dyDescent="0.2">
      <c r="B19" s="5" t="s">
        <v>263</v>
      </c>
      <c r="F19" s="43">
        <f>'Historical Financials'!F16*-1/'Historical Financials'!F10</f>
        <v>5.7125864713431628E-3</v>
      </c>
      <c r="G19" s="43">
        <f>'Historical Financials'!G16*-1/'Historical Financials'!G10</f>
        <v>4.1193498107325761E-3</v>
      </c>
      <c r="H19" s="43">
        <f>'Historical Financials'!H16*-1/'Historical Financials'!H10</f>
        <v>3.4476814342354768E-3</v>
      </c>
      <c r="I19" s="43">
        <f>'Historical Financials'!I16*-1/'Historical Financials'!I10</f>
        <v>2.8301184181127579E-3</v>
      </c>
      <c r="J19" s="43">
        <f>'Historical Financials'!J16*-1/'Historical Financials'!J10</f>
        <v>1.6479894528675016E-3</v>
      </c>
    </row>
    <row r="20" spans="2:12" x14ac:dyDescent="0.2">
      <c r="B20" s="5" t="s">
        <v>55</v>
      </c>
      <c r="C20" s="31"/>
      <c r="D20" s="31"/>
      <c r="E20" s="31"/>
      <c r="F20" s="45">
        <f>'Historical Financials'!F14*-1/'Historical Financials'!F10</f>
        <v>0.28426769336713931</v>
      </c>
      <c r="G20" s="45">
        <f>'Historical Financials'!G14*-1/'Historical Financials'!G10</f>
        <v>0.25150300601202402</v>
      </c>
      <c r="H20" s="45">
        <f>'Historical Financials'!H14*-1/'Historical Financials'!H10</f>
        <v>0.23659713842440958</v>
      </c>
      <c r="I20" s="45">
        <f>'Historical Financials'!I14*-1/'Historical Financials'!I10</f>
        <v>0.24726297758248306</v>
      </c>
      <c r="J20" s="45">
        <f>'Historical Financials'!J14*-1/'Historical Financials'!J10</f>
        <v>0.24713249835201054</v>
      </c>
      <c r="K20" s="31"/>
    </row>
    <row r="21" spans="2:12" ht="17" thickBot="1" x14ac:dyDescent="0.25">
      <c r="B21" s="46" t="s">
        <v>56</v>
      </c>
      <c r="C21" s="47"/>
      <c r="D21" s="47"/>
      <c r="E21" s="47"/>
      <c r="F21" s="48">
        <f>'Historical Financials'!F15*-1/'Historical Financials'!F10</f>
        <v>7.9757097693054127E-2</v>
      </c>
      <c r="G21" s="48">
        <f>'Historical Financials'!G15*-1/'Historical Financials'!G10</f>
        <v>6.245824983299933E-2</v>
      </c>
      <c r="H21" s="48">
        <f>'Historical Financials'!H15*-1/'Historical Financials'!H10</f>
        <v>5.2318565764523359E-2</v>
      </c>
      <c r="I21" s="48">
        <f>'Historical Financials'!I15*-1/'Historical Financials'!I10</f>
        <v>4.9601549117449913E-2</v>
      </c>
      <c r="J21" s="48">
        <f>'Historical Financials'!J15*-1/'Historical Financials'!J10</f>
        <v>5.3460777851021754E-2</v>
      </c>
      <c r="K21" s="47"/>
      <c r="L21" s="49"/>
    </row>
    <row r="22" spans="2:12" x14ac:dyDescent="0.2">
      <c r="B22" s="5" t="s">
        <v>257</v>
      </c>
      <c r="F22" s="43">
        <f>(SUM('Historical Financials'!F14:F16)*-1)/'Historical Financials'!F10</f>
        <v>0.36973737753153663</v>
      </c>
      <c r="G22" s="43">
        <f>(SUM('Historical Financials'!G14:G16)*-1)/'Historical Financials'!G10</f>
        <v>0.31808060565575597</v>
      </c>
      <c r="H22" s="43">
        <f>(SUM('Historical Financials'!H14:H16)*-1)/'Historical Financials'!H10</f>
        <v>0.29236338562316844</v>
      </c>
      <c r="I22" s="43">
        <f>(SUM('Historical Financials'!I14:I16)*-1)/'Historical Financials'!I10</f>
        <v>0.29969464511804572</v>
      </c>
      <c r="J22" s="43">
        <f>(SUM('Historical Financials'!J14:J16)*-1)/'Historical Financials'!J10</f>
        <v>0.30224126565589982</v>
      </c>
    </row>
    <row r="25" spans="2:12" x14ac:dyDescent="0.2">
      <c r="B25" s="38" t="s">
        <v>258</v>
      </c>
    </row>
    <row r="26" spans="2:12" x14ac:dyDescent="0.2">
      <c r="F26" s="39" t="s">
        <v>60</v>
      </c>
      <c r="G26" s="39" t="s">
        <v>61</v>
      </c>
      <c r="H26" s="39" t="s">
        <v>62</v>
      </c>
      <c r="I26" s="39" t="s">
        <v>63</v>
      </c>
      <c r="J26" s="39" t="s">
        <v>248</v>
      </c>
      <c r="L26" s="5" t="s">
        <v>249</v>
      </c>
    </row>
    <row r="27" spans="2:12" x14ac:dyDescent="0.2">
      <c r="B27" s="5" t="s">
        <v>259</v>
      </c>
      <c r="F27" s="43">
        <f>'Historical Financials'!F17/'Historical Financials'!F10</f>
        <v>0.32172034932857546</v>
      </c>
      <c r="G27" s="43">
        <f>'Historical Financials'!G17/'Historical Financials'!G10</f>
        <v>0.40013360053440211</v>
      </c>
      <c r="H27" s="43">
        <f>'Historical Financials'!H17/'Historical Financials'!H10</f>
        <v>0.4202723668333046</v>
      </c>
      <c r="I27" s="43">
        <f>'Historical Financials'!I17/'Historical Financials'!I10</f>
        <v>0.42786921873836298</v>
      </c>
      <c r="J27" s="43">
        <f>'Historical Financials'!J17/'Historical Financials'!J10</f>
        <v>0.4081740276862228</v>
      </c>
    </row>
    <row r="28" spans="2:12" x14ac:dyDescent="0.2">
      <c r="B28" s="5" t="s">
        <v>260</v>
      </c>
      <c r="F28" s="43">
        <f>('Historical Financials'!F17+'Historical Financials'!F15*-1)/'Historical Financials'!F10</f>
        <v>0.40147744702162957</v>
      </c>
      <c r="G28" s="43">
        <f>('Historical Financials'!G17+'Historical Financials'!G15*-1)/'Historical Financials'!G10</f>
        <v>0.46259185036740147</v>
      </c>
      <c r="H28" s="43">
        <f>('Historical Financials'!H17+'Historical Financials'!H15*-1)/'Historical Financials'!H10</f>
        <v>0.47259093259782797</v>
      </c>
      <c r="I28" s="43">
        <f>('Historical Financials'!I17+'Historical Financials'!I15*-1)/'Historical Financials'!I10</f>
        <v>0.47747076785581294</v>
      </c>
      <c r="J28" s="43">
        <f>('Historical Financials'!J17+'Historical Financials'!J15*-1)/'Historical Financials'!J10</f>
        <v>0.46163480553724456</v>
      </c>
    </row>
    <row r="29" spans="2:12" x14ac:dyDescent="0.2">
      <c r="B29" s="5" t="s">
        <v>261</v>
      </c>
      <c r="F29" s="43">
        <f>'Historical Financials'!F30/'Historical Financials'!F10</f>
        <v>0.21682787116161137</v>
      </c>
      <c r="G29" s="43">
        <f>'Historical Financials'!G30/'Historical Financials'!G10</f>
        <v>0.27232242262302381</v>
      </c>
      <c r="H29" s="43">
        <f>'Historical Financials'!H30/'Historical Financials'!H10</f>
        <v>0.29020858472677125</v>
      </c>
      <c r="I29" s="43">
        <f>'Historical Financials'!I30/'Historical Financials'!I10</f>
        <v>0.32106948685484471</v>
      </c>
      <c r="J29" s="43">
        <f>'Historical Financials'!J30/'Historical Financials'!J10</f>
        <v>0.30342781806196439</v>
      </c>
    </row>
    <row r="33" spans="2:12" x14ac:dyDescent="0.2">
      <c r="B33" s="35" t="s">
        <v>264</v>
      </c>
      <c r="C33" s="36"/>
      <c r="D33" s="36"/>
      <c r="E33" s="36"/>
      <c r="F33" s="36"/>
      <c r="G33" s="36"/>
      <c r="H33" s="36"/>
      <c r="I33" s="36"/>
      <c r="J33" s="36"/>
      <c r="K33" s="36"/>
      <c r="L33" s="37"/>
    </row>
    <row r="36" spans="2:12" x14ac:dyDescent="0.2">
      <c r="B36" s="38" t="s">
        <v>265</v>
      </c>
    </row>
    <row r="37" spans="2:12" x14ac:dyDescent="0.2">
      <c r="F37" s="39" t="s">
        <v>60</v>
      </c>
      <c r="G37" s="39" t="s">
        <v>61</v>
      </c>
      <c r="H37" s="39" t="s">
        <v>62</v>
      </c>
      <c r="I37" s="39" t="s">
        <v>63</v>
      </c>
      <c r="J37" s="39" t="s">
        <v>248</v>
      </c>
      <c r="L37" s="5" t="s">
        <v>266</v>
      </c>
    </row>
    <row r="38" spans="2:12" x14ac:dyDescent="0.2">
      <c r="B38" s="5" t="s">
        <v>267</v>
      </c>
      <c r="F38" s="27">
        <f>'Historical Financials'!F104</f>
        <v>1663.8</v>
      </c>
      <c r="G38" s="27">
        <f>'Historical Financials'!G104</f>
        <v>3452</v>
      </c>
      <c r="H38" s="27">
        <f>'Historical Financials'!H104</f>
        <v>4251</v>
      </c>
      <c r="I38" s="27">
        <f>'Historical Financials'!I104</f>
        <v>4440</v>
      </c>
      <c r="J38" s="27">
        <f>'Historical Financials'!J104</f>
        <v>5169</v>
      </c>
    </row>
    <row r="39" spans="2:12" x14ac:dyDescent="0.2">
      <c r="B39" s="5" t="s">
        <v>268</v>
      </c>
      <c r="F39" s="27">
        <f>'Historical Financials'!F104+'Historical Financials'!F107</f>
        <v>1215.4000000000001</v>
      </c>
      <c r="G39" s="27">
        <f>'Historical Financials'!G104+'Historical Financials'!G107</f>
        <v>2920</v>
      </c>
      <c r="H39" s="27">
        <f>'Historical Financials'!H104+'Historical Financials'!H107</f>
        <v>3733</v>
      </c>
      <c r="I39" s="27">
        <f>'Historical Financials'!I104+'Historical Financials'!I107</f>
        <v>3581</v>
      </c>
      <c r="J39" s="27">
        <f>'Historical Financials'!J104+'Historical Financials'!J107</f>
        <v>4102</v>
      </c>
    </row>
    <row r="40" spans="2:12" x14ac:dyDescent="0.2">
      <c r="B40" s="50"/>
    </row>
    <row r="42" spans="2:12" x14ac:dyDescent="0.2">
      <c r="B42" s="38" t="s">
        <v>269</v>
      </c>
    </row>
    <row r="43" spans="2:12" x14ac:dyDescent="0.2">
      <c r="F43" s="39" t="s">
        <v>60</v>
      </c>
      <c r="G43" s="39" t="s">
        <v>61</v>
      </c>
      <c r="H43" s="39" t="s">
        <v>62</v>
      </c>
      <c r="I43" s="39" t="s">
        <v>63</v>
      </c>
      <c r="J43" s="39" t="s">
        <v>248</v>
      </c>
      <c r="L43" s="5" t="s">
        <v>249</v>
      </c>
    </row>
    <row r="44" spans="2:12" x14ac:dyDescent="0.2">
      <c r="B44" s="5" t="s">
        <v>270</v>
      </c>
    </row>
    <row r="45" spans="2:12" x14ac:dyDescent="0.2">
      <c r="B45" s="50" t="s">
        <v>271</v>
      </c>
      <c r="F45" s="27">
        <f>'Historical Financials'!F100</f>
        <v>38.4</v>
      </c>
      <c r="G45" s="27">
        <f>'Historical Financials'!G100</f>
        <v>-30</v>
      </c>
      <c r="H45" s="27">
        <f>'Historical Financials'!H100</f>
        <v>-54</v>
      </c>
      <c r="I45" s="27">
        <f>'Historical Financials'!I100</f>
        <v>-122</v>
      </c>
      <c r="J45" s="27">
        <f>'Historical Financials'!J100</f>
        <v>4</v>
      </c>
    </row>
    <row r="46" spans="2:12" x14ac:dyDescent="0.2">
      <c r="B46" s="26" t="s">
        <v>272</v>
      </c>
      <c r="F46" s="27">
        <f>'Historical Financials'!F102</f>
        <v>-23.7</v>
      </c>
      <c r="G46" s="27">
        <f>'Historical Financials'!G102</f>
        <v>71</v>
      </c>
      <c r="H46" s="27">
        <f>'Historical Financials'!H102</f>
        <v>203</v>
      </c>
      <c r="I46" s="27">
        <f>'Historical Financials'!I102</f>
        <v>42</v>
      </c>
      <c r="J46" s="27">
        <f>'Historical Financials'!J102</f>
        <v>-60</v>
      </c>
    </row>
    <row r="47" spans="2:12" x14ac:dyDescent="0.2">
      <c r="B47" s="26" t="s">
        <v>282</v>
      </c>
      <c r="F47" s="27">
        <f>'Historical Financials'!F101</f>
        <v>-157.9</v>
      </c>
      <c r="G47" s="27">
        <f>'Historical Financials'!G101</f>
        <v>-116</v>
      </c>
      <c r="H47" s="27">
        <f>'Historical Financials'!H101</f>
        <v>-324</v>
      </c>
      <c r="I47" s="27">
        <f>'Historical Financials'!I101</f>
        <v>-662</v>
      </c>
      <c r="J47" s="27">
        <f>'Historical Financials'!J101</f>
        <v>-313</v>
      </c>
    </row>
    <row r="48" spans="2:12" x14ac:dyDescent="0.2">
      <c r="B48" s="26" t="s">
        <v>273</v>
      </c>
      <c r="F48" s="27">
        <f>'Historical Financials'!F103</f>
        <v>-207.1</v>
      </c>
      <c r="G48" s="27">
        <f>'Historical Financials'!G103</f>
        <v>421</v>
      </c>
      <c r="H48" s="27">
        <f>'Historical Financials'!H103</f>
        <v>248</v>
      </c>
      <c r="I48" s="27">
        <f>'Historical Financials'!I103</f>
        <v>-52</v>
      </c>
      <c r="J48" s="27">
        <f>'Historical Financials'!J103</f>
        <v>130</v>
      </c>
    </row>
    <row r="50" spans="2:10" x14ac:dyDescent="0.2">
      <c r="B50" s="5" t="s">
        <v>274</v>
      </c>
      <c r="F50" s="27">
        <f>SUM(F45:F48)</f>
        <v>-350.3</v>
      </c>
      <c r="G50" s="27">
        <f t="shared" ref="G50:J50" si="1">SUM(G45:G48)</f>
        <v>346</v>
      </c>
      <c r="H50" s="27">
        <f t="shared" si="1"/>
        <v>73</v>
      </c>
      <c r="I50" s="27">
        <f t="shared" si="1"/>
        <v>-794</v>
      </c>
      <c r="J50" s="27">
        <f t="shared" si="1"/>
        <v>-239</v>
      </c>
    </row>
    <row r="52" spans="2:10" x14ac:dyDescent="0.2">
      <c r="B52" s="5" t="s">
        <v>275</v>
      </c>
      <c r="F52" s="51">
        <f>('Historical Financials'!F41/'Historical Financials'!F10)*365</f>
        <v>14.264328418943876</v>
      </c>
      <c r="G52" s="51">
        <f>('Historical Financials'!G41/'Historical Financials'!G10)*365</f>
        <v>13.532064128256513</v>
      </c>
      <c r="H52" s="51">
        <f>('Historical Financials'!H41/'Historical Financials'!H10)*365</f>
        <v>12.049215652473711</v>
      </c>
      <c r="I52" s="51">
        <f>('Historical Financials'!I41/'Historical Financials'!I10)*365</f>
        <v>11.716317866984435</v>
      </c>
      <c r="J52" s="51">
        <f>('Historical Financials'!J41/'Historical Financials'!J10)*365</f>
        <v>11.500988793671722</v>
      </c>
    </row>
    <row r="53" spans="2:10" x14ac:dyDescent="0.2">
      <c r="B53" s="5" t="s">
        <v>276</v>
      </c>
      <c r="F53" s="51">
        <f>('Historical Financials'!F58/-'Historical Financials'!F11)*365</f>
        <v>68.967485036015006</v>
      </c>
      <c r="G53" s="51">
        <f>('Historical Financials'!G58/-'Historical Financials'!G11)*365</f>
        <v>64.895298301066774</v>
      </c>
      <c r="H53" s="51">
        <f>('Historical Financials'!H58/-'Historical Financials'!H11)*365</f>
        <v>72.146070785842838</v>
      </c>
      <c r="I53" s="51">
        <f>('Historical Financials'!I58/-'Historical Financials'!I11)*365</f>
        <v>68.350191361399666</v>
      </c>
      <c r="J53" s="51">
        <f>('Historical Financials'!J58/-'Historical Financials'!J11)*365</f>
        <v>56.748235829729111</v>
      </c>
    </row>
    <row r="54" spans="2:10" x14ac:dyDescent="0.2">
      <c r="B54" s="5" t="s">
        <v>283</v>
      </c>
      <c r="F54" s="51">
        <f>('Historical Financials'!F43/-'Historical Financials'!F11)*365</f>
        <v>238.72932941057115</v>
      </c>
      <c r="G54" s="51">
        <f>('Historical Financials'!G43/-'Historical Financials'!G11)*365</f>
        <v>208.96286052943501</v>
      </c>
      <c r="H54" s="51">
        <f>('Historical Financials'!H43/-'Historical Financials'!H11)*365</f>
        <v>194.76154769046192</v>
      </c>
      <c r="I54" s="51">
        <f>('Historical Financials'!I43/-'Historical Financials'!I11)*365</f>
        <v>240.87206123564789</v>
      </c>
      <c r="J54" s="51">
        <f>('Historical Financials'!J43/-'Historical Financials'!J11)*365</f>
        <v>232.39358069656271</v>
      </c>
    </row>
    <row r="55" spans="2:10" x14ac:dyDescent="0.2">
      <c r="B55" s="5"/>
    </row>
    <row r="56" spans="2:10" x14ac:dyDescent="0.2">
      <c r="B56" s="5" t="s">
        <v>277</v>
      </c>
      <c r="F56" s="51">
        <f>F52+F54-F53</f>
        <v>184.02617279350002</v>
      </c>
      <c r="G56" s="51">
        <f t="shared" ref="G56:J56" si="2">G52+G54-G53</f>
        <v>157.59962635662475</v>
      </c>
      <c r="H56" s="51">
        <f t="shared" si="2"/>
        <v>134.66469255709279</v>
      </c>
      <c r="I56" s="51">
        <f t="shared" si="2"/>
        <v>184.23818774123265</v>
      </c>
      <c r="J56" s="51">
        <f t="shared" si="2"/>
        <v>187.14633366050532</v>
      </c>
    </row>
    <row r="58" spans="2:10" x14ac:dyDescent="0.2">
      <c r="B58" s="38" t="s">
        <v>278</v>
      </c>
    </row>
    <row r="59" spans="2:10" x14ac:dyDescent="0.2">
      <c r="F59" s="39" t="s">
        <v>60</v>
      </c>
      <c r="G59" s="39" t="s">
        <v>61</v>
      </c>
      <c r="H59" s="39" t="s">
        <v>62</v>
      </c>
      <c r="I59" s="39" t="s">
        <v>63</v>
      </c>
      <c r="J59" s="39" t="s">
        <v>248</v>
      </c>
    </row>
    <row r="60" spans="2:10" x14ac:dyDescent="0.2">
      <c r="F60" s="39"/>
      <c r="G60" s="39"/>
      <c r="H60" s="39"/>
      <c r="I60" s="39"/>
      <c r="J60" s="39"/>
    </row>
    <row r="61" spans="2:10" x14ac:dyDescent="0.2">
      <c r="B61" s="5" t="s">
        <v>279</v>
      </c>
      <c r="F61" s="27">
        <f>'Historical Financials'!F107</f>
        <v>-448.4</v>
      </c>
      <c r="G61" s="27">
        <f>'Historical Financials'!G107</f>
        <v>-532</v>
      </c>
      <c r="H61" s="27">
        <f>'Historical Financials'!H107</f>
        <v>-518</v>
      </c>
      <c r="I61" s="27">
        <f>'Historical Financials'!I107</f>
        <v>-859</v>
      </c>
      <c r="J61" s="27">
        <f>'Historical Financials'!J107</f>
        <v>-1067</v>
      </c>
    </row>
    <row r="62" spans="2:10" x14ac:dyDescent="0.2">
      <c r="B62" s="50" t="s">
        <v>280</v>
      </c>
      <c r="F62" s="52">
        <f>-'Historical Financials'!F107/'Historical Financials'!F10</f>
        <v>7.0178733527404766E-2</v>
      </c>
      <c r="G62" s="52">
        <f>-'Historical Financials'!G107/'Historical Financials'!G10</f>
        <v>5.9229570251614343E-2</v>
      </c>
      <c r="H62" s="52">
        <f>-'Historical Financials'!H107/'Historical Financials'!H10</f>
        <v>4.4647474573349423E-2</v>
      </c>
      <c r="I62" s="52">
        <f>-'Historical Financials'!I107/'Historical Financials'!I10</f>
        <v>6.3975571609443657E-2</v>
      </c>
      <c r="J62" s="52">
        <f>-'Historical Financials'!J107/'Historical Financials'!J10</f>
        <v>7.0336189848384967E-2</v>
      </c>
    </row>
    <row r="64" spans="2:10" x14ac:dyDescent="0.2">
      <c r="B64" s="5" t="s">
        <v>281</v>
      </c>
      <c r="F64" s="44">
        <f>'Historical Financials'!F107/'Historical Financials'!F15</f>
        <v>0.87990580847723698</v>
      </c>
      <c r="G64" s="44">
        <f>'Historical Financials'!G107/'Historical Financials'!G15</f>
        <v>0.94830659536541895</v>
      </c>
      <c r="H64" s="44">
        <f>'Historical Financials'!H107/'Historical Financials'!H15</f>
        <v>0.85337726523887969</v>
      </c>
      <c r="I64" s="44">
        <f>'Historical Financials'!I107/'Historical Financials'!I15</f>
        <v>1.2897897897897899</v>
      </c>
      <c r="J64" s="44">
        <f>'Historical Financials'!J107/'Historical Financials'!J15</f>
        <v>1.3156596794081381</v>
      </c>
    </row>
    <row r="66" spans="2:12" x14ac:dyDescent="0.2">
      <c r="B66" s="35" t="s">
        <v>284</v>
      </c>
      <c r="C66" s="36"/>
      <c r="D66" s="36"/>
      <c r="E66" s="36"/>
      <c r="F66" s="36"/>
      <c r="G66" s="36"/>
      <c r="H66" s="36"/>
      <c r="I66" s="36"/>
      <c r="J66" s="36"/>
      <c r="K66" s="36"/>
      <c r="L66" s="37"/>
    </row>
    <row r="69" spans="2:12" x14ac:dyDescent="0.2">
      <c r="B69" s="38" t="s">
        <v>285</v>
      </c>
    </row>
    <row r="70" spans="2:12" x14ac:dyDescent="0.2">
      <c r="F70" s="39" t="s">
        <v>60</v>
      </c>
      <c r="G70" s="39" t="s">
        <v>61</v>
      </c>
      <c r="H70" s="39" t="s">
        <v>62</v>
      </c>
      <c r="I70" s="39" t="s">
        <v>63</v>
      </c>
      <c r="J70" s="39" t="s">
        <v>248</v>
      </c>
      <c r="L70" s="5" t="s">
        <v>249</v>
      </c>
    </row>
    <row r="71" spans="2:12" x14ac:dyDescent="0.2">
      <c r="B71" s="5" t="s">
        <v>286</v>
      </c>
      <c r="F71" s="53">
        <f>'Historical Financials'!F45/'Historical Financials'!F62</f>
        <v>3.6167192429022075</v>
      </c>
      <c r="G71" s="53">
        <f>'Historical Financials'!G45/'Historical Financials'!G62</f>
        <v>3.4349514563106798</v>
      </c>
      <c r="H71" s="53">
        <f>'Historical Financials'!H45/'Historical Financials'!H62</f>
        <v>3.937416777629827</v>
      </c>
      <c r="I71" s="53">
        <f>'Historical Financials'!I45/'Historical Financials'!I62</f>
        <v>4.4008796732642166</v>
      </c>
      <c r="J71" s="53">
        <f>'Historical Financials'!J45/'Historical Financials'!J62</f>
        <v>4.2645356847616425</v>
      </c>
      <c r="L71" s="382"/>
    </row>
    <row r="72" spans="2:12" x14ac:dyDescent="0.2">
      <c r="B72" s="5" t="s">
        <v>287</v>
      </c>
      <c r="F72" s="53">
        <f>('Historical Financials'!F45-'Historical Financials'!F43)/'Historical Financials'!F62</f>
        <v>2.9154247797237023</v>
      </c>
      <c r="G72" s="53">
        <f>('Historical Financials'!G45-'Historical Financials'!G43)/'Historical Financials'!G62</f>
        <v>2.8722330097087378</v>
      </c>
      <c r="H72" s="53">
        <f>('Historical Financials'!H45-'Historical Financials'!H43)/'Historical Financials'!H62</f>
        <v>3.3452063914780292</v>
      </c>
      <c r="I72" s="53">
        <f>('Historical Financials'!I45-'Historical Financials'!I43)/'Historical Financials'!I62</f>
        <v>3.6424756519007224</v>
      </c>
      <c r="J72" s="53">
        <f>('Historical Financials'!J45-'Historical Financials'!J43)/'Historical Financials'!J62</f>
        <v>3.4937999448883992</v>
      </c>
      <c r="L72" s="382"/>
    </row>
    <row r="75" spans="2:12" x14ac:dyDescent="0.2">
      <c r="B75" s="38" t="s">
        <v>288</v>
      </c>
    </row>
    <row r="76" spans="2:12" x14ac:dyDescent="0.2">
      <c r="F76" s="39" t="s">
        <v>60</v>
      </c>
      <c r="G76" s="39" t="s">
        <v>61</v>
      </c>
      <c r="H76" s="39" t="s">
        <v>62</v>
      </c>
      <c r="I76" s="39" t="s">
        <v>63</v>
      </c>
      <c r="J76" s="39" t="s">
        <v>248</v>
      </c>
    </row>
    <row r="77" spans="2:12" x14ac:dyDescent="0.2">
      <c r="B77" s="1" t="s">
        <v>289</v>
      </c>
      <c r="F77" s="27">
        <f>'Historical Financials'!F59+'Historical Financials'!F64</f>
        <v>1686</v>
      </c>
      <c r="G77" s="27">
        <f>'Historical Financials'!G59+'Historical Financials'!G64</f>
        <v>1802</v>
      </c>
      <c r="H77" s="27">
        <f>'Historical Financials'!H59+'Historical Financials'!H64</f>
        <v>1934</v>
      </c>
      <c r="I77" s="27">
        <f>'Historical Financials'!I59+'Historical Financials'!I64</f>
        <v>2060</v>
      </c>
      <c r="J77" s="27">
        <f>'Historical Financials'!J59+'Historical Financials'!J64</f>
        <v>2174</v>
      </c>
    </row>
    <row r="78" spans="2:12" x14ac:dyDescent="0.2">
      <c r="B78" s="1" t="s">
        <v>290</v>
      </c>
      <c r="F78" s="27">
        <f>'Historical Financials'!F80</f>
        <v>7380.1</v>
      </c>
      <c r="G78" s="27">
        <f>'Historical Financials'!G80</f>
        <v>9400</v>
      </c>
      <c r="H78" s="27">
        <f>'Historical Financials'!H80</f>
        <v>12440</v>
      </c>
      <c r="I78" s="27">
        <f>'Historical Financials'!I80</f>
        <v>15201</v>
      </c>
      <c r="J78" s="27">
        <f>'Historical Financials'!J80</f>
        <v>17327</v>
      </c>
    </row>
    <row r="80" spans="2:12" x14ac:dyDescent="0.2">
      <c r="B80" s="5" t="s">
        <v>291</v>
      </c>
      <c r="F80" s="56">
        <f>F77/F78</f>
        <v>0.22845218899472905</v>
      </c>
      <c r="G80" s="56">
        <f t="shared" ref="G80:J80" si="3">G77/G78</f>
        <v>0.19170212765957448</v>
      </c>
      <c r="H80" s="56">
        <f t="shared" si="3"/>
        <v>0.15546623794212219</v>
      </c>
      <c r="I80" s="56">
        <f t="shared" si="3"/>
        <v>0.13551740017104139</v>
      </c>
      <c r="J80" s="56">
        <f t="shared" si="3"/>
        <v>0.12546892133664223</v>
      </c>
    </row>
    <row r="81" spans="2:10" x14ac:dyDescent="0.2">
      <c r="B81" s="5" t="s">
        <v>292</v>
      </c>
      <c r="F81" s="55">
        <f>'Historical Financials'!F17/-'Historical Financials'!F20</f>
        <v>68.749163879598669</v>
      </c>
      <c r="G81" s="55">
        <f>'Historical Financials'!G17/-'Historical Financials'!G20</f>
        <v>112.3125</v>
      </c>
      <c r="H81" s="55">
        <f>'Historical Financials'!H17/-'Historical Financials'!H20</f>
        <v>113.3953488372093</v>
      </c>
      <c r="I81" s="55">
        <f>'Historical Financials'!I17/-'Historical Financials'!I20</f>
        <v>102.58928571428571</v>
      </c>
      <c r="J81" s="55">
        <f>'Historical Financials'!J17/-'Historical Financials'!J20</f>
        <v>104.94915254237289</v>
      </c>
    </row>
    <row r="83" spans="2:10" x14ac:dyDescent="0.2">
      <c r="B83" s="38" t="s">
        <v>293</v>
      </c>
    </row>
    <row r="84" spans="2:10" x14ac:dyDescent="0.2">
      <c r="F84" s="39" t="s">
        <v>60</v>
      </c>
      <c r="G84" s="39" t="s">
        <v>61</v>
      </c>
      <c r="H84" s="39" t="s">
        <v>62</v>
      </c>
      <c r="I84" s="39" t="s">
        <v>63</v>
      </c>
      <c r="J84" s="39" t="s">
        <v>248</v>
      </c>
    </row>
    <row r="85" spans="2:10" x14ac:dyDescent="0.2">
      <c r="B85" s="5" t="s">
        <v>294</v>
      </c>
      <c r="F85" s="27">
        <f>'Historical Financials'!F80</f>
        <v>7380.1</v>
      </c>
      <c r="G85" s="27">
        <f>'Historical Financials'!G80</f>
        <v>9400</v>
      </c>
      <c r="H85" s="27">
        <f>'Historical Financials'!H80</f>
        <v>12440</v>
      </c>
      <c r="I85" s="27">
        <f>'Historical Financials'!I80</f>
        <v>15201</v>
      </c>
      <c r="J85" s="27">
        <f>'Historical Financials'!J80</f>
        <v>17327</v>
      </c>
    </row>
    <row r="86" spans="2:10" x14ac:dyDescent="0.2">
      <c r="B86" s="5"/>
      <c r="F86" s="27"/>
      <c r="G86" s="27"/>
      <c r="H86" s="27"/>
      <c r="I86" s="27"/>
      <c r="J86" s="27"/>
    </row>
    <row r="87" spans="2:10" x14ac:dyDescent="0.2">
      <c r="B87" s="5" t="s">
        <v>295</v>
      </c>
      <c r="G87" s="43">
        <f>(G85-F85)/F85</f>
        <v>0.27369547838105168</v>
      </c>
      <c r="H87" s="43">
        <f>(H85-G85)/G85</f>
        <v>0.32340425531914896</v>
      </c>
      <c r="I87" s="43">
        <f>(I85-H85)/H85</f>
        <v>0.22194533762057878</v>
      </c>
      <c r="J87" s="43">
        <f>(J85-I85)/I85</f>
        <v>0.13985921978817184</v>
      </c>
    </row>
    <row r="90" spans="2:10" x14ac:dyDescent="0.2">
      <c r="B90" s="38" t="s">
        <v>296</v>
      </c>
    </row>
    <row r="91" spans="2:10" x14ac:dyDescent="0.2">
      <c r="F91" s="39" t="s">
        <v>60</v>
      </c>
      <c r="G91" s="39" t="s">
        <v>61</v>
      </c>
      <c r="H91" s="39" t="s">
        <v>62</v>
      </c>
      <c r="I91" s="39" t="s">
        <v>63</v>
      </c>
      <c r="J91" s="39" t="s">
        <v>248</v>
      </c>
    </row>
    <row r="92" spans="2:10" x14ac:dyDescent="0.2">
      <c r="B92" s="5"/>
    </row>
    <row r="93" spans="2:10" x14ac:dyDescent="0.2">
      <c r="B93" s="5" t="s">
        <v>297</v>
      </c>
      <c r="F93" s="43">
        <f>'Historical Financials'!F30/'Historical Financials'!F80</f>
        <v>0.18772103359033068</v>
      </c>
      <c r="G93" s="43">
        <f>'Historical Financials'!G30/'Historical Financials'!G80</f>
        <v>0.2602127659574468</v>
      </c>
      <c r="H93" s="43">
        <f>'Historical Financials'!H30/'Historical Financials'!H80</f>
        <v>0.27065916398713824</v>
      </c>
      <c r="I93" s="43">
        <f>'Historical Financials'!I30/'Historical Financials'!I80</f>
        <v>0.28359976317347541</v>
      </c>
      <c r="J93" s="43">
        <f>'Historical Financials'!J30/'Historical Financials'!J80</f>
        <v>0.26565475846944075</v>
      </c>
    </row>
    <row r="94" spans="2:10" x14ac:dyDescent="0.2">
      <c r="B94" s="50" t="s">
        <v>298</v>
      </c>
      <c r="F94" s="43"/>
      <c r="G94" s="43"/>
      <c r="H94" s="43"/>
      <c r="I94" s="43"/>
      <c r="J94" s="43"/>
    </row>
    <row r="95" spans="2:10" x14ac:dyDescent="0.2">
      <c r="F95" s="43"/>
      <c r="G95" s="43"/>
      <c r="H95" s="43"/>
      <c r="I95" s="43"/>
      <c r="J95" s="43"/>
    </row>
    <row r="96" spans="2:10" x14ac:dyDescent="0.2">
      <c r="B96" s="5" t="s">
        <v>299</v>
      </c>
      <c r="F96" s="43">
        <f>'Historical Financials'!F30/'Historical Financials'!F55</f>
        <v>0.12536989276503321</v>
      </c>
      <c r="G96" s="43">
        <f>'Historical Financials'!G30/'Historical Financials'!G55</f>
        <v>0.17664476059796347</v>
      </c>
      <c r="H96" s="43">
        <f>'Historical Financials'!H30/'Historical Financials'!H55</f>
        <v>0.1928518242740134</v>
      </c>
      <c r="I96" s="43">
        <f>'Historical Financials'!I30/'Historical Financials'!I55</f>
        <v>0.2108377757128185</v>
      </c>
      <c r="J96" s="43">
        <f>'Historical Financials'!J30/'Historical Financials'!J55</f>
        <v>0.19940218333044532</v>
      </c>
    </row>
    <row r="97" spans="2:10" x14ac:dyDescent="0.2">
      <c r="B97" s="50" t="s">
        <v>300</v>
      </c>
      <c r="F97" s="43"/>
      <c r="G97" s="43"/>
      <c r="H97" s="43"/>
      <c r="I97" s="43"/>
      <c r="J97" s="43"/>
    </row>
    <row r="99" spans="2:10" x14ac:dyDescent="0.2">
      <c r="B99" s="5" t="s">
        <v>301</v>
      </c>
    </row>
    <row r="100" spans="2:10" x14ac:dyDescent="0.2">
      <c r="B100" s="5" t="s">
        <v>302</v>
      </c>
      <c r="F100" s="27">
        <f>'Historical Financials'!F17</f>
        <v>2055.6</v>
      </c>
      <c r="G100" s="27">
        <f>'Historical Financials'!G17</f>
        <v>3594</v>
      </c>
      <c r="H100" s="27">
        <f>'Historical Financials'!H17</f>
        <v>4876</v>
      </c>
      <c r="I100" s="27">
        <f>'Historical Financials'!I17</f>
        <v>5745</v>
      </c>
      <c r="J100" s="27">
        <f>'Historical Financials'!J17</f>
        <v>6192</v>
      </c>
    </row>
    <row r="101" spans="2:10" x14ac:dyDescent="0.2">
      <c r="B101" s="5" t="s">
        <v>303</v>
      </c>
      <c r="F101" s="43">
        <f>1-(-'Historical Financials'!F25/'Historical Financials'!F23)</f>
        <v>0.691401530406766</v>
      </c>
      <c r="G101" s="43">
        <f>1-(-'Historical Financials'!G25/'Historical Financials'!G23)</f>
        <v>0.70451237263464339</v>
      </c>
      <c r="H101" s="43">
        <f>1-(-'Historical Financials'!H25/'Historical Financials'!H23)</f>
        <v>0.71844660194174759</v>
      </c>
      <c r="I101" s="43">
        <f>1-(-'Historical Financials'!I25/'Historical Financials'!I23)</f>
        <v>0.72208904109589045</v>
      </c>
      <c r="J101" s="54">
        <f>1-(-'Historical Financials'!J25/'Historical Financials'!J23)</f>
        <v>0.71315298507462688</v>
      </c>
    </row>
    <row r="102" spans="2:10" x14ac:dyDescent="0.2">
      <c r="B102" s="5" t="s">
        <v>304</v>
      </c>
      <c r="F102" s="27">
        <f>F100*F101</f>
        <v>1421.2449859041481</v>
      </c>
      <c r="G102" s="27">
        <f>G100*G101</f>
        <v>2532.0174672489084</v>
      </c>
      <c r="H102" s="27">
        <f>H100*H101</f>
        <v>3503.1456310679614</v>
      </c>
      <c r="I102" s="27">
        <f>I100*I101</f>
        <v>4148.4015410958909</v>
      </c>
      <c r="J102" s="27">
        <f>J100*J101</f>
        <v>4415.8432835820895</v>
      </c>
    </row>
    <row r="104" spans="2:10" x14ac:dyDescent="0.2">
      <c r="B104" s="5" t="s">
        <v>305</v>
      </c>
    </row>
    <row r="105" spans="2:10" x14ac:dyDescent="0.2">
      <c r="B105" s="5" t="s">
        <v>306</v>
      </c>
      <c r="F105" s="27">
        <f>'Historical Financials'!F82</f>
        <v>7391</v>
      </c>
      <c r="G105" s="27">
        <f>'Historical Financials'!G82</f>
        <v>9412</v>
      </c>
      <c r="H105" s="27">
        <f>'Historical Financials'!H82</f>
        <v>12456</v>
      </c>
      <c r="I105" s="27">
        <f>'Historical Financials'!I82</f>
        <v>15203</v>
      </c>
      <c r="J105" s="27">
        <f>'Historical Financials'!J82</f>
        <v>17334</v>
      </c>
    </row>
    <row r="106" spans="2:10" x14ac:dyDescent="0.2">
      <c r="B106" s="5" t="s">
        <v>307</v>
      </c>
      <c r="F106" s="27">
        <f>'Historical Financials'!F59+'Historical Financials'!F64</f>
        <v>1686</v>
      </c>
      <c r="G106" s="27">
        <f>'Historical Financials'!G59+'Historical Financials'!G64</f>
        <v>1802</v>
      </c>
      <c r="H106" s="27">
        <f>'Historical Financials'!H59+'Historical Financials'!H64</f>
        <v>1934</v>
      </c>
      <c r="I106" s="27">
        <f>'Historical Financials'!I59+'Historical Financials'!I64</f>
        <v>2060</v>
      </c>
      <c r="J106" s="27">
        <f>'Historical Financials'!J59+'Historical Financials'!J64</f>
        <v>2174</v>
      </c>
    </row>
    <row r="107" spans="2:10" x14ac:dyDescent="0.2">
      <c r="B107" s="5" t="s">
        <v>308</v>
      </c>
      <c r="F107" s="27">
        <f>-'Historical Financials'!F40</f>
        <v>-4732.7</v>
      </c>
      <c r="G107" s="27">
        <f>-'Historical Financials'!G40</f>
        <v>-6696</v>
      </c>
      <c r="H107" s="27">
        <f>-'Historical Financials'!H40</f>
        <v>-9225</v>
      </c>
      <c r="I107" s="27">
        <f>-'Historical Financials'!I40</f>
        <v>-10625</v>
      </c>
      <c r="J107" s="27">
        <f>-'Historical Financials'!J40</f>
        <v>-11642</v>
      </c>
    </row>
    <row r="108" spans="2:10" x14ac:dyDescent="0.2">
      <c r="B108" s="5" t="s">
        <v>309</v>
      </c>
      <c r="F108" s="27">
        <f>F105+F106+F107</f>
        <v>4344.3</v>
      </c>
      <c r="G108" s="27">
        <f>G105+G106+G107</f>
        <v>4518</v>
      </c>
      <c r="H108" s="27">
        <f>H105+H106+H107</f>
        <v>5165</v>
      </c>
      <c r="I108" s="27">
        <f>I105+I106+I107</f>
        <v>6638</v>
      </c>
      <c r="J108" s="27">
        <f>J105+J106+J107</f>
        <v>7866</v>
      </c>
    </row>
    <row r="110" spans="2:10" x14ac:dyDescent="0.2">
      <c r="B110" s="50" t="s">
        <v>310</v>
      </c>
      <c r="F110" s="43">
        <f>F102/F108</f>
        <v>0.32715166675969615</v>
      </c>
      <c r="G110" s="43">
        <f>G102/G108</f>
        <v>0.56042883294575219</v>
      </c>
      <c r="H110" s="43">
        <f>H102/H108</f>
        <v>0.67824697600541362</v>
      </c>
      <c r="I110" s="43">
        <f>I102/I108</f>
        <v>0.624947505437766</v>
      </c>
      <c r="J110" s="43">
        <f>J102/J108</f>
        <v>0.56138358550496947</v>
      </c>
    </row>
  </sheetData>
  <mergeCells count="2">
    <mergeCell ref="L7:L8"/>
    <mergeCell ref="L71:L72"/>
  </mergeCells>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markers="1" xr2:uid="{45DFF005-FD41-9349-9882-9D4C45C9B8CA}">
          <x14:colorSeries theme="9" tint="-0.249977111117893"/>
          <x14:colorNegative rgb="FFD00000"/>
          <x14:colorAxis rgb="FF000000"/>
          <x14:colorMarkers theme="3"/>
          <x14:colorFirst rgb="FFD00000"/>
          <x14:colorLast rgb="FFD00000"/>
          <x14:colorHigh rgb="FFD00000"/>
          <x14:colorLow rgb="FFD00000"/>
          <x14:sparklines>
            <x14:sparkline>
              <xm:f>'Historical Analysis'!F96:J96</xm:f>
              <xm:sqref>L96</xm:sqref>
            </x14:sparkline>
          </x14:sparklines>
        </x14:sparklineGroup>
        <x14:sparklineGroup displayEmptyCellsAs="gap" markers="1" xr2:uid="{511A16B5-F35B-DB4B-9C13-C9BE28391686}">
          <x14:colorSeries theme="9" tint="-0.249977111117893"/>
          <x14:colorNegative rgb="FFD00000"/>
          <x14:colorAxis rgb="FF000000"/>
          <x14:colorMarkers theme="3"/>
          <x14:colorFirst rgb="FFD00000"/>
          <x14:colorLast rgb="FFD00000"/>
          <x14:colorHigh rgb="FFD00000"/>
          <x14:colorLow rgb="FFD00000"/>
          <x14:sparklines>
            <x14:sparkline>
              <xm:f>'Historical Analysis'!F93:J93</xm:f>
              <xm:sqref>L93</xm:sqref>
            </x14:sparkline>
          </x14:sparklines>
        </x14:sparklineGroup>
        <x14:sparklineGroup displayEmptyCellsAs="gap" markers="1" xr2:uid="{847644EE-D7DE-7D47-AE8B-D488D488D7A3}">
          <x14:colorSeries rgb="FFFF0000"/>
          <x14:colorNegative rgb="FFD00000"/>
          <x14:colorAxis rgb="FF000000"/>
          <x14:colorMarkers theme="3"/>
          <x14:colorFirst rgb="FFD00000"/>
          <x14:colorLast rgb="FFD00000"/>
          <x14:colorHigh rgb="FFD00000"/>
          <x14:colorLow rgb="FFD00000"/>
          <x14:sparklines>
            <x14:sparkline>
              <xm:f>'Historical Analysis'!G87:J87</xm:f>
              <xm:sqref>L87</xm:sqref>
            </x14:sparkline>
          </x14:sparklines>
        </x14:sparklineGroup>
        <x14:sparklineGroup displayEmptyCellsAs="gap" markers="1" xr2:uid="{2CD6DC3F-0A8C-7240-8DB2-096AE1BBFF52}">
          <x14:colorSeries theme="5" tint="0.39997558519241921"/>
          <x14:colorNegative rgb="FFD00000"/>
          <x14:colorAxis rgb="FF000000"/>
          <x14:colorMarkers theme="3"/>
          <x14:colorFirst rgb="FFD00000"/>
          <x14:colorLast rgb="FFD00000"/>
          <x14:colorHigh rgb="FFD00000"/>
          <x14:colorLow rgb="FFD00000"/>
          <x14:sparklines>
            <x14:sparkline>
              <xm:f>'Historical Analysis'!F71:J71</xm:f>
              <xm:sqref>L71</xm:sqref>
            </x14:sparkline>
          </x14:sparklines>
        </x14:sparklineGroup>
        <x14:sparklineGroup displayEmptyCellsAs="gap" markers="1" negative="1" xr2:uid="{3035E73E-FE54-1443-A556-4BA33760FC5D}">
          <x14:colorSeries theme="9" tint="0.39997558519241921"/>
          <x14:colorNegative rgb="FFD00000"/>
          <x14:colorAxis rgb="FF000000"/>
          <x14:colorMarkers theme="3"/>
          <x14:colorFirst rgb="FFD00000"/>
          <x14:colorLast rgb="FFD00000"/>
          <x14:colorHigh rgb="FFD00000"/>
          <x14:colorLow rgb="FFD00000"/>
          <x14:sparklines>
            <x14:sparkline>
              <xm:f>'Historical Analysis'!F94:J94</xm:f>
              <xm:sqref>L94</xm:sqref>
            </x14:sparkline>
          </x14:sparklines>
        </x14:sparklineGroup>
        <x14:sparklineGroup displayEmptyCellsAs="gap" markers="1" negative="1" xr2:uid="{169464FD-826F-7840-B851-85C8D9046A4D}">
          <x14:colorSeries theme="9" tint="0.39997558519241921"/>
          <x14:colorNegative rgb="FFD00000"/>
          <x14:colorAxis rgb="FF000000"/>
          <x14:colorMarkers theme="3"/>
          <x14:colorFirst rgb="FFD00000"/>
          <x14:colorLast rgb="FFD00000"/>
          <x14:colorHigh rgb="FFD00000"/>
          <x14:colorLow rgb="FFD00000"/>
          <x14:sparklines>
            <x14:sparkline>
              <xm:f>'Historical Analysis'!F97:J97</xm:f>
              <xm:sqref>L97</xm:sqref>
            </x14:sparkline>
          </x14:sparklines>
        </x14:sparklineGroup>
        <x14:sparklineGroup displayEmptyCellsAs="gap" markers="1" negative="1" xr2:uid="{0CB9E301-92D5-CA4E-8562-674A2FCA8123}">
          <x14:colorSeries theme="9" tint="-0.249977111117893"/>
          <x14:colorNegative rgb="FFD00000"/>
          <x14:colorAxis rgb="FF000000"/>
          <x14:colorMarkers theme="3"/>
          <x14:colorFirst rgb="FFD00000"/>
          <x14:colorLast rgb="FFD00000"/>
          <x14:colorHigh rgb="FFD00000"/>
          <x14:colorLow rgb="FFD00000"/>
          <x14:sparklines>
            <x14:sparkline>
              <xm:f>'Historical Analysis'!F110:J110</xm:f>
              <xm:sqref>L110</xm:sqref>
            </x14:sparkline>
          </x14:sparklines>
        </x14:sparklineGroup>
        <x14:sparklineGroup displayEmptyCellsAs="gap" markers="1" xr2:uid="{EF442E62-552A-5747-9CD7-01FBF40FEEDF}">
          <x14:colorSeries theme="9"/>
          <x14:colorNegative rgb="FFD00000"/>
          <x14:colorAxis rgb="FF000000"/>
          <x14:colorMarkers theme="3"/>
          <x14:colorFirst rgb="FFD00000"/>
          <x14:colorLast rgb="FFD00000"/>
          <x14:colorHigh rgb="FFD00000"/>
          <x14:colorLow rgb="FFD00000"/>
          <x14:sparklines>
            <x14:sparkline>
              <xm:f>'Historical Analysis'!F38:J38</xm:f>
              <xm:sqref>L38</xm:sqref>
            </x14:sparkline>
          </x14:sparklines>
        </x14:sparklineGroup>
        <x14:sparklineGroup displayEmptyCellsAs="gap" markers="1" xr2:uid="{C6F6EC9B-3455-9545-B7BD-9652B8BC8463}">
          <x14:colorSeries theme="9"/>
          <x14:colorNegative rgb="FFD00000"/>
          <x14:colorAxis rgb="FF000000"/>
          <x14:colorMarkers theme="3"/>
          <x14:colorFirst rgb="FFD00000"/>
          <x14:colorLast rgb="FFD00000"/>
          <x14:colorHigh rgb="FFD00000"/>
          <x14:colorLow rgb="FFD00000"/>
          <x14:sparklines>
            <x14:sparkline>
              <xm:f>'Historical Analysis'!F39:J39</xm:f>
              <xm:sqref>L39</xm:sqref>
            </x14:sparkline>
          </x14:sparklines>
        </x14:sparklineGroup>
        <x14:sparklineGroup type="column" displayEmptyCellsAs="gap" xr2:uid="{93E4A78A-C093-F341-BEB0-1C202F94A782}">
          <x14:colorSeries rgb="FF376092"/>
          <x14:colorNegative rgb="FFD00000"/>
          <x14:colorAxis rgb="FF000000"/>
          <x14:colorMarkers rgb="FFD00000"/>
          <x14:colorFirst rgb="FFD00000"/>
          <x14:colorLast rgb="FFD00000"/>
          <x14:colorHigh rgb="FFD00000"/>
          <x14:colorLow rgb="FFD00000"/>
          <x14:sparklines>
            <x14:sparkline>
              <xm:f>'Historical Analysis'!F50:J50</xm:f>
              <xm:sqref>L50</xm:sqref>
            </x14:sparkline>
          </x14:sparklines>
        </x14:sparklineGroup>
        <x14:sparklineGroup type="column" displayEmptyCellsAs="gap" xr2:uid="{6E0FA7EC-E172-DC4A-8673-202B7FD826D8}">
          <x14:colorSeries rgb="FF376092"/>
          <x14:colorNegative rgb="FFD00000"/>
          <x14:colorAxis rgb="FF000000"/>
          <x14:colorMarkers rgb="FFD00000"/>
          <x14:colorFirst rgb="FFD00000"/>
          <x14:colorLast rgb="FFD00000"/>
          <x14:colorHigh rgb="FFD00000"/>
          <x14:colorLow rgb="FFD00000"/>
          <x14:sparklines>
            <x14:sparkline>
              <xm:f>'Historical Analysis'!F56:J56</xm:f>
              <xm:sqref>L56</xm:sqref>
            </x14:sparkline>
          </x14:sparklines>
        </x14:sparklineGroup>
        <x14:sparklineGroup displayEmptyCellsAs="gap" markers="1" xr2:uid="{70A98DDC-20F7-DC48-99DA-6B54F0C2528D}">
          <x14:colorSeries theme="5" tint="0.39997558519241921"/>
          <x14:colorNegative rgb="FFD00000"/>
          <x14:colorAxis rgb="FF000000"/>
          <x14:colorMarkers theme="3"/>
          <x14:colorFirst rgb="FFD00000"/>
          <x14:colorLast rgb="FFD00000"/>
          <x14:colorHigh rgb="FFD00000"/>
          <x14:colorLow rgb="FFD00000"/>
          <x14:sparklines>
            <x14:sparkline>
              <xm:f>'Historical Analysis'!F62:J62</xm:f>
              <xm:sqref>L62</xm:sqref>
            </x14:sparkline>
          </x14:sparklines>
        </x14:sparklineGroup>
        <x14:sparklineGroup displayEmptyCellsAs="gap" markers="1" xr2:uid="{8E281EC6-4D7B-0F48-AB29-980ED28C114B}">
          <x14:colorSeries theme="5" tint="0.39997558519241921"/>
          <x14:colorNegative rgb="FFD00000"/>
          <x14:colorAxis rgb="FF000000"/>
          <x14:colorMarkers theme="3"/>
          <x14:colorFirst rgb="FFD00000"/>
          <x14:colorLast rgb="FFD00000"/>
          <x14:colorHigh rgb="FFD00000"/>
          <x14:colorLow rgb="FFD00000"/>
          <x14:sparklines>
            <x14:sparkline>
              <xm:f>'Historical Analysis'!F64:J64</xm:f>
              <xm:sqref>L64</xm:sqref>
            </x14:sparkline>
          </x14:sparklines>
        </x14:sparklineGroup>
        <x14:sparklineGroup displayEmptyCellsAs="gap" markers="1" first="1" last="1" xr2:uid="{7D8E6C2F-16A5-444E-8E65-2A69C2E5062D}">
          <x14:colorSeries rgb="FFFF0000"/>
          <x14:colorNegative rgb="FF000000"/>
          <x14:colorAxis rgb="FF000000"/>
          <x14:colorMarkers rgb="FF000000"/>
          <x14:colorFirst rgb="FF000000"/>
          <x14:colorLast rgb="FF000000"/>
          <x14:colorHigh rgb="FF000000"/>
          <x14:colorLow rgb="FF000000"/>
          <x14:sparklines>
            <x14:sparkline>
              <xm:f>'Historical Analysis'!G8:J8</xm:f>
              <xm:sqref>L7</xm:sqref>
            </x14:sparkline>
          </x14:sparklines>
        </x14:sparklineGroup>
        <x14:sparklineGroup displayEmptyCellsAs="gap" xr2:uid="{52DC62F7-32A9-2A43-874F-B0AB5E2FF8D1}">
          <x14:colorSeries rgb="FF376092"/>
          <x14:colorNegative rgb="FFD00000"/>
          <x14:colorAxis rgb="FF000000"/>
          <x14:colorMarkers rgb="FFD00000"/>
          <x14:colorFirst rgb="FFD00000"/>
          <x14:colorLast rgb="FFD00000"/>
          <x14:colorHigh rgb="FFD00000"/>
          <x14:colorLow rgb="FFD00000"/>
          <x14:sparklines>
            <x14:sparkline>
              <xm:f>'Historical Analysis'!F14:F14</xm:f>
              <xm:sqref>F14</xm:sqref>
            </x14:sparkline>
            <x14:sparkline>
              <xm:f>'Historical Analysis'!G14:G14</xm:f>
              <xm:sqref>G14</xm:sqref>
            </x14:sparkline>
            <x14:sparkline>
              <xm:f>'Historical Analysis'!H14:H14</xm:f>
              <xm:sqref>H14</xm:sqref>
            </x14:sparkline>
            <x14:sparkline>
              <xm:f>'Historical Analysis'!I14:I14</xm:f>
              <xm:sqref>I14</xm:sqref>
            </x14:sparkline>
            <x14:sparkline>
              <xm:f>'Historical Analysis'!J14:J14</xm:f>
              <xm:sqref>J14</xm:sqref>
            </x14:sparkline>
          </x14:sparklines>
        </x14:sparklineGroup>
        <x14:sparklineGroup displayEmptyCellsAs="gap" markers="1" xr2:uid="{2D79140A-1EB4-C64A-8457-45C83443381F}">
          <x14:colorSeries theme="9" tint="-0.249977111117893"/>
          <x14:colorNegative rgb="FFD00000"/>
          <x14:colorAxis rgb="FF000000"/>
          <x14:colorMarkers theme="3"/>
          <x14:colorFirst rgb="FFD00000"/>
          <x14:colorLast rgb="FFD00000"/>
          <x14:colorHigh rgb="FFD00000"/>
          <x14:colorLow rgb="FFD00000"/>
          <x14:sparklines>
            <x14:sparkline>
              <xm:f>'Historical Analysis'!F14:J14</xm:f>
              <xm:sqref>L14</xm:sqref>
            </x14:sparkline>
          </x14:sparklines>
        </x14:sparklineGroup>
        <x14:sparklineGroup type="column" displayEmptyCellsAs="gap" xr2:uid="{61C74FF0-14A2-E844-8E20-C7615D3119B6}">
          <x14:colorSeries theme="5" tint="-0.249977111117893"/>
          <x14:colorNegative theme="6"/>
          <x14:colorAxis rgb="FF000000"/>
          <x14:colorMarkers theme="6" tint="-0.249977111117893"/>
          <x14:colorFirst theme="6" tint="-0.249977111117893"/>
          <x14:colorLast theme="6" tint="-0.249977111117893"/>
          <x14:colorHigh theme="6" tint="-0.249977111117893"/>
          <x14:colorLow theme="6" tint="-0.249977111117893"/>
          <x14:sparklines>
            <x14:sparkline>
              <xm:f>'Historical Analysis'!F19:J19</xm:f>
              <xm:sqref>L19</xm:sqref>
            </x14:sparkline>
          </x14:sparklines>
        </x14:sparklineGroup>
        <x14:sparklineGroup type="column" displayEmptyCellsAs="gap" xr2:uid="{0691D24B-36CB-8147-BB8A-D8C90BBE4D2B}">
          <x14:colorSeries theme="4" tint="-0.249977111117893"/>
          <x14:colorNegative theme="5"/>
          <x14:colorAxis rgb="FF000000"/>
          <x14:colorMarkers theme="5" tint="-0.249977111117893"/>
          <x14:colorFirst theme="5" tint="-0.249977111117893"/>
          <x14:colorLast theme="5" tint="-0.249977111117893"/>
          <x14:colorHigh theme="5" tint="-0.249977111117893"/>
          <x14:colorLow theme="5" tint="-0.249977111117893"/>
          <x14:sparklines>
            <x14:sparkline>
              <xm:f>'Historical Analysis'!F21:J21</xm:f>
              <xm:sqref>L21</xm:sqref>
            </x14:sparkline>
          </x14:sparklines>
        </x14:sparklineGroup>
        <x14:sparklineGroup displayEmptyCellsAs="gap" markers="1" xr2:uid="{C8B15CFF-4F0C-FA47-956D-89772EF7B41C}">
          <x14:colorSeries rgb="FFFF0000"/>
          <x14:colorNegative rgb="FFD00000"/>
          <x14:colorAxis rgb="FF000000"/>
          <x14:colorMarkers theme="3"/>
          <x14:colorFirst rgb="FFD00000"/>
          <x14:colorLast rgb="FFD00000"/>
          <x14:colorHigh rgb="FFD00000"/>
          <x14:colorLow rgb="FFD00000"/>
          <x14:sparklines>
            <x14:sparkline>
              <xm:f>'Historical Analysis'!F22:J22</xm:f>
              <xm:sqref>L22</xm:sqref>
            </x14:sparkline>
          </x14:sparklines>
        </x14:sparklineGroup>
        <x14:sparklineGroup type="column" displayEmptyCellsAs="gap" xr2:uid="{EABF13F5-938A-E541-9558-38B49C9A072F}">
          <x14:colorSeries theme="3" tint="0.34998626667073579"/>
          <x14:colorNegative theme="0" tint="-0.249977111117893"/>
          <x14:colorAxis rgb="FF000000"/>
          <x14:colorMarkers theme="0" tint="-0.249977111117893"/>
          <x14:colorFirst theme="0" tint="-0.249977111117893"/>
          <x14:colorLast theme="0" tint="-0.249977111117893"/>
          <x14:colorHigh theme="0" tint="-0.249977111117893"/>
          <x14:colorLow theme="0" tint="-0.249977111117893"/>
          <x14:sparklines>
            <x14:sparkline>
              <xm:f>'Historical Analysis'!F20:J20</xm:f>
              <xm:sqref>L20</xm:sqref>
            </x14:sparkline>
          </x14:sparklines>
        </x14:sparklineGroup>
        <x14:sparklineGroup displayEmptyCellsAs="gap" markers="1" negative="1" xr2:uid="{63BB29B5-6E2B-F14A-9F29-278E829C2FD2}">
          <x14:colorSeries theme="9"/>
          <x14:colorNegative rgb="FFD00000"/>
          <x14:colorAxis rgb="FF000000"/>
          <x14:colorMarkers theme="3"/>
          <x14:colorFirst rgb="FFD00000"/>
          <x14:colorLast rgb="FFD00000"/>
          <x14:colorHigh rgb="FFD00000"/>
          <x14:colorLow rgb="FFD00000"/>
          <x14:sparklines>
            <x14:sparkline>
              <xm:f>'Historical Analysis'!F27:J27</xm:f>
              <xm:sqref>L27</xm:sqref>
            </x14:sparkline>
          </x14:sparklines>
        </x14:sparklineGroup>
        <x14:sparklineGroup displayEmptyCellsAs="gap" markers="1" negative="1" xr2:uid="{EFB7DA3D-BFED-B149-ABFF-BA2F070EF1E1}">
          <x14:colorSeries theme="9"/>
          <x14:colorNegative rgb="FFD00000"/>
          <x14:colorAxis rgb="FF000000"/>
          <x14:colorMarkers theme="3"/>
          <x14:colorFirst rgb="FFD00000"/>
          <x14:colorLast rgb="FFD00000"/>
          <x14:colorHigh rgb="FFD00000"/>
          <x14:colorLow rgb="FFD00000"/>
          <x14:sparklines>
            <x14:sparkline>
              <xm:f>'Historical Analysis'!F28:J28</xm:f>
              <xm:sqref>L28</xm:sqref>
            </x14:sparkline>
          </x14:sparklines>
        </x14:sparklineGroup>
        <x14:sparklineGroup displayEmptyCellsAs="gap" markers="1" negative="1" xr2:uid="{82C565F3-CEF2-994B-AD76-E9F852CF7AA4}">
          <x14:colorSeries theme="9"/>
          <x14:colorNegative rgb="FFD00000"/>
          <x14:colorAxis rgb="FF000000"/>
          <x14:colorMarkers theme="3"/>
          <x14:colorFirst rgb="FFD00000"/>
          <x14:colorLast rgb="FFD00000"/>
          <x14:colorHigh rgb="FFD00000"/>
          <x14:colorLow rgb="FFD00000"/>
          <x14:sparklines>
            <x14:sparkline>
              <xm:f>'Historical Analysis'!F29:J29</xm:f>
              <xm:sqref>L29</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0BA9-AB67-0945-9CB8-43EFAC6A68D9}">
  <sheetPr>
    <tabColor rgb="FF2E75B6"/>
  </sheetPr>
  <dimension ref="B2:K88"/>
  <sheetViews>
    <sheetView zoomScale="150" workbookViewId="0">
      <selection activeCell="H11" sqref="H11"/>
    </sheetView>
  </sheetViews>
  <sheetFormatPr baseColWidth="10" defaultRowHeight="16" x14ac:dyDescent="0.2"/>
  <cols>
    <col min="1" max="1" width="2.5" style="1" customWidth="1"/>
    <col min="2" max="2" width="30.83203125" style="1" customWidth="1"/>
    <col min="3" max="3" width="4.5" style="1" customWidth="1"/>
    <col min="4" max="4" width="4.6640625" style="1" customWidth="1"/>
    <col min="5" max="5" width="1.6640625" style="1" customWidth="1"/>
    <col min="6" max="10" width="14.1640625" style="1" customWidth="1"/>
    <col min="11" max="16384" width="10.83203125" style="1"/>
  </cols>
  <sheetData>
    <row r="2" spans="2:11" ht="28" customHeight="1" x14ac:dyDescent="0.25">
      <c r="B2" s="10" t="s">
        <v>311</v>
      </c>
      <c r="C2" s="57"/>
      <c r="D2" s="57"/>
      <c r="E2" s="57"/>
      <c r="F2" s="57"/>
      <c r="G2" s="57"/>
      <c r="H2" s="57"/>
      <c r="I2" s="57"/>
      <c r="J2" s="57"/>
      <c r="K2" s="57"/>
    </row>
    <row r="3" spans="2:11" x14ac:dyDescent="0.2">
      <c r="B3" s="58" t="s">
        <v>338</v>
      </c>
      <c r="C3" s="59"/>
      <c r="D3" s="59"/>
      <c r="E3" s="59"/>
      <c r="F3" s="59"/>
      <c r="G3" s="59"/>
      <c r="H3" s="59"/>
      <c r="I3" s="59"/>
      <c r="J3" s="59"/>
      <c r="K3" s="59"/>
    </row>
    <row r="5" spans="2:11" x14ac:dyDescent="0.2">
      <c r="B5" s="60" t="s">
        <v>312</v>
      </c>
    </row>
    <row r="6" spans="2:11" ht="19" x14ac:dyDescent="0.25">
      <c r="B6" s="5" t="s">
        <v>313</v>
      </c>
      <c r="C6" s="61" t="s">
        <v>337</v>
      </c>
    </row>
    <row r="7" spans="2:11" x14ac:dyDescent="0.2">
      <c r="B7" s="62" t="s">
        <v>314</v>
      </c>
      <c r="C7" s="63">
        <f>IF(C6="Bull",1,IF(C6="Base",2,3))</f>
        <v>2</v>
      </c>
      <c r="D7" s="64" t="s">
        <v>315</v>
      </c>
    </row>
    <row r="9" spans="2:11" x14ac:dyDescent="0.2">
      <c r="B9" s="17" t="s">
        <v>316</v>
      </c>
      <c r="C9" s="57"/>
      <c r="D9" s="57"/>
      <c r="E9" s="57"/>
      <c r="F9" s="16" t="s">
        <v>317</v>
      </c>
      <c r="G9" s="16" t="s">
        <v>318</v>
      </c>
      <c r="H9" s="16" t="s">
        <v>319</v>
      </c>
      <c r="I9" s="16" t="s">
        <v>320</v>
      </c>
      <c r="J9" s="16" t="s">
        <v>321</v>
      </c>
      <c r="K9" s="16"/>
    </row>
    <row r="10" spans="2:11" x14ac:dyDescent="0.2">
      <c r="B10" s="65" t="s">
        <v>322</v>
      </c>
    </row>
    <row r="11" spans="2:11" x14ac:dyDescent="0.2">
      <c r="B11" s="66" t="s">
        <v>323</v>
      </c>
      <c r="F11" s="67">
        <f>'Supporting Schedules'!C9</f>
        <v>0.11925049439683579</v>
      </c>
      <c r="G11" s="67">
        <f>'Supporting Schedules'!D9</f>
        <v>0.10615915632400681</v>
      </c>
      <c r="H11" s="67">
        <f>'Supporting Schedules'!E9</f>
        <v>9.6119716256034049E-2</v>
      </c>
      <c r="I11" s="67">
        <f>'Supporting Schedules'!F9</f>
        <v>8.7935973380556351E-2</v>
      </c>
      <c r="J11" s="67">
        <f>'Supporting Schedules'!G9</f>
        <v>7.9241747961356163E-2</v>
      </c>
    </row>
    <row r="12" spans="2:11" x14ac:dyDescent="0.2">
      <c r="B12" s="66" t="s">
        <v>324</v>
      </c>
      <c r="F12" s="67">
        <f>'Supporting Schedules'!C120</f>
        <v>0.71720727896129066</v>
      </c>
      <c r="G12" s="67">
        <f>'Supporting Schedules'!D120</f>
        <v>0.71720727896129066</v>
      </c>
      <c r="H12" s="67">
        <f>'Supporting Schedules'!E120</f>
        <v>0.71720727896129066</v>
      </c>
      <c r="I12" s="67">
        <f>'Supporting Schedules'!F120</f>
        <v>0.71720727896129066</v>
      </c>
      <c r="J12" s="67">
        <f>'Supporting Schedules'!G120</f>
        <v>0.71720727896129066</v>
      </c>
    </row>
    <row r="14" spans="2:11" x14ac:dyDescent="0.2">
      <c r="B14" s="65" t="s">
        <v>325</v>
      </c>
    </row>
    <row r="15" spans="2:11" x14ac:dyDescent="0.2">
      <c r="B15" s="66" t="s">
        <v>398</v>
      </c>
      <c r="F15" s="67">
        <f>'Supporting Schedules'!C138</f>
        <v>3.0112847789870779E-3</v>
      </c>
      <c r="G15" s="67">
        <f>'Supporting Schedules'!D138</f>
        <v>3.0112847789870779E-3</v>
      </c>
      <c r="H15" s="67">
        <f>'Supporting Schedules'!E138</f>
        <v>3.0112847789870779E-3</v>
      </c>
      <c r="I15" s="67">
        <f>'Supporting Schedules'!F138</f>
        <v>3.0112847789870779E-3</v>
      </c>
      <c r="J15" s="67">
        <f>'Supporting Schedules'!G138</f>
        <v>3.0112847789870779E-3</v>
      </c>
    </row>
    <row r="16" spans="2:11" x14ac:dyDescent="0.2">
      <c r="B16" s="66" t="s">
        <v>326</v>
      </c>
      <c r="F16" s="67">
        <f>'Supporting Schedules'!C139</f>
        <v>0.2456239050927318</v>
      </c>
      <c r="G16" s="67">
        <f>'Supporting Schedules'!D139</f>
        <v>0.2456239050927318</v>
      </c>
      <c r="H16" s="67">
        <f>'Supporting Schedules'!E139</f>
        <v>0.2456239050927318</v>
      </c>
      <c r="I16" s="67">
        <f>'Supporting Schedules'!F139</f>
        <v>0.2456239050927318</v>
      </c>
      <c r="J16" s="67">
        <f>'Supporting Schedules'!G139</f>
        <v>0.2456239050927318</v>
      </c>
    </row>
    <row r="17" spans="2:10" x14ac:dyDescent="0.2">
      <c r="B17" s="66"/>
      <c r="F17" s="67"/>
      <c r="G17" s="67"/>
      <c r="H17" s="67"/>
      <c r="I17" s="67"/>
      <c r="J17" s="67"/>
    </row>
    <row r="18" spans="2:10" x14ac:dyDescent="0.2">
      <c r="B18" s="65" t="s">
        <v>437</v>
      </c>
    </row>
    <row r="19" spans="2:10" x14ac:dyDescent="0.2">
      <c r="B19" s="66" t="s">
        <v>438</v>
      </c>
      <c r="F19" s="141">
        <f>'Supporting Schedules'!D219</f>
        <v>0.166664537104664</v>
      </c>
      <c r="G19" s="141">
        <f>F19</f>
        <v>0.166664537104664</v>
      </c>
      <c r="H19" s="141">
        <f t="shared" ref="H19:J19" si="0">G19</f>
        <v>0.166664537104664</v>
      </c>
      <c r="I19" s="141">
        <f t="shared" si="0"/>
        <v>0.166664537104664</v>
      </c>
      <c r="J19" s="141">
        <f t="shared" si="0"/>
        <v>0.166664537104664</v>
      </c>
    </row>
    <row r="21" spans="2:10" x14ac:dyDescent="0.2">
      <c r="B21" s="65"/>
    </row>
    <row r="22" spans="2:10" x14ac:dyDescent="0.2">
      <c r="B22" s="65" t="s">
        <v>327</v>
      </c>
    </row>
    <row r="23" spans="2:10" x14ac:dyDescent="0.2">
      <c r="B23" s="66" t="s">
        <v>328</v>
      </c>
      <c r="F23" s="67">
        <f>'Supporting Schedules'!C303</f>
        <v>0.29007949376926517</v>
      </c>
      <c r="G23" s="67">
        <f>F23</f>
        <v>0.29007949376926517</v>
      </c>
      <c r="H23" s="67">
        <f t="shared" ref="H23:J23" si="1">G23</f>
        <v>0.29007949376926517</v>
      </c>
      <c r="I23" s="67">
        <f t="shared" si="1"/>
        <v>0.29007949376926517</v>
      </c>
      <c r="J23" s="67">
        <f t="shared" si="1"/>
        <v>0.29007949376926517</v>
      </c>
    </row>
    <row r="25" spans="2:10" x14ac:dyDescent="0.2">
      <c r="B25" s="65" t="s">
        <v>329</v>
      </c>
    </row>
    <row r="26" spans="2:10" x14ac:dyDescent="0.2">
      <c r="B26" s="66" t="s">
        <v>330</v>
      </c>
      <c r="F26" s="68">
        <f>'Supporting Schedules'!H173</f>
        <v>11.608653330328078</v>
      </c>
      <c r="G26" s="68">
        <f>'Supporting Schedules'!I173</f>
        <v>11.608653330328078</v>
      </c>
      <c r="H26" s="68">
        <f>'Supporting Schedules'!J173</f>
        <v>11.608653330328078</v>
      </c>
      <c r="I26" s="68">
        <f>'Supporting Schedules'!K173</f>
        <v>11.608653330328078</v>
      </c>
      <c r="J26" s="68">
        <f>'Supporting Schedules'!L173</f>
        <v>11.608653330328078</v>
      </c>
    </row>
    <row r="27" spans="2:10" x14ac:dyDescent="0.2">
      <c r="B27" s="66" t="s">
        <v>421</v>
      </c>
      <c r="F27" s="68">
        <f>'Supporting Schedules'!H182</f>
        <v>236.63282096610527</v>
      </c>
      <c r="G27" s="68">
        <f>'Supporting Schedules'!I182</f>
        <v>236.63282096610527</v>
      </c>
      <c r="H27" s="68">
        <f>'Supporting Schedules'!J182</f>
        <v>236.63282096610527</v>
      </c>
      <c r="I27" s="68">
        <f>'Supporting Schedules'!K182</f>
        <v>236.63282096610527</v>
      </c>
      <c r="J27" s="68">
        <f>'Supporting Schedules'!L182</f>
        <v>236.63282096610527</v>
      </c>
    </row>
    <row r="28" spans="2:10" x14ac:dyDescent="0.2">
      <c r="B28" s="66" t="s">
        <v>331</v>
      </c>
      <c r="F28" s="68">
        <f>'Supporting Schedules'!H190</f>
        <v>55.218801979265066</v>
      </c>
      <c r="G28" s="68">
        <f>'Supporting Schedules'!I190</f>
        <v>55.218801979265066</v>
      </c>
      <c r="H28" s="68">
        <f>'Supporting Schedules'!J190</f>
        <v>55.218801979265066</v>
      </c>
      <c r="I28" s="68">
        <f>'Supporting Schedules'!K190</f>
        <v>55.218801979265066</v>
      </c>
      <c r="J28" s="68">
        <f>'Supporting Schedules'!L190</f>
        <v>55.218801979265066</v>
      </c>
    </row>
    <row r="29" spans="2:10" x14ac:dyDescent="0.2">
      <c r="B29" s="66" t="s">
        <v>332</v>
      </c>
      <c r="F29" s="69">
        <f>'Supporting Schedules'!$D$200</f>
        <v>4.583455619570817E-2</v>
      </c>
      <c r="G29" s="69">
        <f>'Supporting Schedules'!$D$200</f>
        <v>4.583455619570817E-2</v>
      </c>
      <c r="H29" s="69">
        <f>'Supporting Schedules'!$D$200</f>
        <v>4.583455619570817E-2</v>
      </c>
      <c r="I29" s="69">
        <f>'Supporting Schedules'!$D$200</f>
        <v>4.583455619570817E-2</v>
      </c>
      <c r="J29" s="69">
        <f>'Supporting Schedules'!$D$200</f>
        <v>4.583455619570817E-2</v>
      </c>
    </row>
    <row r="30" spans="2:10" x14ac:dyDescent="0.2">
      <c r="B30" s="66" t="s">
        <v>333</v>
      </c>
      <c r="F30" s="69">
        <f>'Supporting Schedules'!C290</f>
        <v>0.37145605991116837</v>
      </c>
      <c r="G30" s="69">
        <f>F30</f>
        <v>0.37145605991116837</v>
      </c>
      <c r="H30" s="69">
        <f t="shared" ref="H30:J30" si="2">G30</f>
        <v>0.37145605991116837</v>
      </c>
      <c r="I30" s="69">
        <f t="shared" si="2"/>
        <v>0.37145605991116837</v>
      </c>
      <c r="J30" s="69">
        <f t="shared" si="2"/>
        <v>0.37145605991116837</v>
      </c>
    </row>
    <row r="31" spans="2:10" x14ac:dyDescent="0.2">
      <c r="B31" s="66" t="s">
        <v>334</v>
      </c>
      <c r="F31" s="69">
        <f>'Supporting Schedules'!$C$316</f>
        <v>0.12608551276624569</v>
      </c>
      <c r="G31" s="69">
        <f>'Supporting Schedules'!$C$316</f>
        <v>0.12608551276624569</v>
      </c>
      <c r="H31" s="69">
        <f>'Supporting Schedules'!$C$316</f>
        <v>0.12608551276624569</v>
      </c>
      <c r="I31" s="69">
        <f>'Supporting Schedules'!$C$316</f>
        <v>0.12608551276624569</v>
      </c>
      <c r="J31" s="69">
        <f>'Supporting Schedules'!$C$316</f>
        <v>0.12608551276624569</v>
      </c>
    </row>
    <row r="32" spans="2:10" x14ac:dyDescent="0.2">
      <c r="B32" s="66" t="s">
        <v>493</v>
      </c>
      <c r="F32" s="69">
        <f>'Supporting Schedules'!$C$211</f>
        <v>6.7155880728914319E-2</v>
      </c>
      <c r="G32" s="69">
        <f>'Supporting Schedules'!$C$211</f>
        <v>6.7155880728914319E-2</v>
      </c>
      <c r="H32" s="69">
        <f>'Supporting Schedules'!$C$211</f>
        <v>6.7155880728914319E-2</v>
      </c>
      <c r="I32" s="69">
        <f>'Supporting Schedules'!$C$211</f>
        <v>6.7155880728914319E-2</v>
      </c>
      <c r="J32" s="69">
        <f>'Supporting Schedules'!$C$211</f>
        <v>6.7155880728914319E-2</v>
      </c>
    </row>
    <row r="33" spans="2:10" x14ac:dyDescent="0.2">
      <c r="B33" s="66"/>
      <c r="F33" s="69"/>
      <c r="G33" s="69"/>
      <c r="H33" s="69"/>
      <c r="I33" s="69"/>
      <c r="J33" s="69"/>
    </row>
    <row r="34" spans="2:10" x14ac:dyDescent="0.2">
      <c r="B34" s="66"/>
      <c r="F34" s="69"/>
      <c r="G34" s="69"/>
      <c r="H34" s="69"/>
      <c r="I34" s="69"/>
      <c r="J34" s="69"/>
    </row>
    <row r="35" spans="2:10" x14ac:dyDescent="0.2">
      <c r="B35" s="65" t="s">
        <v>491</v>
      </c>
      <c r="F35" s="69"/>
      <c r="G35" s="69"/>
      <c r="H35" s="69"/>
      <c r="I35" s="69"/>
      <c r="J35" s="69"/>
    </row>
    <row r="36" spans="2:10" x14ac:dyDescent="0.2">
      <c r="B36" s="66" t="s">
        <v>492</v>
      </c>
      <c r="F36" s="69">
        <f>'Supporting Schedules'!C358</f>
        <v>1.7342080342869007E-2</v>
      </c>
      <c r="G36" s="69">
        <f>F36</f>
        <v>1.7342080342869007E-2</v>
      </c>
      <c r="H36" s="69">
        <f t="shared" ref="H36:J36" si="3">G36</f>
        <v>1.7342080342869007E-2</v>
      </c>
      <c r="I36" s="69">
        <f t="shared" si="3"/>
        <v>1.7342080342869007E-2</v>
      </c>
      <c r="J36" s="69">
        <f t="shared" si="3"/>
        <v>1.7342080342869007E-2</v>
      </c>
    </row>
    <row r="37" spans="2:10" x14ac:dyDescent="0.2">
      <c r="B37" s="66" t="s">
        <v>494</v>
      </c>
      <c r="F37" s="69">
        <f>'Supporting Schedules'!$C$329</f>
        <v>0.30676677194885421</v>
      </c>
      <c r="G37" s="69">
        <f>'Supporting Schedules'!$C$329</f>
        <v>0.30676677194885421</v>
      </c>
      <c r="H37" s="69">
        <f>'Supporting Schedules'!$C$329</f>
        <v>0.30676677194885421</v>
      </c>
      <c r="I37" s="69">
        <f>'Supporting Schedules'!$C$329</f>
        <v>0.30676677194885421</v>
      </c>
      <c r="J37" s="69">
        <f>'Supporting Schedules'!$C$329</f>
        <v>0.30676677194885421</v>
      </c>
    </row>
    <row r="38" spans="2:10" x14ac:dyDescent="0.2">
      <c r="B38" s="66" t="s">
        <v>499</v>
      </c>
      <c r="F38" s="69">
        <f>'Supporting Schedules'!$C$371</f>
        <v>0.39831423170540309</v>
      </c>
      <c r="G38" s="69">
        <f>'Supporting Schedules'!$C$371</f>
        <v>0.39831423170540309</v>
      </c>
      <c r="H38" s="69">
        <f>'Supporting Schedules'!$C$371</f>
        <v>0.39831423170540309</v>
      </c>
      <c r="I38" s="69">
        <f>'Supporting Schedules'!$C$371</f>
        <v>0.39831423170540309</v>
      </c>
      <c r="J38" s="69">
        <f>'Supporting Schedules'!$C$371</f>
        <v>0.39831423170540309</v>
      </c>
    </row>
    <row r="39" spans="2:10" x14ac:dyDescent="0.2">
      <c r="B39" s="66"/>
      <c r="F39" s="69"/>
      <c r="G39" s="69"/>
      <c r="H39" s="69"/>
      <c r="I39" s="69"/>
      <c r="J39" s="69"/>
    </row>
    <row r="40" spans="2:10" x14ac:dyDescent="0.2">
      <c r="B40" s="65" t="s">
        <v>335</v>
      </c>
    </row>
    <row r="41" spans="2:10" x14ac:dyDescent="0.2">
      <c r="B41" s="66" t="s">
        <v>336</v>
      </c>
      <c r="F41" s="67"/>
      <c r="G41" s="67"/>
      <c r="H41" s="67"/>
      <c r="I41" s="67"/>
      <c r="J41" s="67">
        <f>2.5%</f>
        <v>2.5000000000000001E-2</v>
      </c>
    </row>
    <row r="42" spans="2:10" x14ac:dyDescent="0.2">
      <c r="B42" s="66"/>
      <c r="F42" s="70"/>
      <c r="G42" s="70"/>
      <c r="H42" s="70"/>
      <c r="I42" s="70"/>
      <c r="J42" s="70"/>
    </row>
    <row r="45" spans="2:10" ht="28" customHeight="1" x14ac:dyDescent="0.25">
      <c r="B45" s="71"/>
    </row>
    <row r="47" spans="2:10" x14ac:dyDescent="0.2">
      <c r="B47" s="72"/>
    </row>
    <row r="48" spans="2:10" x14ac:dyDescent="0.2">
      <c r="F48" s="73"/>
      <c r="G48" s="73"/>
      <c r="H48" s="73"/>
      <c r="I48" s="73"/>
      <c r="J48" s="73"/>
    </row>
    <row r="49" spans="2:10" x14ac:dyDescent="0.2">
      <c r="B49" s="66"/>
      <c r="F49" s="74"/>
      <c r="G49" s="74"/>
      <c r="H49" s="74"/>
      <c r="I49" s="74"/>
      <c r="J49" s="74"/>
    </row>
    <row r="50" spans="2:10" x14ac:dyDescent="0.2">
      <c r="B50" s="66"/>
      <c r="F50" s="74"/>
      <c r="G50" s="74"/>
      <c r="H50" s="74"/>
      <c r="I50" s="74"/>
      <c r="J50" s="74"/>
    </row>
    <row r="51" spans="2:10" x14ac:dyDescent="0.2">
      <c r="B51" s="66"/>
      <c r="F51" s="74"/>
      <c r="G51" s="74"/>
      <c r="H51" s="74"/>
      <c r="I51" s="74"/>
      <c r="J51" s="74"/>
    </row>
    <row r="52" spans="2:10" x14ac:dyDescent="0.2">
      <c r="B52" s="66"/>
      <c r="F52" s="74"/>
      <c r="G52" s="74"/>
      <c r="H52" s="74"/>
      <c r="I52" s="74"/>
      <c r="J52" s="74"/>
    </row>
    <row r="53" spans="2:10" x14ac:dyDescent="0.2">
      <c r="B53" s="66"/>
      <c r="F53" s="74"/>
      <c r="G53" s="74"/>
      <c r="H53" s="74"/>
      <c r="I53" s="74"/>
      <c r="J53" s="74"/>
    </row>
    <row r="54" spans="2:10" x14ac:dyDescent="0.2">
      <c r="B54" s="66"/>
      <c r="F54" s="74"/>
      <c r="G54" s="74"/>
      <c r="H54" s="74"/>
      <c r="I54" s="74"/>
      <c r="J54" s="74"/>
    </row>
    <row r="55" spans="2:10" x14ac:dyDescent="0.2">
      <c r="B55" s="66"/>
      <c r="F55" s="74"/>
      <c r="G55" s="74"/>
      <c r="H55" s="74"/>
      <c r="I55" s="74"/>
      <c r="J55" s="74"/>
    </row>
    <row r="56" spans="2:10" x14ac:dyDescent="0.2">
      <c r="B56" s="66"/>
      <c r="F56" s="75"/>
      <c r="G56" s="75"/>
      <c r="H56" s="75"/>
      <c r="I56" s="75"/>
      <c r="J56" s="75"/>
    </row>
    <row r="57" spans="2:10" x14ac:dyDescent="0.2">
      <c r="B57" s="66"/>
      <c r="F57" s="75"/>
      <c r="G57" s="75"/>
      <c r="H57" s="75"/>
      <c r="I57" s="75"/>
      <c r="J57" s="75"/>
    </row>
    <row r="58" spans="2:10" x14ac:dyDescent="0.2">
      <c r="B58" s="66"/>
      <c r="F58" s="74"/>
      <c r="G58" s="74"/>
      <c r="H58" s="74"/>
      <c r="I58" s="74"/>
      <c r="J58" s="74"/>
    </row>
    <row r="59" spans="2:10" x14ac:dyDescent="0.2">
      <c r="B59" s="66"/>
      <c r="F59" s="74"/>
      <c r="G59" s="74"/>
      <c r="H59" s="74"/>
      <c r="I59" s="74"/>
      <c r="J59" s="74"/>
    </row>
    <row r="60" spans="2:10" x14ac:dyDescent="0.2">
      <c r="B60" s="66"/>
      <c r="F60" s="76"/>
      <c r="G60" s="76"/>
      <c r="H60" s="76"/>
      <c r="I60" s="76"/>
      <c r="J60" s="76"/>
    </row>
    <row r="61" spans="2:10" x14ac:dyDescent="0.2">
      <c r="B61" s="72"/>
    </row>
    <row r="62" spans="2:10" x14ac:dyDescent="0.2">
      <c r="F62" s="73"/>
      <c r="G62" s="73"/>
      <c r="H62" s="73"/>
      <c r="I62" s="73"/>
      <c r="J62" s="73"/>
    </row>
    <row r="63" spans="2:10" x14ac:dyDescent="0.2">
      <c r="B63" s="66"/>
      <c r="F63" s="74"/>
      <c r="G63" s="74"/>
      <c r="H63" s="74"/>
      <c r="I63" s="74"/>
      <c r="J63" s="74"/>
    </row>
    <row r="64" spans="2:10" x14ac:dyDescent="0.2">
      <c r="B64" s="66"/>
      <c r="F64" s="74"/>
      <c r="G64" s="74"/>
      <c r="H64" s="74"/>
      <c r="I64" s="74"/>
      <c r="J64" s="74"/>
    </row>
    <row r="65" spans="2:10" x14ac:dyDescent="0.2">
      <c r="B65" s="66"/>
      <c r="F65" s="74"/>
      <c r="G65" s="74"/>
      <c r="H65" s="74"/>
      <c r="I65" s="74"/>
      <c r="J65" s="74"/>
    </row>
    <row r="66" spans="2:10" x14ac:dyDescent="0.2">
      <c r="B66" s="66"/>
      <c r="F66" s="74"/>
      <c r="G66" s="74"/>
      <c r="H66" s="74"/>
      <c r="I66" s="74"/>
      <c r="J66" s="74"/>
    </row>
    <row r="67" spans="2:10" x14ac:dyDescent="0.2">
      <c r="B67" s="66"/>
      <c r="F67" s="74"/>
      <c r="G67" s="74"/>
      <c r="H67" s="74"/>
      <c r="I67" s="74"/>
      <c r="J67" s="74"/>
    </row>
    <row r="68" spans="2:10" x14ac:dyDescent="0.2">
      <c r="B68" s="66"/>
      <c r="F68" s="74"/>
      <c r="G68" s="74"/>
      <c r="H68" s="74"/>
      <c r="I68" s="74"/>
      <c r="J68" s="74"/>
    </row>
    <row r="69" spans="2:10" x14ac:dyDescent="0.2">
      <c r="B69" s="66"/>
      <c r="F69" s="74"/>
      <c r="G69" s="74"/>
      <c r="H69" s="74"/>
      <c r="I69" s="74"/>
      <c r="J69" s="74"/>
    </row>
    <row r="70" spans="2:10" x14ac:dyDescent="0.2">
      <c r="B70" s="66"/>
      <c r="F70" s="75"/>
      <c r="G70" s="75"/>
      <c r="H70" s="75"/>
      <c r="I70" s="75"/>
      <c r="J70" s="75"/>
    </row>
    <row r="71" spans="2:10" x14ac:dyDescent="0.2">
      <c r="B71" s="66"/>
      <c r="F71" s="75"/>
      <c r="G71" s="75"/>
      <c r="H71" s="75"/>
      <c r="I71" s="75"/>
      <c r="J71" s="75"/>
    </row>
    <row r="72" spans="2:10" x14ac:dyDescent="0.2">
      <c r="B72" s="66"/>
      <c r="F72" s="74"/>
      <c r="G72" s="74"/>
      <c r="H72" s="74"/>
      <c r="I72" s="74"/>
      <c r="J72" s="74"/>
    </row>
    <row r="73" spans="2:10" x14ac:dyDescent="0.2">
      <c r="B73" s="66"/>
      <c r="F73" s="74"/>
      <c r="G73" s="74"/>
      <c r="H73" s="74"/>
      <c r="I73" s="74"/>
      <c r="J73" s="74"/>
    </row>
    <row r="74" spans="2:10" x14ac:dyDescent="0.2">
      <c r="B74" s="66"/>
      <c r="F74" s="76"/>
      <c r="G74" s="76"/>
      <c r="H74" s="76"/>
      <c r="I74" s="76"/>
      <c r="J74" s="76"/>
    </row>
    <row r="75" spans="2:10" x14ac:dyDescent="0.2">
      <c r="B75" s="72"/>
    </row>
    <row r="76" spans="2:10" x14ac:dyDescent="0.2">
      <c r="F76" s="73"/>
      <c r="G76" s="73"/>
      <c r="H76" s="73"/>
      <c r="I76" s="73"/>
      <c r="J76" s="73"/>
    </row>
    <row r="77" spans="2:10" x14ac:dyDescent="0.2">
      <c r="B77" s="66"/>
      <c r="F77" s="74"/>
      <c r="G77" s="74"/>
      <c r="H77" s="74"/>
      <c r="I77" s="74"/>
      <c r="J77" s="74"/>
    </row>
    <row r="78" spans="2:10" x14ac:dyDescent="0.2">
      <c r="B78" s="66"/>
      <c r="F78" s="74"/>
      <c r="G78" s="74"/>
      <c r="H78" s="74"/>
      <c r="I78" s="74"/>
      <c r="J78" s="74"/>
    </row>
    <row r="79" spans="2:10" x14ac:dyDescent="0.2">
      <c r="B79" s="66"/>
      <c r="F79" s="74"/>
      <c r="G79" s="74"/>
      <c r="H79" s="74"/>
      <c r="I79" s="74"/>
      <c r="J79" s="74"/>
    </row>
    <row r="80" spans="2:10" x14ac:dyDescent="0.2">
      <c r="B80" s="66"/>
      <c r="F80" s="74"/>
      <c r="G80" s="74"/>
      <c r="H80" s="74"/>
      <c r="I80" s="74"/>
      <c r="J80" s="74"/>
    </row>
    <row r="81" spans="2:10" x14ac:dyDescent="0.2">
      <c r="B81" s="66"/>
      <c r="F81" s="74"/>
      <c r="G81" s="74"/>
      <c r="H81" s="74"/>
      <c r="I81" s="74"/>
      <c r="J81" s="74"/>
    </row>
    <row r="82" spans="2:10" x14ac:dyDescent="0.2">
      <c r="B82" s="66"/>
      <c r="F82" s="74"/>
      <c r="G82" s="74"/>
      <c r="H82" s="74"/>
      <c r="I82" s="74"/>
      <c r="J82" s="74"/>
    </row>
    <row r="83" spans="2:10" x14ac:dyDescent="0.2">
      <c r="B83" s="66"/>
      <c r="F83" s="74"/>
      <c r="G83" s="74"/>
      <c r="H83" s="74"/>
      <c r="I83" s="74"/>
      <c r="J83" s="74"/>
    </row>
    <row r="84" spans="2:10" x14ac:dyDescent="0.2">
      <c r="B84" s="66"/>
      <c r="F84" s="75"/>
      <c r="G84" s="75"/>
      <c r="H84" s="75"/>
      <c r="I84" s="75"/>
      <c r="J84" s="75"/>
    </row>
    <row r="85" spans="2:10" x14ac:dyDescent="0.2">
      <c r="B85" s="66"/>
      <c r="F85" s="75"/>
      <c r="G85" s="75"/>
      <c r="H85" s="75"/>
      <c r="I85" s="75"/>
      <c r="J85" s="75"/>
    </row>
    <row r="86" spans="2:10" x14ac:dyDescent="0.2">
      <c r="B86" s="66"/>
      <c r="F86" s="74"/>
      <c r="G86" s="74"/>
      <c r="H86" s="74"/>
      <c r="I86" s="74"/>
      <c r="J86" s="74"/>
    </row>
    <row r="87" spans="2:10" x14ac:dyDescent="0.2">
      <c r="B87" s="66"/>
      <c r="F87" s="74"/>
      <c r="G87" s="74"/>
      <c r="H87" s="74"/>
      <c r="I87" s="74"/>
      <c r="J87" s="74"/>
    </row>
    <row r="88" spans="2:10" x14ac:dyDescent="0.2">
      <c r="B88" s="66"/>
      <c r="F88" s="76"/>
      <c r="G88" s="76"/>
      <c r="H88" s="76"/>
      <c r="I88" s="76"/>
      <c r="J88" s="76"/>
    </row>
  </sheetData>
  <dataValidations count="1">
    <dataValidation type="list" allowBlank="1" showInputMessage="1" showErrorMessage="1" promptTitle="Scenario Selection" prompt="Select Bull, Base, or Bear case" sqref="C6" xr:uid="{BA4CB6C8-30A9-604C-93BA-029380EFCE8A}">
      <formula1>"Bull,Base,Bear"</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1E9E8-8724-8B49-9587-31710A5CC414}">
  <sheetPr>
    <tabColor rgb="FF2E75B6"/>
  </sheetPr>
  <dimension ref="A2:O371"/>
  <sheetViews>
    <sheetView zoomScale="150" workbookViewId="0">
      <selection activeCell="J12" sqref="J12"/>
    </sheetView>
  </sheetViews>
  <sheetFormatPr baseColWidth="10" defaultRowHeight="16" x14ac:dyDescent="0.2"/>
  <cols>
    <col min="1" max="1" width="4.83203125" style="1" customWidth="1"/>
    <col min="2" max="2" width="17.6640625" style="1" customWidth="1"/>
    <col min="3" max="16384" width="10.83203125" style="1"/>
  </cols>
  <sheetData>
    <row r="2" spans="1:13" ht="19" x14ac:dyDescent="0.25">
      <c r="A2" s="87"/>
      <c r="B2" s="10" t="s">
        <v>343</v>
      </c>
      <c r="C2" s="57"/>
      <c r="D2" s="57"/>
      <c r="E2" s="57"/>
      <c r="F2" s="57"/>
      <c r="G2" s="57"/>
      <c r="H2" s="57"/>
      <c r="I2" s="57"/>
      <c r="J2" s="57"/>
      <c r="K2" s="57"/>
      <c r="L2" s="57"/>
      <c r="M2" s="57"/>
    </row>
    <row r="3" spans="1:13" x14ac:dyDescent="0.2">
      <c r="A3" s="87"/>
      <c r="B3" s="58" t="s">
        <v>344</v>
      </c>
      <c r="C3" s="59"/>
      <c r="D3" s="59"/>
      <c r="E3" s="59"/>
      <c r="F3" s="59"/>
      <c r="G3" s="59"/>
      <c r="H3" s="59"/>
      <c r="I3" s="59"/>
      <c r="J3" s="59"/>
      <c r="K3" s="59"/>
      <c r="L3" s="59"/>
      <c r="M3" s="59"/>
    </row>
    <row r="4" spans="1:13" x14ac:dyDescent="0.2">
      <c r="A4" s="87"/>
      <c r="B4" s="87"/>
      <c r="C4" s="87"/>
      <c r="D4" s="87"/>
      <c r="E4" s="87"/>
      <c r="F4" s="87"/>
      <c r="G4" s="87"/>
      <c r="H4" s="87"/>
      <c r="I4" s="87"/>
      <c r="J4" s="87"/>
      <c r="K4" s="87"/>
      <c r="L4" s="87"/>
      <c r="M4" s="87"/>
    </row>
    <row r="5" spans="1:13" x14ac:dyDescent="0.2">
      <c r="A5" s="87"/>
      <c r="B5" s="88" t="s">
        <v>346</v>
      </c>
      <c r="C5" s="57"/>
      <c r="D5" s="57"/>
      <c r="E5" s="57"/>
      <c r="F5" s="57"/>
      <c r="G5" s="57"/>
      <c r="H5" s="57"/>
      <c r="I5" s="57"/>
      <c r="J5" s="57"/>
      <c r="K5" s="57"/>
      <c r="L5" s="57"/>
      <c r="M5" s="57"/>
    </row>
    <row r="7" spans="1:13" x14ac:dyDescent="0.2">
      <c r="B7" s="89" t="s">
        <v>345</v>
      </c>
      <c r="C7" s="3"/>
      <c r="D7" s="3"/>
      <c r="E7" s="3"/>
      <c r="F7" s="3"/>
      <c r="G7" s="3"/>
    </row>
    <row r="8" spans="1:13" x14ac:dyDescent="0.2">
      <c r="B8" s="90"/>
      <c r="C8" s="91" t="s">
        <v>317</v>
      </c>
      <c r="D8" s="91" t="s">
        <v>318</v>
      </c>
      <c r="E8" s="91" t="s">
        <v>319</v>
      </c>
      <c r="F8" s="91" t="s">
        <v>320</v>
      </c>
      <c r="G8" s="91" t="s">
        <v>321</v>
      </c>
    </row>
    <row r="9" spans="1:13" x14ac:dyDescent="0.2">
      <c r="C9" s="102">
        <f>K95</f>
        <v>0.11925049439683579</v>
      </c>
      <c r="D9" s="102">
        <f t="shared" ref="D9:G9" si="0">L95</f>
        <v>0.10615915632400681</v>
      </c>
      <c r="E9" s="102">
        <f t="shared" si="0"/>
        <v>9.6119716256034049E-2</v>
      </c>
      <c r="F9" s="102">
        <f t="shared" si="0"/>
        <v>8.7935973380556351E-2</v>
      </c>
      <c r="G9" s="102">
        <f t="shared" si="0"/>
        <v>7.9241747961356163E-2</v>
      </c>
    </row>
    <row r="12" spans="1:13" x14ac:dyDescent="0.2">
      <c r="B12" s="89" t="s">
        <v>347</v>
      </c>
      <c r="C12" s="3"/>
      <c r="D12" s="3"/>
      <c r="E12" s="3"/>
      <c r="F12" s="3"/>
      <c r="G12" s="3"/>
      <c r="H12" s="3"/>
    </row>
    <row r="13" spans="1:13" x14ac:dyDescent="0.2">
      <c r="B13" s="92" t="s">
        <v>355</v>
      </c>
    </row>
    <row r="14" spans="1:13" x14ac:dyDescent="0.2">
      <c r="B14" s="92" t="s">
        <v>356</v>
      </c>
      <c r="D14" s="39" t="s">
        <v>60</v>
      </c>
      <c r="E14" s="39" t="s">
        <v>61</v>
      </c>
      <c r="F14" s="39" t="s">
        <v>62</v>
      </c>
      <c r="G14" s="39" t="s">
        <v>63</v>
      </c>
      <c r="H14" s="39" t="s">
        <v>248</v>
      </c>
    </row>
    <row r="16" spans="1:13" x14ac:dyDescent="0.2">
      <c r="B16" s="5" t="s">
        <v>348</v>
      </c>
      <c r="D16" s="27">
        <v>3209.2</v>
      </c>
      <c r="E16" s="27">
        <v>4091</v>
      </c>
      <c r="F16" s="27">
        <v>4963</v>
      </c>
      <c r="G16" s="27">
        <v>5547</v>
      </c>
      <c r="H16" s="27">
        <v>6457</v>
      </c>
    </row>
    <row r="17" spans="2:8" x14ac:dyDescent="0.2">
      <c r="B17" s="5" t="s">
        <v>349</v>
      </c>
      <c r="D17" s="27">
        <v>1408.9</v>
      </c>
      <c r="E17" s="27">
        <v>2219</v>
      </c>
      <c r="F17" s="27">
        <v>3152</v>
      </c>
      <c r="G17" s="27">
        <v>3879</v>
      </c>
      <c r="H17" s="27">
        <v>4405</v>
      </c>
    </row>
    <row r="18" spans="2:8" x14ac:dyDescent="0.2">
      <c r="B18" s="5" t="s">
        <v>350</v>
      </c>
      <c r="D18" s="27">
        <v>642.6</v>
      </c>
      <c r="E18" s="27">
        <v>1001</v>
      </c>
      <c r="F18" s="27">
        <v>1371</v>
      </c>
      <c r="G18" s="27">
        <v>1653</v>
      </c>
      <c r="H18" s="27">
        <v>1909</v>
      </c>
    </row>
    <row r="19" spans="2:8" x14ac:dyDescent="0.2">
      <c r="B19" s="5" t="s">
        <v>351</v>
      </c>
      <c r="D19" s="27">
        <v>452</v>
      </c>
      <c r="E19" s="27">
        <v>669</v>
      </c>
      <c r="F19" s="27">
        <v>842</v>
      </c>
      <c r="G19" s="27">
        <v>932</v>
      </c>
      <c r="H19" s="27">
        <v>950</v>
      </c>
    </row>
    <row r="20" spans="2:8" x14ac:dyDescent="0.2">
      <c r="B20" s="5" t="s">
        <v>352</v>
      </c>
      <c r="D20" s="27">
        <v>195.9</v>
      </c>
      <c r="E20" s="27">
        <v>337</v>
      </c>
      <c r="F20" s="27">
        <v>519</v>
      </c>
      <c r="G20" s="27">
        <v>611</v>
      </c>
      <c r="H20" s="27">
        <v>577</v>
      </c>
    </row>
    <row r="21" spans="2:8" x14ac:dyDescent="0.2">
      <c r="B21" s="5" t="s">
        <v>353</v>
      </c>
      <c r="D21" s="27">
        <v>263.2</v>
      </c>
      <c r="E21" s="27">
        <v>385</v>
      </c>
      <c r="F21" s="27">
        <v>448</v>
      </c>
      <c r="G21" s="27">
        <v>492</v>
      </c>
      <c r="H21" s="27">
        <v>535</v>
      </c>
    </row>
    <row r="22" spans="2:8" x14ac:dyDescent="0.2">
      <c r="B22" s="93" t="s">
        <v>354</v>
      </c>
      <c r="C22" s="94"/>
      <c r="D22" s="95">
        <v>217.7</v>
      </c>
      <c r="E22" s="95">
        <v>279</v>
      </c>
      <c r="F22" s="95">
        <v>306</v>
      </c>
      <c r="G22" s="95">
        <v>313</v>
      </c>
      <c r="H22" s="95">
        <v>337</v>
      </c>
    </row>
    <row r="23" spans="2:8" x14ac:dyDescent="0.2">
      <c r="B23" s="5" t="s">
        <v>357</v>
      </c>
      <c r="D23" s="27">
        <f>SUM(D16:D22)</f>
        <v>6389.5</v>
      </c>
      <c r="E23" s="27">
        <f t="shared" ref="E23:H23" si="1">SUM(E16:E22)</f>
        <v>8981</v>
      </c>
      <c r="F23" s="27">
        <f t="shared" si="1"/>
        <v>11601</v>
      </c>
      <c r="G23" s="27">
        <f t="shared" si="1"/>
        <v>13427</v>
      </c>
      <c r="H23" s="27">
        <f t="shared" si="1"/>
        <v>15170</v>
      </c>
    </row>
    <row r="26" spans="2:8" x14ac:dyDescent="0.2">
      <c r="B26" s="96" t="s">
        <v>358</v>
      </c>
      <c r="C26" s="3"/>
      <c r="D26" s="97" t="s">
        <v>60</v>
      </c>
      <c r="E26" s="97" t="s">
        <v>61</v>
      </c>
      <c r="F26" s="97" t="s">
        <v>62</v>
      </c>
      <c r="G26" s="97" t="s">
        <v>63</v>
      </c>
      <c r="H26" s="97" t="s">
        <v>248</v>
      </c>
    </row>
    <row r="27" spans="2:8" x14ac:dyDescent="0.2">
      <c r="B27" s="7" t="s">
        <v>348</v>
      </c>
      <c r="D27" s="85" t="s">
        <v>359</v>
      </c>
      <c r="E27" s="98">
        <f t="shared" ref="E27:H34" si="2">(E16-D16)/D16</f>
        <v>0.27477252897918492</v>
      </c>
      <c r="F27" s="98">
        <f t="shared" si="2"/>
        <v>0.21315081887069176</v>
      </c>
      <c r="G27" s="98">
        <f t="shared" si="2"/>
        <v>0.11767076365101753</v>
      </c>
      <c r="H27" s="98">
        <f t="shared" si="2"/>
        <v>0.16405264106724354</v>
      </c>
    </row>
    <row r="28" spans="2:8" x14ac:dyDescent="0.2">
      <c r="B28" s="7" t="s">
        <v>349</v>
      </c>
      <c r="D28" s="85" t="s">
        <v>359</v>
      </c>
      <c r="E28" s="98">
        <f t="shared" si="2"/>
        <v>0.5749875789623109</v>
      </c>
      <c r="F28" s="98">
        <f t="shared" si="2"/>
        <v>0.42045966651644884</v>
      </c>
      <c r="G28" s="98">
        <f t="shared" si="2"/>
        <v>0.2306472081218274</v>
      </c>
      <c r="H28" s="98">
        <f t="shared" si="2"/>
        <v>0.13560195926785254</v>
      </c>
    </row>
    <row r="29" spans="2:8" x14ac:dyDescent="0.2">
      <c r="B29" s="7" t="s">
        <v>350</v>
      </c>
      <c r="D29" s="85" t="s">
        <v>359</v>
      </c>
      <c r="E29" s="98">
        <f t="shared" si="2"/>
        <v>0.55773420479302827</v>
      </c>
      <c r="F29" s="98">
        <f t="shared" si="2"/>
        <v>0.3696303696303696</v>
      </c>
      <c r="G29" s="98">
        <f t="shared" si="2"/>
        <v>0.20568927789934355</v>
      </c>
      <c r="H29" s="98">
        <f t="shared" si="2"/>
        <v>0.15486993345432548</v>
      </c>
    </row>
    <row r="30" spans="2:8" x14ac:dyDescent="0.2">
      <c r="B30" s="7" t="s">
        <v>351</v>
      </c>
      <c r="D30" s="85" t="s">
        <v>359</v>
      </c>
      <c r="E30" s="98">
        <f t="shared" si="2"/>
        <v>0.48008849557522126</v>
      </c>
      <c r="F30" s="98">
        <f t="shared" si="2"/>
        <v>0.25859491778774291</v>
      </c>
      <c r="G30" s="98">
        <f t="shared" si="2"/>
        <v>0.10688836104513064</v>
      </c>
      <c r="H30" s="98">
        <f t="shared" si="2"/>
        <v>1.9313304721030045E-2</v>
      </c>
    </row>
    <row r="31" spans="2:8" x14ac:dyDescent="0.2">
      <c r="B31" s="7" t="s">
        <v>352</v>
      </c>
      <c r="D31" s="85" t="s">
        <v>359</v>
      </c>
      <c r="E31" s="98">
        <f t="shared" si="2"/>
        <v>0.72026544155181205</v>
      </c>
      <c r="F31" s="98">
        <f t="shared" si="2"/>
        <v>0.5400593471810089</v>
      </c>
      <c r="G31" s="98">
        <f t="shared" si="2"/>
        <v>0.17726396917148363</v>
      </c>
      <c r="H31" s="98">
        <f t="shared" si="2"/>
        <v>-5.5646481178396073E-2</v>
      </c>
    </row>
    <row r="32" spans="2:8" x14ac:dyDescent="0.2">
      <c r="B32" s="7" t="s">
        <v>353</v>
      </c>
      <c r="D32" s="85" t="s">
        <v>359</v>
      </c>
      <c r="E32" s="98">
        <f t="shared" si="2"/>
        <v>0.4627659574468086</v>
      </c>
      <c r="F32" s="98">
        <f t="shared" si="2"/>
        <v>0.16363636363636364</v>
      </c>
      <c r="G32" s="98">
        <f t="shared" si="2"/>
        <v>9.8214285714285712E-2</v>
      </c>
      <c r="H32" s="98">
        <f t="shared" si="2"/>
        <v>8.7398373983739841E-2</v>
      </c>
    </row>
    <row r="33" spans="2:8" x14ac:dyDescent="0.2">
      <c r="B33" s="7" t="s">
        <v>354</v>
      </c>
      <c r="D33" s="85" t="s">
        <v>359</v>
      </c>
      <c r="E33" s="98">
        <f t="shared" si="2"/>
        <v>0.28158015617822696</v>
      </c>
      <c r="F33" s="98">
        <f t="shared" si="2"/>
        <v>9.6774193548387094E-2</v>
      </c>
      <c r="G33" s="98">
        <f t="shared" si="2"/>
        <v>2.2875816993464051E-2</v>
      </c>
      <c r="H33" s="98">
        <f t="shared" si="2"/>
        <v>7.6677316293929709E-2</v>
      </c>
    </row>
    <row r="34" spans="2:8" x14ac:dyDescent="0.2">
      <c r="B34" s="7" t="s">
        <v>360</v>
      </c>
      <c r="D34" s="85" t="s">
        <v>359</v>
      </c>
      <c r="E34" s="99">
        <f t="shared" si="2"/>
        <v>0.40558729165036389</v>
      </c>
      <c r="F34" s="99">
        <f t="shared" si="2"/>
        <v>0.29172697917826523</v>
      </c>
      <c r="G34" s="99">
        <f t="shared" si="2"/>
        <v>0.15740022411861046</v>
      </c>
      <c r="H34" s="99">
        <f t="shared" si="2"/>
        <v>0.1298130632308036</v>
      </c>
    </row>
    <row r="36" spans="2:8" x14ac:dyDescent="0.2">
      <c r="B36" s="96" t="s">
        <v>361</v>
      </c>
      <c r="C36" s="3"/>
      <c r="D36" s="97" t="s">
        <v>60</v>
      </c>
      <c r="E36" s="97" t="s">
        <v>61</v>
      </c>
      <c r="F36" s="97" t="s">
        <v>62</v>
      </c>
      <c r="G36" s="97" t="s">
        <v>63</v>
      </c>
      <c r="H36" s="97" t="s">
        <v>248</v>
      </c>
    </row>
    <row r="37" spans="2:8" x14ac:dyDescent="0.2">
      <c r="B37" s="7" t="s">
        <v>348</v>
      </c>
      <c r="D37" s="98">
        <f t="shared" ref="D37:H43" si="3">D16/D$23</f>
        <v>0.50226152281086156</v>
      </c>
      <c r="E37" s="98">
        <f t="shared" si="3"/>
        <v>0.4555172029840775</v>
      </c>
      <c r="F37" s="98">
        <f t="shared" si="3"/>
        <v>0.42780794759072494</v>
      </c>
      <c r="G37" s="98">
        <f t="shared" si="3"/>
        <v>0.413122812243986</v>
      </c>
      <c r="H37" s="98">
        <f t="shared" si="3"/>
        <v>0.42564271588661834</v>
      </c>
    </row>
    <row r="38" spans="2:8" x14ac:dyDescent="0.2">
      <c r="B38" s="7" t="s">
        <v>349</v>
      </c>
      <c r="D38" s="98">
        <f t="shared" si="3"/>
        <v>0.220502386728226</v>
      </c>
      <c r="E38" s="98">
        <f t="shared" si="3"/>
        <v>0.24707716289945442</v>
      </c>
      <c r="F38" s="98">
        <f t="shared" si="3"/>
        <v>0.27170071545556418</v>
      </c>
      <c r="G38" s="98">
        <f t="shared" si="3"/>
        <v>0.28889550904893124</v>
      </c>
      <c r="H38" s="98">
        <f t="shared" si="3"/>
        <v>0.29037574159525381</v>
      </c>
    </row>
    <row r="39" spans="2:8" x14ac:dyDescent="0.2">
      <c r="B39" s="7" t="s">
        <v>350</v>
      </c>
      <c r="D39" s="98">
        <f t="shared" si="3"/>
        <v>0.10057124970654981</v>
      </c>
      <c r="E39" s="98">
        <f t="shared" si="3"/>
        <v>0.11145752143413874</v>
      </c>
      <c r="F39" s="98">
        <f t="shared" si="3"/>
        <v>0.11817946728730282</v>
      </c>
      <c r="G39" s="98">
        <f t="shared" si="3"/>
        <v>0.12311015118790497</v>
      </c>
      <c r="H39" s="98">
        <f t="shared" si="3"/>
        <v>0.12584047462096243</v>
      </c>
    </row>
    <row r="40" spans="2:8" x14ac:dyDescent="0.2">
      <c r="B40" s="7" t="s">
        <v>351</v>
      </c>
      <c r="D40" s="98">
        <f t="shared" si="3"/>
        <v>7.0741059550825575E-2</v>
      </c>
      <c r="E40" s="98">
        <f t="shared" si="3"/>
        <v>7.449059124819063E-2</v>
      </c>
      <c r="F40" s="98">
        <f t="shared" si="3"/>
        <v>7.2579950004309973E-2</v>
      </c>
      <c r="G40" s="98">
        <f t="shared" si="3"/>
        <v>6.941237804423922E-2</v>
      </c>
      <c r="H40" s="98">
        <f t="shared" si="3"/>
        <v>6.2623599208965069E-2</v>
      </c>
    </row>
    <row r="41" spans="2:8" x14ac:dyDescent="0.2">
      <c r="B41" s="7" t="s">
        <v>352</v>
      </c>
      <c r="D41" s="98">
        <f t="shared" si="3"/>
        <v>3.0659676030988341E-2</v>
      </c>
      <c r="E41" s="98">
        <f t="shared" si="3"/>
        <v>3.752366106224251E-2</v>
      </c>
      <c r="F41" s="98">
        <f t="shared" si="3"/>
        <v>4.4737522627359708E-2</v>
      </c>
      <c r="G41" s="98">
        <f t="shared" si="3"/>
        <v>4.5505325091234082E-2</v>
      </c>
      <c r="H41" s="98">
        <f t="shared" si="3"/>
        <v>3.8035596572181939E-2</v>
      </c>
    </row>
    <row r="42" spans="2:8" x14ac:dyDescent="0.2">
      <c r="B42" s="7" t="s">
        <v>353</v>
      </c>
      <c r="D42" s="98">
        <f t="shared" si="3"/>
        <v>4.1192581579153294E-2</v>
      </c>
      <c r="E42" s="98">
        <f t="shared" si="3"/>
        <v>4.2868277474668745E-2</v>
      </c>
      <c r="F42" s="98">
        <f t="shared" si="3"/>
        <v>3.8617360572364451E-2</v>
      </c>
      <c r="G42" s="98">
        <f t="shared" si="3"/>
        <v>3.6642585834512548E-2</v>
      </c>
      <c r="H42" s="98">
        <f t="shared" si="3"/>
        <v>3.5266974291364536E-2</v>
      </c>
    </row>
    <row r="43" spans="2:8" x14ac:dyDescent="0.2">
      <c r="B43" s="7" t="s">
        <v>354</v>
      </c>
      <c r="D43" s="98">
        <f t="shared" si="3"/>
        <v>3.4071523593395416E-2</v>
      </c>
      <c r="E43" s="98">
        <f t="shared" si="3"/>
        <v>3.1065582897227481E-2</v>
      </c>
      <c r="F43" s="98">
        <f t="shared" si="3"/>
        <v>2.6377036462373934E-2</v>
      </c>
      <c r="G43" s="98">
        <f t="shared" si="3"/>
        <v>2.3311238549191926E-2</v>
      </c>
      <c r="H43" s="98">
        <f t="shared" si="3"/>
        <v>2.2214897824653922E-2</v>
      </c>
    </row>
    <row r="44" spans="2:8" x14ac:dyDescent="0.2">
      <c r="B44" s="100" t="s">
        <v>362</v>
      </c>
      <c r="D44" s="101">
        <f>SUM(D37:D43)</f>
        <v>0.99999999999999989</v>
      </c>
      <c r="E44" s="101">
        <f>SUM(E37:E43)</f>
        <v>1</v>
      </c>
      <c r="F44" s="101">
        <f>SUM(F37:F43)</f>
        <v>0.99999999999999989</v>
      </c>
      <c r="G44" s="101">
        <f>SUM(G37:G43)</f>
        <v>0.99999999999999989</v>
      </c>
      <c r="H44" s="101">
        <f>SUM(H37:H43)</f>
        <v>1.0000000000000002</v>
      </c>
    </row>
    <row r="46" spans="2:8" x14ac:dyDescent="0.2">
      <c r="B46" s="96" t="s">
        <v>363</v>
      </c>
      <c r="C46" s="3"/>
      <c r="D46" s="3"/>
      <c r="E46" s="91" t="s">
        <v>364</v>
      </c>
      <c r="F46" s="91" t="s">
        <v>365</v>
      </c>
      <c r="G46" s="91" t="s">
        <v>366</v>
      </c>
      <c r="H46" s="91" t="s">
        <v>367</v>
      </c>
    </row>
    <row r="47" spans="2:8" x14ac:dyDescent="0.2">
      <c r="B47" s="7" t="s">
        <v>348</v>
      </c>
      <c r="E47" s="102">
        <f t="shared" ref="E47:E54" si="4">(H16/E16)^(1/3)-1</f>
        <v>0.16430591097770852</v>
      </c>
      <c r="F47" s="102">
        <f t="shared" ref="F47:F54" si="5">(H16/F16)^(1/2)-1</f>
        <v>0.14062597036522462</v>
      </c>
      <c r="G47" s="102">
        <f t="shared" ref="G47:G54" si="6">AVERAGE(F27:H27)</f>
        <v>0.16495807452965094</v>
      </c>
      <c r="H47" s="102">
        <f t="shared" ref="H47:H54" si="7">H27</f>
        <v>0.16405264106724354</v>
      </c>
    </row>
    <row r="48" spans="2:8" x14ac:dyDescent="0.2">
      <c r="B48" s="7" t="s">
        <v>349</v>
      </c>
      <c r="E48" s="102">
        <f t="shared" si="4"/>
        <v>0.25679044482046831</v>
      </c>
      <c r="F48" s="102">
        <f t="shared" si="5"/>
        <v>0.18216977660176203</v>
      </c>
      <c r="G48" s="102">
        <f t="shared" si="6"/>
        <v>0.26223627796870957</v>
      </c>
      <c r="H48" s="102">
        <f t="shared" si="7"/>
        <v>0.13560195926785254</v>
      </c>
    </row>
    <row r="49" spans="2:14" x14ac:dyDescent="0.2">
      <c r="B49" s="7" t="s">
        <v>350</v>
      </c>
      <c r="E49" s="102">
        <f t="shared" si="4"/>
        <v>0.24010164513046561</v>
      </c>
      <c r="F49" s="102">
        <f t="shared" si="5"/>
        <v>0.18000605766843769</v>
      </c>
      <c r="G49" s="102">
        <f t="shared" si="6"/>
        <v>0.24339652699467954</v>
      </c>
      <c r="H49" s="102">
        <f t="shared" si="7"/>
        <v>0.15486993345432548</v>
      </c>
    </row>
    <row r="50" spans="2:14" x14ac:dyDescent="0.2">
      <c r="B50" s="7" t="s">
        <v>351</v>
      </c>
      <c r="E50" s="102">
        <f t="shared" si="4"/>
        <v>0.1239987523801227</v>
      </c>
      <c r="F50" s="102">
        <f t="shared" si="5"/>
        <v>6.2198678804561869E-2</v>
      </c>
      <c r="G50" s="102">
        <f t="shared" si="6"/>
        <v>0.12826552785130121</v>
      </c>
      <c r="H50" s="102">
        <f t="shared" si="7"/>
        <v>1.9313304721030045E-2</v>
      </c>
    </row>
    <row r="51" spans="2:14" x14ac:dyDescent="0.2">
      <c r="B51" s="7" t="s">
        <v>352</v>
      </c>
      <c r="E51" s="102">
        <f t="shared" si="4"/>
        <v>0.19632350974776203</v>
      </c>
      <c r="F51" s="102">
        <f t="shared" si="5"/>
        <v>5.4397160404455303E-2</v>
      </c>
      <c r="G51" s="102">
        <f t="shared" si="6"/>
        <v>0.22055894505803217</v>
      </c>
      <c r="H51" s="102">
        <f t="shared" si="7"/>
        <v>-5.5646481178396073E-2</v>
      </c>
    </row>
    <row r="52" spans="2:14" x14ac:dyDescent="0.2">
      <c r="B52" s="7" t="s">
        <v>353</v>
      </c>
      <c r="E52" s="102">
        <f t="shared" si="4"/>
        <v>0.11591474856823325</v>
      </c>
      <c r="F52" s="102">
        <f t="shared" si="5"/>
        <v>9.279294862816001E-2</v>
      </c>
      <c r="G52" s="102">
        <f t="shared" si="6"/>
        <v>0.11641634111146305</v>
      </c>
      <c r="H52" s="102">
        <f t="shared" si="7"/>
        <v>8.7398373983739841E-2</v>
      </c>
    </row>
    <row r="53" spans="2:14" x14ac:dyDescent="0.2">
      <c r="B53" s="7" t="s">
        <v>354</v>
      </c>
      <c r="E53" s="102">
        <f t="shared" si="4"/>
        <v>6.4981096789388015E-2</v>
      </c>
      <c r="F53" s="102">
        <f t="shared" si="5"/>
        <v>4.9431841303895219E-2</v>
      </c>
      <c r="G53" s="102">
        <f t="shared" si="6"/>
        <v>6.5442442278593624E-2</v>
      </c>
      <c r="H53" s="102">
        <f t="shared" si="7"/>
        <v>7.6677316293929709E-2</v>
      </c>
    </row>
    <row r="54" spans="2:14" x14ac:dyDescent="0.2">
      <c r="B54" s="7" t="s">
        <v>368</v>
      </c>
      <c r="E54" s="103">
        <f t="shared" si="4"/>
        <v>0.19093199090001867</v>
      </c>
      <c r="F54" s="103">
        <f t="shared" si="5"/>
        <v>0.14352345520127652</v>
      </c>
      <c r="G54" s="103">
        <f t="shared" si="6"/>
        <v>0.19298008884255977</v>
      </c>
      <c r="H54" s="103">
        <f t="shared" si="7"/>
        <v>0.1298130632308036</v>
      </c>
    </row>
    <row r="57" spans="2:14" x14ac:dyDescent="0.2">
      <c r="B57" s="96" t="s">
        <v>369</v>
      </c>
      <c r="C57" s="3"/>
      <c r="D57" s="3"/>
      <c r="E57" s="3"/>
      <c r="F57" s="3"/>
      <c r="G57" s="3"/>
      <c r="H57" s="3"/>
      <c r="I57" s="3"/>
      <c r="J57" s="3"/>
      <c r="K57" s="3"/>
      <c r="L57" s="3"/>
      <c r="M57" s="3"/>
      <c r="N57" s="3"/>
    </row>
    <row r="58" spans="2:14" x14ac:dyDescent="0.2">
      <c r="B58" s="104" t="s">
        <v>370</v>
      </c>
    </row>
    <row r="59" spans="2:14" x14ac:dyDescent="0.2">
      <c r="B59" s="105" t="s">
        <v>371</v>
      </c>
    </row>
    <row r="60" spans="2:14" x14ac:dyDescent="0.2">
      <c r="B60" s="7"/>
      <c r="J60" s="91" t="s">
        <v>317</v>
      </c>
      <c r="K60" s="91" t="s">
        <v>318</v>
      </c>
      <c r="L60" s="91" t="s">
        <v>319</v>
      </c>
      <c r="M60" s="91" t="s">
        <v>320</v>
      </c>
      <c r="N60" s="91" t="s">
        <v>321</v>
      </c>
    </row>
    <row r="61" spans="2:14" x14ac:dyDescent="0.2">
      <c r="B61" s="7" t="s">
        <v>348</v>
      </c>
      <c r="J61" s="106">
        <v>0.14000000000000001</v>
      </c>
      <c r="K61" s="106">
        <v>0.12</v>
      </c>
      <c r="L61" s="106">
        <v>0.11</v>
      </c>
      <c r="M61" s="106">
        <v>0.1</v>
      </c>
      <c r="N61" s="106">
        <v>0.09</v>
      </c>
    </row>
    <row r="62" spans="2:14" x14ac:dyDescent="0.2">
      <c r="B62" s="7" t="s">
        <v>349</v>
      </c>
      <c r="J62" s="106">
        <v>0.12</v>
      </c>
      <c r="K62" s="106">
        <v>0.11</v>
      </c>
      <c r="L62" s="106">
        <v>0.1</v>
      </c>
      <c r="M62" s="106">
        <v>0.09</v>
      </c>
      <c r="N62" s="106">
        <v>0.08</v>
      </c>
    </row>
    <row r="63" spans="2:14" x14ac:dyDescent="0.2">
      <c r="B63" s="7" t="s">
        <v>350</v>
      </c>
      <c r="J63" s="106">
        <v>0.14000000000000001</v>
      </c>
      <c r="K63" s="106">
        <v>0.12</v>
      </c>
      <c r="L63" s="106">
        <v>0.1</v>
      </c>
      <c r="M63" s="106">
        <v>0.09</v>
      </c>
      <c r="N63" s="106">
        <v>0.08</v>
      </c>
    </row>
    <row r="64" spans="2:14" x14ac:dyDescent="0.2">
      <c r="B64" s="7" t="s">
        <v>351</v>
      </c>
      <c r="J64" s="106">
        <v>0.04</v>
      </c>
      <c r="K64" s="106">
        <v>0.04</v>
      </c>
      <c r="L64" s="106">
        <v>0.03</v>
      </c>
      <c r="M64" s="106">
        <v>0.03</v>
      </c>
      <c r="N64" s="106">
        <v>0.03</v>
      </c>
    </row>
    <row r="65" spans="2:15" x14ac:dyDescent="0.2">
      <c r="B65" s="7" t="s">
        <v>352</v>
      </c>
      <c r="J65" s="106">
        <v>0.02</v>
      </c>
      <c r="K65" s="106">
        <v>0.03</v>
      </c>
      <c r="L65" s="106">
        <v>0.04</v>
      </c>
      <c r="M65" s="106">
        <v>0.04</v>
      </c>
      <c r="N65" s="106">
        <v>0.04</v>
      </c>
    </row>
    <row r="66" spans="2:15" x14ac:dyDescent="0.2">
      <c r="B66" s="7" t="s">
        <v>353</v>
      </c>
      <c r="J66" s="106">
        <v>0.08</v>
      </c>
      <c r="K66" s="106">
        <v>7.0000000000000007E-2</v>
      </c>
      <c r="L66" s="106">
        <v>0.06</v>
      </c>
      <c r="M66" s="106">
        <v>0.06</v>
      </c>
      <c r="N66" s="106">
        <v>0.05</v>
      </c>
    </row>
    <row r="67" spans="2:15" x14ac:dyDescent="0.2">
      <c r="B67" s="7" t="s">
        <v>354</v>
      </c>
      <c r="J67" s="106">
        <v>0.05</v>
      </c>
      <c r="K67" s="106">
        <v>0.05</v>
      </c>
      <c r="L67" s="106">
        <v>0.04</v>
      </c>
      <c r="M67" s="106">
        <v>0.04</v>
      </c>
      <c r="N67" s="106">
        <v>0.04</v>
      </c>
    </row>
    <row r="69" spans="2:15" x14ac:dyDescent="0.2">
      <c r="B69" s="100" t="s">
        <v>372</v>
      </c>
      <c r="J69" s="103">
        <f>(K84-I84)/I84</f>
        <v>0.11925049439683579</v>
      </c>
      <c r="K69" s="103">
        <f>(L84-K84)/K84</f>
        <v>0.10615915632400681</v>
      </c>
      <c r="L69" s="103">
        <f>(M84-L84)/L84</f>
        <v>9.6119716256034049E-2</v>
      </c>
      <c r="M69" s="103">
        <f>(N84-M84)/M84</f>
        <v>8.7935973380556351E-2</v>
      </c>
      <c r="N69" s="103">
        <f>(O84-N84)/N84</f>
        <v>7.9241747961356163E-2</v>
      </c>
    </row>
    <row r="74" spans="2:15" x14ac:dyDescent="0.2">
      <c r="B74" s="96" t="s">
        <v>373</v>
      </c>
      <c r="C74" s="3"/>
      <c r="D74" s="3"/>
      <c r="E74" s="3"/>
      <c r="F74" s="3"/>
      <c r="G74" s="3"/>
      <c r="H74" s="3"/>
      <c r="I74" s="3"/>
      <c r="J74" s="3"/>
      <c r="K74" s="3"/>
      <c r="L74" s="3"/>
      <c r="M74" s="3"/>
      <c r="N74" s="3"/>
    </row>
    <row r="76" spans="2:15" x14ac:dyDescent="0.2">
      <c r="B76" s="7" t="s">
        <v>374</v>
      </c>
      <c r="E76" s="97" t="s">
        <v>60</v>
      </c>
      <c r="F76" s="97" t="s">
        <v>61</v>
      </c>
      <c r="G76" s="97" t="s">
        <v>62</v>
      </c>
      <c r="H76" s="97" t="s">
        <v>63</v>
      </c>
      <c r="I76" s="97" t="s">
        <v>248</v>
      </c>
      <c r="K76" s="107" t="s">
        <v>317</v>
      </c>
      <c r="L76" s="107" t="s">
        <v>318</v>
      </c>
      <c r="M76" s="107" t="s">
        <v>319</v>
      </c>
      <c r="N76" s="107" t="s">
        <v>320</v>
      </c>
      <c r="O76" s="107" t="s">
        <v>321</v>
      </c>
    </row>
    <row r="77" spans="2:15" x14ac:dyDescent="0.2">
      <c r="B77" s="7" t="s">
        <v>348</v>
      </c>
      <c r="E77" s="108">
        <f t="shared" ref="E77:I83" si="8">D16</f>
        <v>3209.2</v>
      </c>
      <c r="F77" s="108">
        <f t="shared" si="8"/>
        <v>4091</v>
      </c>
      <c r="G77" s="108">
        <f t="shared" si="8"/>
        <v>4963</v>
      </c>
      <c r="H77" s="108">
        <f t="shared" si="8"/>
        <v>5547</v>
      </c>
      <c r="I77" s="108">
        <f t="shared" si="8"/>
        <v>6457</v>
      </c>
      <c r="K77" s="108">
        <f t="shared" ref="K77:K83" si="9">I77*(1+J61)</f>
        <v>7360.9800000000005</v>
      </c>
      <c r="L77" s="108">
        <f t="shared" ref="L77:O83" si="10">K77*(1+K61)</f>
        <v>8244.2976000000017</v>
      </c>
      <c r="M77" s="108">
        <f t="shared" si="10"/>
        <v>9151.1703360000029</v>
      </c>
      <c r="N77" s="108">
        <f t="shared" si="10"/>
        <v>10066.287369600004</v>
      </c>
      <c r="O77" s="108">
        <f t="shared" si="10"/>
        <v>10972.253232864005</v>
      </c>
    </row>
    <row r="78" spans="2:15" x14ac:dyDescent="0.2">
      <c r="B78" s="7" t="s">
        <v>349</v>
      </c>
      <c r="E78" s="108">
        <f t="shared" si="8"/>
        <v>1408.9</v>
      </c>
      <c r="F78" s="108">
        <f t="shared" si="8"/>
        <v>2219</v>
      </c>
      <c r="G78" s="108">
        <f t="shared" si="8"/>
        <v>3152</v>
      </c>
      <c r="H78" s="108">
        <f t="shared" si="8"/>
        <v>3879</v>
      </c>
      <c r="I78" s="108">
        <f t="shared" si="8"/>
        <v>4405</v>
      </c>
      <c r="K78" s="108">
        <f t="shared" si="9"/>
        <v>4933.6000000000004</v>
      </c>
      <c r="L78" s="108">
        <f t="shared" si="10"/>
        <v>5476.2960000000012</v>
      </c>
      <c r="M78" s="108">
        <f t="shared" si="10"/>
        <v>6023.9256000000014</v>
      </c>
      <c r="N78" s="108">
        <f t="shared" si="10"/>
        <v>6566.0789040000018</v>
      </c>
      <c r="O78" s="108">
        <f t="shared" si="10"/>
        <v>7091.3652163200022</v>
      </c>
    </row>
    <row r="79" spans="2:15" x14ac:dyDescent="0.2">
      <c r="B79" s="7" t="s">
        <v>350</v>
      </c>
      <c r="E79" s="108">
        <f t="shared" si="8"/>
        <v>642.6</v>
      </c>
      <c r="F79" s="108">
        <f t="shared" si="8"/>
        <v>1001</v>
      </c>
      <c r="G79" s="108">
        <f t="shared" si="8"/>
        <v>1371</v>
      </c>
      <c r="H79" s="108">
        <f t="shared" si="8"/>
        <v>1653</v>
      </c>
      <c r="I79" s="108">
        <f t="shared" si="8"/>
        <v>1909</v>
      </c>
      <c r="K79" s="108">
        <f t="shared" si="9"/>
        <v>2176.2600000000002</v>
      </c>
      <c r="L79" s="108">
        <f t="shared" si="10"/>
        <v>2437.4112000000005</v>
      </c>
      <c r="M79" s="108">
        <f t="shared" si="10"/>
        <v>2681.1523200000006</v>
      </c>
      <c r="N79" s="108">
        <f t="shared" si="10"/>
        <v>2922.4560288000007</v>
      </c>
      <c r="O79" s="108">
        <f t="shared" si="10"/>
        <v>3156.2525111040009</v>
      </c>
    </row>
    <row r="80" spans="2:15" x14ac:dyDescent="0.2">
      <c r="B80" s="7" t="s">
        <v>351</v>
      </c>
      <c r="E80" s="108">
        <f t="shared" si="8"/>
        <v>452</v>
      </c>
      <c r="F80" s="108">
        <f t="shared" si="8"/>
        <v>669</v>
      </c>
      <c r="G80" s="108">
        <f t="shared" si="8"/>
        <v>842</v>
      </c>
      <c r="H80" s="108">
        <f t="shared" si="8"/>
        <v>932</v>
      </c>
      <c r="I80" s="108">
        <f t="shared" si="8"/>
        <v>950</v>
      </c>
      <c r="K80" s="108">
        <f t="shared" si="9"/>
        <v>988</v>
      </c>
      <c r="L80" s="108">
        <f t="shared" si="10"/>
        <v>1027.52</v>
      </c>
      <c r="M80" s="108">
        <f t="shared" si="10"/>
        <v>1058.3456000000001</v>
      </c>
      <c r="N80" s="108">
        <f t="shared" si="10"/>
        <v>1090.0959680000001</v>
      </c>
      <c r="O80" s="108">
        <f t="shared" si="10"/>
        <v>1122.7988470400001</v>
      </c>
    </row>
    <row r="81" spans="2:15" x14ac:dyDescent="0.2">
      <c r="B81" s="7" t="s">
        <v>352</v>
      </c>
      <c r="E81" s="108">
        <f t="shared" si="8"/>
        <v>195.9</v>
      </c>
      <c r="F81" s="108">
        <f t="shared" si="8"/>
        <v>337</v>
      </c>
      <c r="G81" s="108">
        <f t="shared" si="8"/>
        <v>519</v>
      </c>
      <c r="H81" s="108">
        <f t="shared" si="8"/>
        <v>611</v>
      </c>
      <c r="I81" s="108">
        <f t="shared" si="8"/>
        <v>577</v>
      </c>
      <c r="K81" s="108">
        <f t="shared" si="9"/>
        <v>588.54</v>
      </c>
      <c r="L81" s="108">
        <f t="shared" si="10"/>
        <v>606.19619999999998</v>
      </c>
      <c r="M81" s="108">
        <f t="shared" si="10"/>
        <v>630.44404799999995</v>
      </c>
      <c r="N81" s="108">
        <f t="shared" si="10"/>
        <v>655.66180992</v>
      </c>
      <c r="O81" s="108">
        <f t="shared" si="10"/>
        <v>681.88828231679997</v>
      </c>
    </row>
    <row r="82" spans="2:15" x14ac:dyDescent="0.2">
      <c r="B82" s="7" t="s">
        <v>353</v>
      </c>
      <c r="E82" s="108">
        <f t="shared" si="8"/>
        <v>263.2</v>
      </c>
      <c r="F82" s="108">
        <f t="shared" si="8"/>
        <v>385</v>
      </c>
      <c r="G82" s="108">
        <f t="shared" si="8"/>
        <v>448</v>
      </c>
      <c r="H82" s="108">
        <f t="shared" si="8"/>
        <v>492</v>
      </c>
      <c r="I82" s="108">
        <f t="shared" si="8"/>
        <v>535</v>
      </c>
      <c r="K82" s="108">
        <f t="shared" si="9"/>
        <v>577.80000000000007</v>
      </c>
      <c r="L82" s="108">
        <f t="shared" si="10"/>
        <v>618.24600000000009</v>
      </c>
      <c r="M82" s="108">
        <f t="shared" si="10"/>
        <v>655.34076000000016</v>
      </c>
      <c r="N82" s="108">
        <f t="shared" si="10"/>
        <v>694.66120560000024</v>
      </c>
      <c r="O82" s="108">
        <f t="shared" si="10"/>
        <v>729.39426588000026</v>
      </c>
    </row>
    <row r="83" spans="2:15" x14ac:dyDescent="0.2">
      <c r="B83" s="7" t="s">
        <v>354</v>
      </c>
      <c r="E83" s="108">
        <f t="shared" si="8"/>
        <v>217.7</v>
      </c>
      <c r="F83" s="108">
        <f t="shared" si="8"/>
        <v>279</v>
      </c>
      <c r="G83" s="108">
        <f t="shared" si="8"/>
        <v>306</v>
      </c>
      <c r="H83" s="108">
        <f t="shared" si="8"/>
        <v>313</v>
      </c>
      <c r="I83" s="108">
        <f t="shared" si="8"/>
        <v>337</v>
      </c>
      <c r="K83" s="108">
        <f t="shared" si="9"/>
        <v>353.85</v>
      </c>
      <c r="L83" s="108">
        <f t="shared" si="10"/>
        <v>371.54250000000002</v>
      </c>
      <c r="M83" s="108">
        <f t="shared" si="10"/>
        <v>386.40420000000006</v>
      </c>
      <c r="N83" s="108">
        <f t="shared" si="10"/>
        <v>401.86036800000005</v>
      </c>
      <c r="O83" s="108">
        <f t="shared" si="10"/>
        <v>417.93478272000004</v>
      </c>
    </row>
    <row r="84" spans="2:15" x14ac:dyDescent="0.2">
      <c r="B84" s="110" t="s">
        <v>375</v>
      </c>
      <c r="C84" s="111"/>
      <c r="D84" s="111"/>
      <c r="E84" s="112">
        <f>SUM(E77:E83)</f>
        <v>6389.5</v>
      </c>
      <c r="F84" s="112">
        <f>SUM(F77:F83)</f>
        <v>8981</v>
      </c>
      <c r="G84" s="112">
        <f>SUM(G77:G83)</f>
        <v>11601</v>
      </c>
      <c r="H84" s="112">
        <f>SUM(H77:H83)</f>
        <v>13427</v>
      </c>
      <c r="I84" s="112">
        <f>SUM(I77:I83)</f>
        <v>15170</v>
      </c>
      <c r="J84" s="111"/>
      <c r="K84" s="112">
        <f>SUM(K77:K83)</f>
        <v>16979.03</v>
      </c>
      <c r="L84" s="112">
        <f>SUM(L77:L83)</f>
        <v>18781.5095</v>
      </c>
      <c r="M84" s="112">
        <f>SUM(M77:M83)</f>
        <v>20586.782864000008</v>
      </c>
      <c r="N84" s="112">
        <f>SUM(N77:N83)</f>
        <v>22397.101653920006</v>
      </c>
      <c r="O84" s="112">
        <f>SUM(O77:O83)</f>
        <v>24171.887138244809</v>
      </c>
    </row>
    <row r="86" spans="2:15" x14ac:dyDescent="0.2">
      <c r="B86" s="7" t="s">
        <v>358</v>
      </c>
      <c r="K86" s="99">
        <f>(K84-I84)/I84</f>
        <v>0.11925049439683579</v>
      </c>
      <c r="L86" s="99">
        <f>(L84-K84)/K84</f>
        <v>0.10615915632400681</v>
      </c>
      <c r="M86" s="99">
        <f>(M84-L84)/L84</f>
        <v>9.6119716256034049E-2</v>
      </c>
      <c r="N86" s="99">
        <f>(N84-M84)/M84</f>
        <v>8.7935973380556351E-2</v>
      </c>
      <c r="O86" s="99">
        <f>(O84-N84)/N84</f>
        <v>7.9241747961356163E-2</v>
      </c>
    </row>
    <row r="88" spans="2:15" x14ac:dyDescent="0.2">
      <c r="B88" s="100" t="s">
        <v>376</v>
      </c>
      <c r="N88" s="99"/>
      <c r="O88" s="99">
        <f>(O84/I84)^(1/5)-1</f>
        <v>9.7652814724589421E-2</v>
      </c>
    </row>
    <row r="91" spans="2:15" x14ac:dyDescent="0.2">
      <c r="B91" s="96" t="s">
        <v>377</v>
      </c>
      <c r="C91" s="3"/>
      <c r="D91" s="3"/>
      <c r="E91" s="3"/>
      <c r="F91" s="3"/>
      <c r="G91" s="3"/>
      <c r="H91" s="3"/>
      <c r="I91" s="3"/>
      <c r="J91" s="3"/>
      <c r="K91" s="3"/>
      <c r="L91" s="3"/>
      <c r="M91" s="3"/>
      <c r="N91" s="3"/>
      <c r="O91" s="3"/>
    </row>
    <row r="93" spans="2:15" x14ac:dyDescent="0.2">
      <c r="B93" s="7" t="s">
        <v>378</v>
      </c>
      <c r="E93" s="97" t="s">
        <v>60</v>
      </c>
      <c r="F93" s="97" t="s">
        <v>61</v>
      </c>
      <c r="G93" s="97" t="s">
        <v>62</v>
      </c>
      <c r="H93" s="97" t="s">
        <v>63</v>
      </c>
      <c r="I93" s="97" t="s">
        <v>248</v>
      </c>
      <c r="K93" s="107" t="s">
        <v>317</v>
      </c>
      <c r="L93" s="107" t="s">
        <v>318</v>
      </c>
      <c r="M93" s="107" t="s">
        <v>319</v>
      </c>
      <c r="N93" s="107" t="s">
        <v>320</v>
      </c>
      <c r="O93" s="107" t="s">
        <v>321</v>
      </c>
    </row>
    <row r="94" spans="2:15" x14ac:dyDescent="0.2">
      <c r="B94" s="7" t="s">
        <v>379</v>
      </c>
      <c r="E94" s="109">
        <f>D23</f>
        <v>6389.5</v>
      </c>
      <c r="F94" s="109">
        <f>E23</f>
        <v>8981</v>
      </c>
      <c r="G94" s="109">
        <f>F23</f>
        <v>11601</v>
      </c>
      <c r="H94" s="109">
        <f>G23</f>
        <v>13427</v>
      </c>
      <c r="I94" s="109">
        <f>H23</f>
        <v>15170</v>
      </c>
      <c r="K94" s="109">
        <f>K84</f>
        <v>16979.03</v>
      </c>
      <c r="L94" s="109">
        <f>L84</f>
        <v>18781.5095</v>
      </c>
      <c r="M94" s="109">
        <f>M84</f>
        <v>20586.782864000008</v>
      </c>
      <c r="N94" s="109">
        <f>N84</f>
        <v>22397.101653920006</v>
      </c>
      <c r="O94" s="109">
        <f>O84</f>
        <v>24171.887138244809</v>
      </c>
    </row>
    <row r="95" spans="2:15" x14ac:dyDescent="0.2">
      <c r="B95" s="7" t="s">
        <v>358</v>
      </c>
      <c r="E95" s="85" t="s">
        <v>359</v>
      </c>
      <c r="F95" s="98">
        <f>(F94-E94)/E94</f>
        <v>0.40558729165036389</v>
      </c>
      <c r="G95" s="98">
        <f>(G94-F94)/F94</f>
        <v>0.29172697917826523</v>
      </c>
      <c r="H95" s="98">
        <f>(H94-G94)/G94</f>
        <v>0.15740022411861046</v>
      </c>
      <c r="I95" s="98">
        <f>(I94-H94)/H94</f>
        <v>0.1298130632308036</v>
      </c>
      <c r="K95" s="98">
        <f>(K94-I94)/I94</f>
        <v>0.11925049439683579</v>
      </c>
      <c r="L95" s="98">
        <f>(L94-K94)/K94</f>
        <v>0.10615915632400681</v>
      </c>
      <c r="M95" s="98">
        <f>(M94-L94)/L94</f>
        <v>9.6119716256034049E-2</v>
      </c>
      <c r="N95" s="98">
        <f>(N94-M94)/M94</f>
        <v>8.7935973380556351E-2</v>
      </c>
      <c r="O95" s="98">
        <f>(O94-N94)/N94</f>
        <v>7.9241747961356163E-2</v>
      </c>
    </row>
    <row r="97" spans="2:15" x14ac:dyDescent="0.2">
      <c r="B97" s="100" t="s">
        <v>11</v>
      </c>
    </row>
    <row r="98" spans="2:15" x14ac:dyDescent="0.2">
      <c r="B98" s="1" t="s">
        <v>380</v>
      </c>
      <c r="H98" s="99">
        <f>(I94/E94)^(1/4)-1</f>
        <v>0.24130834936402423</v>
      </c>
      <c r="I98" s="99"/>
    </row>
    <row r="99" spans="2:15" x14ac:dyDescent="0.2">
      <c r="B99" s="1" t="s">
        <v>381</v>
      </c>
      <c r="H99" s="99">
        <f>(I94/G94)^(1/2)-1</f>
        <v>0.14352345520127652</v>
      </c>
      <c r="I99" s="99"/>
    </row>
    <row r="100" spans="2:15" x14ac:dyDescent="0.2">
      <c r="B100" s="1" t="s">
        <v>382</v>
      </c>
      <c r="O100" s="99">
        <f>(O94/I94)^(1/5)-1</f>
        <v>9.7652814724589421E-2</v>
      </c>
    </row>
    <row r="102" spans="2:15" x14ac:dyDescent="0.2">
      <c r="B102" s="100" t="s">
        <v>383</v>
      </c>
    </row>
    <row r="103" spans="2:15" x14ac:dyDescent="0.2">
      <c r="B103" s="1" t="s">
        <v>384</v>
      </c>
      <c r="F103" s="108">
        <f>(G95-F95)*10000</f>
        <v>-1138.6031247209867</v>
      </c>
      <c r="G103" s="108">
        <f>(H95-G95)*10000</f>
        <v>-1343.2675505965478</v>
      </c>
      <c r="H103" s="108">
        <f>(I95-H95)*10000</f>
        <v>-275.87160887806857</v>
      </c>
      <c r="I103" s="108"/>
      <c r="K103" s="108">
        <f>(K95-I95)*10000</f>
        <v>-105.62568833967819</v>
      </c>
      <c r="L103" s="108">
        <f>(L95-K95)*10000</f>
        <v>-130.91338072828972</v>
      </c>
      <c r="M103" s="108">
        <f>(M95-L95)*10000</f>
        <v>-100.39440067972762</v>
      </c>
      <c r="N103" s="108">
        <f>(N95-M95)*10000</f>
        <v>-81.83742875477698</v>
      </c>
      <c r="O103" s="108">
        <f>(O95-N95)*10000</f>
        <v>-86.942254192001883</v>
      </c>
    </row>
    <row r="106" spans="2:15" x14ac:dyDescent="0.2">
      <c r="B106" s="96" t="s">
        <v>385</v>
      </c>
      <c r="C106" s="3"/>
      <c r="D106" s="3"/>
      <c r="E106" s="3"/>
      <c r="F106" s="3"/>
      <c r="G106" s="3"/>
      <c r="H106" s="3"/>
    </row>
    <row r="108" spans="2:15" x14ac:dyDescent="0.2">
      <c r="B108" s="113" t="s">
        <v>386</v>
      </c>
    </row>
    <row r="109" spans="2:15" x14ac:dyDescent="0.2">
      <c r="B109" s="113" t="s">
        <v>387</v>
      </c>
    </row>
    <row r="110" spans="2:15" x14ac:dyDescent="0.2">
      <c r="B110" s="113" t="s">
        <v>388</v>
      </c>
    </row>
    <row r="111" spans="2:15" x14ac:dyDescent="0.2">
      <c r="B111" s="113" t="s">
        <v>389</v>
      </c>
    </row>
    <row r="112" spans="2:15" x14ac:dyDescent="0.2">
      <c r="B112" s="113" t="s">
        <v>390</v>
      </c>
    </row>
    <row r="113" spans="1:13" x14ac:dyDescent="0.2">
      <c r="B113" s="113" t="s">
        <v>391</v>
      </c>
    </row>
    <row r="114" spans="1:13" x14ac:dyDescent="0.2">
      <c r="B114" s="114" t="s">
        <v>392</v>
      </c>
    </row>
    <row r="116" spans="1:13" x14ac:dyDescent="0.2">
      <c r="A116" s="87"/>
      <c r="B116" s="88" t="s">
        <v>405</v>
      </c>
      <c r="C116" s="57"/>
      <c r="D116" s="57"/>
      <c r="E116" s="57"/>
      <c r="F116" s="57"/>
      <c r="G116" s="57"/>
      <c r="H116" s="57"/>
      <c r="I116" s="57"/>
      <c r="J116" s="57"/>
      <c r="K116" s="57"/>
      <c r="L116" s="57"/>
      <c r="M116" s="57"/>
    </row>
    <row r="118" spans="1:13" x14ac:dyDescent="0.2">
      <c r="B118" s="89" t="s">
        <v>393</v>
      </c>
      <c r="C118" s="3"/>
      <c r="D118" s="3"/>
      <c r="E118" s="3"/>
      <c r="F118" s="3"/>
      <c r="G118" s="3"/>
    </row>
    <row r="119" spans="1:13" x14ac:dyDescent="0.2">
      <c r="B119" s="90"/>
      <c r="C119" s="91" t="s">
        <v>317</v>
      </c>
      <c r="D119" s="91" t="s">
        <v>318</v>
      </c>
      <c r="E119" s="91" t="s">
        <v>319</v>
      </c>
      <c r="F119" s="91" t="s">
        <v>320</v>
      </c>
      <c r="G119" s="91" t="s">
        <v>321</v>
      </c>
    </row>
    <row r="120" spans="1:13" x14ac:dyDescent="0.2">
      <c r="C120" s="102">
        <f>AVERAGE($D$126:$G$126)</f>
        <v>0.71720727896129066</v>
      </c>
      <c r="D120" s="102">
        <f t="shared" ref="D120:G120" si="11">AVERAGE($D$126:$G$126)</f>
        <v>0.71720727896129066</v>
      </c>
      <c r="E120" s="102">
        <f t="shared" si="11"/>
        <v>0.71720727896129066</v>
      </c>
      <c r="F120" s="102">
        <f t="shared" si="11"/>
        <v>0.71720727896129066</v>
      </c>
      <c r="G120" s="102">
        <f t="shared" si="11"/>
        <v>0.71720727896129066</v>
      </c>
    </row>
    <row r="122" spans="1:13" x14ac:dyDescent="0.2">
      <c r="B122" s="89" t="s">
        <v>394</v>
      </c>
      <c r="C122" s="3"/>
      <c r="D122" s="3"/>
      <c r="E122" s="3"/>
      <c r="F122" s="3"/>
      <c r="G122" s="3"/>
    </row>
    <row r="123" spans="1:13" x14ac:dyDescent="0.2">
      <c r="B123" s="90"/>
      <c r="C123" s="91" t="s">
        <v>60</v>
      </c>
      <c r="D123" s="91" t="s">
        <v>61</v>
      </c>
      <c r="E123" s="91" t="s">
        <v>62</v>
      </c>
      <c r="F123" s="91" t="s">
        <v>63</v>
      </c>
      <c r="G123" s="91" t="s">
        <v>248</v>
      </c>
    </row>
    <row r="125" spans="1:13" x14ac:dyDescent="0.2">
      <c r="B125" s="116" t="s">
        <v>395</v>
      </c>
      <c r="C125" s="27">
        <f>'Historical Analysis'!F13</f>
        <v>4418</v>
      </c>
      <c r="D125" s="27">
        <f>'Historical Analysis'!G13</f>
        <v>6451</v>
      </c>
      <c r="E125" s="27">
        <f>'Historical Analysis'!H13</f>
        <v>8268</v>
      </c>
      <c r="F125" s="27">
        <f>'Historical Analysis'!I13</f>
        <v>9769</v>
      </c>
      <c r="G125" s="27">
        <f>'Historical Analysis'!J13</f>
        <v>10777</v>
      </c>
    </row>
    <row r="126" spans="1:13" x14ac:dyDescent="0.2">
      <c r="B126" s="116" t="s">
        <v>396</v>
      </c>
      <c r="C126" s="117">
        <f>'Historical Analysis'!F14</f>
        <v>0.69145772686011209</v>
      </c>
      <c r="D126" s="117">
        <f>'Historical Analysis'!G14</f>
        <v>0.71821420619015808</v>
      </c>
      <c r="E126" s="117">
        <f>'Historical Analysis'!H14</f>
        <v>0.71263575245647304</v>
      </c>
      <c r="F126" s="117">
        <f>'Historical Analysis'!I14</f>
        <v>0.7275638638564087</v>
      </c>
      <c r="G126" s="117">
        <f>'Historical Analysis'!J14</f>
        <v>0.71041529334212261</v>
      </c>
    </row>
    <row r="129" spans="2:13" x14ac:dyDescent="0.2">
      <c r="B129" s="96" t="s">
        <v>385</v>
      </c>
      <c r="C129" s="3"/>
      <c r="D129" s="3"/>
      <c r="E129" s="3"/>
      <c r="F129" s="3"/>
      <c r="G129" s="3"/>
      <c r="H129" s="3"/>
    </row>
    <row r="131" spans="2:13" x14ac:dyDescent="0.2">
      <c r="B131" s="113" t="s">
        <v>397</v>
      </c>
    </row>
    <row r="133" spans="2:13" x14ac:dyDescent="0.2">
      <c r="B133" s="88" t="s">
        <v>406</v>
      </c>
      <c r="C133" s="57"/>
      <c r="D133" s="57"/>
      <c r="E133" s="57"/>
      <c r="F133" s="57"/>
      <c r="G133" s="57"/>
      <c r="H133" s="57"/>
      <c r="I133" s="57"/>
      <c r="J133" s="57"/>
      <c r="K133" s="57"/>
      <c r="L133" s="57"/>
      <c r="M133" s="57"/>
    </row>
    <row r="135" spans="2:13" x14ac:dyDescent="0.2">
      <c r="B135" s="89" t="s">
        <v>393</v>
      </c>
      <c r="C135" s="3"/>
      <c r="D135" s="3"/>
      <c r="E135" s="3"/>
      <c r="F135" s="3"/>
      <c r="G135" s="3"/>
    </row>
    <row r="136" spans="2:13" x14ac:dyDescent="0.2">
      <c r="B136" s="90"/>
      <c r="C136" s="91" t="s">
        <v>317</v>
      </c>
      <c r="D136" s="91" t="s">
        <v>318</v>
      </c>
      <c r="E136" s="91" t="s">
        <v>319</v>
      </c>
      <c r="F136" s="91" t="s">
        <v>320</v>
      </c>
      <c r="G136" s="91" t="s">
        <v>321</v>
      </c>
    </row>
    <row r="138" spans="2:13" x14ac:dyDescent="0.2">
      <c r="B138" s="5" t="s">
        <v>402</v>
      </c>
      <c r="C138" s="117">
        <f>AVERAGE($D$145:$G$145)</f>
        <v>3.0112847789870779E-3</v>
      </c>
      <c r="D138" s="117">
        <f t="shared" ref="D138:G138" si="12">AVERAGE($D$145:$G$145)</f>
        <v>3.0112847789870779E-3</v>
      </c>
      <c r="E138" s="117">
        <f t="shared" si="12"/>
        <v>3.0112847789870779E-3</v>
      </c>
      <c r="F138" s="117">
        <f t="shared" si="12"/>
        <v>3.0112847789870779E-3</v>
      </c>
      <c r="G138" s="117">
        <f t="shared" si="12"/>
        <v>3.0112847789870779E-3</v>
      </c>
    </row>
    <row r="139" spans="2:13" x14ac:dyDescent="0.2">
      <c r="B139" s="5" t="s">
        <v>401</v>
      </c>
      <c r="C139" s="117">
        <f>AVERAGE($D$146:$G$146)</f>
        <v>0.2456239050927318</v>
      </c>
      <c r="D139" s="117">
        <f t="shared" ref="D139:G139" si="13">AVERAGE($D$146:$G$146)</f>
        <v>0.2456239050927318</v>
      </c>
      <c r="E139" s="117">
        <f t="shared" si="13"/>
        <v>0.2456239050927318</v>
      </c>
      <c r="F139" s="117">
        <f t="shared" si="13"/>
        <v>0.2456239050927318</v>
      </c>
      <c r="G139" s="117">
        <f t="shared" si="13"/>
        <v>0.2456239050927318</v>
      </c>
    </row>
    <row r="140" spans="2:13" x14ac:dyDescent="0.2">
      <c r="B140" s="118" t="s">
        <v>403</v>
      </c>
    </row>
    <row r="142" spans="2:13" x14ac:dyDescent="0.2">
      <c r="B142" s="89" t="s">
        <v>399</v>
      </c>
      <c r="C142" s="3"/>
      <c r="D142" s="3"/>
      <c r="E142" s="3"/>
      <c r="F142" s="3"/>
      <c r="G142" s="3"/>
    </row>
    <row r="143" spans="2:13" x14ac:dyDescent="0.2">
      <c r="B143" s="90"/>
      <c r="C143" s="91" t="s">
        <v>60</v>
      </c>
      <c r="D143" s="91" t="s">
        <v>61</v>
      </c>
      <c r="E143" s="91" t="s">
        <v>62</v>
      </c>
      <c r="F143" s="91" t="s">
        <v>63</v>
      </c>
      <c r="G143" s="91" t="s">
        <v>248</v>
      </c>
    </row>
    <row r="145" spans="2:13" x14ac:dyDescent="0.2">
      <c r="B145" s="1" t="s">
        <v>400</v>
      </c>
      <c r="C145" s="117">
        <f>'Historical Analysis'!F19</f>
        <v>5.7125864713431628E-3</v>
      </c>
      <c r="D145" s="117">
        <f>'Historical Analysis'!G19</f>
        <v>4.1193498107325761E-3</v>
      </c>
      <c r="E145" s="117">
        <f>'Historical Analysis'!H19</f>
        <v>3.4476814342354768E-3</v>
      </c>
      <c r="F145" s="117">
        <f>'Historical Analysis'!I19</f>
        <v>2.8301184181127579E-3</v>
      </c>
      <c r="G145" s="117">
        <f>'Historical Analysis'!J19</f>
        <v>1.6479894528675016E-3</v>
      </c>
    </row>
    <row r="146" spans="2:13" x14ac:dyDescent="0.2">
      <c r="B146" s="1" t="s">
        <v>401</v>
      </c>
      <c r="C146" s="117">
        <f>'Historical Analysis'!F20</f>
        <v>0.28426769336713931</v>
      </c>
      <c r="D146" s="117">
        <f>'Historical Analysis'!G20</f>
        <v>0.25150300601202402</v>
      </c>
      <c r="E146" s="117">
        <f>'Historical Analysis'!H20</f>
        <v>0.23659713842440958</v>
      </c>
      <c r="F146" s="117">
        <f>'Historical Analysis'!I20</f>
        <v>0.24726297758248306</v>
      </c>
      <c r="G146" s="117">
        <f>'Historical Analysis'!J20</f>
        <v>0.24713249835201054</v>
      </c>
    </row>
    <row r="148" spans="2:13" x14ac:dyDescent="0.2">
      <c r="B148" s="96" t="s">
        <v>385</v>
      </c>
      <c r="C148" s="3"/>
      <c r="D148" s="3"/>
      <c r="E148" s="3"/>
      <c r="F148" s="3"/>
      <c r="G148" s="3"/>
      <c r="H148" s="3"/>
    </row>
    <row r="150" spans="2:13" x14ac:dyDescent="0.2">
      <c r="B150" s="113" t="s">
        <v>397</v>
      </c>
    </row>
    <row r="153" spans="2:13" x14ac:dyDescent="0.2">
      <c r="B153" s="88" t="s">
        <v>404</v>
      </c>
      <c r="C153" s="57"/>
      <c r="D153" s="57"/>
      <c r="E153" s="57"/>
      <c r="F153" s="57"/>
      <c r="G153" s="57"/>
      <c r="H153" s="57"/>
      <c r="I153" s="57"/>
      <c r="J153" s="57"/>
      <c r="K153" s="57"/>
      <c r="L153" s="57"/>
      <c r="M153" s="57"/>
    </row>
    <row r="156" spans="2:13" x14ac:dyDescent="0.2">
      <c r="B156" s="89" t="s">
        <v>393</v>
      </c>
      <c r="C156" s="3"/>
      <c r="D156" s="3"/>
      <c r="E156" s="3"/>
      <c r="F156" s="3"/>
      <c r="G156" s="3"/>
    </row>
    <row r="157" spans="2:13" x14ac:dyDescent="0.2">
      <c r="B157" s="90"/>
      <c r="C157" s="91" t="s">
        <v>317</v>
      </c>
      <c r="D157" s="91" t="s">
        <v>318</v>
      </c>
      <c r="E157" s="91" t="s">
        <v>319</v>
      </c>
      <c r="F157" s="91" t="s">
        <v>320</v>
      </c>
      <c r="G157" s="91" t="s">
        <v>321</v>
      </c>
    </row>
    <row r="159" spans="2:13" x14ac:dyDescent="0.2">
      <c r="B159" s="5" t="s">
        <v>275</v>
      </c>
    </row>
    <row r="160" spans="2:13" x14ac:dyDescent="0.2">
      <c r="B160" s="5" t="s">
        <v>276</v>
      </c>
    </row>
    <row r="161" spans="2:12" x14ac:dyDescent="0.2">
      <c r="B161" s="5" t="s">
        <v>283</v>
      </c>
    </row>
    <row r="163" spans="2:12" x14ac:dyDescent="0.2">
      <c r="B163" s="119" t="s">
        <v>407</v>
      </c>
      <c r="C163" s="3"/>
      <c r="D163" s="3"/>
      <c r="E163" s="3"/>
      <c r="F163" s="3"/>
      <c r="G163" s="3"/>
      <c r="H163" s="3"/>
      <c r="I163" s="3"/>
      <c r="J163" s="3"/>
      <c r="K163" s="3"/>
      <c r="L163" s="3"/>
    </row>
    <row r="164" spans="2:12" x14ac:dyDescent="0.2">
      <c r="B164" s="120"/>
      <c r="C164" s="39" t="s">
        <v>60</v>
      </c>
      <c r="D164" s="39" t="s">
        <v>61</v>
      </c>
      <c r="E164" s="39" t="s">
        <v>62</v>
      </c>
      <c r="F164" s="39" t="s">
        <v>63</v>
      </c>
      <c r="G164" s="39" t="s">
        <v>248</v>
      </c>
      <c r="H164" s="121" t="s">
        <v>317</v>
      </c>
      <c r="I164" s="121" t="s">
        <v>318</v>
      </c>
      <c r="J164" s="121" t="s">
        <v>319</v>
      </c>
      <c r="K164" s="121" t="s">
        <v>320</v>
      </c>
      <c r="L164" s="121" t="s">
        <v>321</v>
      </c>
    </row>
    <row r="165" spans="2:12" x14ac:dyDescent="0.2">
      <c r="B165" s="66" t="s">
        <v>408</v>
      </c>
      <c r="C165" s="85">
        <v>365</v>
      </c>
      <c r="D165" s="85">
        <v>365</v>
      </c>
      <c r="E165" s="85">
        <v>365</v>
      </c>
      <c r="F165" s="85">
        <v>365</v>
      </c>
      <c r="G165" s="85">
        <v>365</v>
      </c>
      <c r="H165" s="122">
        <v>365</v>
      </c>
      <c r="I165" s="122">
        <v>365</v>
      </c>
      <c r="J165" s="122">
        <v>365</v>
      </c>
      <c r="K165" s="122">
        <v>365</v>
      </c>
      <c r="L165" s="122">
        <v>365</v>
      </c>
    </row>
    <row r="168" spans="2:12" x14ac:dyDescent="0.2">
      <c r="B168" s="38" t="s">
        <v>409</v>
      </c>
      <c r="F168" s="75"/>
      <c r="G168" s="75"/>
    </row>
    <row r="170" spans="2:12" x14ac:dyDescent="0.2">
      <c r="B170" s="5" t="s">
        <v>410</v>
      </c>
      <c r="C170" s="55">
        <f>'Historical Financials'!F41</f>
        <v>249.7</v>
      </c>
      <c r="D170" s="55">
        <f>'Historical Financials'!G41</f>
        <v>333</v>
      </c>
      <c r="E170" s="55">
        <f>'Historical Financials'!H41</f>
        <v>383</v>
      </c>
      <c r="F170" s="55">
        <f>'Historical Financials'!I41</f>
        <v>431</v>
      </c>
      <c r="G170" s="55">
        <f>'Historical Financials'!J41</f>
        <v>478</v>
      </c>
      <c r="H170" s="128">
        <f>H173*H172</f>
        <v>540.01006343901463</v>
      </c>
      <c r="I170" s="128">
        <f t="shared" ref="I170:L170" si="14">I173*I172</f>
        <v>597.33707618017377</v>
      </c>
      <c r="J170" s="128">
        <f t="shared" si="14"/>
        <v>654.75294645182112</v>
      </c>
      <c r="K170" s="128">
        <f t="shared" si="14"/>
        <v>712.32928412184913</v>
      </c>
      <c r="L170" s="128">
        <f t="shared" si="14"/>
        <v>768.77550171972598</v>
      </c>
    </row>
    <row r="171" spans="2:12" x14ac:dyDescent="0.2">
      <c r="B171" s="5" t="s">
        <v>64</v>
      </c>
      <c r="C171" s="55">
        <f>'Historical Financials'!F10</f>
        <v>6389.4</v>
      </c>
      <c r="D171" s="55">
        <f>'Historical Financials'!G10</f>
        <v>8982</v>
      </c>
      <c r="E171" s="55">
        <f>'Historical Financials'!H10</f>
        <v>11602</v>
      </c>
      <c r="F171" s="55">
        <f>'Historical Financials'!I10</f>
        <v>13427</v>
      </c>
      <c r="G171" s="55">
        <f>'Historical Financials'!J10</f>
        <v>15170</v>
      </c>
      <c r="H171" s="80">
        <f>'Forecast Model'!K8</f>
        <v>16979.03</v>
      </c>
      <c r="I171" s="80">
        <f>'Forecast Model'!L8</f>
        <v>18781.5095</v>
      </c>
      <c r="J171" s="80">
        <f>'Forecast Model'!M8</f>
        <v>20586.782864000008</v>
      </c>
      <c r="K171" s="80">
        <f>'Forecast Model'!N8</f>
        <v>22397.101653920003</v>
      </c>
      <c r="L171" s="80">
        <f>'Forecast Model'!O8</f>
        <v>24171.887138244801</v>
      </c>
    </row>
    <row r="172" spans="2:12" x14ac:dyDescent="0.2">
      <c r="B172" s="5" t="s">
        <v>411</v>
      </c>
      <c r="C172" s="123">
        <f>C171/C165</f>
        <v>17.505205479452055</v>
      </c>
      <c r="D172" s="123">
        <f t="shared" ref="D172:G172" si="15">D171/D165</f>
        <v>24.608219178082191</v>
      </c>
      <c r="E172" s="123">
        <f t="shared" si="15"/>
        <v>31.786301369863015</v>
      </c>
      <c r="F172" s="123">
        <f t="shared" si="15"/>
        <v>36.786301369863011</v>
      </c>
      <c r="G172" s="123">
        <f t="shared" si="15"/>
        <v>41.561643835616437</v>
      </c>
      <c r="H172" s="82">
        <f>H171/H165</f>
        <v>46.517890410958898</v>
      </c>
      <c r="I172" s="82">
        <f t="shared" ref="I172:L172" si="16">I171/I165</f>
        <v>51.456190410958904</v>
      </c>
      <c r="J172" s="82">
        <f t="shared" si="16"/>
        <v>56.402144832876736</v>
      </c>
      <c r="K172" s="82">
        <f t="shared" si="16"/>
        <v>61.361922339506854</v>
      </c>
      <c r="L172" s="82">
        <f t="shared" si="16"/>
        <v>66.224348323958367</v>
      </c>
    </row>
    <row r="173" spans="2:12" x14ac:dyDescent="0.2">
      <c r="B173" s="5" t="s">
        <v>275</v>
      </c>
      <c r="C173" s="124">
        <f>C170/C172</f>
        <v>14.264328418943874</v>
      </c>
      <c r="D173" s="124">
        <f t="shared" ref="D173:G173" si="17">D170/D172</f>
        <v>13.532064128256513</v>
      </c>
      <c r="E173" s="124">
        <f t="shared" si="17"/>
        <v>12.049215652473711</v>
      </c>
      <c r="F173" s="124">
        <f t="shared" si="17"/>
        <v>11.716317866984435</v>
      </c>
      <c r="G173" s="124">
        <f t="shared" si="17"/>
        <v>11.500988793671722</v>
      </c>
      <c r="H173" s="127">
        <f>AVERAGE($F$173:$G$173)</f>
        <v>11.608653330328078</v>
      </c>
      <c r="I173" s="127">
        <f t="shared" ref="I173:L173" si="18">AVERAGE($F$173:$G$173)</f>
        <v>11.608653330328078</v>
      </c>
      <c r="J173" s="127">
        <f t="shared" si="18"/>
        <v>11.608653330328078</v>
      </c>
      <c r="K173" s="127">
        <f t="shared" si="18"/>
        <v>11.608653330328078</v>
      </c>
      <c r="L173" s="127">
        <f t="shared" si="18"/>
        <v>11.608653330328078</v>
      </c>
    </row>
    <row r="174" spans="2:12" x14ac:dyDescent="0.2">
      <c r="B174" s="126" t="s">
        <v>412</v>
      </c>
    </row>
    <row r="177" spans="2:12" x14ac:dyDescent="0.2">
      <c r="B177" s="38" t="s">
        <v>413</v>
      </c>
    </row>
    <row r="179" spans="2:12" x14ac:dyDescent="0.2">
      <c r="B179" s="5" t="s">
        <v>414</v>
      </c>
      <c r="C179" s="27">
        <f>'Historical Financials'!F43</f>
        <v>1289.4000000000001</v>
      </c>
      <c r="D179" s="27">
        <f>'Historical Financials'!G43</f>
        <v>1449</v>
      </c>
      <c r="E179" s="27">
        <f>'Historical Financials'!H43</f>
        <v>1779</v>
      </c>
      <c r="F179" s="27">
        <f>'Historical Financials'!I43</f>
        <v>2414</v>
      </c>
      <c r="G179" s="27">
        <f>'Historical Financials'!J43</f>
        <v>2797</v>
      </c>
      <c r="H179" s="128">
        <f>H181*H182</f>
        <v>3112.886019979429</v>
      </c>
      <c r="I179" s="128">
        <f t="shared" ref="I179:L179" si="19">I181*I182</f>
        <v>3443.3473735932398</v>
      </c>
      <c r="J179" s="128">
        <f t="shared" si="19"/>
        <v>3774.3209461139818</v>
      </c>
      <c r="K179" s="128">
        <f t="shared" si="19"/>
        <v>4106.2195323611368</v>
      </c>
      <c r="L179" s="128">
        <f t="shared" si="19"/>
        <v>4431.6035456184954</v>
      </c>
    </row>
    <row r="180" spans="2:12" x14ac:dyDescent="0.2">
      <c r="B180" s="5" t="s">
        <v>415</v>
      </c>
      <c r="C180" s="27">
        <f>-'Historical Financials'!F11</f>
        <v>1971.4</v>
      </c>
      <c r="D180" s="27">
        <f>-'Historical Financials'!G11</f>
        <v>2531</v>
      </c>
      <c r="E180" s="27">
        <f>-'Historical Financials'!H11</f>
        <v>3334</v>
      </c>
      <c r="F180" s="27">
        <f>-'Historical Financials'!I11</f>
        <v>3658</v>
      </c>
      <c r="G180" s="27">
        <f>-'Historical Financials'!J11</f>
        <v>4393</v>
      </c>
      <c r="H180" s="51">
        <f>-'Forecast Model'!K9</f>
        <v>4801.5460942978771</v>
      </c>
      <c r="I180" s="51">
        <f>-'Forecast Model'!L9</f>
        <v>5311.2741767193693</v>
      </c>
      <c r="J180" s="51">
        <f>-'Forecast Model'!M9</f>
        <v>5821.7923435436351</v>
      </c>
      <c r="K180" s="51">
        <f>-'Forecast Model'!N9</f>
        <v>6333.737320092614</v>
      </c>
      <c r="L180" s="51">
        <f>-'Forecast Model'!O9</f>
        <v>6835.633736464828</v>
      </c>
    </row>
    <row r="181" spans="2:12" x14ac:dyDescent="0.2">
      <c r="B181" s="5" t="s">
        <v>416</v>
      </c>
      <c r="C181" s="82">
        <f>C180/C165</f>
        <v>5.4010958904109589</v>
      </c>
      <c r="D181" s="82">
        <f t="shared" ref="D181:G181" si="20">D180/D165</f>
        <v>6.934246575342466</v>
      </c>
      <c r="E181" s="82">
        <f t="shared" si="20"/>
        <v>9.1342465753424662</v>
      </c>
      <c r="F181" s="82">
        <f t="shared" si="20"/>
        <v>10.021917808219179</v>
      </c>
      <c r="G181" s="82">
        <f t="shared" si="20"/>
        <v>12.035616438356165</v>
      </c>
      <c r="H181" s="44">
        <f>H180/H165</f>
        <v>13.154920806295554</v>
      </c>
      <c r="I181" s="44">
        <f t="shared" ref="I181:L181" si="21">I180/I165</f>
        <v>14.551436100601011</v>
      </c>
      <c r="J181" s="44">
        <f t="shared" si="21"/>
        <v>15.950116009708589</v>
      </c>
      <c r="K181" s="44">
        <f t="shared" si="21"/>
        <v>17.352704986555107</v>
      </c>
      <c r="L181" s="44">
        <f t="shared" si="21"/>
        <v>18.727763661547474</v>
      </c>
    </row>
    <row r="182" spans="2:12" x14ac:dyDescent="0.2">
      <c r="B182" s="5" t="s">
        <v>283</v>
      </c>
      <c r="C182" s="44">
        <f>C179/C181</f>
        <v>238.72932941057118</v>
      </c>
      <c r="D182" s="44">
        <f t="shared" ref="D182:G182" si="22">D179/D181</f>
        <v>208.96286052943501</v>
      </c>
      <c r="E182" s="44">
        <f t="shared" si="22"/>
        <v>194.7615476904619</v>
      </c>
      <c r="F182" s="44">
        <f t="shared" si="22"/>
        <v>240.87206123564786</v>
      </c>
      <c r="G182" s="44">
        <f t="shared" si="22"/>
        <v>232.39358069656271</v>
      </c>
      <c r="H182" s="127">
        <f>AVERAGE($F$182:$G$182)</f>
        <v>236.63282096610527</v>
      </c>
      <c r="I182" s="127">
        <f t="shared" ref="I182:L182" si="23">AVERAGE($F$182:$G$182)</f>
        <v>236.63282096610527</v>
      </c>
      <c r="J182" s="127">
        <f t="shared" si="23"/>
        <v>236.63282096610527</v>
      </c>
      <c r="K182" s="127">
        <f t="shared" si="23"/>
        <v>236.63282096610527</v>
      </c>
      <c r="L182" s="127">
        <f t="shared" si="23"/>
        <v>236.63282096610527</v>
      </c>
    </row>
    <row r="183" spans="2:12" x14ac:dyDescent="0.2">
      <c r="B183" s="126" t="s">
        <v>412</v>
      </c>
    </row>
    <row r="185" spans="2:12" x14ac:dyDescent="0.2">
      <c r="B185" s="38" t="s">
        <v>417</v>
      </c>
    </row>
    <row r="187" spans="2:12" x14ac:dyDescent="0.2">
      <c r="B187" s="5" t="s">
        <v>419</v>
      </c>
      <c r="C187" s="27">
        <f>'Historical Financials'!F58</f>
        <v>372.5</v>
      </c>
      <c r="D187" s="27">
        <f>'Historical Financials'!G58</f>
        <v>450</v>
      </c>
      <c r="E187" s="27">
        <f>'Historical Financials'!H58</f>
        <v>659</v>
      </c>
      <c r="F187" s="27">
        <f>'Historical Financials'!I58</f>
        <v>685</v>
      </c>
      <c r="G187" s="27">
        <f>'Historical Financials'!J58</f>
        <v>683</v>
      </c>
      <c r="H187" s="130">
        <f>H190*H189</f>
        <v>774.18759057701459</v>
      </c>
      <c r="I187" s="130">
        <f t="shared" ref="I187:L187" si="24">I190*I189</f>
        <v>853.50651251740248</v>
      </c>
      <c r="J187" s="130">
        <f t="shared" si="24"/>
        <v>930.81743217515134</v>
      </c>
      <c r="K187" s="130">
        <f t="shared" si="24"/>
        <v>1008.4066552823417</v>
      </c>
      <c r="L187" s="130">
        <f t="shared" si="24"/>
        <v>1083.350194772361</v>
      </c>
    </row>
    <row r="188" spans="2:12" x14ac:dyDescent="0.2">
      <c r="B188" s="5" t="s">
        <v>418</v>
      </c>
      <c r="D188" s="27">
        <f>D179-C179+D180</f>
        <v>2690.6</v>
      </c>
      <c r="E188" s="27">
        <f t="shared" ref="E188:G188" si="25">E179-D179+E180</f>
        <v>3664</v>
      </c>
      <c r="F188" s="27">
        <f t="shared" si="25"/>
        <v>4293</v>
      </c>
      <c r="G188" s="27">
        <f t="shared" si="25"/>
        <v>4776</v>
      </c>
      <c r="H188" s="27">
        <f t="shared" ref="H188:K188" si="26">H179-G179+H180</f>
        <v>5117.432114277306</v>
      </c>
      <c r="I188" s="27">
        <f t="shared" si="26"/>
        <v>5641.7355303331806</v>
      </c>
      <c r="J188" s="27">
        <f t="shared" si="26"/>
        <v>6152.7659160643771</v>
      </c>
      <c r="K188" s="27">
        <f t="shared" si="26"/>
        <v>6665.6359063397686</v>
      </c>
      <c r="L188" s="27">
        <f>L179-K179+L180</f>
        <v>7161.0177497221866</v>
      </c>
    </row>
    <row r="189" spans="2:12" x14ac:dyDescent="0.2">
      <c r="B189" s="5" t="s">
        <v>420</v>
      </c>
      <c r="D189" s="82">
        <f>D188/D165</f>
        <v>7.3715068493150682</v>
      </c>
      <c r="E189" s="82">
        <f t="shared" ref="E189:G189" si="27">E188/E165</f>
        <v>10.038356164383561</v>
      </c>
      <c r="F189" s="82">
        <f t="shared" si="27"/>
        <v>11.761643835616438</v>
      </c>
      <c r="G189" s="82">
        <f t="shared" si="27"/>
        <v>13.084931506849315</v>
      </c>
      <c r="H189" s="82">
        <f t="shared" ref="H189" si="28">H188/H165</f>
        <v>14.020361956924127</v>
      </c>
      <c r="I189" s="82">
        <f t="shared" ref="I189" si="29">I188/I165</f>
        <v>15.456809672145701</v>
      </c>
      <c r="J189" s="82">
        <f t="shared" ref="J189" si="30">J188/J165</f>
        <v>16.85689292072432</v>
      </c>
      <c r="K189" s="82">
        <f t="shared" ref="K189" si="31">K188/K165</f>
        <v>18.262016181752792</v>
      </c>
      <c r="L189" s="82">
        <f t="shared" ref="L189" si="32">L188/L165</f>
        <v>19.619226711567634</v>
      </c>
    </row>
    <row r="190" spans="2:12" x14ac:dyDescent="0.2">
      <c r="B190" s="5" t="s">
        <v>276</v>
      </c>
      <c r="D190" s="129">
        <f>D187/D189</f>
        <v>61.045863376198618</v>
      </c>
      <c r="E190" s="129">
        <f t="shared" ref="E190:G190" si="33">E187/E189</f>
        <v>65.648198689956331</v>
      </c>
      <c r="F190" s="129">
        <f t="shared" si="33"/>
        <v>58.240158397391106</v>
      </c>
      <c r="G190" s="129">
        <f t="shared" si="33"/>
        <v>52.197445561139027</v>
      </c>
      <c r="H190" s="131">
        <f>AVERAGE($F$190:$G$190)</f>
        <v>55.218801979265066</v>
      </c>
      <c r="I190" s="131">
        <f t="shared" ref="I190:L190" si="34">AVERAGE($F$190:$G$190)</f>
        <v>55.218801979265066</v>
      </c>
      <c r="J190" s="131">
        <f t="shared" si="34"/>
        <v>55.218801979265066</v>
      </c>
      <c r="K190" s="131">
        <f t="shared" si="34"/>
        <v>55.218801979265066</v>
      </c>
      <c r="L190" s="131">
        <f t="shared" si="34"/>
        <v>55.218801979265066</v>
      </c>
    </row>
    <row r="191" spans="2:12" x14ac:dyDescent="0.2">
      <c r="B191" s="126" t="s">
        <v>412</v>
      </c>
    </row>
    <row r="194" spans="2:13" x14ac:dyDescent="0.2">
      <c r="B194" s="89" t="s">
        <v>82</v>
      </c>
      <c r="C194" s="3"/>
      <c r="D194" s="3"/>
      <c r="E194" s="3"/>
      <c r="F194" s="3"/>
      <c r="G194" s="3"/>
      <c r="H194" s="3"/>
    </row>
    <row r="196" spans="2:13" x14ac:dyDescent="0.2">
      <c r="D196" s="39" t="s">
        <v>60</v>
      </c>
      <c r="E196" s="39" t="s">
        <v>61</v>
      </c>
      <c r="F196" s="39" t="s">
        <v>62</v>
      </c>
      <c r="G196" s="39" t="s">
        <v>63</v>
      </c>
      <c r="H196" s="39" t="s">
        <v>248</v>
      </c>
    </row>
    <row r="197" spans="2:13" x14ac:dyDescent="0.2">
      <c r="B197" s="5" t="s">
        <v>422</v>
      </c>
      <c r="D197" s="27">
        <f>'Forecast Model'!F41</f>
        <v>121.4</v>
      </c>
      <c r="E197" s="27">
        <f>'Forecast Model'!G41</f>
        <v>309</v>
      </c>
      <c r="F197" s="27">
        <f>'Forecast Model'!H41</f>
        <v>422</v>
      </c>
      <c r="G197" s="27">
        <f>'Forecast Model'!I41</f>
        <v>487</v>
      </c>
      <c r="H197" s="27">
        <f>'Forecast Model'!J41</f>
        <v>531</v>
      </c>
    </row>
    <row r="198" spans="2:13" x14ac:dyDescent="0.2">
      <c r="B198" s="5" t="s">
        <v>423</v>
      </c>
      <c r="D198" s="132">
        <f>'Forecast Model'!F41/'Forecast Model'!F37</f>
        <v>2.5651319542755725E-2</v>
      </c>
      <c r="E198" s="132">
        <f>'Forecast Model'!G41/'Forecast Model'!G37</f>
        <v>4.6146953405017919E-2</v>
      </c>
      <c r="F198" s="132">
        <f>'Forecast Model'!H41/'Forecast Model'!H37</f>
        <v>4.5745257452574524E-2</v>
      </c>
      <c r="G198" s="132">
        <f>'Forecast Model'!I41/'Forecast Model'!I37</f>
        <v>4.5835294117647057E-2</v>
      </c>
      <c r="H198" s="132">
        <f>'Forecast Model'!J41/'Forecast Model'!J37</f>
        <v>4.5610719807593195E-2</v>
      </c>
    </row>
    <row r="200" spans="2:13" x14ac:dyDescent="0.2">
      <c r="B200" s="5" t="s">
        <v>424</v>
      </c>
      <c r="D200" s="115">
        <f>AVERAGE(E198:H198)</f>
        <v>4.583455619570817E-2</v>
      </c>
    </row>
    <row r="203" spans="2:13" x14ac:dyDescent="0.2">
      <c r="B203" s="88" t="s">
        <v>425</v>
      </c>
      <c r="C203" s="57"/>
      <c r="D203" s="57"/>
      <c r="E203" s="57"/>
      <c r="F203" s="57"/>
      <c r="G203" s="57"/>
      <c r="H203" s="57"/>
      <c r="I203" s="57"/>
      <c r="J203" s="57"/>
      <c r="K203" s="57"/>
      <c r="L203" s="57"/>
      <c r="M203" s="57"/>
    </row>
    <row r="206" spans="2:13" x14ac:dyDescent="0.2">
      <c r="B206" s="89" t="s">
        <v>426</v>
      </c>
      <c r="C206" s="3"/>
      <c r="D206" s="3"/>
      <c r="E206" s="3"/>
      <c r="F206" s="3"/>
      <c r="G206" s="3"/>
    </row>
    <row r="207" spans="2:13" x14ac:dyDescent="0.2">
      <c r="B207" s="90"/>
      <c r="C207" s="91" t="s">
        <v>60</v>
      </c>
      <c r="D207" s="91" t="s">
        <v>61</v>
      </c>
      <c r="E207" s="91" t="s">
        <v>62</v>
      </c>
      <c r="F207" s="91" t="s">
        <v>63</v>
      </c>
      <c r="G207" s="91" t="s">
        <v>248</v>
      </c>
    </row>
    <row r="209" spans="2:8" x14ac:dyDescent="0.2">
      <c r="B209" s="5" t="s">
        <v>427</v>
      </c>
      <c r="C209" s="117">
        <f>'Historical Analysis'!F62</f>
        <v>7.0178733527404766E-2</v>
      </c>
      <c r="D209" s="117">
        <f>'Historical Analysis'!G62</f>
        <v>5.9229570251614343E-2</v>
      </c>
      <c r="E209" s="117">
        <f>'Historical Analysis'!H62</f>
        <v>4.4647474573349423E-2</v>
      </c>
      <c r="F209" s="117">
        <f>'Historical Analysis'!I62</f>
        <v>6.3975571609443657E-2</v>
      </c>
      <c r="G209" s="117">
        <f>'Historical Analysis'!J62</f>
        <v>7.0336189848384967E-2</v>
      </c>
    </row>
    <row r="211" spans="2:8" x14ac:dyDescent="0.2">
      <c r="B211" s="5" t="s">
        <v>428</v>
      </c>
      <c r="C211" s="117">
        <f>AVERAGE(F209:G209)</f>
        <v>6.7155880728914319E-2</v>
      </c>
    </row>
    <row r="213" spans="2:8" x14ac:dyDescent="0.2">
      <c r="B213" s="89" t="s">
        <v>434</v>
      </c>
      <c r="C213" s="3"/>
      <c r="D213" s="3"/>
      <c r="E213" s="3"/>
      <c r="F213" s="3"/>
      <c r="G213" s="3"/>
    </row>
    <row r="214" spans="2:8" x14ac:dyDescent="0.2">
      <c r="B214" s="90"/>
      <c r="C214" s="91" t="s">
        <v>60</v>
      </c>
      <c r="D214" s="91" t="s">
        <v>61</v>
      </c>
      <c r="E214" s="91" t="s">
        <v>62</v>
      </c>
      <c r="F214" s="91" t="s">
        <v>63</v>
      </c>
      <c r="G214" s="91" t="s">
        <v>248</v>
      </c>
    </row>
    <row r="216" spans="2:8" x14ac:dyDescent="0.2">
      <c r="B216" s="1" t="s">
        <v>435</v>
      </c>
      <c r="D216" s="27">
        <f>'Historical Financials'!F47</f>
        <v>3092.2</v>
      </c>
      <c r="E216" s="27">
        <f>'Historical Financials'!G47</f>
        <v>3398</v>
      </c>
      <c r="F216" s="27">
        <f>'Historical Financials'!H47</f>
        <v>3589</v>
      </c>
      <c r="G216" s="27">
        <f>'Historical Financials'!I47</f>
        <v>4056</v>
      </c>
    </row>
    <row r="217" spans="2:8" x14ac:dyDescent="0.2">
      <c r="B217" s="1" t="s">
        <v>436</v>
      </c>
      <c r="D217" s="132">
        <f>-'Historical Financials'!F15/'Supporting Schedules'!D216</f>
        <v>0.16480175926524807</v>
      </c>
      <c r="E217" s="132">
        <f>-'Historical Financials'!G15/'Supporting Schedules'!E216</f>
        <v>0.16509711595055915</v>
      </c>
      <c r="F217" s="132">
        <f>-'Historical Financials'!H15/'Supporting Schedules'!F216</f>
        <v>0.16912789077737531</v>
      </c>
      <c r="G217" s="132">
        <f>-'Historical Financials'!I15/'Supporting Schedules'!G216</f>
        <v>0.16420118343195267</v>
      </c>
    </row>
    <row r="219" spans="2:8" x14ac:dyDescent="0.2">
      <c r="B219" s="5" t="s">
        <v>428</v>
      </c>
      <c r="D219" s="115">
        <f>AVERAGE(F217:G217)</f>
        <v>0.166664537104664</v>
      </c>
    </row>
    <row r="223" spans="2:8" x14ac:dyDescent="0.2">
      <c r="B223" s="96" t="s">
        <v>433</v>
      </c>
      <c r="C223" s="3"/>
      <c r="D223" s="3"/>
      <c r="E223" s="3"/>
      <c r="F223" s="3"/>
      <c r="G223" s="3"/>
      <c r="H223" s="3"/>
    </row>
    <row r="224" spans="2:8" x14ac:dyDescent="0.2">
      <c r="B224" s="134"/>
      <c r="C224" s="135" t="s">
        <v>248</v>
      </c>
      <c r="D224" s="39" t="s">
        <v>317</v>
      </c>
      <c r="E224" s="39" t="s">
        <v>318</v>
      </c>
      <c r="F224" s="39" t="s">
        <v>319</v>
      </c>
      <c r="G224" s="39" t="s">
        <v>320</v>
      </c>
      <c r="H224" s="39" t="s">
        <v>321</v>
      </c>
    </row>
    <row r="225" spans="2:13" x14ac:dyDescent="0.2">
      <c r="B225" s="5" t="s">
        <v>429</v>
      </c>
      <c r="C225" s="85"/>
      <c r="D225" s="55">
        <f>C228</f>
        <v>4766</v>
      </c>
      <c r="E225" s="55">
        <f t="shared" ref="E225:H225" si="35">D228</f>
        <v>5111.9185297318299</v>
      </c>
      <c r="F225" s="55">
        <f t="shared" si="35"/>
        <v>5521.2318061482911</v>
      </c>
      <c r="G225" s="55">
        <f t="shared" si="35"/>
        <v>5983.56179753588</v>
      </c>
      <c r="H225" s="55">
        <f t="shared" si="35"/>
        <v>6490.4113276564321</v>
      </c>
    </row>
    <row r="226" spans="2:13" x14ac:dyDescent="0.2">
      <c r="B226" s="5" t="s">
        <v>430</v>
      </c>
      <c r="C226" s="85"/>
      <c r="D226" s="125">
        <f>$C$211*'Forecast Model'!K8</f>
        <v>1140.241713572658</v>
      </c>
      <c r="E226" s="125">
        <f>$C$211*'Forecast Model'!L8</f>
        <v>1261.2888118909711</v>
      </c>
      <c r="F226" s="125">
        <f>$C$211*'Forecast Model'!M8</f>
        <v>1382.5235346068416</v>
      </c>
      <c r="G226" s="125">
        <f>$C$211*'Forecast Model'!N8</f>
        <v>1504.0970873440212</v>
      </c>
      <c r="H226" s="125">
        <f>$C$211*'Forecast Model'!O8</f>
        <v>1623.284369648746</v>
      </c>
    </row>
    <row r="227" spans="2:13" x14ac:dyDescent="0.2">
      <c r="B227" s="136" t="s">
        <v>431</v>
      </c>
      <c r="C227" s="85"/>
      <c r="D227" s="125">
        <f>-$D$219*D225</f>
        <v>-794.32318384082862</v>
      </c>
      <c r="E227" s="125">
        <f t="shared" ref="E227:H227" si="36">-$D$219*E225</f>
        <v>-851.97553547451002</v>
      </c>
      <c r="F227" s="125">
        <f t="shared" si="36"/>
        <v>-920.19354321925289</v>
      </c>
      <c r="G227" s="125">
        <f t="shared" si="36"/>
        <v>-997.24755722346868</v>
      </c>
      <c r="H227" s="125">
        <f t="shared" si="36"/>
        <v>-1081.7213995427269</v>
      </c>
    </row>
    <row r="228" spans="2:13" x14ac:dyDescent="0.2">
      <c r="B228" s="5" t="s">
        <v>432</v>
      </c>
      <c r="C228" s="137">
        <f>'Historical Financials'!J47</f>
        <v>4766</v>
      </c>
      <c r="D228" s="138">
        <f>SUM(D225:D227)</f>
        <v>5111.9185297318299</v>
      </c>
      <c r="E228" s="138">
        <f t="shared" ref="E228:H228" si="37">SUM(E225:E227)</f>
        <v>5521.2318061482911</v>
      </c>
      <c r="F228" s="138">
        <f t="shared" si="37"/>
        <v>5983.56179753588</v>
      </c>
      <c r="G228" s="138">
        <f t="shared" si="37"/>
        <v>6490.4113276564321</v>
      </c>
      <c r="H228" s="138">
        <f t="shared" si="37"/>
        <v>7031.9742977624519</v>
      </c>
    </row>
    <row r="231" spans="2:13" x14ac:dyDescent="0.2">
      <c r="B231" s="88" t="s">
        <v>439</v>
      </c>
      <c r="C231" s="57"/>
      <c r="D231" s="57"/>
      <c r="E231" s="57"/>
      <c r="F231" s="57"/>
      <c r="G231" s="57"/>
      <c r="H231" s="57"/>
      <c r="I231" s="57"/>
      <c r="J231" s="57"/>
      <c r="K231" s="57"/>
      <c r="L231" s="57"/>
      <c r="M231" s="57"/>
    </row>
    <row r="234" spans="2:13" x14ac:dyDescent="0.2">
      <c r="B234" s="89" t="s">
        <v>440</v>
      </c>
      <c r="C234" s="3"/>
      <c r="D234" s="3"/>
      <c r="E234" s="3"/>
      <c r="F234" s="3"/>
      <c r="G234" s="3"/>
    </row>
    <row r="235" spans="2:13" x14ac:dyDescent="0.2">
      <c r="B235" s="90"/>
      <c r="C235" s="91" t="s">
        <v>60</v>
      </c>
      <c r="D235" s="91" t="s">
        <v>61</v>
      </c>
      <c r="E235" s="91" t="s">
        <v>62</v>
      </c>
      <c r="F235" s="91" t="s">
        <v>63</v>
      </c>
      <c r="G235" s="91" t="s">
        <v>248</v>
      </c>
    </row>
    <row r="237" spans="2:13" x14ac:dyDescent="0.2">
      <c r="B237" s="5" t="s">
        <v>442</v>
      </c>
      <c r="D237" s="115">
        <f>D217</f>
        <v>0.16480175926524807</v>
      </c>
      <c r="E237" s="115">
        <f t="shared" ref="E237:G237" si="38">E217</f>
        <v>0.16509711595055915</v>
      </c>
      <c r="F237" s="115">
        <f t="shared" si="38"/>
        <v>0.16912789077737531</v>
      </c>
      <c r="G237" s="115">
        <f t="shared" si="38"/>
        <v>0.16420118343195267</v>
      </c>
    </row>
    <row r="239" spans="2:13" x14ac:dyDescent="0.2">
      <c r="B239" s="5" t="s">
        <v>428</v>
      </c>
      <c r="D239" s="115">
        <f>AVERAGE(F237:G237)</f>
        <v>0.166664537104664</v>
      </c>
    </row>
    <row r="241" spans="2:13" x14ac:dyDescent="0.2">
      <c r="B241" s="89" t="s">
        <v>443</v>
      </c>
      <c r="C241" s="3"/>
      <c r="D241" s="3"/>
      <c r="E241" s="3"/>
      <c r="F241" s="3"/>
      <c r="G241" s="3"/>
    </row>
    <row r="242" spans="2:13" x14ac:dyDescent="0.2">
      <c r="C242" s="39" t="s">
        <v>317</v>
      </c>
      <c r="D242" s="39" t="s">
        <v>318</v>
      </c>
      <c r="E242" s="39" t="s">
        <v>319</v>
      </c>
      <c r="F242" s="39" t="s">
        <v>320</v>
      </c>
      <c r="G242" s="39" t="s">
        <v>321</v>
      </c>
    </row>
    <row r="244" spans="2:13" x14ac:dyDescent="0.2">
      <c r="B244" s="5" t="s">
        <v>444</v>
      </c>
      <c r="C244" s="27">
        <f>D225</f>
        <v>4766</v>
      </c>
      <c r="D244" s="27">
        <f t="shared" ref="D244:G244" si="39">E225</f>
        <v>5111.9185297318299</v>
      </c>
      <c r="E244" s="27">
        <f t="shared" si="39"/>
        <v>5521.2318061482911</v>
      </c>
      <c r="F244" s="27">
        <f t="shared" si="39"/>
        <v>5983.56179753588</v>
      </c>
      <c r="G244" s="27">
        <f t="shared" si="39"/>
        <v>6490.4113276564321</v>
      </c>
    </row>
    <row r="245" spans="2:13" x14ac:dyDescent="0.2">
      <c r="B245" s="5" t="s">
        <v>441</v>
      </c>
      <c r="C245" s="131">
        <f>$D$239*C244</f>
        <v>794.32318384082862</v>
      </c>
      <c r="D245" s="131">
        <f t="shared" ref="D245:G245" si="40">$D$239*D244</f>
        <v>851.97553547451002</v>
      </c>
      <c r="E245" s="131">
        <f t="shared" si="40"/>
        <v>920.19354321925289</v>
      </c>
      <c r="F245" s="131">
        <f t="shared" si="40"/>
        <v>997.24755722346868</v>
      </c>
      <c r="G245" s="131">
        <f t="shared" si="40"/>
        <v>1081.7213995427269</v>
      </c>
    </row>
    <row r="249" spans="2:13" x14ac:dyDescent="0.2">
      <c r="B249" s="88" t="s">
        <v>445</v>
      </c>
      <c r="C249" s="57"/>
      <c r="D249" s="57"/>
      <c r="E249" s="57"/>
      <c r="F249" s="57"/>
      <c r="G249" s="57"/>
      <c r="H249" s="57"/>
      <c r="I249" s="57"/>
      <c r="J249" s="57"/>
      <c r="K249" s="57"/>
      <c r="L249" s="57"/>
      <c r="M249" s="57"/>
    </row>
    <row r="252" spans="2:13" x14ac:dyDescent="0.2">
      <c r="B252" s="89" t="s">
        <v>446</v>
      </c>
      <c r="C252" s="3"/>
      <c r="D252" s="3"/>
      <c r="E252" s="3"/>
      <c r="F252" s="3"/>
      <c r="G252" s="3"/>
    </row>
    <row r="253" spans="2:13" x14ac:dyDescent="0.2">
      <c r="B253" s="90"/>
      <c r="C253" s="107" t="s">
        <v>60</v>
      </c>
      <c r="D253" s="107" t="s">
        <v>61</v>
      </c>
      <c r="E253" s="107" t="s">
        <v>62</v>
      </c>
      <c r="F253" s="107" t="s">
        <v>63</v>
      </c>
      <c r="G253" s="107" t="s">
        <v>248</v>
      </c>
    </row>
    <row r="255" spans="2:13" x14ac:dyDescent="0.2">
      <c r="B255" s="1" t="s">
        <v>447</v>
      </c>
      <c r="C255" s="27">
        <f>'Historical Financials'!F59</f>
        <v>220.1</v>
      </c>
      <c r="D255" s="27">
        <f>'Historical Financials'!G59</f>
        <v>249</v>
      </c>
      <c r="E255" s="27">
        <f>'Historical Financials'!H59</f>
        <v>270</v>
      </c>
      <c r="F255" s="27">
        <f>'Historical Financials'!I59</f>
        <v>290</v>
      </c>
      <c r="G255" s="27">
        <f>'Historical Financials'!J59</f>
        <v>332</v>
      </c>
    </row>
    <row r="256" spans="2:13" x14ac:dyDescent="0.2">
      <c r="B256" s="94" t="s">
        <v>448</v>
      </c>
      <c r="C256" s="95">
        <f>'Historical Financials'!F64</f>
        <v>1465.9</v>
      </c>
      <c r="D256" s="95">
        <f>'Historical Financials'!G64</f>
        <v>1553</v>
      </c>
      <c r="E256" s="95">
        <f>'Historical Financials'!H64</f>
        <v>1664</v>
      </c>
      <c r="F256" s="95">
        <f>'Historical Financials'!I64</f>
        <v>1770</v>
      </c>
      <c r="G256" s="95">
        <f>'Historical Financials'!J64</f>
        <v>1842</v>
      </c>
    </row>
    <row r="257" spans="2:7" x14ac:dyDescent="0.2">
      <c r="B257" s="5" t="s">
        <v>449</v>
      </c>
      <c r="C257" s="28">
        <f>SUM(C255:C256)</f>
        <v>1686</v>
      </c>
      <c r="D257" s="28">
        <f t="shared" ref="D257:G257" si="41">SUM(D255:D256)</f>
        <v>1802</v>
      </c>
      <c r="E257" s="28">
        <f t="shared" si="41"/>
        <v>1934</v>
      </c>
      <c r="F257" s="28">
        <f t="shared" si="41"/>
        <v>2060</v>
      </c>
      <c r="G257" s="28">
        <f t="shared" si="41"/>
        <v>2174</v>
      </c>
    </row>
    <row r="258" spans="2:7" x14ac:dyDescent="0.2">
      <c r="B258" s="5"/>
      <c r="C258" s="28"/>
      <c r="D258" s="28"/>
      <c r="E258" s="28"/>
      <c r="F258" s="28"/>
      <c r="G258" s="28"/>
    </row>
    <row r="259" spans="2:7" x14ac:dyDescent="0.2">
      <c r="B259" s="1" t="s">
        <v>71</v>
      </c>
      <c r="C259" s="27">
        <f>'Historical Financials'!F20</f>
        <v>-29.9</v>
      </c>
      <c r="D259" s="27">
        <f>'Historical Financials'!G20</f>
        <v>-32</v>
      </c>
      <c r="E259" s="27">
        <f>'Historical Financials'!H20</f>
        <v>-43</v>
      </c>
      <c r="F259" s="27">
        <f>'Historical Financials'!I20</f>
        <v>-56</v>
      </c>
      <c r="G259" s="27">
        <f>'Historical Financials'!J20</f>
        <v>-59</v>
      </c>
    </row>
    <row r="260" spans="2:7" x14ac:dyDescent="0.2">
      <c r="B260" s="1" t="s">
        <v>450</v>
      </c>
      <c r="C260" s="27">
        <f>'Historical Financials'!F40</f>
        <v>4732.7</v>
      </c>
      <c r="D260" s="27">
        <f>'Historical Financials'!G40</f>
        <v>6696</v>
      </c>
      <c r="E260" s="27">
        <f>'Historical Financials'!H40</f>
        <v>9225</v>
      </c>
      <c r="F260" s="27">
        <f>'Historical Financials'!I40</f>
        <v>10625</v>
      </c>
      <c r="G260" s="27">
        <f>'Historical Financials'!J40</f>
        <v>11642</v>
      </c>
    </row>
    <row r="261" spans="2:7" x14ac:dyDescent="0.2">
      <c r="B261" s="5" t="s">
        <v>451</v>
      </c>
      <c r="C261" s="28">
        <f>C260-C257</f>
        <v>3046.7</v>
      </c>
      <c r="D261" s="28">
        <f t="shared" ref="D261:G261" si="42">D260-D257</f>
        <v>4894</v>
      </c>
      <c r="E261" s="28">
        <f t="shared" si="42"/>
        <v>7291</v>
      </c>
      <c r="F261" s="28">
        <f t="shared" si="42"/>
        <v>8565</v>
      </c>
      <c r="G261" s="28">
        <f t="shared" si="42"/>
        <v>9468</v>
      </c>
    </row>
    <row r="263" spans="2:7" x14ac:dyDescent="0.2">
      <c r="B263" s="5" t="s">
        <v>456</v>
      </c>
      <c r="C263" s="132">
        <f>AVERAGE(F259/F257,G259/G257)</f>
        <v>-2.7161690231419872E-2</v>
      </c>
    </row>
    <row r="264" spans="2:7" x14ac:dyDescent="0.2">
      <c r="B264" s="66" t="s">
        <v>457</v>
      </c>
    </row>
    <row r="266" spans="2:7" x14ac:dyDescent="0.2">
      <c r="B266" s="89" t="s">
        <v>452</v>
      </c>
      <c r="C266" s="3"/>
      <c r="D266" s="3"/>
      <c r="E266" s="3"/>
      <c r="F266" s="3"/>
      <c r="G266" s="3"/>
    </row>
    <row r="267" spans="2:7" x14ac:dyDescent="0.2">
      <c r="B267" s="90"/>
      <c r="C267" s="107" t="s">
        <v>317</v>
      </c>
      <c r="D267" s="107" t="s">
        <v>318</v>
      </c>
      <c r="E267" s="107" t="s">
        <v>319</v>
      </c>
      <c r="F267" s="107" t="s">
        <v>320</v>
      </c>
      <c r="G267" s="107" t="s">
        <v>321</v>
      </c>
    </row>
    <row r="269" spans="2:7" x14ac:dyDescent="0.2">
      <c r="B269" s="5" t="s">
        <v>453</v>
      </c>
      <c r="C269" s="27">
        <f>$G$257</f>
        <v>2174</v>
      </c>
      <c r="D269" s="27">
        <f t="shared" ref="D269:G269" si="43">$G$257</f>
        <v>2174</v>
      </c>
      <c r="E269" s="27">
        <f t="shared" si="43"/>
        <v>2174</v>
      </c>
      <c r="F269" s="27">
        <f t="shared" si="43"/>
        <v>2174</v>
      </c>
      <c r="G269" s="27">
        <f t="shared" si="43"/>
        <v>2174</v>
      </c>
    </row>
    <row r="270" spans="2:7" x14ac:dyDescent="0.2">
      <c r="B270" s="66" t="s">
        <v>454</v>
      </c>
    </row>
    <row r="272" spans="2:7" x14ac:dyDescent="0.2">
      <c r="B272" s="89" t="s">
        <v>455</v>
      </c>
      <c r="C272" s="3"/>
      <c r="D272" s="3"/>
      <c r="E272" s="3"/>
      <c r="F272" s="3"/>
      <c r="G272" s="3"/>
    </row>
    <row r="273" spans="2:13" x14ac:dyDescent="0.2">
      <c r="B273" s="90"/>
      <c r="C273" s="107" t="s">
        <v>317</v>
      </c>
      <c r="D273" s="107" t="s">
        <v>318</v>
      </c>
      <c r="E273" s="107" t="s">
        <v>319</v>
      </c>
      <c r="F273" s="107" t="s">
        <v>320</v>
      </c>
      <c r="G273" s="107" t="s">
        <v>321</v>
      </c>
    </row>
    <row r="275" spans="2:13" x14ac:dyDescent="0.2">
      <c r="B275" s="5" t="s">
        <v>71</v>
      </c>
      <c r="C275" s="82">
        <f>$C$263*C269</f>
        <v>-59.049514563106804</v>
      </c>
      <c r="D275" s="82">
        <f t="shared" ref="D275:G275" si="44">$C$263*D269</f>
        <v>-59.049514563106804</v>
      </c>
      <c r="E275" s="82">
        <f t="shared" si="44"/>
        <v>-59.049514563106804</v>
      </c>
      <c r="F275" s="82">
        <f t="shared" si="44"/>
        <v>-59.049514563106804</v>
      </c>
      <c r="G275" s="82">
        <f t="shared" si="44"/>
        <v>-59.049514563106804</v>
      </c>
    </row>
    <row r="278" spans="2:13" x14ac:dyDescent="0.2">
      <c r="B278" s="88" t="s">
        <v>458</v>
      </c>
      <c r="C278" s="57"/>
      <c r="D278" s="57"/>
      <c r="E278" s="57"/>
      <c r="F278" s="57"/>
      <c r="G278" s="57"/>
      <c r="H278" s="57"/>
      <c r="I278" s="57"/>
      <c r="J278" s="57"/>
      <c r="K278" s="57"/>
      <c r="L278" s="57"/>
      <c r="M278" s="57"/>
    </row>
    <row r="281" spans="2:13" x14ac:dyDescent="0.2">
      <c r="B281" s="89" t="s">
        <v>459</v>
      </c>
      <c r="C281" s="3"/>
      <c r="D281" s="3"/>
      <c r="E281" s="3"/>
      <c r="F281" s="3"/>
      <c r="G281" s="3"/>
    </row>
    <row r="282" spans="2:13" x14ac:dyDescent="0.2">
      <c r="B282" s="90"/>
      <c r="C282" s="107" t="s">
        <v>60</v>
      </c>
      <c r="D282" s="107" t="s">
        <v>61</v>
      </c>
      <c r="E282" s="107" t="s">
        <v>62</v>
      </c>
      <c r="F282" s="107" t="s">
        <v>63</v>
      </c>
      <c r="G282" s="107" t="s">
        <v>248</v>
      </c>
    </row>
    <row r="284" spans="2:13" x14ac:dyDescent="0.2">
      <c r="B284" s="5" t="s">
        <v>460</v>
      </c>
      <c r="C284" s="27">
        <f>-'Forecast Model'!F23</f>
        <v>613</v>
      </c>
      <c r="D284" s="27">
        <f>-'Forecast Model'!G23</f>
        <v>1015</v>
      </c>
      <c r="E284" s="27">
        <f>-'Forecast Model'!H23</f>
        <v>1305</v>
      </c>
      <c r="F284" s="27">
        <f>-'Forecast Model'!I23</f>
        <v>1623</v>
      </c>
      <c r="G284" s="27">
        <f>-'Forecast Model'!J23</f>
        <v>1845</v>
      </c>
    </row>
    <row r="285" spans="2:13" x14ac:dyDescent="0.2">
      <c r="B285" s="5" t="s">
        <v>94</v>
      </c>
      <c r="C285" s="27">
        <f>'Forecast Model'!F58</f>
        <v>217.8</v>
      </c>
      <c r="D285" s="27">
        <f>'Forecast Model'!G58</f>
        <v>347</v>
      </c>
      <c r="E285" s="27">
        <f>'Forecast Model'!H58</f>
        <v>496</v>
      </c>
      <c r="F285" s="27">
        <f>'Forecast Model'!I58</f>
        <v>586</v>
      </c>
      <c r="G285" s="27">
        <f>'Forecast Model'!J58</f>
        <v>773</v>
      </c>
    </row>
    <row r="287" spans="2:13" x14ac:dyDescent="0.2">
      <c r="B287" s="5" t="s">
        <v>461</v>
      </c>
      <c r="C287" s="43">
        <f>C285/C284</f>
        <v>0.35530179445350735</v>
      </c>
      <c r="D287" s="43">
        <f t="shared" ref="D287:G287" si="45">D285/D284</f>
        <v>0.341871921182266</v>
      </c>
      <c r="E287" s="43">
        <f t="shared" si="45"/>
        <v>0.3800766283524904</v>
      </c>
      <c r="F287" s="43">
        <f t="shared" si="45"/>
        <v>0.36105976586568084</v>
      </c>
      <c r="G287" s="43">
        <f t="shared" si="45"/>
        <v>0.41897018970189703</v>
      </c>
    </row>
    <row r="290" spans="2:13" x14ac:dyDescent="0.2">
      <c r="B290" s="5" t="s">
        <v>462</v>
      </c>
      <c r="C290" s="140">
        <f>AVERAGE(C287:G287)</f>
        <v>0.37145605991116837</v>
      </c>
    </row>
    <row r="292" spans="2:13" x14ac:dyDescent="0.2">
      <c r="B292" s="88" t="s">
        <v>463</v>
      </c>
      <c r="C292" s="57"/>
      <c r="D292" s="57"/>
      <c r="E292" s="57"/>
      <c r="F292" s="57"/>
      <c r="G292" s="57"/>
      <c r="H292" s="57"/>
      <c r="I292" s="57"/>
      <c r="J292" s="57"/>
      <c r="K292" s="57"/>
      <c r="L292" s="57"/>
      <c r="M292" s="57"/>
    </row>
    <row r="294" spans="2:13" x14ac:dyDescent="0.2">
      <c r="B294" s="89" t="s">
        <v>459</v>
      </c>
      <c r="C294" s="3"/>
      <c r="D294" s="3"/>
      <c r="E294" s="3"/>
      <c r="F294" s="3"/>
      <c r="G294" s="3"/>
    </row>
    <row r="295" spans="2:13" x14ac:dyDescent="0.2">
      <c r="B295" s="90"/>
      <c r="C295" s="107" t="s">
        <v>60</v>
      </c>
      <c r="D295" s="107" t="s">
        <v>61</v>
      </c>
      <c r="E295" s="107" t="s">
        <v>62</v>
      </c>
      <c r="F295" s="107" t="s">
        <v>63</v>
      </c>
      <c r="G295" s="107" t="s">
        <v>248</v>
      </c>
    </row>
    <row r="297" spans="2:13" x14ac:dyDescent="0.2">
      <c r="B297" s="5" t="s">
        <v>464</v>
      </c>
      <c r="C297" s="27">
        <f>-'Forecast Model'!F23</f>
        <v>613</v>
      </c>
      <c r="D297" s="27">
        <f>-'Forecast Model'!G23</f>
        <v>1015</v>
      </c>
      <c r="E297" s="27">
        <f>-'Forecast Model'!H23</f>
        <v>1305</v>
      </c>
      <c r="F297" s="27">
        <f>-'Forecast Model'!I23</f>
        <v>1623</v>
      </c>
      <c r="G297" s="27">
        <f>-'Forecast Model'!J23</f>
        <v>1845</v>
      </c>
    </row>
    <row r="298" spans="2:13" x14ac:dyDescent="0.2">
      <c r="B298" s="5" t="s">
        <v>73</v>
      </c>
      <c r="C298" s="27">
        <f>'Forecast Model'!F21</f>
        <v>1986.3999999999996</v>
      </c>
      <c r="D298" s="27">
        <f>'Forecast Model'!G21</f>
        <v>3435</v>
      </c>
      <c r="E298" s="27">
        <f>'Forecast Model'!H21</f>
        <v>4635</v>
      </c>
      <c r="F298" s="27">
        <f>'Forecast Model'!I21</f>
        <v>5840</v>
      </c>
      <c r="G298" s="27">
        <f>'Forecast Model'!J21</f>
        <v>6432</v>
      </c>
    </row>
    <row r="299" spans="2:13" x14ac:dyDescent="0.2">
      <c r="B299" s="50" t="s">
        <v>465</v>
      </c>
      <c r="C299" s="132">
        <f>C297/C298</f>
        <v>0.30859846959323406</v>
      </c>
      <c r="D299" s="132">
        <f t="shared" ref="D299:G299" si="46">D297/D298</f>
        <v>0.29548762736535661</v>
      </c>
      <c r="E299" s="132">
        <f t="shared" si="46"/>
        <v>0.28155339805825241</v>
      </c>
      <c r="F299" s="132">
        <f t="shared" si="46"/>
        <v>0.27791095890410961</v>
      </c>
      <c r="G299" s="132">
        <f t="shared" si="46"/>
        <v>0.28684701492537312</v>
      </c>
    </row>
    <row r="301" spans="2:13" x14ac:dyDescent="0.2">
      <c r="B301" s="118" t="s">
        <v>466</v>
      </c>
    </row>
    <row r="303" spans="2:13" x14ac:dyDescent="0.2">
      <c r="B303" s="5" t="s">
        <v>467</v>
      </c>
      <c r="C303" s="115">
        <f>AVERAGE(C299:G299)</f>
        <v>0.29007949376926517</v>
      </c>
    </row>
    <row r="305" spans="2:13" x14ac:dyDescent="0.2">
      <c r="B305" s="88" t="s">
        <v>468</v>
      </c>
      <c r="C305" s="57"/>
      <c r="D305" s="57"/>
      <c r="E305" s="57"/>
      <c r="F305" s="57"/>
      <c r="G305" s="57"/>
      <c r="H305" s="57"/>
      <c r="I305" s="57"/>
      <c r="J305" s="57"/>
      <c r="K305" s="57"/>
      <c r="L305" s="57"/>
      <c r="M305" s="57"/>
    </row>
    <row r="307" spans="2:13" x14ac:dyDescent="0.2">
      <c r="B307" s="89" t="s">
        <v>459</v>
      </c>
      <c r="C307" s="3"/>
      <c r="D307" s="3"/>
      <c r="E307" s="3"/>
      <c r="F307" s="3"/>
      <c r="G307" s="3"/>
    </row>
    <row r="308" spans="2:13" x14ac:dyDescent="0.2">
      <c r="B308" s="90"/>
      <c r="C308" s="107" t="s">
        <v>60</v>
      </c>
      <c r="D308" s="107" t="s">
        <v>61</v>
      </c>
      <c r="E308" s="107" t="s">
        <v>62</v>
      </c>
      <c r="F308" s="107" t="s">
        <v>63</v>
      </c>
      <c r="G308" s="107" t="s">
        <v>248</v>
      </c>
    </row>
    <row r="310" spans="2:13" x14ac:dyDescent="0.2">
      <c r="B310" s="5" t="s">
        <v>469</v>
      </c>
      <c r="C310" s="27">
        <f>'Historical Financials'!F61</f>
        <v>1028.2</v>
      </c>
      <c r="D310" s="27">
        <f>'Historical Financials'!G61</f>
        <v>1529</v>
      </c>
      <c r="E310" s="27">
        <f>'Historical Financials'!H61</f>
        <v>1579</v>
      </c>
      <c r="F310" s="27">
        <f>'Historical Financials'!I61</f>
        <v>1622</v>
      </c>
      <c r="G310" s="27">
        <f>'Historical Financials'!J61</f>
        <v>1841</v>
      </c>
    </row>
    <row r="311" spans="2:13" x14ac:dyDescent="0.2">
      <c r="B311" s="5" t="s">
        <v>64</v>
      </c>
      <c r="C311" s="27">
        <f>'Historical Financials'!F10</f>
        <v>6389.4</v>
      </c>
      <c r="D311" s="27">
        <f>'Historical Financials'!G10</f>
        <v>8982</v>
      </c>
      <c r="E311" s="27">
        <f>'Historical Financials'!H10</f>
        <v>11602</v>
      </c>
      <c r="F311" s="27">
        <f>'Historical Financials'!I10</f>
        <v>13427</v>
      </c>
      <c r="G311" s="27">
        <f>'Historical Financials'!J10</f>
        <v>15170</v>
      </c>
    </row>
    <row r="313" spans="2:13" x14ac:dyDescent="0.2">
      <c r="B313" s="5" t="s">
        <v>470</v>
      </c>
      <c r="C313" s="132">
        <f>C310/C311</f>
        <v>0.16092277835164492</v>
      </c>
      <c r="D313" s="132">
        <f t="shared" ref="D313:G313" si="47">D310/D311</f>
        <v>0.170229347584057</v>
      </c>
      <c r="E313" s="132">
        <f t="shared" si="47"/>
        <v>0.13609722461644544</v>
      </c>
      <c r="F313" s="132">
        <f t="shared" si="47"/>
        <v>0.12080137037312877</v>
      </c>
      <c r="G313" s="132">
        <f t="shared" si="47"/>
        <v>0.12135794330916282</v>
      </c>
    </row>
    <row r="316" spans="2:13" x14ac:dyDescent="0.2">
      <c r="B316" s="5" t="s">
        <v>471</v>
      </c>
      <c r="C316" s="115">
        <f>AVERAGE(E313:G313)</f>
        <v>0.12608551276624569</v>
      </c>
    </row>
    <row r="317" spans="2:13" x14ac:dyDescent="0.2">
      <c r="B317" s="5" t="s">
        <v>472</v>
      </c>
    </row>
    <row r="319" spans="2:13" x14ac:dyDescent="0.2">
      <c r="B319" s="88" t="s">
        <v>473</v>
      </c>
      <c r="C319" s="57"/>
      <c r="D319" s="57"/>
      <c r="E319" s="57"/>
      <c r="F319" s="57"/>
      <c r="G319" s="57"/>
      <c r="H319" s="57"/>
      <c r="I319" s="57"/>
      <c r="J319" s="57"/>
      <c r="K319" s="57"/>
      <c r="L319" s="57"/>
      <c r="M319" s="57"/>
    </row>
    <row r="321" spans="2:7" x14ac:dyDescent="0.2">
      <c r="B321" s="89" t="s">
        <v>474</v>
      </c>
      <c r="C321" s="3"/>
      <c r="D321" s="3"/>
      <c r="E321" s="3"/>
      <c r="F321" s="3"/>
      <c r="G321" s="3"/>
    </row>
    <row r="322" spans="2:7" x14ac:dyDescent="0.2">
      <c r="B322" s="90"/>
      <c r="C322" s="107" t="s">
        <v>60</v>
      </c>
      <c r="D322" s="107" t="s">
        <v>61</v>
      </c>
      <c r="E322" s="107" t="s">
        <v>62</v>
      </c>
      <c r="F322" s="107" t="s">
        <v>63</v>
      </c>
      <c r="G322" s="107" t="s">
        <v>248</v>
      </c>
    </row>
    <row r="324" spans="2:7" x14ac:dyDescent="0.2">
      <c r="B324" s="5" t="s">
        <v>475</v>
      </c>
      <c r="C324" s="27">
        <f>-'Forecast Model'!F112</f>
        <v>485.1</v>
      </c>
      <c r="D324" s="27">
        <f>-'Forecast Model'!G112</f>
        <v>485</v>
      </c>
      <c r="E324" s="27">
        <f>-'Forecast Model'!H112</f>
        <v>845</v>
      </c>
      <c r="F324" s="27">
        <f>-'Forecast Model'!I112</f>
        <v>1376</v>
      </c>
      <c r="G324" s="27">
        <f>-'Forecast Model'!J112</f>
        <v>2642</v>
      </c>
    </row>
    <row r="325" spans="2:7" x14ac:dyDescent="0.2">
      <c r="B325" s="5" t="s">
        <v>476</v>
      </c>
      <c r="C325" s="27">
        <f>'Forecast Model'!F28</f>
        <v>1385.3999999999996</v>
      </c>
      <c r="D325" s="27">
        <f>'Forecast Model'!G28</f>
        <v>2446</v>
      </c>
      <c r="E325" s="27">
        <f>'Forecast Model'!H28</f>
        <v>3367</v>
      </c>
      <c r="F325" s="27">
        <f>'Forecast Model'!I28</f>
        <v>4311</v>
      </c>
      <c r="G325" s="27">
        <f>'Forecast Model'!J28</f>
        <v>4603</v>
      </c>
    </row>
    <row r="326" spans="2:7" x14ac:dyDescent="0.2">
      <c r="B326" s="5" t="s">
        <v>477</v>
      </c>
      <c r="C326" s="132">
        <f>C324/C325</f>
        <v>0.35015158077089659</v>
      </c>
      <c r="D326" s="132">
        <f t="shared" ref="D326:G326" si="48">D324/D325</f>
        <v>0.1982829108748978</v>
      </c>
      <c r="E326" s="132">
        <f t="shared" si="48"/>
        <v>0.25096525096525096</v>
      </c>
      <c r="F326" s="132">
        <f t="shared" si="48"/>
        <v>0.31918348411041519</v>
      </c>
      <c r="G326" s="132">
        <f t="shared" si="48"/>
        <v>0.57397349554638277</v>
      </c>
    </row>
    <row r="328" spans="2:7" x14ac:dyDescent="0.2">
      <c r="B328" s="118" t="s">
        <v>478</v>
      </c>
    </row>
    <row r="329" spans="2:7" x14ac:dyDescent="0.2">
      <c r="B329" s="5" t="s">
        <v>479</v>
      </c>
      <c r="C329" s="115">
        <f>AVERAGE(C326,E326,F326)</f>
        <v>0.30676677194885421</v>
      </c>
    </row>
    <row r="331" spans="2:7" x14ac:dyDescent="0.2">
      <c r="B331" s="89" t="s">
        <v>502</v>
      </c>
      <c r="C331" s="3"/>
      <c r="D331" s="3"/>
      <c r="E331" s="3"/>
      <c r="F331" s="3"/>
      <c r="G331" s="3"/>
    </row>
    <row r="332" spans="2:7" x14ac:dyDescent="0.2">
      <c r="B332" s="90"/>
      <c r="C332" s="107" t="s">
        <v>60</v>
      </c>
      <c r="D332" s="107" t="s">
        <v>61</v>
      </c>
      <c r="E332" s="107" t="s">
        <v>62</v>
      </c>
      <c r="F332" s="107" t="s">
        <v>63</v>
      </c>
      <c r="G332" s="107" t="s">
        <v>248</v>
      </c>
    </row>
    <row r="334" spans="2:7" x14ac:dyDescent="0.2">
      <c r="B334" s="5" t="s">
        <v>501</v>
      </c>
      <c r="C334" s="27">
        <f>'Historical Financials'!F115</f>
        <v>-122.2</v>
      </c>
      <c r="D334" s="27">
        <f>'Historical Financials'!G115</f>
        <v>-158</v>
      </c>
      <c r="E334" s="27">
        <f>'Historical Financials'!H115</f>
        <v>-123</v>
      </c>
      <c r="F334" s="145">
        <f>'Historical Financials'!I115</f>
        <v>-130</v>
      </c>
      <c r="G334" s="27">
        <f>'Historical Financials'!J115</f>
        <v>-37</v>
      </c>
    </row>
    <row r="337" spans="2:13" x14ac:dyDescent="0.2">
      <c r="B337" s="96" t="s">
        <v>480</v>
      </c>
      <c r="C337" s="3"/>
      <c r="D337" s="3"/>
      <c r="E337" s="3"/>
      <c r="F337" s="3"/>
      <c r="G337" s="3"/>
      <c r="H337" s="3"/>
    </row>
    <row r="338" spans="2:13" x14ac:dyDescent="0.2">
      <c r="B338" s="134"/>
      <c r="C338" s="135" t="s">
        <v>248</v>
      </c>
      <c r="D338" s="39" t="s">
        <v>317</v>
      </c>
      <c r="E338" s="39" t="s">
        <v>318</v>
      </c>
      <c r="F338" s="39" t="s">
        <v>319</v>
      </c>
      <c r="G338" s="39" t="s">
        <v>320</v>
      </c>
      <c r="H338" s="39" t="s">
        <v>321</v>
      </c>
    </row>
    <row r="339" spans="2:13" x14ac:dyDescent="0.2">
      <c r="B339" s="5" t="s">
        <v>481</v>
      </c>
      <c r="C339" s="85"/>
      <c r="D339" s="139">
        <f>C343</f>
        <v>17327</v>
      </c>
      <c r="E339" s="139">
        <f t="shared" ref="E339:H339" si="49">D343</f>
        <v>20703.532739240283</v>
      </c>
      <c r="F339" s="139">
        <f t="shared" si="49"/>
        <v>24467.350133749944</v>
      </c>
      <c r="G339" s="139">
        <f t="shared" si="49"/>
        <v>28613.896670658298</v>
      </c>
      <c r="H339" s="139">
        <f t="shared" si="49"/>
        <v>33139.987285407304</v>
      </c>
    </row>
    <row r="340" spans="2:13" x14ac:dyDescent="0.2">
      <c r="B340" s="5" t="s">
        <v>483</v>
      </c>
      <c r="C340" s="85"/>
      <c r="D340" s="80">
        <f>'Forecast Model'!K28</f>
        <v>5058.2294635501476</v>
      </c>
      <c r="E340" s="80">
        <f>'Forecast Model'!L28</f>
        <v>5616.8937623722522</v>
      </c>
      <c r="F340" s="80">
        <f>'Forecast Model'!M28</f>
        <v>6168.9866611426114</v>
      </c>
      <c r="G340" s="80">
        <f>'Forecast Model'!N28</f>
        <v>6716.4850534335365</v>
      </c>
      <c r="H340" s="80">
        <f>'Forecast Model'!O28</f>
        <v>7246.8958411985714</v>
      </c>
    </row>
    <row r="341" spans="2:13" x14ac:dyDescent="0.2">
      <c r="B341" s="136" t="s">
        <v>484</v>
      </c>
      <c r="C341" s="85"/>
      <c r="D341" s="80">
        <f>-$C$329*D340</f>
        <v>-1551.6967243098634</v>
      </c>
      <c r="E341" s="80">
        <f>-$C$329*E340</f>
        <v>-1723.0763678625904</v>
      </c>
      <c r="F341" s="80">
        <f>-$C$329*F340</f>
        <v>-1892.440124234259</v>
      </c>
      <c r="G341" s="80">
        <f>-$C$329*G340</f>
        <v>-2060.3944386845337</v>
      </c>
      <c r="H341" s="80">
        <f>-$C$329*H340</f>
        <v>-2223.1068438540619</v>
      </c>
    </row>
    <row r="342" spans="2:13" x14ac:dyDescent="0.2">
      <c r="B342" s="136" t="s">
        <v>500</v>
      </c>
      <c r="C342" s="85"/>
      <c r="D342" s="80">
        <f>$F$334</f>
        <v>-130</v>
      </c>
      <c r="E342" s="80">
        <f t="shared" ref="E342:H342" si="50">$F$334</f>
        <v>-130</v>
      </c>
      <c r="F342" s="80">
        <f t="shared" si="50"/>
        <v>-130</v>
      </c>
      <c r="G342" s="80">
        <f t="shared" si="50"/>
        <v>-130</v>
      </c>
      <c r="H342" s="80">
        <f t="shared" si="50"/>
        <v>-130</v>
      </c>
    </row>
    <row r="343" spans="2:13" x14ac:dyDescent="0.2">
      <c r="B343" s="5" t="s">
        <v>482</v>
      </c>
      <c r="C343" s="137">
        <f>'Forecast Model'!J78</f>
        <v>17327</v>
      </c>
      <c r="D343" s="142">
        <f>SUM(D339:D342)</f>
        <v>20703.532739240283</v>
      </c>
      <c r="E343" s="142">
        <f t="shared" ref="E343:H343" si="51">SUM(E339:E342)</f>
        <v>24467.350133749944</v>
      </c>
      <c r="F343" s="142">
        <f t="shared" si="51"/>
        <v>28613.896670658298</v>
      </c>
      <c r="G343" s="142">
        <f t="shared" si="51"/>
        <v>33139.987285407304</v>
      </c>
      <c r="H343" s="142">
        <f t="shared" si="51"/>
        <v>38033.776282751816</v>
      </c>
    </row>
    <row r="346" spans="2:13" x14ac:dyDescent="0.2">
      <c r="B346" s="88" t="s">
        <v>485</v>
      </c>
      <c r="C346" s="57"/>
      <c r="D346" s="57"/>
      <c r="E346" s="57"/>
      <c r="F346" s="57"/>
      <c r="G346" s="57"/>
      <c r="H346" s="57"/>
      <c r="I346" s="57"/>
      <c r="J346" s="57"/>
      <c r="K346" s="57"/>
      <c r="L346" s="57"/>
      <c r="M346" s="57"/>
    </row>
    <row r="349" spans="2:13" x14ac:dyDescent="0.2">
      <c r="B349" s="89" t="s">
        <v>486</v>
      </c>
      <c r="C349" s="3"/>
      <c r="D349" s="3"/>
      <c r="E349" s="3"/>
      <c r="F349" s="3"/>
      <c r="G349" s="3"/>
    </row>
    <row r="350" spans="2:13" x14ac:dyDescent="0.2">
      <c r="B350" s="90"/>
      <c r="C350" s="107" t="s">
        <v>60</v>
      </c>
      <c r="D350" s="107" t="s">
        <v>61</v>
      </c>
      <c r="E350" s="107" t="s">
        <v>62</v>
      </c>
      <c r="F350" s="107" t="s">
        <v>63</v>
      </c>
      <c r="G350" s="107" t="s">
        <v>248</v>
      </c>
    </row>
    <row r="352" spans="2:13" x14ac:dyDescent="0.2">
      <c r="B352" s="5" t="s">
        <v>487</v>
      </c>
      <c r="C352" s="27">
        <f>'Forecast Model'!F8</f>
        <v>6389.4</v>
      </c>
      <c r="D352" s="27">
        <f>'Forecast Model'!G8</f>
        <v>8982</v>
      </c>
      <c r="E352" s="27">
        <f>'Forecast Model'!H8</f>
        <v>11602</v>
      </c>
      <c r="F352" s="27">
        <f>'Forecast Model'!I8</f>
        <v>13427</v>
      </c>
      <c r="G352" s="27">
        <f>'Forecast Model'!J8</f>
        <v>15170</v>
      </c>
    </row>
    <row r="353" spans="2:13" x14ac:dyDescent="0.2">
      <c r="B353" s="5" t="s">
        <v>242</v>
      </c>
      <c r="C353" s="27">
        <f>'Forecast Model'!F96</f>
        <v>111.3</v>
      </c>
      <c r="D353" s="27">
        <f>'Forecast Model'!G96</f>
        <v>115</v>
      </c>
      <c r="E353" s="27">
        <f>'Forecast Model'!H96</f>
        <v>220</v>
      </c>
      <c r="F353" s="27">
        <f>'Forecast Model'!I96</f>
        <v>271</v>
      </c>
      <c r="G353" s="27">
        <f>'Forecast Model'!J96</f>
        <v>87</v>
      </c>
    </row>
    <row r="354" spans="2:13" x14ac:dyDescent="0.2">
      <c r="B354" s="118" t="s">
        <v>488</v>
      </c>
      <c r="C354" s="132">
        <f>C353/C352</f>
        <v>1.7419476007136822E-2</v>
      </c>
      <c r="D354" s="132">
        <f t="shared" ref="D354:G354" si="52">D353/D352</f>
        <v>1.2803384546871521E-2</v>
      </c>
      <c r="E354" s="132">
        <f t="shared" si="52"/>
        <v>1.8962247888295123E-2</v>
      </c>
      <c r="F354" s="132">
        <f t="shared" si="52"/>
        <v>2.0183212929172564E-2</v>
      </c>
      <c r="G354" s="132">
        <f t="shared" si="52"/>
        <v>5.7350032959789061E-3</v>
      </c>
    </row>
    <row r="355" spans="2:13" x14ac:dyDescent="0.2">
      <c r="B355" s="5"/>
    </row>
    <row r="357" spans="2:13" x14ac:dyDescent="0.2">
      <c r="B357" s="144" t="s">
        <v>489</v>
      </c>
    </row>
    <row r="358" spans="2:13" x14ac:dyDescent="0.2">
      <c r="B358" s="5" t="s">
        <v>490</v>
      </c>
      <c r="C358" s="115">
        <f>AVERAGE(C354:F354)</f>
        <v>1.7342080342869007E-2</v>
      </c>
    </row>
    <row r="361" spans="2:13" x14ac:dyDescent="0.2">
      <c r="B361" s="88" t="s">
        <v>495</v>
      </c>
      <c r="C361" s="57"/>
      <c r="D361" s="57"/>
      <c r="E361" s="57"/>
      <c r="F361" s="57"/>
      <c r="G361" s="57"/>
      <c r="H361" s="57"/>
      <c r="I361" s="57"/>
      <c r="J361" s="57"/>
      <c r="K361" s="57"/>
      <c r="L361" s="57"/>
      <c r="M361" s="57"/>
    </row>
    <row r="364" spans="2:13" x14ac:dyDescent="0.2">
      <c r="B364" s="89" t="s">
        <v>486</v>
      </c>
      <c r="C364" s="3"/>
      <c r="D364" s="3"/>
      <c r="E364" s="3"/>
      <c r="F364" s="3"/>
      <c r="G364" s="3"/>
    </row>
    <row r="365" spans="2:13" x14ac:dyDescent="0.2">
      <c r="B365" s="90"/>
      <c r="C365" s="107" t="s">
        <v>60</v>
      </c>
      <c r="D365" s="107" t="s">
        <v>61</v>
      </c>
      <c r="E365" s="107" t="s">
        <v>62</v>
      </c>
      <c r="F365" s="107" t="s">
        <v>63</v>
      </c>
      <c r="G365" s="107" t="s">
        <v>248</v>
      </c>
    </row>
    <row r="367" spans="2:13" x14ac:dyDescent="0.2">
      <c r="B367" s="5" t="s">
        <v>111</v>
      </c>
      <c r="C367" s="27">
        <f>-'Historical Financials'!F15</f>
        <v>509.6</v>
      </c>
      <c r="D367" s="27">
        <f>-'Historical Financials'!G15</f>
        <v>561</v>
      </c>
      <c r="E367" s="27">
        <f>-'Historical Financials'!H15</f>
        <v>607</v>
      </c>
      <c r="F367" s="27">
        <f>-'Historical Financials'!I15</f>
        <v>666</v>
      </c>
      <c r="G367" s="27">
        <f>-'Historical Financials'!J15</f>
        <v>811</v>
      </c>
    </row>
    <row r="368" spans="2:13" x14ac:dyDescent="0.2">
      <c r="B368" s="5" t="s">
        <v>496</v>
      </c>
      <c r="C368" s="27">
        <f>-'Historical Financials'!F116</f>
        <v>198.7</v>
      </c>
      <c r="D368" s="27">
        <f>-'Historical Financials'!G116</f>
        <v>213</v>
      </c>
      <c r="E368" s="27">
        <f>-'Historical Financials'!H116</f>
        <v>261</v>
      </c>
      <c r="F368" s="27">
        <f>-'Historical Financials'!I116</f>
        <v>277</v>
      </c>
      <c r="G368" s="27">
        <f>-'Historical Financials'!J116</f>
        <v>305</v>
      </c>
    </row>
    <row r="369" spans="2:7" x14ac:dyDescent="0.2">
      <c r="B369" s="50" t="s">
        <v>497</v>
      </c>
      <c r="C369" s="54">
        <f>C368/C367</f>
        <v>0.38991365777080061</v>
      </c>
      <c r="D369" s="54">
        <f t="shared" ref="D369:G369" si="53">D368/D367</f>
        <v>0.37967914438502676</v>
      </c>
      <c r="E369" s="54">
        <f t="shared" si="53"/>
        <v>0.42998352553542007</v>
      </c>
      <c r="F369" s="54">
        <f t="shared" si="53"/>
        <v>0.41591591591591592</v>
      </c>
      <c r="G369" s="54">
        <f t="shared" si="53"/>
        <v>0.37607891491985201</v>
      </c>
    </row>
    <row r="371" spans="2:7" x14ac:dyDescent="0.2">
      <c r="B371" s="5" t="s">
        <v>498</v>
      </c>
      <c r="C371" s="54">
        <f>AVERAGE(C369:G369)</f>
        <v>0.39831423170540309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2E258-AB41-1742-929B-40699BF92EDB}">
  <sheetPr>
    <tabColor rgb="FFBF8F00"/>
  </sheetPr>
  <dimension ref="B3:O120"/>
  <sheetViews>
    <sheetView zoomScale="137" workbookViewId="0">
      <selection activeCell="E16" sqref="E16"/>
    </sheetView>
  </sheetViews>
  <sheetFormatPr baseColWidth="10" defaultRowHeight="16" x14ac:dyDescent="0.2"/>
  <cols>
    <col min="1" max="1" width="3.1640625" style="1" customWidth="1"/>
    <col min="2" max="6" width="10.83203125" style="1"/>
    <col min="7" max="7" width="13" style="1" customWidth="1"/>
    <col min="8" max="16384" width="10.83203125" style="1"/>
  </cols>
  <sheetData>
    <row r="3" spans="2:15" ht="19" x14ac:dyDescent="0.25">
      <c r="B3" s="361" t="s">
        <v>339</v>
      </c>
      <c r="C3" s="361"/>
      <c r="D3" s="361"/>
      <c r="E3" s="361"/>
      <c r="F3" s="361"/>
      <c r="G3" s="361"/>
      <c r="H3" s="361"/>
      <c r="I3" s="361"/>
      <c r="J3" s="361"/>
      <c r="K3" s="361"/>
      <c r="L3" s="361"/>
      <c r="M3" s="361"/>
      <c r="N3" s="361"/>
      <c r="O3" s="361"/>
    </row>
    <row r="4" spans="2:15" x14ac:dyDescent="0.2">
      <c r="K4" s="77"/>
      <c r="L4" s="77"/>
      <c r="M4" s="77"/>
      <c r="N4" s="77"/>
      <c r="O4" s="77"/>
    </row>
    <row r="5" spans="2:15" x14ac:dyDescent="0.2">
      <c r="B5" s="26" t="s">
        <v>340</v>
      </c>
      <c r="F5" s="86" t="s">
        <v>60</v>
      </c>
      <c r="G5" s="86" t="s">
        <v>61</v>
      </c>
      <c r="H5" s="78" t="s">
        <v>62</v>
      </c>
      <c r="I5" s="78" t="s">
        <v>63</v>
      </c>
      <c r="J5" s="78" t="s">
        <v>248</v>
      </c>
      <c r="K5" s="78" t="s">
        <v>317</v>
      </c>
      <c r="L5" s="78" t="s">
        <v>318</v>
      </c>
      <c r="M5" s="78" t="s">
        <v>319</v>
      </c>
      <c r="N5" s="78" t="s">
        <v>320</v>
      </c>
      <c r="O5" s="78" t="s">
        <v>321</v>
      </c>
    </row>
    <row r="6" spans="2:15" x14ac:dyDescent="0.2">
      <c r="B6" s="26" t="s">
        <v>229</v>
      </c>
    </row>
    <row r="8" spans="2:15" x14ac:dyDescent="0.2">
      <c r="B8" s="1" t="s">
        <v>64</v>
      </c>
      <c r="F8" s="29">
        <v>6389.4</v>
      </c>
      <c r="G8" s="29">
        <v>8982</v>
      </c>
      <c r="H8" s="29">
        <v>11602</v>
      </c>
      <c r="I8" s="29">
        <v>13427</v>
      </c>
      <c r="J8" s="29">
        <v>15170</v>
      </c>
      <c r="K8" s="80">
        <f>J8*(1+'Master Assumptions'!F11)</f>
        <v>16979.03</v>
      </c>
      <c r="L8" s="80">
        <f>K8*(1+'Master Assumptions'!G11)</f>
        <v>18781.5095</v>
      </c>
      <c r="M8" s="80">
        <f>L8*(1+'Master Assumptions'!H11)</f>
        <v>20586.782864000008</v>
      </c>
      <c r="N8" s="80">
        <f>M8*(1+'Master Assumptions'!I11)</f>
        <v>22397.101653920003</v>
      </c>
      <c r="O8" s="80">
        <f>N8*(1+'Master Assumptions'!J11)</f>
        <v>24171.887138244801</v>
      </c>
    </row>
    <row r="9" spans="2:15" x14ac:dyDescent="0.2">
      <c r="B9" s="1" t="s">
        <v>65</v>
      </c>
      <c r="F9" s="29">
        <v>-1971.4</v>
      </c>
      <c r="G9" s="29">
        <v>-2531</v>
      </c>
      <c r="H9" s="29">
        <v>-3334</v>
      </c>
      <c r="I9" s="29">
        <v>-3658</v>
      </c>
      <c r="J9" s="29">
        <v>-4393</v>
      </c>
      <c r="K9" s="80">
        <f>K10-K8</f>
        <v>-4801.5460942978771</v>
      </c>
      <c r="L9" s="80">
        <f t="shared" ref="L9:O9" si="0">L10-L8</f>
        <v>-5311.2741767193693</v>
      </c>
      <c r="M9" s="80">
        <f t="shared" si="0"/>
        <v>-5821.7923435436351</v>
      </c>
      <c r="N9" s="80">
        <f t="shared" si="0"/>
        <v>-6333.737320092614</v>
      </c>
      <c r="O9" s="80">
        <f t="shared" si="0"/>
        <v>-6835.633736464828</v>
      </c>
    </row>
    <row r="10" spans="2:15" x14ac:dyDescent="0.2">
      <c r="B10" s="5" t="s">
        <v>66</v>
      </c>
      <c r="F10" s="28">
        <f>SUM(F8:F9)</f>
        <v>4418</v>
      </c>
      <c r="G10" s="28">
        <f t="shared" ref="G10:J10" si="1">SUM(G8:G9)</f>
        <v>6451</v>
      </c>
      <c r="H10" s="28">
        <f t="shared" si="1"/>
        <v>8268</v>
      </c>
      <c r="I10" s="28">
        <f t="shared" si="1"/>
        <v>9769</v>
      </c>
      <c r="J10" s="28">
        <f t="shared" si="1"/>
        <v>10777</v>
      </c>
      <c r="K10" s="81">
        <f>'Master Assumptions'!F12*'Forecast Model'!K8</f>
        <v>12177.483905702122</v>
      </c>
      <c r="L10" s="81">
        <f>'Master Assumptions'!G12*'Forecast Model'!L8</f>
        <v>13470.235323280631</v>
      </c>
      <c r="M10" s="81">
        <f>'Master Assumptions'!H12*'Forecast Model'!M8</f>
        <v>14764.990520456373</v>
      </c>
      <c r="N10" s="81">
        <f>'Master Assumptions'!I12*'Forecast Model'!N8</f>
        <v>16063.364333827389</v>
      </c>
      <c r="O10" s="81">
        <f>'Master Assumptions'!J12*'Forecast Model'!O8</f>
        <v>17336.253401779974</v>
      </c>
    </row>
    <row r="11" spans="2:15" x14ac:dyDescent="0.2">
      <c r="H11" s="79"/>
      <c r="I11" s="79"/>
      <c r="J11" s="79"/>
    </row>
    <row r="12" spans="2:15" x14ac:dyDescent="0.2">
      <c r="B12" s="1" t="s">
        <v>67</v>
      </c>
      <c r="F12" s="29">
        <v>-1816.3</v>
      </c>
      <c r="G12" s="29">
        <v>-2259</v>
      </c>
      <c r="H12" s="29">
        <v>-2745</v>
      </c>
      <c r="I12" s="29">
        <v>-3320</v>
      </c>
      <c r="J12" s="29">
        <v>-3749</v>
      </c>
      <c r="K12" s="80">
        <f>-'Master Assumptions'!F16*'Forecast Model'!K8</f>
        <v>-4170.4556532866454</v>
      </c>
      <c r="L12" s="80">
        <f>-'Master Assumptions'!G16*'Forecast Model'!L8</f>
        <v>-4613.1877069262409</v>
      </c>
      <c r="M12" s="80">
        <f>-'Master Assumptions'!H16*'Forecast Model'!M8</f>
        <v>-5056.6060003518151</v>
      </c>
      <c r="N12" s="80">
        <f>-'Master Assumptions'!I16*'Forecast Model'!N8</f>
        <v>-5501.2635709947135</v>
      </c>
      <c r="O12" s="80">
        <f>-'Master Assumptions'!J16*'Forecast Model'!O8</f>
        <v>-5937.1933123564659</v>
      </c>
    </row>
    <row r="13" spans="2:15" x14ac:dyDescent="0.2">
      <c r="B13" s="1" t="s">
        <v>68</v>
      </c>
      <c r="F13" s="29">
        <v>-509.6</v>
      </c>
      <c r="G13" s="29">
        <v>-561</v>
      </c>
      <c r="H13" s="29">
        <v>-607</v>
      </c>
      <c r="I13" s="29">
        <v>-666</v>
      </c>
      <c r="J13" s="29">
        <v>-811</v>
      </c>
      <c r="K13" s="80">
        <f>-'Supporting Schedules'!C245</f>
        <v>-794.32318384082862</v>
      </c>
      <c r="L13" s="80">
        <f>-'Supporting Schedules'!D245</f>
        <v>-851.97553547451002</v>
      </c>
      <c r="M13" s="80">
        <f>-'Supporting Schedules'!E245</f>
        <v>-920.19354321925289</v>
      </c>
      <c r="N13" s="80">
        <f>-'Supporting Schedules'!F245</f>
        <v>-997.24755722346868</v>
      </c>
      <c r="O13" s="80">
        <f>-'Supporting Schedules'!G245</f>
        <v>-1081.7213995427269</v>
      </c>
    </row>
    <row r="14" spans="2:15" x14ac:dyDescent="0.2">
      <c r="B14" s="1" t="s">
        <v>230</v>
      </c>
      <c r="F14" s="29">
        <v>-36.5</v>
      </c>
      <c r="G14" s="29">
        <v>-37</v>
      </c>
      <c r="H14" s="29">
        <v>-40</v>
      </c>
      <c r="I14" s="29">
        <v>-38</v>
      </c>
      <c r="J14" s="29">
        <v>-25</v>
      </c>
      <c r="K14" s="80">
        <f>-'Master Assumptions'!F15*'Forecast Model'!K8</f>
        <v>-51.128694600964963</v>
      </c>
      <c r="L14" s="80">
        <f>-'Master Assumptions'!G15*'Forecast Model'!L8</f>
        <v>-56.556473683751207</v>
      </c>
      <c r="M14" s="80">
        <f>-'Master Assumptions'!H15*'Forecast Model'!M8</f>
        <v>-61.992665886675226</v>
      </c>
      <c r="N14" s="80">
        <f>-'Master Assumptions'!I15*'Forecast Model'!N8</f>
        <v>-67.444051303875611</v>
      </c>
      <c r="O14" s="80">
        <f>-'Master Assumptions'!J15*'Forecast Model'!O8</f>
        <v>-72.788435818790092</v>
      </c>
    </row>
    <row r="15" spans="2:15" x14ac:dyDescent="0.2">
      <c r="B15" s="7" t="s">
        <v>69</v>
      </c>
      <c r="F15" s="28">
        <f>SUM(F10:F14)</f>
        <v>2055.6</v>
      </c>
      <c r="G15" s="28">
        <f t="shared" ref="G15:J15" si="2">SUM(G10:G14)</f>
        <v>3594</v>
      </c>
      <c r="H15" s="28">
        <f t="shared" si="2"/>
        <v>4876</v>
      </c>
      <c r="I15" s="28">
        <f t="shared" si="2"/>
        <v>5745</v>
      </c>
      <c r="J15" s="28">
        <f t="shared" si="2"/>
        <v>6192</v>
      </c>
      <c r="K15" s="81">
        <f>SUM(K10:K14)</f>
        <v>7161.5763739736831</v>
      </c>
      <c r="L15" s="81">
        <f t="shared" ref="L15:O15" si="3">SUM(L10:L14)</f>
        <v>7948.5156071961283</v>
      </c>
      <c r="M15" s="81">
        <f t="shared" si="3"/>
        <v>8726.1983109986304</v>
      </c>
      <c r="N15" s="81">
        <f t="shared" si="3"/>
        <v>9497.409154305331</v>
      </c>
      <c r="O15" s="81">
        <f t="shared" si="3"/>
        <v>10244.550254061991</v>
      </c>
    </row>
    <row r="16" spans="2:15" x14ac:dyDescent="0.2">
      <c r="H16" s="79"/>
      <c r="I16" s="79"/>
      <c r="J16" s="79"/>
      <c r="K16" s="82"/>
      <c r="L16" s="82"/>
      <c r="M16" s="82"/>
      <c r="N16" s="82"/>
      <c r="O16" s="82"/>
    </row>
    <row r="17" spans="2:15" x14ac:dyDescent="0.2">
      <c r="B17" s="1" t="s">
        <v>70</v>
      </c>
      <c r="F17" s="29">
        <v>10.6</v>
      </c>
      <c r="G17" s="29">
        <v>12</v>
      </c>
      <c r="H17" s="29">
        <v>67</v>
      </c>
      <c r="I17" s="29">
        <v>331</v>
      </c>
      <c r="J17" s="29">
        <v>400</v>
      </c>
      <c r="K17" s="80"/>
      <c r="L17" s="80"/>
      <c r="M17" s="80"/>
      <c r="N17" s="80"/>
      <c r="O17" s="80"/>
    </row>
    <row r="18" spans="2:15" x14ac:dyDescent="0.2">
      <c r="B18" s="1" t="s">
        <v>71</v>
      </c>
      <c r="F18" s="29">
        <v>-29.9</v>
      </c>
      <c r="G18" s="29">
        <v>-32</v>
      </c>
      <c r="H18" s="29">
        <v>-43</v>
      </c>
      <c r="I18" s="29">
        <v>-56</v>
      </c>
      <c r="J18" s="29">
        <v>-59</v>
      </c>
      <c r="K18" s="80">
        <f>'Supporting Schedules'!C275</f>
        <v>-59.049514563106804</v>
      </c>
      <c r="L18" s="80">
        <f>'Supporting Schedules'!D275</f>
        <v>-59.049514563106804</v>
      </c>
      <c r="M18" s="80">
        <f>'Supporting Schedules'!E275</f>
        <v>-59.049514563106804</v>
      </c>
      <c r="N18" s="80">
        <f>'Supporting Schedules'!F275</f>
        <v>-59.049514563106804</v>
      </c>
      <c r="O18" s="80">
        <f>'Supporting Schedules'!G275</f>
        <v>-59.049514563106804</v>
      </c>
    </row>
    <row r="19" spans="2:15" x14ac:dyDescent="0.2">
      <c r="B19" s="1" t="s">
        <v>72</v>
      </c>
      <c r="F19" s="29">
        <v>68.5</v>
      </c>
      <c r="G19" s="29">
        <v>6</v>
      </c>
      <c r="H19" s="29">
        <v>-65</v>
      </c>
      <c r="I19" s="29">
        <v>20</v>
      </c>
      <c r="J19" s="29">
        <v>67</v>
      </c>
      <c r="K19" s="139">
        <f>0</f>
        <v>0</v>
      </c>
      <c r="L19" s="139">
        <f>0</f>
        <v>0</v>
      </c>
      <c r="M19" s="139">
        <f>0</f>
        <v>0</v>
      </c>
      <c r="N19" s="139">
        <f>0</f>
        <v>0</v>
      </c>
      <c r="O19" s="139">
        <f>0</f>
        <v>0</v>
      </c>
    </row>
    <row r="20" spans="2:15" x14ac:dyDescent="0.2">
      <c r="B20" s="1" t="s">
        <v>231</v>
      </c>
      <c r="F20" s="29">
        <v>-118.4</v>
      </c>
      <c r="G20" s="29">
        <v>-145</v>
      </c>
      <c r="H20" s="29">
        <v>-200</v>
      </c>
      <c r="I20" s="29">
        <v>-200</v>
      </c>
      <c r="J20" s="29">
        <v>-168</v>
      </c>
      <c r="K20" s="83">
        <f>0</f>
        <v>0</v>
      </c>
      <c r="L20" s="83">
        <f>0</f>
        <v>0</v>
      </c>
      <c r="M20" s="83">
        <f>0</f>
        <v>0</v>
      </c>
      <c r="N20" s="83">
        <f>0</f>
        <v>0</v>
      </c>
      <c r="O20" s="83">
        <f>0</f>
        <v>0</v>
      </c>
    </row>
    <row r="21" spans="2:15" x14ac:dyDescent="0.2">
      <c r="B21" s="7" t="s">
        <v>73</v>
      </c>
      <c r="F21" s="28">
        <f>SUM(F15:F20)</f>
        <v>1986.3999999999996</v>
      </c>
      <c r="G21" s="28">
        <f t="shared" ref="G21:I21" si="4">SUM(G15:G20)</f>
        <v>3435</v>
      </c>
      <c r="H21" s="28">
        <f t="shared" si="4"/>
        <v>4635</v>
      </c>
      <c r="I21" s="28">
        <f t="shared" si="4"/>
        <v>5840</v>
      </c>
      <c r="J21" s="28">
        <f>SUM(J15:J20)</f>
        <v>6432</v>
      </c>
      <c r="K21" s="81">
        <f>SUM(K15:K20)</f>
        <v>7102.5268594105764</v>
      </c>
      <c r="L21" s="81">
        <f t="shared" ref="L21:O21" si="5">SUM(L15:L20)</f>
        <v>7889.4660926330216</v>
      </c>
      <c r="M21" s="81">
        <f t="shared" si="5"/>
        <v>8667.1487964355238</v>
      </c>
      <c r="N21" s="81">
        <f t="shared" si="5"/>
        <v>9438.3596397422243</v>
      </c>
      <c r="O21" s="81">
        <f t="shared" si="5"/>
        <v>10185.500739498884</v>
      </c>
    </row>
    <row r="22" spans="2:15" x14ac:dyDescent="0.2">
      <c r="H22" s="79"/>
      <c r="I22" s="79"/>
      <c r="J22" s="79"/>
      <c r="K22" s="80"/>
      <c r="L22" s="80"/>
      <c r="M22" s="80"/>
      <c r="N22" s="80"/>
      <c r="O22" s="80"/>
    </row>
    <row r="23" spans="2:15" x14ac:dyDescent="0.2">
      <c r="B23" s="1" t="s">
        <v>74</v>
      </c>
      <c r="F23" s="29">
        <v>-613</v>
      </c>
      <c r="G23" s="29">
        <v>-1015</v>
      </c>
      <c r="H23" s="29">
        <v>-1305</v>
      </c>
      <c r="I23" s="29">
        <v>-1623</v>
      </c>
      <c r="J23" s="29">
        <v>-1845</v>
      </c>
      <c r="K23" s="80">
        <f>-K21*'Master Assumptions'!F23</f>
        <v>-2060.2973958604289</v>
      </c>
      <c r="L23" s="80">
        <f>-L21*'Master Assumptions'!G23</f>
        <v>-2288.5723302607694</v>
      </c>
      <c r="M23" s="80">
        <f>-M21*'Master Assumptions'!H23</f>
        <v>-2514.1621352929128</v>
      </c>
      <c r="N23" s="80">
        <f>-N21*'Master Assumptions'!I23</f>
        <v>-2737.8745863086883</v>
      </c>
      <c r="O23" s="80">
        <f>-O21*'Master Assumptions'!J23</f>
        <v>-2954.6048983003125</v>
      </c>
    </row>
    <row r="24" spans="2:15" x14ac:dyDescent="0.2">
      <c r="B24" s="1" t="s">
        <v>75</v>
      </c>
      <c r="F24" s="29">
        <v>16.100000000000001</v>
      </c>
      <c r="G24" s="29">
        <v>34</v>
      </c>
      <c r="H24" s="29">
        <v>50</v>
      </c>
      <c r="I24" s="29">
        <v>106</v>
      </c>
      <c r="J24" s="29">
        <v>44</v>
      </c>
      <c r="K24" s="133">
        <f>J24</f>
        <v>44</v>
      </c>
      <c r="L24" s="133">
        <f t="shared" ref="L24:O24" si="6">K24</f>
        <v>44</v>
      </c>
      <c r="M24" s="133">
        <f t="shared" si="6"/>
        <v>44</v>
      </c>
      <c r="N24" s="133">
        <f t="shared" si="6"/>
        <v>44</v>
      </c>
      <c r="O24" s="133">
        <f t="shared" si="6"/>
        <v>44</v>
      </c>
    </row>
    <row r="25" spans="2:15" x14ac:dyDescent="0.2">
      <c r="B25" s="7" t="s">
        <v>232</v>
      </c>
      <c r="F25" s="28">
        <f>SUM(F21:F24)</f>
        <v>1389.4999999999995</v>
      </c>
      <c r="G25" s="28">
        <f t="shared" ref="G25:J25" si="7">SUM(G21:G24)</f>
        <v>2454</v>
      </c>
      <c r="H25" s="28">
        <f t="shared" si="7"/>
        <v>3380</v>
      </c>
      <c r="I25" s="28">
        <f t="shared" si="7"/>
        <v>4323</v>
      </c>
      <c r="J25" s="28">
        <f t="shared" si="7"/>
        <v>4631</v>
      </c>
      <c r="K25" s="81">
        <f>SUM(K21:K24)</f>
        <v>5086.2294635501476</v>
      </c>
      <c r="L25" s="81">
        <f t="shared" ref="L25:O25" si="8">SUM(L21:L24)</f>
        <v>5644.8937623722522</v>
      </c>
      <c r="M25" s="81">
        <f t="shared" si="8"/>
        <v>6196.9866611426114</v>
      </c>
      <c r="N25" s="81">
        <f t="shared" si="8"/>
        <v>6744.4850534335365</v>
      </c>
      <c r="O25" s="81">
        <f t="shared" si="8"/>
        <v>7274.8958411985714</v>
      </c>
    </row>
    <row r="27" spans="2:15" x14ac:dyDescent="0.2">
      <c r="B27" s="1" t="s">
        <v>233</v>
      </c>
      <c r="F27" s="29">
        <v>-4.0999999999999996</v>
      </c>
      <c r="G27" s="29">
        <v>-8</v>
      </c>
      <c r="H27" s="29">
        <v>-13</v>
      </c>
      <c r="I27" s="29">
        <v>-12</v>
      </c>
      <c r="J27" s="29">
        <v>-28</v>
      </c>
      <c r="K27" s="27">
        <f>J27</f>
        <v>-28</v>
      </c>
      <c r="L27" s="27">
        <f t="shared" ref="L27:O27" si="9">K27</f>
        <v>-28</v>
      </c>
      <c r="M27" s="27">
        <f t="shared" si="9"/>
        <v>-28</v>
      </c>
      <c r="N27" s="27">
        <f t="shared" si="9"/>
        <v>-28</v>
      </c>
      <c r="O27" s="27">
        <f t="shared" si="9"/>
        <v>-28</v>
      </c>
    </row>
    <row r="28" spans="2:15" x14ac:dyDescent="0.2">
      <c r="B28" s="5" t="s">
        <v>76</v>
      </c>
      <c r="F28" s="28">
        <f>SUM(F25:F27)</f>
        <v>1385.3999999999996</v>
      </c>
      <c r="G28" s="28">
        <f t="shared" ref="G28:J28" si="10">SUM(G25:G27)</f>
        <v>2446</v>
      </c>
      <c r="H28" s="28">
        <f t="shared" si="10"/>
        <v>3367</v>
      </c>
      <c r="I28" s="28">
        <f t="shared" si="10"/>
        <v>4311</v>
      </c>
      <c r="J28" s="28">
        <f t="shared" si="10"/>
        <v>4603</v>
      </c>
      <c r="K28" s="81">
        <f>SUM(K25:K27)</f>
        <v>5058.2294635501476</v>
      </c>
      <c r="L28" s="81">
        <f t="shared" ref="L28:O28" si="11">SUM(L25:L27)</f>
        <v>5616.8937623722522</v>
      </c>
      <c r="M28" s="81">
        <f t="shared" si="11"/>
        <v>6168.9866611426114</v>
      </c>
      <c r="N28" s="81">
        <f t="shared" si="11"/>
        <v>6716.4850534335365</v>
      </c>
      <c r="O28" s="81">
        <f t="shared" si="11"/>
        <v>7246.8958411985714</v>
      </c>
    </row>
    <row r="31" spans="2:15" ht="19" x14ac:dyDescent="0.25">
      <c r="B31" s="361" t="s">
        <v>341</v>
      </c>
      <c r="C31" s="361"/>
      <c r="D31" s="361"/>
      <c r="E31" s="361"/>
      <c r="F31" s="361"/>
      <c r="G31" s="361"/>
      <c r="H31" s="361"/>
      <c r="I31" s="361"/>
      <c r="J31" s="361"/>
      <c r="K31" s="361"/>
      <c r="L31" s="361"/>
      <c r="M31" s="361"/>
      <c r="N31" s="361"/>
      <c r="O31" s="361"/>
    </row>
    <row r="32" spans="2:15" x14ac:dyDescent="0.2">
      <c r="K32" s="77"/>
      <c r="L32" s="77"/>
      <c r="M32" s="77"/>
      <c r="N32" s="77"/>
      <c r="O32" s="77"/>
    </row>
    <row r="33" spans="2:15" x14ac:dyDescent="0.2">
      <c r="B33" s="26" t="s">
        <v>340</v>
      </c>
      <c r="F33" s="86" t="s">
        <v>60</v>
      </c>
      <c r="G33" s="86" t="s">
        <v>61</v>
      </c>
      <c r="H33" s="78" t="s">
        <v>62</v>
      </c>
      <c r="I33" s="78" t="s">
        <v>63</v>
      </c>
      <c r="J33" s="78" t="s">
        <v>248</v>
      </c>
      <c r="K33" s="78" t="s">
        <v>317</v>
      </c>
      <c r="L33" s="78" t="s">
        <v>318</v>
      </c>
      <c r="M33" s="78" t="s">
        <v>319</v>
      </c>
      <c r="N33" s="78" t="s">
        <v>320</v>
      </c>
      <c r="O33" s="78" t="s">
        <v>321</v>
      </c>
    </row>
    <row r="34" spans="2:15" x14ac:dyDescent="0.2">
      <c r="B34" s="26" t="s">
        <v>229</v>
      </c>
    </row>
    <row r="36" spans="2:15" x14ac:dyDescent="0.2">
      <c r="B36" s="8" t="s">
        <v>77</v>
      </c>
      <c r="K36" s="80"/>
      <c r="L36" s="80"/>
      <c r="M36" s="80"/>
      <c r="N36" s="80"/>
      <c r="O36" s="80"/>
    </row>
    <row r="37" spans="2:15" x14ac:dyDescent="0.2">
      <c r="B37" s="1" t="s">
        <v>78</v>
      </c>
      <c r="F37" s="29">
        <v>4732.7</v>
      </c>
      <c r="G37" s="29">
        <v>6696</v>
      </c>
      <c r="H37" s="29">
        <v>9225</v>
      </c>
      <c r="I37" s="29">
        <v>10625</v>
      </c>
      <c r="J37" s="29">
        <v>11642</v>
      </c>
      <c r="K37" s="80">
        <f>J37+K120</f>
        <v>14337.799068718436</v>
      </c>
      <c r="L37" s="80">
        <f t="shared" ref="L37:O37" si="12">K37+L120</f>
        <v>17520.278554179669</v>
      </c>
      <c r="M37" s="80">
        <f t="shared" si="12"/>
        <v>21029.088191031471</v>
      </c>
      <c r="N37" s="80">
        <f t="shared" si="12"/>
        <v>24871.822735046015</v>
      </c>
      <c r="O37" s="80">
        <f t="shared" si="12"/>
        <v>29047.096091499585</v>
      </c>
    </row>
    <row r="38" spans="2:15" x14ac:dyDescent="0.2">
      <c r="B38" s="1" t="s">
        <v>79</v>
      </c>
      <c r="F38" s="29">
        <v>249.7</v>
      </c>
      <c r="G38" s="29">
        <v>333</v>
      </c>
      <c r="H38" s="29">
        <v>383</v>
      </c>
      <c r="I38" s="29">
        <v>431</v>
      </c>
      <c r="J38" s="29">
        <v>478</v>
      </c>
      <c r="K38" s="80">
        <f>'Master Assumptions'!F26*('Forecast Model'!K8/365)</f>
        <v>540.01006343901463</v>
      </c>
      <c r="L38" s="80">
        <f>'Master Assumptions'!G26*('Forecast Model'!L8/365)</f>
        <v>597.33707618017377</v>
      </c>
      <c r="M38" s="80">
        <f>'Master Assumptions'!H26*('Forecast Model'!M8/365)</f>
        <v>654.75294645182112</v>
      </c>
      <c r="N38" s="80">
        <f>'Master Assumptions'!I26*('Forecast Model'!N8/365)</f>
        <v>712.32928412184913</v>
      </c>
      <c r="O38" s="80">
        <f>'Master Assumptions'!J26*('Forecast Model'!O8/365)</f>
        <v>768.77550171972598</v>
      </c>
    </row>
    <row r="39" spans="2:15" x14ac:dyDescent="0.2">
      <c r="B39" s="1" t="s">
        <v>80</v>
      </c>
      <c r="F39" s="29">
        <v>256.5</v>
      </c>
      <c r="G39" s="29">
        <v>58</v>
      </c>
      <c r="H39" s="29">
        <v>19</v>
      </c>
      <c r="I39" s="29">
        <v>51</v>
      </c>
      <c r="J39" s="29">
        <v>28</v>
      </c>
      <c r="K39" s="80">
        <f>J39</f>
        <v>28</v>
      </c>
      <c r="L39" s="80">
        <f t="shared" ref="L39:O39" si="13">K39</f>
        <v>28</v>
      </c>
      <c r="M39" s="80">
        <f t="shared" si="13"/>
        <v>28</v>
      </c>
      <c r="N39" s="80">
        <f t="shared" si="13"/>
        <v>28</v>
      </c>
      <c r="O39" s="80">
        <f t="shared" si="13"/>
        <v>28</v>
      </c>
    </row>
    <row r="40" spans="2:15" x14ac:dyDescent="0.2">
      <c r="B40" s="1" t="s">
        <v>81</v>
      </c>
      <c r="F40" s="29">
        <v>1289.4000000000001</v>
      </c>
      <c r="G40" s="29">
        <v>1449</v>
      </c>
      <c r="H40" s="29">
        <v>1779</v>
      </c>
      <c r="I40" s="29">
        <v>2414</v>
      </c>
      <c r="J40" s="29">
        <v>2797</v>
      </c>
      <c r="K40" s="80">
        <f>'Master Assumptions'!F27*(-'Forecast Model'!K9/365)</f>
        <v>3112.886019979429</v>
      </c>
      <c r="L40" s="80">
        <f>'Master Assumptions'!G27*(-'Forecast Model'!L9/365)</f>
        <v>3443.3473735932398</v>
      </c>
      <c r="M40" s="80">
        <f>'Master Assumptions'!H27*(-'Forecast Model'!M9/365)</f>
        <v>3774.3209461139818</v>
      </c>
      <c r="N40" s="80">
        <f>'Master Assumptions'!I27*(-'Forecast Model'!N9/365)</f>
        <v>4106.2195323611368</v>
      </c>
      <c r="O40" s="80">
        <f>'Master Assumptions'!J27*(-'Forecast Model'!O9/365)</f>
        <v>4431.6035456184954</v>
      </c>
    </row>
    <row r="41" spans="2:15" x14ac:dyDescent="0.2">
      <c r="B41" s="1" t="s">
        <v>82</v>
      </c>
      <c r="F41" s="29">
        <v>121.4</v>
      </c>
      <c r="G41" s="29">
        <v>309</v>
      </c>
      <c r="H41" s="29">
        <v>422</v>
      </c>
      <c r="I41" s="29">
        <v>487</v>
      </c>
      <c r="J41" s="29">
        <v>531</v>
      </c>
      <c r="K41" s="133">
        <f>'Master Assumptions'!F29*'Forecast Model'!K8</f>
        <v>778.2263046836149</v>
      </c>
      <c r="L41" s="133">
        <f>'Master Assumptions'!G29*'Forecast Model'!L8</f>
        <v>860.84215261797692</v>
      </c>
      <c r="M41" s="133">
        <f>'Master Assumptions'!H29*'Forecast Model'!M8</f>
        <v>943.58605606885033</v>
      </c>
      <c r="N41" s="133">
        <f>'Master Assumptions'!I29*'Forecast Model'!N8</f>
        <v>1026.5612143775847</v>
      </c>
      <c r="O41" s="133">
        <f>'Master Assumptions'!J29*'Forecast Model'!O8</f>
        <v>1107.9077193941969</v>
      </c>
    </row>
    <row r="42" spans="2:15" x14ac:dyDescent="0.2">
      <c r="B42" s="7" t="s">
        <v>83</v>
      </c>
      <c r="F42" s="28">
        <f>SUM(F37:F41)</f>
        <v>6649.6999999999989</v>
      </c>
      <c r="G42" s="28">
        <f t="shared" ref="G42:J42" si="14">SUM(G37:G41)</f>
        <v>8845</v>
      </c>
      <c r="H42" s="28">
        <f t="shared" si="14"/>
        <v>11828</v>
      </c>
      <c r="I42" s="28">
        <f t="shared" si="14"/>
        <v>14008</v>
      </c>
      <c r="J42" s="28">
        <f t="shared" si="14"/>
        <v>15476</v>
      </c>
      <c r="K42" s="81">
        <f>SUM(K37:K41)</f>
        <v>18796.921456820495</v>
      </c>
      <c r="L42" s="81">
        <f t="shared" ref="L42:O42" si="15">SUM(L37:L41)</f>
        <v>22449.805156571059</v>
      </c>
      <c r="M42" s="81">
        <f t="shared" si="15"/>
        <v>26429.748139666124</v>
      </c>
      <c r="N42" s="81">
        <f t="shared" si="15"/>
        <v>30744.932765906586</v>
      </c>
      <c r="O42" s="81">
        <f t="shared" si="15"/>
        <v>35383.382858232006</v>
      </c>
    </row>
    <row r="43" spans="2:15" x14ac:dyDescent="0.2">
      <c r="H43" s="29"/>
      <c r="I43" s="29"/>
      <c r="J43" s="29"/>
      <c r="K43" s="80"/>
      <c r="L43" s="80"/>
      <c r="M43" s="80"/>
      <c r="N43" s="80"/>
      <c r="O43" s="80"/>
    </row>
    <row r="44" spans="2:15" x14ac:dyDescent="0.2">
      <c r="B44" s="1" t="s">
        <v>84</v>
      </c>
      <c r="F44" s="29">
        <v>3092.2</v>
      </c>
      <c r="G44" s="29">
        <v>3398</v>
      </c>
      <c r="H44" s="29">
        <v>3589</v>
      </c>
      <c r="I44" s="29">
        <v>4056</v>
      </c>
      <c r="J44" s="29">
        <v>4766</v>
      </c>
      <c r="K44" s="80">
        <f>'Supporting Schedules'!D228</f>
        <v>5111.9185297318299</v>
      </c>
      <c r="L44" s="80">
        <f>'Supporting Schedules'!E228</f>
        <v>5521.2318061482911</v>
      </c>
      <c r="M44" s="80">
        <f>'Supporting Schedules'!F228</f>
        <v>5983.56179753588</v>
      </c>
      <c r="N44" s="80">
        <f>'Supporting Schedules'!G228</f>
        <v>6490.4113276564321</v>
      </c>
      <c r="O44" s="80">
        <f>'Supporting Schedules'!H228</f>
        <v>7031.9742977624519</v>
      </c>
    </row>
    <row r="45" spans="2:15" x14ac:dyDescent="0.2">
      <c r="B45" s="1" t="s">
        <v>85</v>
      </c>
      <c r="F45" s="29">
        <v>42.4</v>
      </c>
      <c r="G45" s="29">
        <v>42</v>
      </c>
      <c r="H45" s="29">
        <v>0</v>
      </c>
      <c r="I45" s="29">
        <v>72</v>
      </c>
      <c r="J45" s="29">
        <v>228</v>
      </c>
      <c r="K45" s="80">
        <f>J45</f>
        <v>228</v>
      </c>
      <c r="L45" s="80">
        <f t="shared" ref="L45:O45" si="16">K45</f>
        <v>228</v>
      </c>
      <c r="M45" s="80">
        <f t="shared" si="16"/>
        <v>228</v>
      </c>
      <c r="N45" s="80">
        <f t="shared" si="16"/>
        <v>228</v>
      </c>
      <c r="O45" s="80">
        <f t="shared" si="16"/>
        <v>228</v>
      </c>
    </row>
    <row r="46" spans="2:15" x14ac:dyDescent="0.2">
      <c r="B46" s="1" t="s">
        <v>86</v>
      </c>
      <c r="F46" s="29">
        <v>221.3</v>
      </c>
      <c r="G46" s="29">
        <v>258</v>
      </c>
      <c r="H46" s="29">
        <v>213</v>
      </c>
      <c r="I46" s="29">
        <v>225</v>
      </c>
      <c r="J46" s="29">
        <v>237</v>
      </c>
      <c r="K46" s="80">
        <f>J46</f>
        <v>237</v>
      </c>
      <c r="L46" s="80">
        <f t="shared" ref="L46:O46" si="17">K46</f>
        <v>237</v>
      </c>
      <c r="M46" s="80">
        <f t="shared" si="17"/>
        <v>237</v>
      </c>
      <c r="N46" s="80">
        <f t="shared" si="17"/>
        <v>237</v>
      </c>
      <c r="O46" s="80">
        <f t="shared" si="17"/>
        <v>237</v>
      </c>
    </row>
    <row r="47" spans="2:15" x14ac:dyDescent="0.2">
      <c r="B47" s="1" t="s">
        <v>87</v>
      </c>
      <c r="F47" s="29">
        <v>515.4</v>
      </c>
      <c r="G47" s="29">
        <v>677</v>
      </c>
      <c r="H47" s="29">
        <v>1171</v>
      </c>
      <c r="I47" s="29">
        <v>1348</v>
      </c>
      <c r="J47" s="29">
        <v>1288</v>
      </c>
      <c r="K47" s="80">
        <f>J47</f>
        <v>1288</v>
      </c>
      <c r="L47" s="80">
        <f t="shared" ref="L47:O47" si="18">K47</f>
        <v>1288</v>
      </c>
      <c r="M47" s="80">
        <f t="shared" si="18"/>
        <v>1288</v>
      </c>
      <c r="N47" s="80">
        <f t="shared" si="18"/>
        <v>1288</v>
      </c>
      <c r="O47" s="80">
        <f t="shared" si="18"/>
        <v>1288</v>
      </c>
    </row>
    <row r="48" spans="2:15" x14ac:dyDescent="0.2">
      <c r="B48" s="1" t="s">
        <v>88</v>
      </c>
      <c r="F48" s="29">
        <v>475.2</v>
      </c>
      <c r="G48" s="29">
        <v>546</v>
      </c>
      <c r="H48" s="29">
        <v>555</v>
      </c>
      <c r="I48" s="29">
        <v>631</v>
      </c>
      <c r="J48" s="29">
        <v>929</v>
      </c>
      <c r="K48" s="80">
        <f>J48-K95</f>
        <v>1022</v>
      </c>
      <c r="L48" s="80">
        <f>K48-L95</f>
        <v>1115</v>
      </c>
      <c r="M48" s="80">
        <f t="shared" ref="M48:N48" si="19">L48-M95</f>
        <v>1208</v>
      </c>
      <c r="N48" s="80">
        <f t="shared" si="19"/>
        <v>1301</v>
      </c>
      <c r="O48" s="80">
        <f>N48-O95</f>
        <v>1394</v>
      </c>
    </row>
    <row r="49" spans="2:15" x14ac:dyDescent="0.2">
      <c r="B49" s="1" t="s">
        <v>89</v>
      </c>
      <c r="F49" s="29">
        <v>54.3</v>
      </c>
      <c r="G49" s="29">
        <v>81</v>
      </c>
      <c r="H49" s="29">
        <v>103</v>
      </c>
      <c r="I49" s="29">
        <v>107</v>
      </c>
      <c r="J49" s="29">
        <v>160</v>
      </c>
      <c r="K49" s="80">
        <f>J49</f>
        <v>160</v>
      </c>
      <c r="L49" s="80">
        <f t="shared" ref="L49:O49" si="20">K49</f>
        <v>160</v>
      </c>
      <c r="M49" s="80">
        <f t="shared" si="20"/>
        <v>160</v>
      </c>
      <c r="N49" s="80">
        <f t="shared" si="20"/>
        <v>160</v>
      </c>
      <c r="O49" s="80">
        <f t="shared" si="20"/>
        <v>160</v>
      </c>
    </row>
    <row r="50" spans="2:15" x14ac:dyDescent="0.2">
      <c r="B50" s="7" t="s">
        <v>90</v>
      </c>
      <c r="F50" s="28">
        <f>SUM(F44:F49)</f>
        <v>4400.8</v>
      </c>
      <c r="G50" s="28">
        <f t="shared" ref="G50:J50" si="21">SUM(G44:G49)</f>
        <v>5002</v>
      </c>
      <c r="H50" s="28">
        <f t="shared" si="21"/>
        <v>5631</v>
      </c>
      <c r="I50" s="28">
        <f t="shared" si="21"/>
        <v>6439</v>
      </c>
      <c r="J50" s="28">
        <f t="shared" si="21"/>
        <v>7608</v>
      </c>
      <c r="K50" s="81">
        <f>SUM(K44:K49)</f>
        <v>8046.9185297318299</v>
      </c>
      <c r="L50" s="81">
        <f t="shared" ref="L50:O50" si="22">SUM(L44:L49)</f>
        <v>8549.2318061482911</v>
      </c>
      <c r="M50" s="81">
        <f t="shared" si="22"/>
        <v>9104.56179753588</v>
      </c>
      <c r="N50" s="81">
        <f t="shared" si="22"/>
        <v>9704.4113276564312</v>
      </c>
      <c r="O50" s="81">
        <f t="shared" si="22"/>
        <v>10338.974297762452</v>
      </c>
    </row>
    <row r="51" spans="2:15" x14ac:dyDescent="0.2">
      <c r="B51" s="7"/>
      <c r="F51" s="28"/>
      <c r="G51" s="28"/>
      <c r="H51" s="28"/>
      <c r="I51" s="28"/>
      <c r="J51" s="28"/>
      <c r="K51" s="81"/>
      <c r="L51" s="81"/>
      <c r="M51" s="81"/>
      <c r="N51" s="81"/>
      <c r="O51" s="81"/>
    </row>
    <row r="52" spans="2:15" x14ac:dyDescent="0.2">
      <c r="B52" s="7" t="s">
        <v>91</v>
      </c>
      <c r="F52" s="28">
        <f>F42+F50</f>
        <v>11050.5</v>
      </c>
      <c r="G52" s="28">
        <f t="shared" ref="G52:J52" si="23">G42+G50</f>
        <v>13847</v>
      </c>
      <c r="H52" s="28">
        <f t="shared" si="23"/>
        <v>17459</v>
      </c>
      <c r="I52" s="28">
        <f t="shared" si="23"/>
        <v>20447</v>
      </c>
      <c r="J52" s="28">
        <f t="shared" si="23"/>
        <v>23084</v>
      </c>
      <c r="K52" s="81">
        <f>K50+K42</f>
        <v>26843.839986552324</v>
      </c>
      <c r="L52" s="81">
        <f t="shared" ref="L52:O52" si="24">L50+L42</f>
        <v>30999.03696271935</v>
      </c>
      <c r="M52" s="81">
        <f t="shared" si="24"/>
        <v>35534.309937202008</v>
      </c>
      <c r="N52" s="81">
        <f t="shared" si="24"/>
        <v>40449.344093563021</v>
      </c>
      <c r="O52" s="81">
        <f t="shared" si="24"/>
        <v>45722.357155994454</v>
      </c>
    </row>
    <row r="53" spans="2:15" x14ac:dyDescent="0.2">
      <c r="B53" s="8"/>
      <c r="H53" s="29"/>
      <c r="I53" s="29"/>
      <c r="J53" s="29"/>
      <c r="K53" s="80"/>
      <c r="L53" s="80"/>
      <c r="M53" s="80"/>
      <c r="N53" s="80"/>
      <c r="O53" s="80"/>
    </row>
    <row r="54" spans="2:15" x14ac:dyDescent="0.2">
      <c r="H54" s="29"/>
      <c r="I54" s="29"/>
      <c r="J54" s="29"/>
      <c r="K54" s="80"/>
      <c r="L54" s="80"/>
      <c r="M54" s="80"/>
      <c r="N54" s="80"/>
      <c r="O54" s="80"/>
    </row>
    <row r="55" spans="2:15" x14ac:dyDescent="0.2">
      <c r="B55" s="8" t="s">
        <v>92</v>
      </c>
      <c r="F55" s="27"/>
      <c r="G55" s="27"/>
      <c r="H55" s="27"/>
      <c r="I55" s="27"/>
      <c r="J55" s="27"/>
      <c r="K55" s="80"/>
      <c r="L55" s="80"/>
      <c r="M55" s="80"/>
      <c r="N55" s="80"/>
      <c r="O55" s="80"/>
    </row>
    <row r="56" spans="2:15" x14ac:dyDescent="0.2">
      <c r="B56" s="1" t="s">
        <v>93</v>
      </c>
      <c r="F56" s="29">
        <v>372.5</v>
      </c>
      <c r="G56" s="29">
        <v>450</v>
      </c>
      <c r="H56" s="29">
        <v>659</v>
      </c>
      <c r="I56" s="29">
        <v>685</v>
      </c>
      <c r="J56" s="29">
        <v>683</v>
      </c>
      <c r="K56" s="80">
        <f>'Master Assumptions'!F28*(('Forecast Model'!K40-'Forecast Model'!J40+(-'Forecast Model'!K9))/365)</f>
        <v>774.18759057701459</v>
      </c>
      <c r="L56" s="80">
        <f>'Master Assumptions'!G28*(('Forecast Model'!L40-'Forecast Model'!K40+(-'Forecast Model'!L9))/365)</f>
        <v>853.50651251740248</v>
      </c>
      <c r="M56" s="80">
        <f>'Master Assumptions'!H28*(('Forecast Model'!M40-'Forecast Model'!L40+(-'Forecast Model'!M9))/365)</f>
        <v>930.81743217515134</v>
      </c>
      <c r="N56" s="80">
        <f>'Master Assumptions'!I28*(('Forecast Model'!N40-'Forecast Model'!M40+(-'Forecast Model'!N9))/365)</f>
        <v>1008.4066552823417</v>
      </c>
      <c r="O56" s="80">
        <f>'Master Assumptions'!J28*(('Forecast Model'!O40-'Forecast Model'!N40+(-'Forecast Model'!O9))/365)</f>
        <v>1083.350194772361</v>
      </c>
    </row>
    <row r="57" spans="2:15" x14ac:dyDescent="0.2">
      <c r="B57" s="1" t="s">
        <v>234</v>
      </c>
      <c r="F57" s="29">
        <v>220.1</v>
      </c>
      <c r="G57" s="29">
        <v>249</v>
      </c>
      <c r="H57" s="29">
        <v>270</v>
      </c>
      <c r="I57" s="29">
        <v>290</v>
      </c>
      <c r="J57" s="29">
        <v>332</v>
      </c>
      <c r="K57" s="80">
        <f>J57</f>
        <v>332</v>
      </c>
      <c r="L57" s="80">
        <f t="shared" ref="L57:O57" si="25">K57</f>
        <v>332</v>
      </c>
      <c r="M57" s="80">
        <f t="shared" si="25"/>
        <v>332</v>
      </c>
      <c r="N57" s="80">
        <f t="shared" si="25"/>
        <v>332</v>
      </c>
      <c r="O57" s="80">
        <f t="shared" si="25"/>
        <v>332</v>
      </c>
    </row>
    <row r="58" spans="2:15" x14ac:dyDescent="0.2">
      <c r="B58" s="1" t="s">
        <v>94</v>
      </c>
      <c r="F58" s="29">
        <v>217.8</v>
      </c>
      <c r="G58" s="29">
        <v>347</v>
      </c>
      <c r="H58" s="29">
        <v>496</v>
      </c>
      <c r="I58" s="29">
        <v>586</v>
      </c>
      <c r="J58" s="29">
        <v>773</v>
      </c>
      <c r="K58" s="133">
        <f>-'Master Assumptions'!F30*'Forecast Model'!K23</f>
        <v>765.30995291155568</v>
      </c>
      <c r="L58" s="133">
        <f>-'Master Assumptions'!G30*'Forecast Model'!L23</f>
        <v>850.10406062038658</v>
      </c>
      <c r="M58" s="133">
        <f>-'Master Assumptions'!H30*'Forecast Model'!M23</f>
        <v>933.90076075375521</v>
      </c>
      <c r="N58" s="133">
        <f>-'Master Assumptions'!I30*'Forecast Model'!N23</f>
        <v>1017.0001063611454</v>
      </c>
      <c r="O58" s="133">
        <f>-'Master Assumptions'!J30*'Forecast Model'!O23</f>
        <v>1097.5058941168725</v>
      </c>
    </row>
    <row r="59" spans="2:15" x14ac:dyDescent="0.2">
      <c r="B59" s="1" t="s">
        <v>95</v>
      </c>
      <c r="F59" s="29">
        <v>1028.2</v>
      </c>
      <c r="G59" s="29">
        <v>1529</v>
      </c>
      <c r="H59" s="29">
        <v>1579</v>
      </c>
      <c r="I59" s="29">
        <v>1622</v>
      </c>
      <c r="J59" s="29">
        <v>1841</v>
      </c>
      <c r="K59" s="80">
        <f>'Master Assumptions'!F31*'Forecast Model'!K8</f>
        <v>2140.8097038234682</v>
      </c>
      <c r="L59" s="80">
        <f>'Master Assumptions'!G31*'Forecast Model'!L8</f>
        <v>2368.0762558316146</v>
      </c>
      <c r="M59" s="80">
        <f>'Master Assumptions'!H31*'Forecast Model'!M8</f>
        <v>2595.695073614801</v>
      </c>
      <c r="N59" s="80">
        <f>'Master Assumptions'!I31*'Forecast Model'!N8</f>
        <v>2823.9500465122328</v>
      </c>
      <c r="O59" s="80">
        <f>'Master Assumptions'!J31*'Forecast Model'!O8</f>
        <v>3047.7247843534151</v>
      </c>
    </row>
    <row r="60" spans="2:15" x14ac:dyDescent="0.2">
      <c r="B60" s="7" t="s">
        <v>96</v>
      </c>
      <c r="F60" s="28">
        <f>SUM(F56:F59)</f>
        <v>1838.6000000000001</v>
      </c>
      <c r="G60" s="28">
        <f t="shared" ref="G60:J60" si="26">SUM(G56:G59)</f>
        <v>2575</v>
      </c>
      <c r="H60" s="28">
        <f t="shared" si="26"/>
        <v>3004</v>
      </c>
      <c r="I60" s="28">
        <f t="shared" si="26"/>
        <v>3183</v>
      </c>
      <c r="J60" s="28">
        <f t="shared" si="26"/>
        <v>3629</v>
      </c>
      <c r="K60" s="81">
        <f>SUM(K56:K59)</f>
        <v>4012.3072473120383</v>
      </c>
      <c r="L60" s="81">
        <f t="shared" ref="L60:O60" si="27">SUM(L56:L59)</f>
        <v>4403.686828969403</v>
      </c>
      <c r="M60" s="81">
        <f t="shared" si="27"/>
        <v>4792.4132665437073</v>
      </c>
      <c r="N60" s="81">
        <f t="shared" si="27"/>
        <v>5181.3568081557205</v>
      </c>
      <c r="O60" s="81">
        <f t="shared" si="27"/>
        <v>5560.5808732426485</v>
      </c>
    </row>
    <row r="61" spans="2:15" x14ac:dyDescent="0.2">
      <c r="H61" s="29"/>
      <c r="I61" s="29"/>
      <c r="J61" s="29"/>
      <c r="K61" s="80"/>
      <c r="L61" s="80"/>
      <c r="M61" s="80"/>
      <c r="N61" s="80"/>
      <c r="O61" s="80"/>
    </row>
    <row r="62" spans="2:15" x14ac:dyDescent="0.2">
      <c r="B62" s="1" t="s">
        <v>97</v>
      </c>
      <c r="F62" s="29">
        <v>1465.9</v>
      </c>
      <c r="G62" s="29">
        <v>1553</v>
      </c>
      <c r="H62" s="29">
        <v>1664</v>
      </c>
      <c r="I62" s="29">
        <v>1770</v>
      </c>
      <c r="J62" s="29">
        <v>1842</v>
      </c>
      <c r="K62" s="80">
        <f>J62</f>
        <v>1842</v>
      </c>
      <c r="L62" s="80">
        <f t="shared" ref="L62:O62" si="28">K62</f>
        <v>1842</v>
      </c>
      <c r="M62" s="80">
        <f t="shared" si="28"/>
        <v>1842</v>
      </c>
      <c r="N62" s="80">
        <f t="shared" si="28"/>
        <v>1842</v>
      </c>
      <c r="O62" s="80">
        <f t="shared" si="28"/>
        <v>1842</v>
      </c>
    </row>
    <row r="63" spans="2:15" x14ac:dyDescent="0.2">
      <c r="B63" s="1" t="s">
        <v>98</v>
      </c>
      <c r="F63" s="29">
        <v>21.9</v>
      </c>
      <c r="G63" s="29">
        <v>15</v>
      </c>
      <c r="H63" s="29">
        <v>20</v>
      </c>
      <c r="I63" s="29">
        <v>2</v>
      </c>
      <c r="J63" s="29">
        <v>5</v>
      </c>
      <c r="K63" s="80">
        <f>J63</f>
        <v>5</v>
      </c>
      <c r="L63" s="80">
        <f t="shared" ref="L63:O63" si="29">K63</f>
        <v>5</v>
      </c>
      <c r="M63" s="80">
        <f t="shared" si="29"/>
        <v>5</v>
      </c>
      <c r="N63" s="80">
        <f t="shared" si="29"/>
        <v>5</v>
      </c>
      <c r="O63" s="80">
        <f t="shared" si="29"/>
        <v>5</v>
      </c>
    </row>
    <row r="64" spans="2:15" x14ac:dyDescent="0.2">
      <c r="B64" s="1" t="s">
        <v>99</v>
      </c>
      <c r="F64" s="29">
        <v>36.200000000000003</v>
      </c>
      <c r="G64" s="29">
        <v>46</v>
      </c>
      <c r="H64" s="29">
        <v>104</v>
      </c>
      <c r="I64" s="29">
        <v>107</v>
      </c>
      <c r="J64" s="29">
        <v>68</v>
      </c>
      <c r="K64" s="133">
        <f>J64</f>
        <v>68</v>
      </c>
      <c r="L64" s="133">
        <f t="shared" ref="L64:O64" si="30">K64</f>
        <v>68</v>
      </c>
      <c r="M64" s="133">
        <f t="shared" si="30"/>
        <v>68</v>
      </c>
      <c r="N64" s="133">
        <f t="shared" si="30"/>
        <v>68</v>
      </c>
      <c r="O64" s="133">
        <f t="shared" si="30"/>
        <v>68</v>
      </c>
    </row>
    <row r="65" spans="2:15" x14ac:dyDescent="0.2">
      <c r="B65" s="1" t="s">
        <v>235</v>
      </c>
      <c r="F65" s="29">
        <v>296.89999999999998</v>
      </c>
      <c r="G65" s="29">
        <v>246</v>
      </c>
      <c r="H65" s="29">
        <v>211</v>
      </c>
      <c r="I65" s="29">
        <v>182</v>
      </c>
      <c r="J65" s="29">
        <v>206</v>
      </c>
      <c r="K65" s="80">
        <f>J65</f>
        <v>206</v>
      </c>
      <c r="L65" s="80">
        <f t="shared" ref="L65:O65" si="31">K65</f>
        <v>206</v>
      </c>
      <c r="M65" s="80">
        <f t="shared" si="31"/>
        <v>206</v>
      </c>
      <c r="N65" s="80">
        <f t="shared" si="31"/>
        <v>206</v>
      </c>
      <c r="O65" s="80">
        <f t="shared" si="31"/>
        <v>206</v>
      </c>
    </row>
    <row r="66" spans="2:15" x14ac:dyDescent="0.2">
      <c r="B66" s="7" t="s">
        <v>100</v>
      </c>
      <c r="F66" s="28">
        <f>SUM(F62:F65)</f>
        <v>1820.9</v>
      </c>
      <c r="G66" s="28">
        <f t="shared" ref="G66:J66" si="32">SUM(G62:G65)</f>
        <v>1860</v>
      </c>
      <c r="H66" s="28">
        <f t="shared" si="32"/>
        <v>1999</v>
      </c>
      <c r="I66" s="28">
        <f t="shared" si="32"/>
        <v>2061</v>
      </c>
      <c r="J66" s="28">
        <f t="shared" si="32"/>
        <v>2121</v>
      </c>
      <c r="K66" s="81">
        <f>SUM(K62:K65)</f>
        <v>2121</v>
      </c>
      <c r="L66" s="81">
        <f t="shared" ref="L66:O66" si="33">SUM(L62:L65)</f>
        <v>2121</v>
      </c>
      <c r="M66" s="81">
        <f t="shared" si="33"/>
        <v>2121</v>
      </c>
      <c r="N66" s="81">
        <f t="shared" si="33"/>
        <v>2121</v>
      </c>
      <c r="O66" s="81">
        <f t="shared" si="33"/>
        <v>2121</v>
      </c>
    </row>
    <row r="67" spans="2:15" x14ac:dyDescent="0.2">
      <c r="B67" s="7"/>
      <c r="F67" s="28"/>
      <c r="G67" s="28"/>
      <c r="H67" s="28"/>
      <c r="I67" s="28"/>
      <c r="J67" s="28"/>
      <c r="K67" s="80"/>
      <c r="L67" s="80"/>
      <c r="M67" s="80"/>
      <c r="N67" s="80"/>
      <c r="O67" s="80"/>
    </row>
    <row r="68" spans="2:15" x14ac:dyDescent="0.2">
      <c r="B68" s="7" t="s">
        <v>101</v>
      </c>
      <c r="F68" s="28">
        <f>F60+F66</f>
        <v>3659.5</v>
      </c>
      <c r="G68" s="28">
        <f t="shared" ref="G68:J68" si="34">G60+G66</f>
        <v>4435</v>
      </c>
      <c r="H68" s="28">
        <f t="shared" si="34"/>
        <v>5003</v>
      </c>
      <c r="I68" s="28">
        <f t="shared" si="34"/>
        <v>5244</v>
      </c>
      <c r="J68" s="28">
        <f t="shared" si="34"/>
        <v>5750</v>
      </c>
      <c r="K68" s="81">
        <f>K60+K66</f>
        <v>6133.3072473120383</v>
      </c>
      <c r="L68" s="81">
        <f t="shared" ref="L68:O68" si="35">L60+L66</f>
        <v>6524.686828969403</v>
      </c>
      <c r="M68" s="81">
        <f t="shared" si="35"/>
        <v>6913.4132665437073</v>
      </c>
      <c r="N68" s="81">
        <f t="shared" si="35"/>
        <v>7302.3568081557205</v>
      </c>
      <c r="O68" s="81">
        <f t="shared" si="35"/>
        <v>7681.5808732426485</v>
      </c>
    </row>
    <row r="69" spans="2:15" x14ac:dyDescent="0.2">
      <c r="H69" s="29"/>
      <c r="I69" s="29"/>
      <c r="J69" s="29"/>
      <c r="K69" s="80"/>
      <c r="L69" s="80"/>
      <c r="M69" s="80"/>
      <c r="N69" s="80"/>
      <c r="O69" s="80"/>
    </row>
    <row r="70" spans="2:15" x14ac:dyDescent="0.2">
      <c r="B70" s="8" t="s">
        <v>102</v>
      </c>
      <c r="F70" s="27"/>
      <c r="G70" s="27"/>
      <c r="H70" s="27"/>
      <c r="I70" s="27"/>
      <c r="J70" s="27"/>
      <c r="K70" s="80"/>
      <c r="L70" s="80"/>
      <c r="M70" s="80"/>
      <c r="N70" s="80"/>
      <c r="O70" s="80"/>
    </row>
    <row r="71" spans="2:15" x14ac:dyDescent="0.2">
      <c r="B71" s="1" t="s">
        <v>103</v>
      </c>
      <c r="F71" s="30">
        <v>103.4</v>
      </c>
      <c r="G71" s="30">
        <v>104</v>
      </c>
      <c r="H71" s="30">
        <v>104</v>
      </c>
      <c r="I71" s="30">
        <v>104</v>
      </c>
      <c r="J71" s="30">
        <v>104</v>
      </c>
      <c r="K71" s="128"/>
      <c r="L71" s="128"/>
      <c r="M71" s="128"/>
      <c r="N71" s="128"/>
      <c r="O71" s="128"/>
    </row>
    <row r="72" spans="2:15" x14ac:dyDescent="0.2">
      <c r="B72" s="1" t="s">
        <v>104</v>
      </c>
      <c r="F72" s="29">
        <v>0</v>
      </c>
      <c r="G72" s="29">
        <v>0</v>
      </c>
      <c r="H72" s="29">
        <v>0</v>
      </c>
      <c r="I72" s="29">
        <v>0</v>
      </c>
      <c r="J72" s="29">
        <v>0</v>
      </c>
      <c r="K72" s="128"/>
      <c r="L72" s="128"/>
      <c r="M72" s="128"/>
      <c r="N72" s="128"/>
      <c r="O72" s="128"/>
    </row>
    <row r="73" spans="2:15" x14ac:dyDescent="0.2">
      <c r="B73" s="1" t="s">
        <v>105</v>
      </c>
      <c r="F73" s="29">
        <v>-463.7</v>
      </c>
      <c r="G73" s="29">
        <v>-551</v>
      </c>
      <c r="H73" s="29">
        <v>-674</v>
      </c>
      <c r="I73" s="29">
        <v>-698</v>
      </c>
      <c r="J73" s="29">
        <v>-670</v>
      </c>
      <c r="K73" s="128"/>
      <c r="L73" s="128"/>
      <c r="M73" s="128"/>
      <c r="N73" s="128"/>
      <c r="O73" s="128"/>
    </row>
    <row r="74" spans="2:15" x14ac:dyDescent="0.2">
      <c r="B74" s="1" t="s">
        <v>236</v>
      </c>
      <c r="F74" s="29">
        <v>5.2</v>
      </c>
      <c r="G74" s="29">
        <v>178</v>
      </c>
      <c r="H74" s="29">
        <v>303</v>
      </c>
      <c r="I74" s="29">
        <v>189</v>
      </c>
      <c r="J74" s="29">
        <v>355</v>
      </c>
      <c r="K74" s="128"/>
      <c r="L74" s="128"/>
      <c r="M74" s="128"/>
      <c r="N74" s="128"/>
      <c r="O74" s="128"/>
    </row>
    <row r="75" spans="2:15" x14ac:dyDescent="0.2">
      <c r="B75" s="1" t="s">
        <v>237</v>
      </c>
      <c r="F75" s="29">
        <v>100.3</v>
      </c>
      <c r="G75" s="29">
        <v>188</v>
      </c>
      <c r="H75" s="29">
        <v>521</v>
      </c>
      <c r="I75" s="29">
        <v>521</v>
      </c>
      <c r="J75" s="29">
        <v>551</v>
      </c>
      <c r="K75" s="128"/>
      <c r="L75" s="128"/>
      <c r="M75" s="128"/>
      <c r="N75" s="128"/>
      <c r="O75" s="128"/>
    </row>
    <row r="76" spans="2:15" x14ac:dyDescent="0.2">
      <c r="B76" s="1" t="s">
        <v>238</v>
      </c>
      <c r="F76" s="29">
        <v>7732.1</v>
      </c>
      <c r="G76" s="29">
        <v>9711</v>
      </c>
      <c r="H76" s="29">
        <v>12246</v>
      </c>
      <c r="I76" s="29">
        <v>15128</v>
      </c>
      <c r="J76" s="29">
        <v>17162</v>
      </c>
      <c r="K76" s="128"/>
      <c r="L76" s="128"/>
      <c r="M76" s="128"/>
      <c r="N76" s="128"/>
      <c r="O76" s="128"/>
    </row>
    <row r="77" spans="2:15" x14ac:dyDescent="0.2">
      <c r="B77" s="1" t="s">
        <v>239</v>
      </c>
      <c r="F77" s="29">
        <v>-97.2</v>
      </c>
      <c r="G77" s="29">
        <v>-230</v>
      </c>
      <c r="H77" s="29">
        <v>-60</v>
      </c>
      <c r="I77" s="29">
        <v>-43</v>
      </c>
      <c r="J77" s="29">
        <v>-175</v>
      </c>
      <c r="K77" s="143"/>
      <c r="L77" s="143"/>
      <c r="M77" s="143"/>
      <c r="N77" s="143"/>
      <c r="O77" s="143"/>
    </row>
    <row r="78" spans="2:15" x14ac:dyDescent="0.2">
      <c r="B78" s="7" t="s">
        <v>106</v>
      </c>
      <c r="F78" s="28">
        <f>SUM(F71:F77)</f>
        <v>7380.1</v>
      </c>
      <c r="G78" s="28">
        <f t="shared" ref="G78:J78" si="36">SUM(G71:G77)</f>
        <v>9400</v>
      </c>
      <c r="H78" s="28">
        <f t="shared" si="36"/>
        <v>12440</v>
      </c>
      <c r="I78" s="28">
        <f t="shared" si="36"/>
        <v>15201</v>
      </c>
      <c r="J78" s="28">
        <f t="shared" si="36"/>
        <v>17327</v>
      </c>
      <c r="K78" s="81">
        <f>'Supporting Schedules'!D343</f>
        <v>20703.532739240283</v>
      </c>
      <c r="L78" s="81">
        <f>'Supporting Schedules'!E343</f>
        <v>24467.350133749944</v>
      </c>
      <c r="M78" s="81">
        <f>'Supporting Schedules'!F343</f>
        <v>28613.896670658298</v>
      </c>
      <c r="N78" s="81">
        <f>'Supporting Schedules'!G343</f>
        <v>33139.987285407304</v>
      </c>
      <c r="O78" s="81">
        <f>'Supporting Schedules'!H343</f>
        <v>38033.776282751816</v>
      </c>
    </row>
    <row r="79" spans="2:15" x14ac:dyDescent="0.2">
      <c r="B79" s="31" t="s">
        <v>240</v>
      </c>
      <c r="F79" s="32">
        <v>10.9</v>
      </c>
      <c r="G79" s="32">
        <v>12</v>
      </c>
      <c r="H79" s="32">
        <v>16</v>
      </c>
      <c r="I79" s="32">
        <v>2</v>
      </c>
      <c r="J79" s="32">
        <v>7</v>
      </c>
      <c r="K79" s="27">
        <f>J79</f>
        <v>7</v>
      </c>
      <c r="L79" s="27">
        <f>K79</f>
        <v>7</v>
      </c>
      <c r="M79" s="27">
        <f t="shared" ref="M79:O79" si="37">L79</f>
        <v>7</v>
      </c>
      <c r="N79" s="27">
        <f t="shared" si="37"/>
        <v>7</v>
      </c>
      <c r="O79" s="27">
        <f t="shared" si="37"/>
        <v>7</v>
      </c>
    </row>
    <row r="80" spans="2:15" x14ac:dyDescent="0.2">
      <c r="B80" s="7" t="s">
        <v>241</v>
      </c>
      <c r="F80" s="28">
        <f>SUM(F78:F79)</f>
        <v>7391</v>
      </c>
      <c r="G80" s="28">
        <f t="shared" ref="G80:J80" si="38">SUM(G78:G79)</f>
        <v>9412</v>
      </c>
      <c r="H80" s="28">
        <f t="shared" si="38"/>
        <v>12456</v>
      </c>
      <c r="I80" s="28">
        <f t="shared" si="38"/>
        <v>15203</v>
      </c>
      <c r="J80" s="28">
        <f t="shared" si="38"/>
        <v>17334</v>
      </c>
      <c r="K80" s="81">
        <f>SUM(K78:K79)</f>
        <v>20710.532739240283</v>
      </c>
      <c r="L80" s="81">
        <f t="shared" ref="L80:O80" si="39">SUM(L78:L79)</f>
        <v>24474.350133749944</v>
      </c>
      <c r="M80" s="81">
        <f t="shared" si="39"/>
        <v>28620.896670658298</v>
      </c>
      <c r="N80" s="81">
        <f t="shared" si="39"/>
        <v>33146.987285407304</v>
      </c>
      <c r="O80" s="81">
        <f t="shared" si="39"/>
        <v>38040.776282751816</v>
      </c>
    </row>
    <row r="81" spans="2:15" x14ac:dyDescent="0.2">
      <c r="F81" s="27"/>
      <c r="G81" s="27"/>
      <c r="H81" s="27"/>
      <c r="I81" s="27"/>
      <c r="J81" s="27"/>
    </row>
    <row r="82" spans="2:15" x14ac:dyDescent="0.2">
      <c r="B82" s="7" t="s">
        <v>107</v>
      </c>
      <c r="F82" s="28">
        <f>F68+F80</f>
        <v>11050.5</v>
      </c>
      <c r="G82" s="28">
        <f t="shared" ref="G82:J82" si="40">G68+G80</f>
        <v>13847</v>
      </c>
      <c r="H82" s="28">
        <f t="shared" si="40"/>
        <v>17459</v>
      </c>
      <c r="I82" s="28">
        <f t="shared" si="40"/>
        <v>20447</v>
      </c>
      <c r="J82" s="28">
        <f t="shared" si="40"/>
        <v>23084</v>
      </c>
      <c r="K82" s="81">
        <f>K80+K68</f>
        <v>26843.839986552321</v>
      </c>
      <c r="L82" s="81">
        <f t="shared" ref="L82:O82" si="41">L80+L68</f>
        <v>30999.036962719347</v>
      </c>
      <c r="M82" s="81">
        <f t="shared" si="41"/>
        <v>35534.309937202008</v>
      </c>
      <c r="N82" s="81">
        <f t="shared" si="41"/>
        <v>40449.344093563021</v>
      </c>
      <c r="O82" s="81">
        <f t="shared" si="41"/>
        <v>45722.357155994468</v>
      </c>
    </row>
    <row r="84" spans="2:15" x14ac:dyDescent="0.2">
      <c r="K84" s="80"/>
      <c r="L84" s="80"/>
      <c r="M84" s="80"/>
      <c r="N84" s="80"/>
      <c r="O84" s="80"/>
    </row>
    <row r="86" spans="2:15" ht="19" x14ac:dyDescent="0.25">
      <c r="B86" s="361" t="s">
        <v>342</v>
      </c>
      <c r="C86" s="361"/>
      <c r="D86" s="361"/>
      <c r="E86" s="361"/>
      <c r="F86" s="361"/>
      <c r="G86" s="361"/>
      <c r="H86" s="361"/>
      <c r="I86" s="361"/>
      <c r="J86" s="361"/>
      <c r="K86" s="361"/>
      <c r="L86" s="361"/>
      <c r="M86" s="361"/>
      <c r="N86" s="361"/>
      <c r="O86" s="361"/>
    </row>
    <row r="87" spans="2:15" x14ac:dyDescent="0.2">
      <c r="K87" s="77"/>
      <c r="L87" s="77"/>
      <c r="M87" s="77"/>
      <c r="N87" s="77"/>
      <c r="O87" s="77"/>
    </row>
    <row r="88" spans="2:15" x14ac:dyDescent="0.2">
      <c r="B88" s="26" t="s">
        <v>340</v>
      </c>
      <c r="F88" s="86" t="s">
        <v>60</v>
      </c>
      <c r="G88" s="86" t="s">
        <v>61</v>
      </c>
      <c r="H88" s="78" t="s">
        <v>62</v>
      </c>
      <c r="I88" s="78" t="s">
        <v>63</v>
      </c>
      <c r="J88" s="78" t="s">
        <v>248</v>
      </c>
      <c r="K88" s="78" t="s">
        <v>317</v>
      </c>
      <c r="L88" s="78" t="s">
        <v>318</v>
      </c>
      <c r="M88" s="78" t="s">
        <v>319</v>
      </c>
      <c r="N88" s="78" t="s">
        <v>320</v>
      </c>
      <c r="O88" s="78" t="s">
        <v>321</v>
      </c>
    </row>
    <row r="89" spans="2:15" x14ac:dyDescent="0.2">
      <c r="B89" s="26" t="s">
        <v>229</v>
      </c>
    </row>
    <row r="91" spans="2:15" x14ac:dyDescent="0.2">
      <c r="B91" s="8"/>
    </row>
    <row r="92" spans="2:15" x14ac:dyDescent="0.2">
      <c r="B92" s="8" t="s">
        <v>110</v>
      </c>
      <c r="K92" s="55"/>
      <c r="L92" s="27"/>
      <c r="M92" s="27"/>
      <c r="N92" s="27"/>
      <c r="O92" s="27"/>
    </row>
    <row r="93" spans="2:15" x14ac:dyDescent="0.2">
      <c r="B93" s="1" t="s">
        <v>76</v>
      </c>
      <c r="F93" s="29">
        <v>1385.4</v>
      </c>
      <c r="G93" s="29">
        <v>2445</v>
      </c>
      <c r="H93" s="29">
        <v>3367</v>
      </c>
      <c r="I93" s="29">
        <v>4311</v>
      </c>
      <c r="J93" s="29">
        <v>4603</v>
      </c>
      <c r="K93" s="55">
        <f>K28</f>
        <v>5058.2294635501476</v>
      </c>
      <c r="L93" s="55">
        <f t="shared" ref="L93:O93" si="42">L28</f>
        <v>5616.8937623722522</v>
      </c>
      <c r="M93" s="55">
        <f t="shared" si="42"/>
        <v>6168.9866611426114</v>
      </c>
      <c r="N93" s="55">
        <f t="shared" si="42"/>
        <v>6716.4850534335365</v>
      </c>
      <c r="O93" s="55">
        <f t="shared" si="42"/>
        <v>7246.8958411985714</v>
      </c>
    </row>
    <row r="94" spans="2:15" x14ac:dyDescent="0.2">
      <c r="B94" s="1" t="s">
        <v>111</v>
      </c>
      <c r="F94" s="29">
        <v>512</v>
      </c>
      <c r="G94" s="29">
        <v>561</v>
      </c>
      <c r="H94" s="29">
        <v>607</v>
      </c>
      <c r="I94" s="29">
        <v>666</v>
      </c>
      <c r="J94" s="29">
        <v>811</v>
      </c>
      <c r="K94" s="55">
        <f>-K13</f>
        <v>794.32318384082862</v>
      </c>
      <c r="L94" s="55">
        <f t="shared" ref="L94:O94" si="43">-L13</f>
        <v>851.97553547451002</v>
      </c>
      <c r="M94" s="55">
        <f t="shared" si="43"/>
        <v>920.19354321925289</v>
      </c>
      <c r="N94" s="55">
        <f t="shared" si="43"/>
        <v>997.24755722346868</v>
      </c>
      <c r="O94" s="55">
        <f t="shared" si="43"/>
        <v>1081.7213995427269</v>
      </c>
    </row>
    <row r="95" spans="2:15" x14ac:dyDescent="0.2">
      <c r="B95" s="1" t="s">
        <v>112</v>
      </c>
      <c r="F95" s="29">
        <v>5.4</v>
      </c>
      <c r="G95" s="29">
        <v>-15</v>
      </c>
      <c r="H95" s="29">
        <v>-16</v>
      </c>
      <c r="I95" s="29">
        <v>-14</v>
      </c>
      <c r="J95" s="29">
        <v>-93</v>
      </c>
      <c r="K95" s="55">
        <f>$J$95</f>
        <v>-93</v>
      </c>
      <c r="L95" s="55">
        <f t="shared" ref="L95:O95" si="44">$J$95</f>
        <v>-93</v>
      </c>
      <c r="M95" s="55">
        <f t="shared" si="44"/>
        <v>-93</v>
      </c>
      <c r="N95" s="55">
        <f t="shared" si="44"/>
        <v>-93</v>
      </c>
      <c r="O95" s="55">
        <f t="shared" si="44"/>
        <v>-93</v>
      </c>
    </row>
    <row r="96" spans="2:15" x14ac:dyDescent="0.2">
      <c r="B96" s="1" t="s">
        <v>242</v>
      </c>
      <c r="F96" s="29">
        <v>111.3</v>
      </c>
      <c r="G96" s="29">
        <v>115</v>
      </c>
      <c r="H96" s="29">
        <v>220</v>
      </c>
      <c r="I96" s="29">
        <v>271</v>
      </c>
      <c r="J96" s="29">
        <v>87</v>
      </c>
      <c r="K96" s="55">
        <v>0</v>
      </c>
      <c r="L96" s="55">
        <v>0</v>
      </c>
      <c r="M96" s="55">
        <v>0</v>
      </c>
      <c r="N96" s="55">
        <v>0</v>
      </c>
      <c r="O96" s="55">
        <v>0</v>
      </c>
    </row>
    <row r="97" spans="2:15" x14ac:dyDescent="0.2">
      <c r="B97" s="1" t="s">
        <v>113</v>
      </c>
      <c r="F97" s="27"/>
      <c r="G97" s="27"/>
      <c r="H97" s="27"/>
      <c r="I97" s="27"/>
      <c r="J97" s="27"/>
      <c r="K97" s="55"/>
      <c r="L97" s="27"/>
      <c r="M97" s="27"/>
      <c r="N97" s="27"/>
      <c r="O97" s="27"/>
    </row>
    <row r="98" spans="2:15" x14ac:dyDescent="0.2">
      <c r="B98" s="1" t="s">
        <v>114</v>
      </c>
      <c r="F98" s="29">
        <v>38.4</v>
      </c>
      <c r="G98" s="29">
        <v>-30</v>
      </c>
      <c r="H98" s="29">
        <v>-54</v>
      </c>
      <c r="I98" s="29">
        <v>-122</v>
      </c>
      <c r="J98" s="29">
        <v>4</v>
      </c>
      <c r="K98" s="55">
        <f>-(K38-J38)</f>
        <v>-62.01006343901463</v>
      </c>
      <c r="L98" s="55">
        <f t="shared" ref="L98:O98" si="45">-(L38-K38)</f>
        <v>-57.327012741159137</v>
      </c>
      <c r="M98" s="55">
        <f t="shared" si="45"/>
        <v>-57.41587027164735</v>
      </c>
      <c r="N98" s="55">
        <f t="shared" si="45"/>
        <v>-57.576337670028011</v>
      </c>
      <c r="O98" s="55">
        <f t="shared" si="45"/>
        <v>-56.446217597876853</v>
      </c>
    </row>
    <row r="99" spans="2:15" x14ac:dyDescent="0.2">
      <c r="B99" s="1" t="s">
        <v>115</v>
      </c>
      <c r="F99" s="29">
        <v>-157.9</v>
      </c>
      <c r="G99" s="29">
        <v>-116</v>
      </c>
      <c r="H99" s="29">
        <v>-324</v>
      </c>
      <c r="I99" s="29">
        <v>-662</v>
      </c>
      <c r="J99" s="29">
        <v>-313</v>
      </c>
      <c r="K99" s="55">
        <f>-(K40-J40)</f>
        <v>-315.88601997942897</v>
      </c>
      <c r="L99" s="55">
        <f t="shared" ref="L99:O99" si="46">-(L40-K40)</f>
        <v>-330.46135361381084</v>
      </c>
      <c r="M99" s="55">
        <f t="shared" si="46"/>
        <v>-330.97357252074198</v>
      </c>
      <c r="N99" s="55">
        <f t="shared" si="46"/>
        <v>-331.89858624715498</v>
      </c>
      <c r="O99" s="55">
        <f t="shared" si="46"/>
        <v>-325.38401325735867</v>
      </c>
    </row>
    <row r="100" spans="2:15" x14ac:dyDescent="0.2">
      <c r="B100" s="1" t="s">
        <v>116</v>
      </c>
      <c r="F100" s="33">
        <v>-23.7</v>
      </c>
      <c r="G100" s="33">
        <v>71</v>
      </c>
      <c r="H100" s="33">
        <v>203</v>
      </c>
      <c r="I100" s="33">
        <v>42</v>
      </c>
      <c r="J100" s="33">
        <v>-60</v>
      </c>
      <c r="K100" s="55">
        <f>(K56-J56)</f>
        <v>91.187590577014589</v>
      </c>
      <c r="L100" s="55">
        <f t="shared" ref="L100:O100" si="47">(L56-K56)</f>
        <v>79.318921940387895</v>
      </c>
      <c r="M100" s="55">
        <f t="shared" si="47"/>
        <v>77.310919657748855</v>
      </c>
      <c r="N100" s="55">
        <f t="shared" si="47"/>
        <v>77.589223107190378</v>
      </c>
      <c r="O100" s="55">
        <f t="shared" si="47"/>
        <v>74.943539490019248</v>
      </c>
    </row>
    <row r="101" spans="2:15" x14ac:dyDescent="0.2">
      <c r="B101" s="1" t="s">
        <v>117</v>
      </c>
      <c r="F101" s="29">
        <v>-207.1</v>
      </c>
      <c r="G101" s="29">
        <v>421</v>
      </c>
      <c r="H101" s="29">
        <v>248</v>
      </c>
      <c r="I101" s="29">
        <v>-52</v>
      </c>
      <c r="J101" s="29">
        <v>130</v>
      </c>
      <c r="K101" s="55">
        <f>-(K41-J41)+(K58-J58)+(K59-J59)</f>
        <v>44.893352051409011</v>
      </c>
      <c r="L101" s="55">
        <f t="shared" ref="L101:O101" si="48">-(L41-K41)+(L58-K58)+(L59-K59)</f>
        <v>229.44481178261526</v>
      </c>
      <c r="M101" s="55">
        <f t="shared" si="48"/>
        <v>228.67161446568161</v>
      </c>
      <c r="N101" s="55">
        <f t="shared" si="48"/>
        <v>228.37916019608758</v>
      </c>
      <c r="O101" s="55">
        <f t="shared" si="48"/>
        <v>222.93402058029722</v>
      </c>
    </row>
    <row r="102" spans="2:15" x14ac:dyDescent="0.2">
      <c r="B102" s="7" t="s">
        <v>118</v>
      </c>
      <c r="F102" s="28">
        <f t="shared" ref="F102:K102" si="49">SUM(F93:F101)</f>
        <v>1663.8</v>
      </c>
      <c r="G102" s="28">
        <f t="shared" si="49"/>
        <v>3452</v>
      </c>
      <c r="H102" s="28">
        <f t="shared" si="49"/>
        <v>4251</v>
      </c>
      <c r="I102" s="28">
        <f t="shared" si="49"/>
        <v>4440</v>
      </c>
      <c r="J102" s="28">
        <f t="shared" si="49"/>
        <v>5169</v>
      </c>
      <c r="K102" s="84">
        <f t="shared" si="49"/>
        <v>5517.7375066009563</v>
      </c>
      <c r="L102" s="84">
        <f t="shared" ref="L102:O102" si="50">SUM(L93:L101)</f>
        <v>6296.8446652147959</v>
      </c>
      <c r="M102" s="84">
        <f t="shared" si="50"/>
        <v>6913.7732956929049</v>
      </c>
      <c r="N102" s="84">
        <f t="shared" si="50"/>
        <v>7537.2260700430998</v>
      </c>
      <c r="O102" s="84">
        <f t="shared" si="50"/>
        <v>8151.6645699563787</v>
      </c>
    </row>
    <row r="103" spans="2:15" x14ac:dyDescent="0.2">
      <c r="F103" s="27"/>
      <c r="G103" s="27"/>
      <c r="H103" s="27"/>
      <c r="I103" s="27"/>
      <c r="J103" s="27"/>
    </row>
    <row r="104" spans="2:15" x14ac:dyDescent="0.2">
      <c r="B104" s="8" t="s">
        <v>119</v>
      </c>
      <c r="F104" s="27"/>
      <c r="G104" s="27"/>
      <c r="H104" s="27"/>
      <c r="I104" s="27"/>
      <c r="J104" s="27"/>
    </row>
    <row r="105" spans="2:15" x14ac:dyDescent="0.2">
      <c r="B105" s="1" t="s">
        <v>120</v>
      </c>
      <c r="F105" s="32">
        <v>-448.4</v>
      </c>
      <c r="G105" s="32">
        <v>-532</v>
      </c>
      <c r="H105" s="32">
        <v>-518</v>
      </c>
      <c r="I105" s="32">
        <v>-859</v>
      </c>
      <c r="J105" s="32">
        <v>-1067</v>
      </c>
      <c r="K105" s="27">
        <f>-'Master Assumptions'!F32*'Forecast Model'!K8</f>
        <v>-1140.241713572658</v>
      </c>
      <c r="L105" s="27">
        <f>-'Master Assumptions'!G32*'Forecast Model'!L8</f>
        <v>-1261.2888118909711</v>
      </c>
      <c r="M105" s="27">
        <f>-'Master Assumptions'!H32*'Forecast Model'!M8</f>
        <v>-1382.5235346068416</v>
      </c>
      <c r="N105" s="27">
        <f>-'Master Assumptions'!I32*'Forecast Model'!N8</f>
        <v>-1504.0970873440212</v>
      </c>
      <c r="O105" s="27">
        <f>-'Master Assumptions'!J32*'Forecast Model'!O8</f>
        <v>-1623.284369648746</v>
      </c>
    </row>
    <row r="106" spans="2:15" x14ac:dyDescent="0.2">
      <c r="B106" s="1" t="s">
        <v>121</v>
      </c>
      <c r="F106" s="32">
        <v>0.2</v>
      </c>
      <c r="G106" s="32">
        <v>3</v>
      </c>
      <c r="H106" s="32">
        <v>0</v>
      </c>
      <c r="I106" s="32">
        <v>-288</v>
      </c>
      <c r="J106" s="32">
        <v>-228</v>
      </c>
      <c r="K106" s="27">
        <v>0</v>
      </c>
      <c r="L106" s="27">
        <v>0</v>
      </c>
      <c r="M106" s="27">
        <v>0</v>
      </c>
      <c r="N106" s="27">
        <v>0</v>
      </c>
      <c r="O106" s="27">
        <v>0</v>
      </c>
    </row>
    <row r="107" spans="2:15" x14ac:dyDescent="0.2">
      <c r="B107" s="1" t="s">
        <v>122</v>
      </c>
      <c r="F107" s="32">
        <v>-16.3</v>
      </c>
      <c r="G107" s="32">
        <v>-192</v>
      </c>
      <c r="H107" s="32">
        <v>-160</v>
      </c>
      <c r="I107" s="32">
        <v>-52</v>
      </c>
      <c r="J107" s="32">
        <v>118</v>
      </c>
      <c r="K107" s="27">
        <v>0</v>
      </c>
      <c r="L107" s="27">
        <v>0</v>
      </c>
      <c r="M107" s="27">
        <v>0</v>
      </c>
      <c r="N107" s="27">
        <v>0</v>
      </c>
      <c r="O107" s="27">
        <v>0</v>
      </c>
    </row>
    <row r="108" spans="2:15" x14ac:dyDescent="0.2">
      <c r="B108" s="1" t="s">
        <v>123</v>
      </c>
      <c r="F108" s="32">
        <v>10.9</v>
      </c>
      <c r="G108" s="32">
        <v>5</v>
      </c>
      <c r="H108" s="32">
        <v>32</v>
      </c>
      <c r="I108" s="32">
        <v>92</v>
      </c>
      <c r="J108" s="32">
        <v>-48</v>
      </c>
      <c r="K108" s="27">
        <v>0</v>
      </c>
      <c r="L108" s="27">
        <v>0</v>
      </c>
      <c r="M108" s="27">
        <v>0</v>
      </c>
      <c r="N108" s="27">
        <v>0</v>
      </c>
      <c r="O108" s="27">
        <v>0</v>
      </c>
    </row>
    <row r="109" spans="2:15" x14ac:dyDescent="0.2">
      <c r="B109" s="7" t="s">
        <v>124</v>
      </c>
      <c r="F109" s="28">
        <f>SUM(F105:F108)</f>
        <v>-453.6</v>
      </c>
      <c r="G109" s="28">
        <f t="shared" ref="G109:J109" si="51">SUM(G105:G108)</f>
        <v>-716</v>
      </c>
      <c r="H109" s="28">
        <f t="shared" si="51"/>
        <v>-646</v>
      </c>
      <c r="I109" s="28">
        <f t="shared" si="51"/>
        <v>-1107</v>
      </c>
      <c r="J109" s="28">
        <f t="shared" si="51"/>
        <v>-1225</v>
      </c>
      <c r="K109" s="28">
        <f>SUM(K105:K108)</f>
        <v>-1140.241713572658</v>
      </c>
      <c r="L109" s="28">
        <f t="shared" ref="L109:O109" si="52">SUM(L105:L108)</f>
        <v>-1261.2888118909711</v>
      </c>
      <c r="M109" s="28">
        <f t="shared" si="52"/>
        <v>-1382.5235346068416</v>
      </c>
      <c r="N109" s="28">
        <f t="shared" si="52"/>
        <v>-1504.0970873440212</v>
      </c>
      <c r="O109" s="28">
        <f t="shared" si="52"/>
        <v>-1623.284369648746</v>
      </c>
    </row>
    <row r="110" spans="2:15" x14ac:dyDescent="0.2">
      <c r="F110" s="27"/>
      <c r="G110" s="27"/>
      <c r="H110" s="27"/>
      <c r="I110" s="27"/>
      <c r="J110" s="27"/>
      <c r="K110" s="27"/>
      <c r="L110" s="27"/>
      <c r="M110" s="27"/>
      <c r="N110" s="27"/>
      <c r="O110" s="27"/>
    </row>
    <row r="111" spans="2:15" x14ac:dyDescent="0.2">
      <c r="B111" s="8" t="s">
        <v>125</v>
      </c>
      <c r="F111" s="27"/>
      <c r="G111" s="27"/>
      <c r="H111" s="27"/>
      <c r="I111" s="27"/>
      <c r="J111" s="27"/>
      <c r="K111" s="27"/>
      <c r="L111" s="27"/>
      <c r="M111" s="27"/>
      <c r="N111" s="27"/>
      <c r="O111" s="27"/>
    </row>
    <row r="112" spans="2:15" x14ac:dyDescent="0.2">
      <c r="B112" s="1" t="s">
        <v>126</v>
      </c>
      <c r="F112" s="29">
        <v>-485.1</v>
      </c>
      <c r="G112" s="29">
        <v>-485</v>
      </c>
      <c r="H112" s="29">
        <v>-845</v>
      </c>
      <c r="I112" s="29">
        <v>-1376</v>
      </c>
      <c r="J112" s="29">
        <v>-2642</v>
      </c>
      <c r="K112" s="27">
        <f>-'Master Assumptions'!F37*'Forecast Model'!K28</f>
        <v>-1551.6967243098634</v>
      </c>
      <c r="L112" s="27">
        <f>-'Master Assumptions'!G37*'Forecast Model'!L28</f>
        <v>-1723.0763678625904</v>
      </c>
      <c r="M112" s="27">
        <f>-'Master Assumptions'!H37*'Forecast Model'!M28</f>
        <v>-1892.440124234259</v>
      </c>
      <c r="N112" s="27">
        <f>-'Master Assumptions'!I37*'Forecast Model'!N28</f>
        <v>-2060.3944386845337</v>
      </c>
      <c r="O112" s="27">
        <f>-'Master Assumptions'!J37*'Forecast Model'!O28</f>
        <v>-2223.1068438540619</v>
      </c>
    </row>
    <row r="113" spans="2:15" x14ac:dyDescent="0.2">
      <c r="B113" s="1" t="s">
        <v>243</v>
      </c>
      <c r="F113" s="29">
        <v>-122.2</v>
      </c>
      <c r="G113" s="29">
        <v>-158</v>
      </c>
      <c r="H113" s="29">
        <v>-123</v>
      </c>
      <c r="I113" s="29">
        <v>-130</v>
      </c>
      <c r="J113" s="29">
        <v>-37</v>
      </c>
      <c r="K113" s="27">
        <f>$I$113</f>
        <v>-130</v>
      </c>
      <c r="L113" s="27">
        <f t="shared" ref="L113:O113" si="53">$I$113</f>
        <v>-130</v>
      </c>
      <c r="M113" s="27">
        <f t="shared" si="53"/>
        <v>-130</v>
      </c>
      <c r="N113" s="27">
        <f t="shared" si="53"/>
        <v>-130</v>
      </c>
      <c r="O113" s="27">
        <f t="shared" si="53"/>
        <v>-130</v>
      </c>
    </row>
    <row r="114" spans="2:15" x14ac:dyDescent="0.2">
      <c r="B114" s="1" t="s">
        <v>244</v>
      </c>
      <c r="F114" s="29">
        <v>-198.7</v>
      </c>
      <c r="G114" s="29">
        <v>-213</v>
      </c>
      <c r="H114" s="29">
        <v>-261</v>
      </c>
      <c r="I114" s="29">
        <v>-277</v>
      </c>
      <c r="J114" s="29">
        <v>-305</v>
      </c>
      <c r="K114" s="27">
        <v>0</v>
      </c>
      <c r="L114" s="27">
        <v>0</v>
      </c>
      <c r="M114" s="27">
        <v>0</v>
      </c>
      <c r="N114" s="27">
        <v>0</v>
      </c>
      <c r="O114" s="27">
        <v>0</v>
      </c>
    </row>
    <row r="115" spans="2:15" x14ac:dyDescent="0.2">
      <c r="B115" s="1" t="s">
        <v>127</v>
      </c>
      <c r="F115" s="34">
        <v>0.3</v>
      </c>
      <c r="G115" s="34">
        <v>-8</v>
      </c>
      <c r="H115" s="34">
        <v>0</v>
      </c>
      <c r="I115" s="34">
        <v>-1</v>
      </c>
      <c r="J115" s="34">
        <v>-1</v>
      </c>
      <c r="K115" s="27">
        <v>0</v>
      </c>
      <c r="L115" s="27">
        <v>0</v>
      </c>
      <c r="M115" s="27">
        <v>0</v>
      </c>
      <c r="N115" s="27">
        <v>0</v>
      </c>
      <c r="O115" s="27">
        <v>0</v>
      </c>
    </row>
    <row r="116" spans="2:15" x14ac:dyDescent="0.2">
      <c r="B116" s="1" t="s">
        <v>245</v>
      </c>
      <c r="F116" s="34">
        <v>-4.5</v>
      </c>
      <c r="G116" s="34">
        <v>-5</v>
      </c>
      <c r="H116" s="34">
        <v>-8</v>
      </c>
      <c r="I116" s="34">
        <v>-10</v>
      </c>
      <c r="J116" s="34">
        <v>-61</v>
      </c>
      <c r="K116" s="27">
        <v>0</v>
      </c>
      <c r="L116" s="27">
        <v>0</v>
      </c>
      <c r="M116" s="27">
        <v>0</v>
      </c>
      <c r="N116" s="27">
        <v>0</v>
      </c>
      <c r="O116" s="27">
        <v>0</v>
      </c>
    </row>
    <row r="117" spans="2:15" x14ac:dyDescent="0.2">
      <c r="B117" s="7" t="s">
        <v>128</v>
      </c>
      <c r="F117" s="28">
        <f>SUM(F112:F116)</f>
        <v>-810.2</v>
      </c>
      <c r="G117" s="28">
        <f t="shared" ref="G117:J117" si="54">SUM(G112:G116)</f>
        <v>-869</v>
      </c>
      <c r="H117" s="28">
        <f t="shared" si="54"/>
        <v>-1237</v>
      </c>
      <c r="I117" s="28">
        <f t="shared" si="54"/>
        <v>-1794</v>
      </c>
      <c r="J117" s="28">
        <f t="shared" si="54"/>
        <v>-3046</v>
      </c>
      <c r="K117" s="28">
        <f>SUM(K112:K116)</f>
        <v>-1681.6967243098634</v>
      </c>
      <c r="L117" s="28">
        <f t="shared" ref="L117:O117" si="55">SUM(L112:L116)</f>
        <v>-1853.0763678625904</v>
      </c>
      <c r="M117" s="28">
        <f t="shared" si="55"/>
        <v>-2022.440124234259</v>
      </c>
      <c r="N117" s="28">
        <f t="shared" si="55"/>
        <v>-2190.3944386845337</v>
      </c>
      <c r="O117" s="28">
        <f t="shared" si="55"/>
        <v>-2353.1068438540619</v>
      </c>
    </row>
    <row r="118" spans="2:15" x14ac:dyDescent="0.2">
      <c r="F118" s="27"/>
      <c r="G118" s="27"/>
      <c r="H118" s="27"/>
      <c r="I118" s="27"/>
      <c r="J118" s="27"/>
      <c r="K118" s="27"/>
      <c r="L118" s="27"/>
      <c r="M118" s="27"/>
      <c r="N118" s="27"/>
      <c r="O118" s="27"/>
    </row>
    <row r="119" spans="2:15" x14ac:dyDescent="0.2">
      <c r="B119" s="1" t="s">
        <v>129</v>
      </c>
      <c r="F119" s="29">
        <v>-54.6</v>
      </c>
      <c r="G119" s="29">
        <v>110</v>
      </c>
      <c r="H119" s="29">
        <v>159</v>
      </c>
      <c r="I119" s="29">
        <v>-138</v>
      </c>
      <c r="J119" s="29">
        <v>119</v>
      </c>
      <c r="K119" s="27">
        <v>0</v>
      </c>
      <c r="L119" s="27">
        <v>0</v>
      </c>
      <c r="M119" s="27">
        <v>0</v>
      </c>
      <c r="N119" s="27">
        <v>0</v>
      </c>
      <c r="O119" s="27">
        <v>0</v>
      </c>
    </row>
    <row r="120" spans="2:15" x14ac:dyDescent="0.2">
      <c r="B120" s="7" t="s">
        <v>130</v>
      </c>
      <c r="F120" s="28">
        <f>F102+F109+F117+F119</f>
        <v>345.39999999999975</v>
      </c>
      <c r="G120" s="28">
        <f t="shared" ref="G120:J120" si="56">G102+G109+G117+G119</f>
        <v>1977</v>
      </c>
      <c r="H120" s="28">
        <f t="shared" si="56"/>
        <v>2527</v>
      </c>
      <c r="I120" s="28">
        <f t="shared" si="56"/>
        <v>1401</v>
      </c>
      <c r="J120" s="28">
        <f t="shared" si="56"/>
        <v>1017</v>
      </c>
      <c r="K120" s="28">
        <f>K102+K109+K117</f>
        <v>2695.7990687184347</v>
      </c>
      <c r="L120" s="28">
        <f t="shared" ref="L120:O120" si="57">L102+L109+L117</f>
        <v>3182.4794854612342</v>
      </c>
      <c r="M120" s="28">
        <f t="shared" si="57"/>
        <v>3508.8096368518036</v>
      </c>
      <c r="N120" s="28">
        <f t="shared" si="57"/>
        <v>3842.734544014545</v>
      </c>
      <c r="O120" s="28">
        <f t="shared" si="57"/>
        <v>4175.2733564535702</v>
      </c>
    </row>
  </sheetData>
  <mergeCells count="3">
    <mergeCell ref="B3:O3"/>
    <mergeCell ref="B31:O31"/>
    <mergeCell ref="B86:O86"/>
  </mergeCells>
  <pageMargins left="0.7" right="0.7" top="0.75" bottom="0.75" header="0.3" footer="0.3"/>
  <ignoredErrors>
    <ignoredError sqref="M48:N48"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5C65-BB10-DD43-A244-F5AB8AB0A247}">
  <sheetPr>
    <tabColor rgb="FFBF8F00"/>
  </sheetPr>
  <dimension ref="B2:I17"/>
  <sheetViews>
    <sheetView zoomScale="182" workbookViewId="0">
      <selection activeCell="C20" sqref="C20"/>
    </sheetView>
  </sheetViews>
  <sheetFormatPr baseColWidth="10" defaultRowHeight="16" x14ac:dyDescent="0.2"/>
  <cols>
    <col min="1" max="2" width="10.83203125" style="1"/>
    <col min="3" max="3" width="17.83203125" style="1" customWidth="1"/>
    <col min="4" max="16384" width="10.83203125" style="1"/>
  </cols>
  <sheetData>
    <row r="2" spans="2:9" ht="19" x14ac:dyDescent="0.25">
      <c r="B2" s="146" t="s">
        <v>503</v>
      </c>
      <c r="C2" s="146"/>
      <c r="D2" s="146"/>
      <c r="E2" s="146"/>
      <c r="F2" s="146"/>
      <c r="G2" s="146"/>
      <c r="H2" s="146"/>
      <c r="I2" s="146"/>
    </row>
    <row r="3" spans="2:9" x14ac:dyDescent="0.2">
      <c r="B3" s="147" t="s">
        <v>515</v>
      </c>
      <c r="C3" s="147"/>
      <c r="D3" s="147"/>
      <c r="E3" s="147"/>
      <c r="F3" s="147"/>
      <c r="G3" s="147"/>
      <c r="H3" s="147"/>
      <c r="I3" s="147"/>
    </row>
    <row r="5" spans="2:9" x14ac:dyDescent="0.2">
      <c r="B5" s="148" t="s">
        <v>504</v>
      </c>
      <c r="C5" s="7" t="str">
        <f>IF(COUNTIF(D9:D14,"✗ FAIL")=0,"✓ ALL CHECKS PASSED",COUNTIF(D9:D14,"✗ FAIL")&amp;" CHECK(S) FAILED")</f>
        <v>✓ ALL CHECKS PASSED</v>
      </c>
    </row>
    <row r="7" spans="2:9" x14ac:dyDescent="0.2">
      <c r="B7" s="149" t="s">
        <v>505</v>
      </c>
      <c r="C7" s="149" t="s">
        <v>506</v>
      </c>
      <c r="D7" s="150" t="s">
        <v>504</v>
      </c>
      <c r="E7" s="150" t="s">
        <v>317</v>
      </c>
      <c r="F7" s="150" t="s">
        <v>318</v>
      </c>
      <c r="G7" s="150" t="s">
        <v>319</v>
      </c>
      <c r="H7" s="150" t="s">
        <v>320</v>
      </c>
      <c r="I7" s="150" t="s">
        <v>320</v>
      </c>
    </row>
    <row r="8" spans="2:9" x14ac:dyDescent="0.2">
      <c r="E8" s="151"/>
      <c r="F8" s="151"/>
      <c r="G8" s="151"/>
    </row>
    <row r="9" spans="2:9" x14ac:dyDescent="0.2">
      <c r="B9" s="152" t="s">
        <v>507</v>
      </c>
      <c r="C9" s="104" t="s">
        <v>508</v>
      </c>
      <c r="D9" s="153" t="str">
        <f>IF(AND(ABS(E9)&lt;0.01,ABS(F9)&lt;0.01,ABS(G9)&lt;0.01,ABS(H9)&lt;0.01,ABS(I9)&lt;0.01),"✓ OK","✗ FAIL")</f>
        <v>✓ OK</v>
      </c>
      <c r="E9" s="155">
        <f>'Forecast Model'!K52-'Forecast Model'!K82</f>
        <v>0</v>
      </c>
      <c r="F9" s="155">
        <f>'Forecast Model'!L52-'Forecast Model'!L82</f>
        <v>0</v>
      </c>
      <c r="G9" s="155">
        <f>'Forecast Model'!M52-'Forecast Model'!M82</f>
        <v>0</v>
      </c>
      <c r="H9" s="155">
        <f>'Forecast Model'!N52-'Forecast Model'!N82</f>
        <v>0</v>
      </c>
      <c r="I9" s="155">
        <f>'Forecast Model'!O52-'Forecast Model'!O82</f>
        <v>0</v>
      </c>
    </row>
    <row r="10" spans="2:9" x14ac:dyDescent="0.2">
      <c r="E10" s="156"/>
      <c r="F10" s="156"/>
      <c r="G10" s="156"/>
      <c r="H10" s="82"/>
      <c r="I10" s="82"/>
    </row>
    <row r="11" spans="2:9" x14ac:dyDescent="0.2">
      <c r="B11" s="152" t="s">
        <v>509</v>
      </c>
      <c r="C11" s="104" t="s">
        <v>510</v>
      </c>
      <c r="D11" s="153" t="str">
        <f>IF(AND(ABS(E11)&lt;0.01,ABS(F11)&lt;0.01,ABS(G11)&lt;0.01,ABS(H11)&lt;0.01,ABS(I11)&lt;0.01),"✓ OK","✗ FAIL")</f>
        <v>✓ OK</v>
      </c>
      <c r="E11" s="155">
        <f>'Forecast Model'!K28-'Forecast Model'!K93</f>
        <v>0</v>
      </c>
      <c r="F11" s="155">
        <f>'Forecast Model'!L28-'Forecast Model'!L93</f>
        <v>0</v>
      </c>
      <c r="G11" s="155">
        <f>'Forecast Model'!M28-'Forecast Model'!M93</f>
        <v>0</v>
      </c>
      <c r="H11" s="155">
        <f>'Forecast Model'!N28-'Forecast Model'!N93</f>
        <v>0</v>
      </c>
      <c r="I11" s="155">
        <f>'Forecast Model'!O28-'Forecast Model'!O93</f>
        <v>0</v>
      </c>
    </row>
    <row r="12" spans="2:9" x14ac:dyDescent="0.2">
      <c r="E12" s="156"/>
      <c r="F12" s="156"/>
      <c r="G12" s="156"/>
      <c r="H12" s="82"/>
      <c r="I12" s="82"/>
    </row>
    <row r="13" spans="2:9" x14ac:dyDescent="0.2">
      <c r="B13" s="152" t="s">
        <v>511</v>
      </c>
      <c r="C13" s="104" t="s">
        <v>512</v>
      </c>
      <c r="D13" s="153" t="str">
        <f>IF(AND(ABS(E13)&lt;0.01,ABS(F13)&lt;0.01,ABS(G13)&lt;0.01,ABS(H13)&lt;0.01,ABS(I13)&lt;0.01),"✓ OK","✗ FAIL")</f>
        <v>✓ OK</v>
      </c>
      <c r="E13" s="82">
        <f>'Forecast Model'!K94+'Forecast Model'!K13</f>
        <v>0</v>
      </c>
      <c r="F13" s="82">
        <f>'Forecast Model'!L94+'Forecast Model'!L13</f>
        <v>0</v>
      </c>
      <c r="G13" s="82">
        <f>'Forecast Model'!M94+'Forecast Model'!M13</f>
        <v>0</v>
      </c>
      <c r="H13" s="82">
        <f>'Forecast Model'!N94+'Forecast Model'!N13</f>
        <v>0</v>
      </c>
      <c r="I13" s="82">
        <f>'Forecast Model'!O94+'Forecast Model'!O13</f>
        <v>0</v>
      </c>
    </row>
    <row r="14" spans="2:9" x14ac:dyDescent="0.2">
      <c r="E14" s="156"/>
      <c r="F14" s="156"/>
      <c r="G14" s="156"/>
      <c r="H14" s="82"/>
      <c r="I14" s="82"/>
    </row>
    <row r="17" spans="2:3" x14ac:dyDescent="0.2">
      <c r="B17" s="154" t="s">
        <v>513</v>
      </c>
      <c r="C17" s="104" t="s">
        <v>514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0706-D37F-CA43-A6F0-EB69BEB4EAEF}">
  <sheetPr>
    <tabColor rgb="FFF7C7AD"/>
  </sheetPr>
  <dimension ref="B3:L84"/>
  <sheetViews>
    <sheetView topLeftCell="A57" zoomScale="135" workbookViewId="0">
      <selection activeCell="E18" sqref="E18"/>
    </sheetView>
  </sheetViews>
  <sheetFormatPr baseColWidth="10" defaultRowHeight="16" x14ac:dyDescent="0.2"/>
  <cols>
    <col min="1" max="1" width="4" style="1" customWidth="1"/>
    <col min="2" max="9" width="10.83203125" style="1"/>
    <col min="10" max="10" width="11.5" style="1" bestFit="1" customWidth="1"/>
    <col min="11" max="16384" width="10.83203125" style="1"/>
  </cols>
  <sheetData>
    <row r="3" spans="2:12" ht="19" x14ac:dyDescent="0.25">
      <c r="B3" s="383" t="s">
        <v>516</v>
      </c>
      <c r="C3" s="383"/>
      <c r="D3" s="383"/>
      <c r="E3" s="383"/>
      <c r="F3" s="383"/>
      <c r="G3" s="383"/>
      <c r="H3" s="383"/>
      <c r="I3" s="383"/>
      <c r="J3" s="383"/>
      <c r="K3" s="383"/>
      <c r="L3" s="383"/>
    </row>
    <row r="5" spans="2:12" x14ac:dyDescent="0.2">
      <c r="B5" s="157" t="s">
        <v>517</v>
      </c>
      <c r="C5" s="158"/>
      <c r="D5" s="158"/>
      <c r="E5" s="158"/>
    </row>
    <row r="7" spans="2:12" x14ac:dyDescent="0.2">
      <c r="B7" s="38" t="s">
        <v>518</v>
      </c>
      <c r="H7" s="38" t="s">
        <v>519</v>
      </c>
    </row>
    <row r="9" spans="2:12" x14ac:dyDescent="0.2">
      <c r="B9" s="31" t="s">
        <v>158</v>
      </c>
      <c r="E9" s="159">
        <v>3.2300000000000002E-2</v>
      </c>
      <c r="H9" s="1" t="s">
        <v>520</v>
      </c>
      <c r="J9" s="82">
        <v>0</v>
      </c>
      <c r="K9" s="160"/>
    </row>
    <row r="10" spans="2:12" x14ac:dyDescent="0.2">
      <c r="B10" s="31" t="s">
        <v>521</v>
      </c>
      <c r="E10" s="159">
        <v>5.0099999999999999E-2</v>
      </c>
      <c r="H10" s="1" t="s">
        <v>522</v>
      </c>
      <c r="J10" s="82">
        <v>0</v>
      </c>
      <c r="K10" s="160"/>
    </row>
    <row r="11" spans="2:12" x14ac:dyDescent="0.2">
      <c r="B11" s="31" t="s">
        <v>523</v>
      </c>
      <c r="E11" s="161">
        <v>1.23</v>
      </c>
      <c r="H11" s="5" t="s">
        <v>524</v>
      </c>
      <c r="J11" s="82">
        <v>0</v>
      </c>
      <c r="K11" s="6"/>
    </row>
    <row r="12" spans="2:12" x14ac:dyDescent="0.2">
      <c r="B12" s="5" t="s">
        <v>525</v>
      </c>
      <c r="E12" s="178">
        <f>E9+E11*E10</f>
        <v>9.3923000000000006E-2</v>
      </c>
    </row>
    <row r="15" spans="2:12" x14ac:dyDescent="0.2">
      <c r="B15" s="5" t="s">
        <v>526</v>
      </c>
      <c r="E15" s="162">
        <v>1</v>
      </c>
      <c r="H15" s="5" t="s">
        <v>527</v>
      </c>
      <c r="J15" s="117">
        <v>0</v>
      </c>
      <c r="K15" s="163"/>
    </row>
    <row r="18" spans="2:9" x14ac:dyDescent="0.2">
      <c r="B18" s="164" t="s">
        <v>528</v>
      </c>
      <c r="C18" s="165"/>
      <c r="D18" s="165"/>
      <c r="E18" s="301">
        <f>IF('Sensitivity Analysis'!K10="",'DCF Valuation'!E15*'DCF Valuation'!E12+'DCF Valuation'!J15*'DCF Valuation'!J11,'Sensitivity Analysis'!K10)</f>
        <v>9.3923000000000006E-2</v>
      </c>
    </row>
    <row r="21" spans="2:9" x14ac:dyDescent="0.2">
      <c r="B21" s="157" t="s">
        <v>529</v>
      </c>
      <c r="C21" s="158"/>
      <c r="D21" s="158"/>
      <c r="E21" s="158"/>
    </row>
    <row r="24" spans="2:9" x14ac:dyDescent="0.2">
      <c r="E24" s="39" t="s">
        <v>317</v>
      </c>
      <c r="F24" s="39" t="s">
        <v>318</v>
      </c>
      <c r="G24" s="39" t="s">
        <v>319</v>
      </c>
      <c r="H24" s="39" t="s">
        <v>320</v>
      </c>
      <c r="I24" s="39" t="s">
        <v>321</v>
      </c>
    </row>
    <row r="26" spans="2:9" x14ac:dyDescent="0.2">
      <c r="B26" s="1" t="s">
        <v>530</v>
      </c>
      <c r="E26" s="166">
        <f>'Forecast Model'!K15</f>
        <v>7161.5763739736831</v>
      </c>
      <c r="F26" s="166">
        <f>'Forecast Model'!L15</f>
        <v>7948.5156071961283</v>
      </c>
      <c r="G26" s="166">
        <f>'Forecast Model'!M15</f>
        <v>8726.1983109986304</v>
      </c>
      <c r="H26" s="166">
        <f>'Forecast Model'!N15</f>
        <v>9497.409154305331</v>
      </c>
      <c r="I26" s="166">
        <f>'Forecast Model'!O15</f>
        <v>10244.550254061991</v>
      </c>
    </row>
    <row r="27" spans="2:9" x14ac:dyDescent="0.2">
      <c r="B27" s="26" t="s">
        <v>531</v>
      </c>
      <c r="E27" s="52">
        <f>'Forecast Model'!K15/'Forecast Model'!K8</f>
        <v>0.42178948820831835</v>
      </c>
      <c r="F27" s="52">
        <f>'Forecast Model'!L15/'Forecast Model'!L8</f>
        <v>0.4232096257862622</v>
      </c>
      <c r="G27" s="52">
        <f>'Forecast Model'!M15/'Forecast Model'!M8</f>
        <v>0.42387382082210062</v>
      </c>
      <c r="H27" s="52">
        <f>'Forecast Model'!N15/'Forecast Model'!N8</f>
        <v>0.4240463476506599</v>
      </c>
      <c r="I27" s="52">
        <f>'Forecast Model'!O15/'Forecast Model'!O8</f>
        <v>0.4238208707276746</v>
      </c>
    </row>
    <row r="28" spans="2:9" x14ac:dyDescent="0.2">
      <c r="B28" s="1" t="s">
        <v>532</v>
      </c>
      <c r="E28" s="80">
        <f>-E26*'Master Assumptions'!F23</f>
        <v>-2077.4264491522158</v>
      </c>
      <c r="F28" s="80">
        <f>-F26*'Master Assumptions'!G23</f>
        <v>-2305.7013835525563</v>
      </c>
      <c r="G28" s="80">
        <f>-G26*'Master Assumptions'!H23</f>
        <v>-2531.2911885846993</v>
      </c>
      <c r="H28" s="80">
        <f>-H26*'Master Assumptions'!I23</f>
        <v>-2755.0036396004753</v>
      </c>
      <c r="I28" s="80">
        <f>-I26*'Master Assumptions'!J23</f>
        <v>-2971.7339515920994</v>
      </c>
    </row>
    <row r="29" spans="2:9" x14ac:dyDescent="0.2">
      <c r="B29" s="5" t="s">
        <v>533</v>
      </c>
      <c r="E29" s="80">
        <f>E26+E28</f>
        <v>5084.1499248214677</v>
      </c>
      <c r="F29" s="80">
        <f t="shared" ref="F29:I29" si="0">F26+F28</f>
        <v>5642.8142236435724</v>
      </c>
      <c r="G29" s="80">
        <f t="shared" si="0"/>
        <v>6194.9071224139316</v>
      </c>
      <c r="H29" s="80">
        <f t="shared" si="0"/>
        <v>6742.4055147048557</v>
      </c>
      <c r="I29" s="80">
        <f t="shared" si="0"/>
        <v>7272.8163024698915</v>
      </c>
    </row>
    <row r="30" spans="2:9" x14ac:dyDescent="0.2">
      <c r="E30" s="80"/>
      <c r="F30" s="80"/>
      <c r="G30" s="80"/>
      <c r="H30" s="80"/>
      <c r="I30" s="80"/>
    </row>
    <row r="31" spans="2:9" x14ac:dyDescent="0.2">
      <c r="E31" s="80"/>
      <c r="F31" s="80"/>
      <c r="G31" s="80"/>
      <c r="H31" s="80"/>
      <c r="I31" s="80"/>
    </row>
    <row r="32" spans="2:9" x14ac:dyDescent="0.2">
      <c r="B32" s="1" t="s">
        <v>534</v>
      </c>
      <c r="E32" s="80">
        <f>-'Forecast Model'!K13</f>
        <v>794.32318384082862</v>
      </c>
      <c r="F32" s="80">
        <f>-'Forecast Model'!L13</f>
        <v>851.97553547451002</v>
      </c>
      <c r="G32" s="80">
        <f>-'Forecast Model'!M13</f>
        <v>920.19354321925289</v>
      </c>
      <c r="H32" s="80">
        <f>-'Forecast Model'!N13</f>
        <v>997.24755722346868</v>
      </c>
      <c r="I32" s="80">
        <f>-'Forecast Model'!O13</f>
        <v>1081.7213995427269</v>
      </c>
    </row>
    <row r="33" spans="2:9" x14ac:dyDescent="0.2">
      <c r="B33" s="1" t="s">
        <v>535</v>
      </c>
      <c r="E33" s="80">
        <f>'Forecast Model'!K105</f>
        <v>-1140.241713572658</v>
      </c>
      <c r="F33" s="80">
        <f>'Forecast Model'!L105</f>
        <v>-1261.2888118909711</v>
      </c>
      <c r="G33" s="80">
        <f>'Forecast Model'!M105</f>
        <v>-1382.5235346068416</v>
      </c>
      <c r="H33" s="80">
        <f>'Forecast Model'!N105</f>
        <v>-1504.0970873440212</v>
      </c>
      <c r="I33" s="80">
        <f>'Forecast Model'!O105</f>
        <v>-1623.284369648746</v>
      </c>
    </row>
    <row r="34" spans="2:9" x14ac:dyDescent="0.2">
      <c r="B34" s="1" t="s">
        <v>536</v>
      </c>
      <c r="E34" s="80">
        <f>SUM('Forecast Model'!K98:K101)</f>
        <v>-241.81514079002</v>
      </c>
      <c r="F34" s="80">
        <f>SUM('Forecast Model'!L98:L101)</f>
        <v>-79.024632631966824</v>
      </c>
      <c r="G34" s="80">
        <f>SUM('Forecast Model'!M98:M101)</f>
        <v>-82.406908668958863</v>
      </c>
      <c r="H34" s="80">
        <f>SUM('Forecast Model'!N98:N101)</f>
        <v>-83.506540613905031</v>
      </c>
      <c r="I34" s="80">
        <f>SUM('Forecast Model'!O98:O101)</f>
        <v>-83.952670784919064</v>
      </c>
    </row>
    <row r="35" spans="2:9" x14ac:dyDescent="0.2">
      <c r="E35" s="80"/>
      <c r="F35" s="80"/>
      <c r="G35" s="80"/>
      <c r="H35" s="80"/>
      <c r="I35" s="80"/>
    </row>
    <row r="36" spans="2:9" x14ac:dyDescent="0.2">
      <c r="E36" s="80"/>
      <c r="F36" s="80"/>
      <c r="G36" s="80"/>
      <c r="H36" s="80"/>
      <c r="I36" s="80"/>
    </row>
    <row r="37" spans="2:9" x14ac:dyDescent="0.2">
      <c r="B37" s="164" t="s">
        <v>537</v>
      </c>
      <c r="C37" s="165"/>
      <c r="D37" s="165"/>
      <c r="E37" s="167">
        <f>SUM(E29:E34)</f>
        <v>4496.4162542996182</v>
      </c>
      <c r="F37" s="167">
        <f t="shared" ref="F37:I37" si="1">SUM(F29:F34)</f>
        <v>5154.4763145951447</v>
      </c>
      <c r="G37" s="167">
        <f t="shared" si="1"/>
        <v>5650.1702223573839</v>
      </c>
      <c r="H37" s="167">
        <f t="shared" si="1"/>
        <v>6152.0494439703989</v>
      </c>
      <c r="I37" s="167">
        <f t="shared" si="1"/>
        <v>6647.3006615789527</v>
      </c>
    </row>
    <row r="38" spans="2:9" x14ac:dyDescent="0.2">
      <c r="B38" s="26" t="s">
        <v>538</v>
      </c>
      <c r="E38" s="43">
        <f>E37/E29</f>
        <v>0.88439883181798817</v>
      </c>
      <c r="F38" s="43">
        <f t="shared" ref="F38:I38" si="2">F37/F29</f>
        <v>0.91345844649602737</v>
      </c>
      <c r="G38" s="43">
        <f t="shared" si="2"/>
        <v>0.91206697868227549</v>
      </c>
      <c r="H38" s="43">
        <f t="shared" si="2"/>
        <v>0.91244132832904823</v>
      </c>
      <c r="I38" s="43">
        <f t="shared" si="2"/>
        <v>0.91399265224415061</v>
      </c>
    </row>
    <row r="40" spans="2:9" x14ac:dyDescent="0.2">
      <c r="E40" s="27"/>
    </row>
    <row r="42" spans="2:9" x14ac:dyDescent="0.2">
      <c r="B42" s="157" t="s">
        <v>539</v>
      </c>
      <c r="C42" s="158"/>
      <c r="D42" s="158"/>
      <c r="E42" s="158"/>
    </row>
    <row r="43" spans="2:9" x14ac:dyDescent="0.2">
      <c r="E43" s="39" t="s">
        <v>317</v>
      </c>
      <c r="F43" s="39" t="s">
        <v>318</v>
      </c>
      <c r="G43" s="39" t="s">
        <v>319</v>
      </c>
      <c r="H43" s="39" t="s">
        <v>320</v>
      </c>
      <c r="I43" s="39" t="s">
        <v>321</v>
      </c>
    </row>
    <row r="44" spans="2:9" x14ac:dyDescent="0.2">
      <c r="B44" s="5" t="s">
        <v>540</v>
      </c>
      <c r="E44" s="1">
        <v>0.5</v>
      </c>
      <c r="F44" s="1">
        <v>1.5</v>
      </c>
      <c r="G44" s="1">
        <v>2.5</v>
      </c>
      <c r="H44" s="1">
        <v>3.5</v>
      </c>
      <c r="I44" s="1">
        <v>4.5</v>
      </c>
    </row>
    <row r="45" spans="2:9" x14ac:dyDescent="0.2">
      <c r="B45" s="5" t="s">
        <v>541</v>
      </c>
      <c r="E45" s="1">
        <f>1/(1+$E$18)^E44</f>
        <v>0.95610727603043033</v>
      </c>
      <c r="F45" s="1">
        <f t="shared" ref="F45:I45" si="3">1/(1+$E$18)^F44</f>
        <v>0.87401697928504141</v>
      </c>
      <c r="G45" s="1">
        <f t="shared" si="3"/>
        <v>0.79897486320796018</v>
      </c>
      <c r="H45" s="1">
        <f t="shared" si="3"/>
        <v>0.73037577892407435</v>
      </c>
      <c r="I45" s="1">
        <f t="shared" si="3"/>
        <v>0.6676665349609382</v>
      </c>
    </row>
    <row r="47" spans="2:9" x14ac:dyDescent="0.2">
      <c r="B47" s="168" t="s">
        <v>542</v>
      </c>
      <c r="C47" s="169"/>
      <c r="D47" s="169"/>
      <c r="E47" s="170">
        <f>E45*E37</f>
        <v>4299.0562967973583</v>
      </c>
      <c r="F47" s="170">
        <f t="shared" ref="F47:I47" si="4">F45*F37</f>
        <v>4505.0998182787407</v>
      </c>
      <c r="G47" s="170">
        <f t="shared" si="4"/>
        <v>4514.3439805096805</v>
      </c>
      <c r="H47" s="170">
        <f t="shared" si="4"/>
        <v>4493.3079046192988</v>
      </c>
      <c r="I47" s="170">
        <f t="shared" si="4"/>
        <v>4438.1801995599717</v>
      </c>
    </row>
    <row r="49" spans="2:11" x14ac:dyDescent="0.2">
      <c r="B49" s="168" t="s">
        <v>543</v>
      </c>
      <c r="C49" s="169"/>
      <c r="D49" s="169"/>
      <c r="E49" s="170">
        <f>SUM(E47:I47)</f>
        <v>22249.988199765048</v>
      </c>
      <c r="F49" s="169"/>
      <c r="G49" s="169"/>
      <c r="H49" s="169"/>
      <c r="I49" s="169"/>
    </row>
    <row r="52" spans="2:11" x14ac:dyDescent="0.2">
      <c r="B52" s="157" t="s">
        <v>544</v>
      </c>
      <c r="C52" s="158"/>
      <c r="D52" s="158"/>
      <c r="E52" s="158"/>
    </row>
    <row r="53" spans="2:11" x14ac:dyDescent="0.2">
      <c r="B53" s="50" t="s">
        <v>545</v>
      </c>
      <c r="G53" s="50" t="s">
        <v>563</v>
      </c>
    </row>
    <row r="55" spans="2:11" x14ac:dyDescent="0.2">
      <c r="B55" s="1" t="s">
        <v>546</v>
      </c>
      <c r="E55" s="80">
        <f>I37</f>
        <v>6647.3006615789527</v>
      </c>
      <c r="G55" s="1" t="s">
        <v>564</v>
      </c>
      <c r="J55" s="80">
        <f>('Forecast Model'!O15-'Forecast Model'!O13)</f>
        <v>11326.271653604717</v>
      </c>
    </row>
    <row r="56" spans="2:11" x14ac:dyDescent="0.2">
      <c r="B56" s="1" t="s">
        <v>547</v>
      </c>
      <c r="E56" s="171">
        <f>IF('Sensitivity Analysis'!K9="",0.025,'Sensitivity Analysis'!K9)</f>
        <v>2.5000000000000001E-2</v>
      </c>
      <c r="G56" s="1" t="s">
        <v>565</v>
      </c>
      <c r="J56" s="139">
        <f>IF('Sensitivity Analysis'!K22="",16.6,'Sensitivity Analysis'!K22)</f>
        <v>16.600000000000001</v>
      </c>
      <c r="K56" s="126"/>
    </row>
    <row r="57" spans="2:11" x14ac:dyDescent="0.2">
      <c r="B57" s="7" t="s">
        <v>548</v>
      </c>
      <c r="E57" s="80">
        <f>E55*(1+E56)/(E18-E56)</f>
        <v>98856.451084810935</v>
      </c>
      <c r="G57" s="7" t="s">
        <v>566</v>
      </c>
      <c r="J57" s="80">
        <f>J55*J56</f>
        <v>188016.10944983832</v>
      </c>
    </row>
    <row r="58" spans="2:11" x14ac:dyDescent="0.2">
      <c r="B58" s="172" t="s">
        <v>549</v>
      </c>
      <c r="C58" s="173"/>
      <c r="D58" s="169"/>
      <c r="E58" s="80">
        <f>E57/(1+$E$18)^I44</f>
        <v>66003.144154331196</v>
      </c>
      <c r="G58" s="172" t="s">
        <v>549</v>
      </c>
      <c r="H58" s="169"/>
      <c r="I58" s="169"/>
      <c r="J58" s="80">
        <f>J57/(1+E18)^I44</f>
        <v>125532.06431321005</v>
      </c>
    </row>
    <row r="59" spans="2:11" x14ac:dyDescent="0.2">
      <c r="B59" s="174"/>
    </row>
    <row r="61" spans="2:11" x14ac:dyDescent="0.2">
      <c r="B61" s="157" t="s">
        <v>550</v>
      </c>
      <c r="C61" s="158"/>
      <c r="D61" s="158"/>
      <c r="E61" s="158"/>
    </row>
    <row r="63" spans="2:11" x14ac:dyDescent="0.2">
      <c r="B63" s="7" t="s">
        <v>567</v>
      </c>
      <c r="G63" s="50" t="s">
        <v>563</v>
      </c>
    </row>
    <row r="64" spans="2:11" x14ac:dyDescent="0.2">
      <c r="B64" s="1" t="s">
        <v>551</v>
      </c>
      <c r="E64" s="80">
        <f>E49</f>
        <v>22249.988199765048</v>
      </c>
      <c r="G64" s="1" t="s">
        <v>551</v>
      </c>
      <c r="J64" s="80">
        <f>E49</f>
        <v>22249.988199765048</v>
      </c>
    </row>
    <row r="65" spans="2:10" x14ac:dyDescent="0.2">
      <c r="B65" s="1" t="s">
        <v>549</v>
      </c>
      <c r="E65" s="80">
        <f>E58</f>
        <v>66003.144154331196</v>
      </c>
      <c r="G65" s="1" t="s">
        <v>549</v>
      </c>
      <c r="J65" s="80">
        <f>J58</f>
        <v>125532.06431321005</v>
      </c>
    </row>
    <row r="66" spans="2:10" x14ac:dyDescent="0.2">
      <c r="B66" s="175" t="s">
        <v>552</v>
      </c>
      <c r="C66" s="169"/>
      <c r="D66" s="169"/>
      <c r="E66" s="176">
        <f>SUM(E64:E65)</f>
        <v>88253.132354096248</v>
      </c>
      <c r="G66" s="175" t="s">
        <v>552</v>
      </c>
      <c r="H66" s="169"/>
      <c r="I66" s="169"/>
      <c r="J66" s="176">
        <f>SUM(J64:J65)</f>
        <v>147782.05251297509</v>
      </c>
    </row>
    <row r="67" spans="2:10" x14ac:dyDescent="0.2">
      <c r="E67" s="80"/>
      <c r="J67" s="80"/>
    </row>
    <row r="68" spans="2:10" x14ac:dyDescent="0.2">
      <c r="B68" s="1" t="s">
        <v>553</v>
      </c>
      <c r="E68" s="80">
        <f>-('Forecast Model'!J57+'Forecast Model'!J62)</f>
        <v>-2174</v>
      </c>
      <c r="G68" s="1" t="s">
        <v>553</v>
      </c>
      <c r="J68" s="80">
        <f>E68</f>
        <v>-2174</v>
      </c>
    </row>
    <row r="69" spans="2:10" x14ac:dyDescent="0.2">
      <c r="B69" s="1" t="s">
        <v>554</v>
      </c>
      <c r="E69" s="80">
        <f>'Forecast Model'!J37</f>
        <v>11642</v>
      </c>
      <c r="G69" s="1" t="s">
        <v>554</v>
      </c>
      <c r="J69" s="80">
        <f>E69</f>
        <v>11642</v>
      </c>
    </row>
    <row r="70" spans="2:10" x14ac:dyDescent="0.2">
      <c r="B70" s="1" t="s">
        <v>555</v>
      </c>
      <c r="E70" s="80">
        <f>-'Forecast Model'!J79</f>
        <v>-7</v>
      </c>
      <c r="G70" s="1" t="s">
        <v>555</v>
      </c>
      <c r="J70" s="80">
        <f>E70</f>
        <v>-7</v>
      </c>
    </row>
    <row r="71" spans="2:10" x14ac:dyDescent="0.2">
      <c r="B71" s="1" t="s">
        <v>556</v>
      </c>
      <c r="E71" s="80">
        <f>0</f>
        <v>0</v>
      </c>
      <c r="G71" s="1" t="s">
        <v>556</v>
      </c>
      <c r="J71" s="80">
        <f>E71</f>
        <v>0</v>
      </c>
    </row>
    <row r="72" spans="2:10" x14ac:dyDescent="0.2">
      <c r="B72" s="1" t="s">
        <v>557</v>
      </c>
      <c r="E72" s="80">
        <f>'Forecast Model'!J47</f>
        <v>1288</v>
      </c>
      <c r="G72" s="1" t="s">
        <v>557</v>
      </c>
      <c r="J72" s="80">
        <f>E72</f>
        <v>1288</v>
      </c>
    </row>
    <row r="73" spans="2:10" x14ac:dyDescent="0.2">
      <c r="B73" s="175" t="s">
        <v>558</v>
      </c>
      <c r="C73" s="169"/>
      <c r="D73" s="169"/>
      <c r="E73" s="176">
        <f>SUM(E66:E72)</f>
        <v>99002.132354096248</v>
      </c>
      <c r="G73" s="175" t="s">
        <v>558</v>
      </c>
      <c r="H73" s="169"/>
      <c r="I73" s="169"/>
      <c r="J73" s="176">
        <f>SUM(J66:J72)</f>
        <v>158531.05251297509</v>
      </c>
    </row>
    <row r="74" spans="2:10" x14ac:dyDescent="0.2">
      <c r="E74" s="80"/>
      <c r="J74" s="80"/>
    </row>
    <row r="75" spans="2:10" x14ac:dyDescent="0.2">
      <c r="B75" s="5" t="s">
        <v>559</v>
      </c>
      <c r="E75" s="80">
        <v>104.64</v>
      </c>
      <c r="G75" s="5" t="s">
        <v>559</v>
      </c>
      <c r="J75" s="80">
        <f>E75</f>
        <v>104.64</v>
      </c>
    </row>
    <row r="76" spans="2:10" x14ac:dyDescent="0.2">
      <c r="B76" s="177" t="s">
        <v>560</v>
      </c>
      <c r="C76" s="169"/>
      <c r="D76" s="169"/>
      <c r="E76" s="176">
        <f>E73/E75</f>
        <v>946.12129543287699</v>
      </c>
      <c r="G76" s="177" t="s">
        <v>560</v>
      </c>
      <c r="H76" s="169"/>
      <c r="I76" s="169"/>
      <c r="J76" s="176">
        <f>J73/J75</f>
        <v>1515.0138810490739</v>
      </c>
    </row>
    <row r="77" spans="2:10" x14ac:dyDescent="0.2">
      <c r="B77" s="8"/>
      <c r="G77" s="8"/>
    </row>
    <row r="78" spans="2:10" x14ac:dyDescent="0.2">
      <c r="B78" s="7" t="s">
        <v>561</v>
      </c>
      <c r="E78" s="80">
        <f>104.93</f>
        <v>104.93</v>
      </c>
      <c r="G78" s="7" t="s">
        <v>561</v>
      </c>
      <c r="J78" s="80">
        <f>E78</f>
        <v>104.93</v>
      </c>
    </row>
    <row r="79" spans="2:10" x14ac:dyDescent="0.2">
      <c r="B79" s="177" t="s">
        <v>562</v>
      </c>
      <c r="C79" s="169"/>
      <c r="D79" s="169"/>
      <c r="E79" s="176">
        <f>E73/E78</f>
        <v>943.50645529492272</v>
      </c>
      <c r="G79" s="177" t="s">
        <v>562</v>
      </c>
      <c r="H79" s="169"/>
      <c r="I79" s="169"/>
      <c r="J79" s="176">
        <f>J73/J78</f>
        <v>1510.826765586344</v>
      </c>
    </row>
    <row r="80" spans="2:10" x14ac:dyDescent="0.2">
      <c r="B80" s="7"/>
    </row>
    <row r="81" spans="2:3" x14ac:dyDescent="0.2">
      <c r="B81" s="7"/>
    </row>
    <row r="82" spans="2:3" x14ac:dyDescent="0.2">
      <c r="B82" s="7"/>
    </row>
    <row r="84" spans="2:3" x14ac:dyDescent="0.2">
      <c r="C84"/>
    </row>
  </sheetData>
  <mergeCells count="1">
    <mergeCell ref="B3:L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D2FC3-075A-2844-A387-1BFB3F87E1D5}">
  <sheetPr>
    <tabColor rgb="FFF7C7AD"/>
  </sheetPr>
  <dimension ref="A3:R46"/>
  <sheetViews>
    <sheetView zoomScale="125" workbookViewId="0">
      <pane ySplit="3" topLeftCell="A4" activePane="bottomLeft" state="frozen"/>
      <selection pane="bottomLeft" activeCell="F45" sqref="F45"/>
    </sheetView>
  </sheetViews>
  <sheetFormatPr baseColWidth="10" defaultRowHeight="16" x14ac:dyDescent="0.2"/>
  <cols>
    <col min="1" max="1" width="10.83203125" style="1"/>
    <col min="2" max="2" width="20.1640625" style="1" customWidth="1"/>
    <col min="3" max="3" width="13.33203125" style="1" customWidth="1"/>
    <col min="4" max="4" width="17.6640625" style="1" customWidth="1"/>
    <col min="5" max="5" width="15.33203125" style="1" customWidth="1"/>
    <col min="6" max="6" width="12.83203125" style="1" customWidth="1"/>
    <col min="7" max="7" width="15" style="1" customWidth="1"/>
    <col min="8" max="8" width="17.6640625" style="1" customWidth="1"/>
    <col min="9" max="9" width="23" style="1" customWidth="1"/>
    <col min="10" max="10" width="16.6640625" style="1" customWidth="1"/>
    <col min="11" max="11" width="22.83203125" style="1" customWidth="1"/>
    <col min="12" max="16384" width="10.83203125" style="1"/>
  </cols>
  <sheetData>
    <row r="3" spans="1:18" ht="19" x14ac:dyDescent="0.25">
      <c r="A3" s="179" t="s">
        <v>568</v>
      </c>
      <c r="B3" s="180"/>
      <c r="C3" s="180"/>
      <c r="D3" s="180"/>
      <c r="E3" s="180"/>
      <c r="F3" s="180"/>
      <c r="G3" s="180"/>
      <c r="H3" s="180"/>
      <c r="I3" s="180"/>
      <c r="J3" s="180"/>
      <c r="K3" s="180"/>
      <c r="L3" s="180"/>
      <c r="M3" s="180"/>
      <c r="N3" s="180"/>
      <c r="O3" s="180"/>
      <c r="P3" s="180"/>
      <c r="Q3" s="180"/>
      <c r="R3" s="180"/>
    </row>
    <row r="5" spans="1:18" x14ac:dyDescent="0.2">
      <c r="A5" s="181" t="s">
        <v>569</v>
      </c>
    </row>
    <row r="8" spans="1:18" x14ac:dyDescent="0.2">
      <c r="A8" s="184" t="s">
        <v>570</v>
      </c>
      <c r="B8" s="180"/>
      <c r="C8" s="180"/>
      <c r="D8" s="180"/>
      <c r="E8" s="180"/>
      <c r="F8" s="180"/>
      <c r="G8" s="180"/>
      <c r="H8" s="180"/>
      <c r="I8" s="180"/>
      <c r="J8" s="180"/>
      <c r="K8" s="180"/>
      <c r="L8" s="180"/>
      <c r="M8" s="180"/>
      <c r="N8" s="180"/>
      <c r="O8" s="180"/>
      <c r="P8" s="180"/>
      <c r="Q8" s="180"/>
      <c r="R8" s="180"/>
    </row>
    <row r="9" spans="1:18" x14ac:dyDescent="0.2">
      <c r="B9" s="185" t="s">
        <v>571</v>
      </c>
      <c r="C9" s="185" t="s">
        <v>572</v>
      </c>
      <c r="D9" s="185" t="s">
        <v>573</v>
      </c>
      <c r="E9" s="185" t="s">
        <v>574</v>
      </c>
      <c r="F9" s="185" t="s">
        <v>575</v>
      </c>
      <c r="G9" s="185" t="s">
        <v>576</v>
      </c>
      <c r="H9" s="185" t="s">
        <v>577</v>
      </c>
      <c r="I9" s="185" t="s">
        <v>578</v>
      </c>
      <c r="J9" s="185" t="s">
        <v>579</v>
      </c>
      <c r="K9" s="185" t="s">
        <v>580</v>
      </c>
    </row>
    <row r="10" spans="1:18" x14ac:dyDescent="0.2">
      <c r="B10" s="183" t="s">
        <v>581</v>
      </c>
      <c r="C10" s="160" t="s">
        <v>582</v>
      </c>
      <c r="D10" s="186" t="s">
        <v>583</v>
      </c>
      <c r="E10" s="186" t="s">
        <v>584</v>
      </c>
      <c r="F10" s="187">
        <v>1897.5</v>
      </c>
      <c r="G10" s="188">
        <v>105.6</v>
      </c>
      <c r="H10" s="189">
        <f>F10*G10</f>
        <v>200376</v>
      </c>
      <c r="I10" s="190">
        <v>0</v>
      </c>
      <c r="J10" s="190">
        <v>12501</v>
      </c>
      <c r="K10" s="191">
        <f>H10+I10-J10</f>
        <v>187875</v>
      </c>
    </row>
    <row r="11" spans="1:18" x14ac:dyDescent="0.2">
      <c r="B11" s="182" t="s">
        <v>585</v>
      </c>
      <c r="C11" s="160" t="s">
        <v>586</v>
      </c>
      <c r="D11" s="186" t="s">
        <v>583</v>
      </c>
      <c r="E11" s="186" t="s">
        <v>584</v>
      </c>
      <c r="F11" s="187">
        <v>502.2</v>
      </c>
      <c r="G11" s="188">
        <v>497.7</v>
      </c>
      <c r="H11" s="189">
        <f>F11*G11</f>
        <v>249944.94</v>
      </c>
      <c r="I11" s="190">
        <v>20343</v>
      </c>
      <c r="J11" s="190">
        <v>13502</v>
      </c>
      <c r="K11" s="191">
        <f>H11+I11-J11</f>
        <v>256785.94</v>
      </c>
    </row>
    <row r="12" spans="1:18" x14ac:dyDescent="0.2">
      <c r="B12" s="182" t="s">
        <v>587</v>
      </c>
      <c r="C12" s="160" t="s">
        <v>588</v>
      </c>
      <c r="D12" s="186" t="s">
        <v>589</v>
      </c>
      <c r="E12" s="186" t="s">
        <v>590</v>
      </c>
      <c r="F12" s="187">
        <v>156.6</v>
      </c>
      <c r="G12" s="188">
        <v>537.6</v>
      </c>
      <c r="H12" s="189">
        <f>F12*G12</f>
        <v>84188.160000000003</v>
      </c>
      <c r="I12" s="190">
        <v>10150</v>
      </c>
      <c r="J12" s="190">
        <v>16669</v>
      </c>
      <c r="K12" s="191">
        <f>H12+I12-J12</f>
        <v>77669.16</v>
      </c>
    </row>
    <row r="15" spans="1:18" x14ac:dyDescent="0.2">
      <c r="A15" s="184" t="s">
        <v>591</v>
      </c>
      <c r="B15" s="180"/>
      <c r="C15" s="180"/>
      <c r="D15" s="180"/>
      <c r="E15" s="180"/>
      <c r="F15" s="180"/>
      <c r="G15" s="180"/>
      <c r="H15" s="180"/>
      <c r="I15" s="180"/>
      <c r="J15" s="180"/>
      <c r="K15" s="180"/>
      <c r="L15" s="180"/>
      <c r="M15" s="180"/>
      <c r="N15" s="180"/>
      <c r="O15" s="180"/>
      <c r="P15" s="180"/>
      <c r="Q15" s="180"/>
      <c r="R15" s="180"/>
    </row>
    <row r="16" spans="1:18" x14ac:dyDescent="0.2">
      <c r="B16" s="185" t="s">
        <v>571</v>
      </c>
      <c r="D16" s="185" t="s">
        <v>592</v>
      </c>
      <c r="F16" s="185" t="s">
        <v>593</v>
      </c>
      <c r="H16" s="185" t="s">
        <v>594</v>
      </c>
      <c r="J16" s="185" t="s">
        <v>595</v>
      </c>
      <c r="L16" s="185" t="s">
        <v>596</v>
      </c>
      <c r="N16" s="185" t="s">
        <v>597</v>
      </c>
      <c r="P16" s="185" t="s">
        <v>598</v>
      </c>
    </row>
    <row r="17" spans="1:18" x14ac:dyDescent="0.2">
      <c r="D17" s="192" t="s">
        <v>599</v>
      </c>
      <c r="E17" s="192" t="s">
        <v>317</v>
      </c>
      <c r="F17" s="192" t="s">
        <v>599</v>
      </c>
      <c r="G17" s="192" t="s">
        <v>317</v>
      </c>
      <c r="H17" s="192" t="s">
        <v>599</v>
      </c>
      <c r="I17" s="192" t="s">
        <v>317</v>
      </c>
      <c r="J17" s="192" t="s">
        <v>599</v>
      </c>
      <c r="K17" s="192" t="s">
        <v>317</v>
      </c>
      <c r="L17" s="192" t="s">
        <v>599</v>
      </c>
      <c r="M17" s="192" t="s">
        <v>317</v>
      </c>
      <c r="N17" s="192" t="s">
        <v>599</v>
      </c>
      <c r="O17" s="192" t="s">
        <v>317</v>
      </c>
      <c r="P17" s="192" t="s">
        <v>599</v>
      </c>
      <c r="Q17" s="192" t="s">
        <v>317</v>
      </c>
    </row>
    <row r="18" spans="1:18" x14ac:dyDescent="0.2">
      <c r="B18" s="183" t="s">
        <v>581</v>
      </c>
      <c r="D18" s="190">
        <v>16002</v>
      </c>
      <c r="E18" s="190">
        <f>'Forecast Model'!K8</f>
        <v>16979.03</v>
      </c>
      <c r="F18" s="190">
        <v>8229</v>
      </c>
      <c r="G18" s="190">
        <f>'Forecast Model'!K15-'Forecast Model'!K13</f>
        <v>7955.8995578145114</v>
      </c>
      <c r="H18" s="193">
        <f t="shared" ref="H18:I20" si="0">IF(OR(F18="",D18=""),"-",F18/D18)</f>
        <v>0.5142482189726284</v>
      </c>
      <c r="I18" s="193">
        <f t="shared" si="0"/>
        <v>0.46857208908957176</v>
      </c>
      <c r="J18" s="190">
        <v>7303</v>
      </c>
      <c r="K18" s="190">
        <v>7162</v>
      </c>
      <c r="L18" s="193">
        <f t="shared" ref="L18:M20" si="1">IF(OR(J18="",D18=""),"-",J18/D18)</f>
        <v>0.45638045244344455</v>
      </c>
      <c r="M18" s="193">
        <f t="shared" si="1"/>
        <v>0.4218144381628397</v>
      </c>
      <c r="N18" s="190">
        <f>4626.3</f>
        <v>4626.3</v>
      </c>
      <c r="O18" s="190">
        <v>5058</v>
      </c>
      <c r="P18" s="194">
        <v>44.06</v>
      </c>
      <c r="Q18" s="194">
        <f>5058/105</f>
        <v>48.171428571428571</v>
      </c>
    </row>
    <row r="19" spans="1:18" x14ac:dyDescent="0.2">
      <c r="B19" s="182" t="s">
        <v>585</v>
      </c>
      <c r="D19" s="190">
        <v>80807</v>
      </c>
      <c r="E19" s="190">
        <v>80807</v>
      </c>
      <c r="F19" s="190">
        <v>24302</v>
      </c>
      <c r="G19" s="190">
        <v>24302</v>
      </c>
      <c r="H19" s="193">
        <f t="shared" si="0"/>
        <v>0.30074127241451853</v>
      </c>
      <c r="I19" s="193">
        <f t="shared" si="0"/>
        <v>0.30074127241451853</v>
      </c>
      <c r="J19" s="190">
        <v>17680</v>
      </c>
      <c r="K19" s="190">
        <v>17680</v>
      </c>
      <c r="L19" s="193">
        <f t="shared" si="1"/>
        <v>0.21879292635538999</v>
      </c>
      <c r="M19" s="193">
        <f t="shared" si="1"/>
        <v>0.21879292635538999</v>
      </c>
      <c r="N19" s="190">
        <v>10878</v>
      </c>
      <c r="O19" s="190">
        <v>10878</v>
      </c>
      <c r="P19" s="194">
        <f>N19/G11</f>
        <v>21.856540084388186</v>
      </c>
      <c r="Q19" s="194">
        <f>O19/G11</f>
        <v>21.856540084388186</v>
      </c>
    </row>
    <row r="20" spans="1:18" x14ac:dyDescent="0.2">
      <c r="B20" s="182" t="s">
        <v>587</v>
      </c>
      <c r="D20" s="190">
        <v>21942.45</v>
      </c>
      <c r="E20" s="190">
        <v>22345.78</v>
      </c>
      <c r="F20" s="190">
        <v>6274.9</v>
      </c>
      <c r="G20" s="190">
        <v>6077.78</v>
      </c>
      <c r="H20" s="193">
        <f t="shared" si="0"/>
        <v>0.2859708008905113</v>
      </c>
      <c r="I20" s="193">
        <f t="shared" si="0"/>
        <v>0.27198782051913156</v>
      </c>
      <c r="J20" s="190">
        <v>4549</v>
      </c>
      <c r="K20" s="190">
        <f>4587.49</f>
        <v>4587.49</v>
      </c>
      <c r="L20" s="193">
        <f t="shared" si="1"/>
        <v>0.20731504458253294</v>
      </c>
      <c r="M20" s="193">
        <f t="shared" si="1"/>
        <v>0.20529558601221348</v>
      </c>
      <c r="N20" s="190">
        <v>3763</v>
      </c>
      <c r="O20" s="190">
        <v>3659.9</v>
      </c>
      <c r="P20" s="194">
        <f>N20/G12</f>
        <v>6.9996279761904763</v>
      </c>
      <c r="Q20" s="194">
        <f>O20/G12</f>
        <v>6.8078497023809526</v>
      </c>
    </row>
    <row r="23" spans="1:18" x14ac:dyDescent="0.2">
      <c r="A23" s="184" t="s">
        <v>600</v>
      </c>
      <c r="B23" s="180"/>
      <c r="C23" s="180"/>
      <c r="D23" s="180"/>
      <c r="E23" s="180"/>
      <c r="F23" s="180"/>
      <c r="G23" s="180"/>
      <c r="H23" s="180"/>
      <c r="I23" s="180"/>
      <c r="J23" s="180"/>
      <c r="K23" s="180"/>
      <c r="L23" s="180"/>
      <c r="M23" s="180"/>
      <c r="N23" s="180"/>
      <c r="O23" s="180"/>
      <c r="P23" s="180"/>
      <c r="Q23" s="180"/>
      <c r="R23" s="180"/>
    </row>
    <row r="24" spans="1:18" x14ac:dyDescent="0.2">
      <c r="B24" s="185" t="s">
        <v>571</v>
      </c>
      <c r="D24" s="185" t="s">
        <v>601</v>
      </c>
      <c r="F24" s="185" t="s">
        <v>602</v>
      </c>
      <c r="H24" s="185" t="s">
        <v>603</v>
      </c>
      <c r="J24" s="185" t="s">
        <v>604</v>
      </c>
    </row>
    <row r="25" spans="1:18" x14ac:dyDescent="0.2">
      <c r="D25" s="192" t="s">
        <v>599</v>
      </c>
      <c r="E25" s="192" t="s">
        <v>317</v>
      </c>
      <c r="F25" s="192" t="s">
        <v>599</v>
      </c>
      <c r="G25" s="192" t="s">
        <v>317</v>
      </c>
      <c r="H25" s="192" t="s">
        <v>599</v>
      </c>
      <c r="I25" s="192" t="s">
        <v>317</v>
      </c>
      <c r="J25" s="192" t="s">
        <v>599</v>
      </c>
      <c r="K25" s="192" t="s">
        <v>317</v>
      </c>
    </row>
    <row r="26" spans="1:18" x14ac:dyDescent="0.2">
      <c r="B26" s="183" t="s">
        <v>581</v>
      </c>
      <c r="D26" s="195">
        <f>IFERROR(K10/D18,"-")</f>
        <v>11.740719910011249</v>
      </c>
      <c r="E26" s="195">
        <f>IFERROR(K10/E18,"-")</f>
        <v>11.065119738877899</v>
      </c>
      <c r="F26" s="195">
        <f>IFERROR(K10/F18,"-")</f>
        <v>22.830842143638353</v>
      </c>
      <c r="G26" s="195">
        <f>IFERROR(K10/G18,"-")</f>
        <v>23.614551520508304</v>
      </c>
      <c r="H26" s="195">
        <f>IFERROR(K10/J18,"-")</f>
        <v>25.725729152403122</v>
      </c>
      <c r="I26" s="195">
        <f>IFERROR(K10/K18,"-")</f>
        <v>26.232197710136834</v>
      </c>
      <c r="J26" s="195">
        <f>IFERROR(F10/P18,"-")</f>
        <v>43.066273263731276</v>
      </c>
      <c r="K26" s="195">
        <f>IFERROR(F10/Q18,"-")</f>
        <v>39.390569395017792</v>
      </c>
    </row>
    <row r="27" spans="1:18" x14ac:dyDescent="0.2">
      <c r="B27" s="182" t="s">
        <v>585</v>
      </c>
      <c r="D27" s="196">
        <f>IFERROR(K11/D19,"-")</f>
        <v>3.1777685101538236</v>
      </c>
      <c r="E27" s="196">
        <f>IFERROR(K11/E19,"-")</f>
        <v>3.1777685101538236</v>
      </c>
      <c r="F27" s="196">
        <f>IFERROR(K11/F19,"-")</f>
        <v>10.566452966834005</v>
      </c>
      <c r="G27" s="196">
        <f>IFERROR(K11/G19,"-")</f>
        <v>10.566452966834005</v>
      </c>
      <c r="H27" s="196">
        <f>IFERROR(K11/J19,"-")</f>
        <v>14.524091628959276</v>
      </c>
      <c r="I27" s="196">
        <f>IFERROR(K11/K19,"-")</f>
        <v>14.524091628959276</v>
      </c>
      <c r="J27" s="196">
        <f>IFERROR(F11/P19,"-")</f>
        <v>22.977104247104247</v>
      </c>
      <c r="K27" s="196">
        <f>IFERROR(F11/Q19,"-")</f>
        <v>22.977104247104247</v>
      </c>
    </row>
    <row r="28" spans="1:18" x14ac:dyDescent="0.2">
      <c r="B28" s="182" t="s">
        <v>587</v>
      </c>
      <c r="D28" s="196">
        <f>IFERROR(K12/D20,"-")</f>
        <v>3.539675833828948</v>
      </c>
      <c r="E28" s="196">
        <f>IFERROR(K12/E20,"-")</f>
        <v>3.4757864795948055</v>
      </c>
      <c r="F28" s="196">
        <f>IFERROR(K12/F20,"-")</f>
        <v>12.377752633508106</v>
      </c>
      <c r="G28" s="196">
        <f>IFERROR(K12/G20,"-")</f>
        <v>12.779198983839494</v>
      </c>
      <c r="H28" s="196">
        <f>IFERROR(K12/J20,"-")</f>
        <v>17.073897559903276</v>
      </c>
      <c r="I28" s="196">
        <f>IFERROR(K12/K20,"-")</f>
        <v>16.930643990504613</v>
      </c>
      <c r="J28" s="196">
        <f>IFERROR(F12/P20,"-")</f>
        <v>22.372617592346533</v>
      </c>
      <c r="K28" s="196">
        <f>IFERROR(F12/Q20,"-")</f>
        <v>23.002858001584741</v>
      </c>
    </row>
    <row r="30" spans="1:18" x14ac:dyDescent="0.2">
      <c r="A30" s="181" t="s">
        <v>605</v>
      </c>
    </row>
    <row r="31" spans="1:18" x14ac:dyDescent="0.2">
      <c r="B31" s="197" t="s">
        <v>606</v>
      </c>
      <c r="D31" s="198">
        <f t="shared" ref="D31:K31" si="2">IFERROR(AVERAGE(D27:D28),"-")</f>
        <v>3.3587221719913858</v>
      </c>
      <c r="E31" s="198">
        <f t="shared" si="2"/>
        <v>3.3267774948743147</v>
      </c>
      <c r="F31" s="198">
        <f t="shared" si="2"/>
        <v>11.472102800171054</v>
      </c>
      <c r="G31" s="198">
        <f t="shared" si="2"/>
        <v>11.67282597533675</v>
      </c>
      <c r="H31" s="198">
        <f t="shared" si="2"/>
        <v>15.798994594431276</v>
      </c>
      <c r="I31" s="198">
        <f t="shared" si="2"/>
        <v>15.727367809731945</v>
      </c>
      <c r="J31" s="198">
        <f t="shared" si="2"/>
        <v>22.67486091972539</v>
      </c>
      <c r="K31" s="198">
        <f t="shared" si="2"/>
        <v>22.989981124344496</v>
      </c>
    </row>
    <row r="32" spans="1:18" x14ac:dyDescent="0.2">
      <c r="B32" s="197" t="s">
        <v>607</v>
      </c>
      <c r="D32" s="198">
        <f t="shared" ref="D32:K32" si="3">IFERROR(MEDIAN(D27:D28),"-")</f>
        <v>3.3587221719913858</v>
      </c>
      <c r="E32" s="198">
        <f t="shared" si="3"/>
        <v>3.3267774948743147</v>
      </c>
      <c r="F32" s="198">
        <f t="shared" si="3"/>
        <v>11.472102800171054</v>
      </c>
      <c r="G32" s="198">
        <f t="shared" si="3"/>
        <v>11.67282597533675</v>
      </c>
      <c r="H32" s="198">
        <f t="shared" si="3"/>
        <v>15.798994594431276</v>
      </c>
      <c r="I32" s="198">
        <f t="shared" si="3"/>
        <v>15.727367809731945</v>
      </c>
      <c r="J32" s="198">
        <f t="shared" si="3"/>
        <v>22.67486091972539</v>
      </c>
      <c r="K32" s="198">
        <f t="shared" si="3"/>
        <v>22.989981124344496</v>
      </c>
    </row>
    <row r="33" spans="1:18" x14ac:dyDescent="0.2">
      <c r="B33" s="182" t="s">
        <v>608</v>
      </c>
      <c r="D33" s="196">
        <f t="shared" ref="D33:K33" si="4">IFERROR(MAX(D27:D28),"-")</f>
        <v>3.539675833828948</v>
      </c>
      <c r="E33" s="196">
        <f t="shared" si="4"/>
        <v>3.4757864795948055</v>
      </c>
      <c r="F33" s="196">
        <f t="shared" si="4"/>
        <v>12.377752633508106</v>
      </c>
      <c r="G33" s="196">
        <f t="shared" si="4"/>
        <v>12.779198983839494</v>
      </c>
      <c r="H33" s="196">
        <f t="shared" si="4"/>
        <v>17.073897559903276</v>
      </c>
      <c r="I33" s="196">
        <f t="shared" si="4"/>
        <v>16.930643990504613</v>
      </c>
      <c r="J33" s="196">
        <f t="shared" si="4"/>
        <v>22.977104247104247</v>
      </c>
      <c r="K33" s="196">
        <f t="shared" si="4"/>
        <v>23.002858001584741</v>
      </c>
    </row>
    <row r="34" spans="1:18" x14ac:dyDescent="0.2">
      <c r="B34" s="182" t="s">
        <v>609</v>
      </c>
      <c r="D34" s="196">
        <f t="shared" ref="D34:K34" si="5">IFERROR(MIN(D27:D28),"-")</f>
        <v>3.1777685101538236</v>
      </c>
      <c r="E34" s="196">
        <f t="shared" si="5"/>
        <v>3.1777685101538236</v>
      </c>
      <c r="F34" s="196">
        <f t="shared" si="5"/>
        <v>10.566452966834005</v>
      </c>
      <c r="G34" s="196">
        <f t="shared" si="5"/>
        <v>10.566452966834005</v>
      </c>
      <c r="H34" s="196">
        <f t="shared" si="5"/>
        <v>14.524091628959276</v>
      </c>
      <c r="I34" s="196">
        <f t="shared" si="5"/>
        <v>14.524091628959276</v>
      </c>
      <c r="J34" s="196">
        <f t="shared" si="5"/>
        <v>22.372617592346533</v>
      </c>
      <c r="K34" s="196">
        <f t="shared" si="5"/>
        <v>22.977104247104247</v>
      </c>
    </row>
    <row r="37" spans="1:18" x14ac:dyDescent="0.2">
      <c r="A37" s="184" t="s">
        <v>610</v>
      </c>
      <c r="B37" s="180"/>
      <c r="C37" s="180"/>
      <c r="D37" s="180"/>
      <c r="E37" s="180"/>
      <c r="F37" s="180"/>
      <c r="G37" s="180"/>
      <c r="H37" s="180"/>
      <c r="I37" s="180"/>
      <c r="J37" s="180"/>
      <c r="K37" s="180"/>
      <c r="L37" s="180"/>
      <c r="M37" s="180"/>
      <c r="N37" s="180"/>
      <c r="O37" s="180"/>
      <c r="P37" s="180"/>
      <c r="Q37" s="180"/>
      <c r="R37" s="180"/>
    </row>
    <row r="38" spans="1:18" x14ac:dyDescent="0.2">
      <c r="B38" s="185" t="s">
        <v>611</v>
      </c>
      <c r="D38" s="185" t="s">
        <v>612</v>
      </c>
      <c r="E38" s="185" t="s">
        <v>613</v>
      </c>
      <c r="F38" s="185" t="s">
        <v>614</v>
      </c>
      <c r="G38" s="185" t="s">
        <v>615</v>
      </c>
      <c r="H38" s="185" t="s">
        <v>616</v>
      </c>
      <c r="I38" s="185" t="s">
        <v>617</v>
      </c>
      <c r="J38" s="185" t="s">
        <v>618</v>
      </c>
      <c r="K38" s="185" t="s">
        <v>619</v>
      </c>
    </row>
    <row r="39" spans="1:18" x14ac:dyDescent="0.2">
      <c r="B39" s="199" t="s">
        <v>620</v>
      </c>
      <c r="D39" s="196">
        <f t="shared" ref="D39:K39" si="6">IFERROR(D32,"-")</f>
        <v>3.3587221719913858</v>
      </c>
      <c r="E39" s="196">
        <f t="shared" si="6"/>
        <v>3.3267774948743147</v>
      </c>
      <c r="F39" s="196">
        <f t="shared" si="6"/>
        <v>11.472102800171054</v>
      </c>
      <c r="G39" s="196">
        <f t="shared" si="6"/>
        <v>11.67282597533675</v>
      </c>
      <c r="H39" s="196">
        <f t="shared" si="6"/>
        <v>15.798994594431276</v>
      </c>
      <c r="I39" s="196">
        <f t="shared" si="6"/>
        <v>15.727367809731945</v>
      </c>
      <c r="J39" s="196">
        <f t="shared" si="6"/>
        <v>22.67486091972539</v>
      </c>
      <c r="K39" s="196">
        <f t="shared" si="6"/>
        <v>22.989981124344496</v>
      </c>
    </row>
    <row r="40" spans="1:18" x14ac:dyDescent="0.2">
      <c r="B40" s="199" t="s">
        <v>621</v>
      </c>
      <c r="D40" s="189">
        <f>IFERROR(D18,"-")</f>
        <v>16002</v>
      </c>
      <c r="E40" s="189">
        <f>IFERROR(E18,"-")</f>
        <v>16979.03</v>
      </c>
      <c r="F40" s="189">
        <f>IFERROR(F18,"-")</f>
        <v>8229</v>
      </c>
      <c r="G40" s="189">
        <f>IFERROR(G18,"-")</f>
        <v>7955.8995578145114</v>
      </c>
      <c r="H40" s="189">
        <f>IFERROR(J18,"-")</f>
        <v>7303</v>
      </c>
      <c r="I40" s="189">
        <f>IFERROR(K18,"-")</f>
        <v>7162</v>
      </c>
      <c r="J40" s="189">
        <f>IFERROR(P18,"-")</f>
        <v>44.06</v>
      </c>
      <c r="K40" s="189">
        <f>IFERROR(Q18,"-")</f>
        <v>48.171428571428571</v>
      </c>
    </row>
    <row r="41" spans="1:18" x14ac:dyDescent="0.2">
      <c r="B41" s="200" t="s">
        <v>622</v>
      </c>
      <c r="D41" s="201">
        <f t="shared" ref="D41:I41" si="7">IFERROR(D39*D40,"-")</f>
        <v>53746.272196206155</v>
      </c>
      <c r="E41" s="201">
        <f t="shared" si="7"/>
        <v>56485.45488879583</v>
      </c>
      <c r="F41" s="201">
        <f t="shared" si="7"/>
        <v>94403.933942607604</v>
      </c>
      <c r="G41" s="201">
        <f t="shared" si="7"/>
        <v>92867.831015627395</v>
      </c>
      <c r="H41" s="201">
        <f t="shared" si="7"/>
        <v>115380.0575231316</v>
      </c>
      <c r="I41" s="201">
        <f t="shared" si="7"/>
        <v>112639.40825330019</v>
      </c>
    </row>
    <row r="42" spans="1:18" x14ac:dyDescent="0.2">
      <c r="B42" s="200" t="s">
        <v>623</v>
      </c>
      <c r="D42" s="201">
        <f>IFERROR(D41-I10+J10,"-")</f>
        <v>66247.272196206148</v>
      </c>
      <c r="E42" s="201">
        <f>IFERROR(E41-I10+J10,"-")</f>
        <v>68986.454888795823</v>
      </c>
      <c r="F42" s="201">
        <f>IFERROR(F41-I10+J10,"-")</f>
        <v>106904.9339426076</v>
      </c>
      <c r="G42" s="201">
        <f>IFERROR(G41-I10+J10,"-")</f>
        <v>105368.83101562739</v>
      </c>
      <c r="H42" s="201">
        <f>IFERROR(H41-I10+J10,"-")</f>
        <v>127881.0575231316</v>
      </c>
      <c r="I42" s="201">
        <f>IFERROR(I41-I10+J10,"-")</f>
        <v>125140.40825330019</v>
      </c>
    </row>
    <row r="43" spans="1:18" x14ac:dyDescent="0.2">
      <c r="B43" s="200" t="s">
        <v>624</v>
      </c>
      <c r="D43" s="202">
        <f>IFERROR(D42/G10,"-")</f>
        <v>627.34159276710375</v>
      </c>
      <c r="E43" s="202">
        <f>IFERROR(E42/G10,"-")</f>
        <v>653.28082281056652</v>
      </c>
      <c r="F43" s="202">
        <f>IFERROR(F42/G10,"-")</f>
        <v>1012.357329001966</v>
      </c>
      <c r="G43" s="202">
        <f>IFERROR(G42/G10,"-")</f>
        <v>997.81089976919884</v>
      </c>
      <c r="H43" s="202">
        <f>IFERROR(H42/G10,"-")</f>
        <v>1210.9948629084433</v>
      </c>
      <c r="I43" s="202">
        <f>IFERROR(I42/G10,"-")</f>
        <v>1185.0417448229186</v>
      </c>
    </row>
    <row r="46" spans="1:18" x14ac:dyDescent="0.2">
      <c r="A46" s="203" t="s">
        <v>625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47EF0-1099-6A4D-B1BC-E61E93C8F669}">
  <sheetPr>
    <tabColor rgb="FFF7C7AD"/>
  </sheetPr>
  <dimension ref="B3:N40"/>
  <sheetViews>
    <sheetView zoomScale="115" workbookViewId="0">
      <selection activeCell="Q23" sqref="Q23"/>
    </sheetView>
  </sheetViews>
  <sheetFormatPr baseColWidth="10" defaultRowHeight="16" outlineLevelRow="1" x14ac:dyDescent="0.2"/>
  <cols>
    <col min="1" max="1" width="5.1640625" style="1" customWidth="1"/>
    <col min="2" max="3" width="11.6640625" style="1" customWidth="1"/>
    <col min="4" max="4" width="11.5" style="1" customWidth="1"/>
    <col min="5" max="5" width="11.6640625" style="1" customWidth="1"/>
    <col min="6" max="6" width="12.1640625" style="1" customWidth="1"/>
    <col min="7" max="7" width="13" style="1" customWidth="1"/>
    <col min="8" max="9" width="15" style="1" customWidth="1"/>
    <col min="10" max="16384" width="10.83203125" style="1"/>
  </cols>
  <sheetData>
    <row r="3" spans="2:14" ht="19" x14ac:dyDescent="0.25">
      <c r="B3" s="179" t="s">
        <v>696</v>
      </c>
      <c r="C3" s="180"/>
      <c r="D3" s="180"/>
      <c r="E3" s="180"/>
      <c r="F3" s="180"/>
      <c r="G3" s="180"/>
      <c r="H3" s="180"/>
      <c r="I3" s="180"/>
      <c r="J3" s="180"/>
      <c r="K3" s="180"/>
      <c r="L3" s="180"/>
      <c r="M3" s="180"/>
      <c r="N3" s="180"/>
    </row>
    <row r="25" spans="2:14" ht="19" x14ac:dyDescent="0.25">
      <c r="B25" s="179" t="s">
        <v>697</v>
      </c>
      <c r="C25" s="180"/>
      <c r="D25" s="180"/>
      <c r="E25" s="180"/>
      <c r="F25" s="180"/>
      <c r="G25" s="180"/>
      <c r="H25" s="180"/>
      <c r="I25" s="180"/>
      <c r="J25" s="180"/>
      <c r="K25" s="180"/>
      <c r="L25" s="180"/>
      <c r="M25" s="180"/>
      <c r="N25" s="180"/>
    </row>
    <row r="27" spans="2:14" ht="19" x14ac:dyDescent="0.25">
      <c r="C27" s="264" t="s">
        <v>552</v>
      </c>
      <c r="I27" s="264" t="s">
        <v>575</v>
      </c>
    </row>
    <row r="28" spans="2:14" x14ac:dyDescent="0.2">
      <c r="C28" s="261"/>
      <c r="D28" s="261"/>
      <c r="E28" s="261"/>
      <c r="F28" s="261"/>
      <c r="G28" s="261"/>
      <c r="I28" s="261"/>
    </row>
    <row r="29" spans="2:14" ht="17" thickBot="1" x14ac:dyDescent="0.25">
      <c r="B29" s="260"/>
      <c r="C29" s="270"/>
      <c r="D29" s="267" t="s">
        <v>698</v>
      </c>
      <c r="E29" s="267" t="s">
        <v>626</v>
      </c>
      <c r="F29" s="267" t="s">
        <v>608</v>
      </c>
      <c r="G29" s="268" t="s">
        <v>627</v>
      </c>
      <c r="H29" s="269"/>
      <c r="I29" s="270"/>
      <c r="J29" s="267" t="s">
        <v>698</v>
      </c>
      <c r="K29" s="267" t="s">
        <v>626</v>
      </c>
      <c r="L29" s="267" t="s">
        <v>608</v>
      </c>
      <c r="M29" s="268" t="s">
        <v>627</v>
      </c>
    </row>
    <row r="30" spans="2:14" x14ac:dyDescent="0.2">
      <c r="B30" s="260"/>
      <c r="C30" s="5"/>
      <c r="G30" s="260"/>
      <c r="H30" s="269"/>
      <c r="I30" s="5"/>
      <c r="M30" s="260"/>
    </row>
    <row r="31" spans="2:14" x14ac:dyDescent="0.2">
      <c r="B31" s="260"/>
      <c r="C31" s="5" t="s">
        <v>17</v>
      </c>
      <c r="D31" s="266">
        <f>MIN('DCF Valuation'!E66,'DCF Valuation'!J66)</f>
        <v>88253.132354096248</v>
      </c>
      <c r="E31" s="80">
        <f>F31-D31</f>
        <v>59528.920158878842</v>
      </c>
      <c r="F31" s="80">
        <f>MAX('DCF Valuation'!E66,'DCF Valuation'!J66)</f>
        <v>147782.05251297509</v>
      </c>
      <c r="G31" s="265">
        <f>(F31+D31)/2</f>
        <v>118017.59243353567</v>
      </c>
      <c r="H31" s="269"/>
      <c r="I31" s="5" t="s">
        <v>17</v>
      </c>
      <c r="J31" s="266">
        <f>MIN('DCF Valuation'!E76,'DCF Valuation'!J76)</f>
        <v>946.12129543287699</v>
      </c>
      <c r="K31" s="80">
        <f>L31-J31</f>
        <v>568.89258561619693</v>
      </c>
      <c r="L31" s="80">
        <f>MAX('DCF Valuation'!J76,'DCF Valuation'!E76)</f>
        <v>1515.0138810490739</v>
      </c>
      <c r="M31" s="265">
        <f>(L31+J31)/2</f>
        <v>1230.5675882409755</v>
      </c>
    </row>
    <row r="32" spans="2:14" x14ac:dyDescent="0.2">
      <c r="B32" s="260"/>
      <c r="C32" s="5" t="s">
        <v>19</v>
      </c>
      <c r="D32" s="80">
        <f>MIN('Trading Comps'!F34*'Trading Comps'!F18,'Trading Comps'!G18*'Trading Comps'!G34)</f>
        <v>84065.638486502488</v>
      </c>
      <c r="E32" s="80">
        <f>F32-D32</f>
        <v>17790.887934635713</v>
      </c>
      <c r="F32" s="80">
        <f>MAX('Trading Comps'!F18*'Trading Comps'!F33,'Trading Comps'!G33*'Trading Comps'!G18)</f>
        <v>101856.5264211382</v>
      </c>
      <c r="G32" s="265">
        <f>(F32+D32)/2</f>
        <v>92961.082453820345</v>
      </c>
      <c r="H32" s="269"/>
      <c r="I32" s="5" t="s">
        <v>19</v>
      </c>
      <c r="J32" s="80">
        <f>MIN('Trading Comps'!J34*'Trading Comps'!P18,'Trading Comps'!K34*'Trading Comps'!Q18)</f>
        <v>985.7375311187883</v>
      </c>
      <c r="K32" s="80">
        <f>L32-J32</f>
        <v>27.768392431035409</v>
      </c>
      <c r="L32" s="80">
        <f>MAX('Trading Comps'!P18*'Trading Comps'!K33,'Trading Comps'!P18*'Trading Comps'!J33)</f>
        <v>1013.5059235498237</v>
      </c>
      <c r="M32" s="265">
        <f>(J32+L32)/2</f>
        <v>999.621727334306</v>
      </c>
    </row>
    <row r="33" spans="2:13" x14ac:dyDescent="0.2">
      <c r="B33" s="260"/>
      <c r="C33" s="262"/>
      <c r="D33" s="261"/>
      <c r="E33" s="261"/>
      <c r="F33" s="261"/>
      <c r="G33" s="263"/>
      <c r="I33" s="262"/>
      <c r="J33" s="261"/>
      <c r="K33" s="261"/>
      <c r="L33" s="261"/>
      <c r="M33" s="263"/>
    </row>
    <row r="34" spans="2:13" x14ac:dyDescent="0.2">
      <c r="C34" s="26" t="s">
        <v>699</v>
      </c>
    </row>
    <row r="36" spans="2:13" hidden="1" outlineLevel="1" x14ac:dyDescent="0.2">
      <c r="B36" s="1" t="s">
        <v>700</v>
      </c>
      <c r="F36" s="1" t="s">
        <v>701</v>
      </c>
    </row>
    <row r="37" spans="2:13" hidden="1" outlineLevel="1" x14ac:dyDescent="0.2">
      <c r="B37" s="1" t="s">
        <v>703</v>
      </c>
      <c r="C37" s="1" t="s">
        <v>609</v>
      </c>
      <c r="D37" s="1" t="s">
        <v>702</v>
      </c>
      <c r="E37" s="1" t="s">
        <v>627</v>
      </c>
      <c r="G37" s="1" t="s">
        <v>609</v>
      </c>
      <c r="H37" s="1" t="s">
        <v>626</v>
      </c>
      <c r="I37" s="1" t="s">
        <v>702</v>
      </c>
    </row>
    <row r="38" spans="2:13" hidden="1" outlineLevel="1" x14ac:dyDescent="0.2">
      <c r="B38" s="1" t="s">
        <v>17</v>
      </c>
      <c r="C38" s="1">
        <f>D31</f>
        <v>88253.132354096248</v>
      </c>
      <c r="D38" s="1">
        <v>1</v>
      </c>
      <c r="E38" s="1">
        <f>G31</f>
        <v>118017.59243353567</v>
      </c>
      <c r="F38" s="1" t="s">
        <v>17</v>
      </c>
      <c r="G38" s="1">
        <f>J31</f>
        <v>946.12129543287699</v>
      </c>
      <c r="H38" s="1">
        <f>K31</f>
        <v>568.89258561619693</v>
      </c>
      <c r="I38" s="1">
        <v>1</v>
      </c>
    </row>
    <row r="39" spans="2:13" hidden="1" outlineLevel="1" x14ac:dyDescent="0.2">
      <c r="B39" s="1" t="s">
        <v>19</v>
      </c>
      <c r="C39" s="1">
        <f>D32</f>
        <v>84065.638486502488</v>
      </c>
      <c r="D39" s="1">
        <v>1</v>
      </c>
      <c r="E39" s="1">
        <f>G32</f>
        <v>92961.082453820345</v>
      </c>
      <c r="F39" s="1" t="s">
        <v>19</v>
      </c>
      <c r="G39" s="1">
        <f>J32</f>
        <v>985.7375311187883</v>
      </c>
      <c r="H39" s="1">
        <f>K32</f>
        <v>27.768392431035409</v>
      </c>
      <c r="I39" s="1">
        <v>1</v>
      </c>
    </row>
    <row r="40" spans="2:13" collapsed="1" x14ac:dyDescent="0.2"/>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4B6A-E00C-EF4B-9B35-66203C831086}">
  <sheetPr>
    <tabColor rgb="FF7030A0"/>
  </sheetPr>
  <dimension ref="B2:L27"/>
  <sheetViews>
    <sheetView zoomScale="162" workbookViewId="0">
      <selection activeCell="L21" sqref="L21"/>
    </sheetView>
  </sheetViews>
  <sheetFormatPr baseColWidth="10" defaultRowHeight="16" x14ac:dyDescent="0.2"/>
  <cols>
    <col min="1" max="1" width="4.1640625" style="1" customWidth="1"/>
    <col min="2" max="2" width="11.1640625" style="1" customWidth="1"/>
    <col min="3" max="3" width="8.1640625" style="1" customWidth="1"/>
    <col min="4" max="4" width="7.83203125" style="1" customWidth="1"/>
    <col min="5" max="5" width="15.6640625" style="1" customWidth="1"/>
    <col min="6" max="9" width="14.1640625" style="1" customWidth="1"/>
    <col min="10" max="16384" width="10.83203125" style="1"/>
  </cols>
  <sheetData>
    <row r="2" spans="2:12" ht="19" x14ac:dyDescent="0.25">
      <c r="B2" s="384" t="s">
        <v>704</v>
      </c>
      <c r="C2" s="384"/>
      <c r="D2" s="384"/>
      <c r="E2" s="384"/>
      <c r="F2" s="384"/>
      <c r="G2" s="384"/>
      <c r="H2" s="384"/>
      <c r="I2" s="384"/>
      <c r="J2" s="384"/>
      <c r="K2" s="384"/>
      <c r="L2" s="384"/>
    </row>
    <row r="4" spans="2:12" x14ac:dyDescent="0.2">
      <c r="B4" s="271" t="s">
        <v>705</v>
      </c>
      <c r="C4" s="272"/>
      <c r="D4" s="272"/>
      <c r="E4" s="272"/>
      <c r="F4" s="272"/>
      <c r="G4" s="272"/>
    </row>
    <row r="6" spans="2:12" ht="17" thickBot="1" x14ac:dyDescent="0.25"/>
    <row r="7" spans="2:12" ht="17" thickTop="1" x14ac:dyDescent="0.2">
      <c r="D7" s="272"/>
      <c r="E7" s="273" t="s">
        <v>706</v>
      </c>
      <c r="F7" s="377" t="s">
        <v>707</v>
      </c>
      <c r="G7" s="378"/>
      <c r="H7" s="377"/>
      <c r="I7" s="377"/>
      <c r="J7" s="379"/>
    </row>
    <row r="8" spans="2:12" ht="17" thickBot="1" x14ac:dyDescent="0.25">
      <c r="D8" s="272"/>
      <c r="E8" s="274">
        <f>'DCF Valuation'!E79</f>
        <v>943.50645529492272</v>
      </c>
      <c r="F8" s="275">
        <v>1.4999999999999999E-2</v>
      </c>
      <c r="G8" s="275">
        <v>0.02</v>
      </c>
      <c r="H8" s="275">
        <v>2.5000000000000001E-2</v>
      </c>
      <c r="I8" s="275">
        <v>0.03</v>
      </c>
      <c r="J8" s="276">
        <v>3.5000000000000003E-2</v>
      </c>
    </row>
    <row r="9" spans="2:12" x14ac:dyDescent="0.2">
      <c r="D9" s="380" t="s">
        <v>628</v>
      </c>
      <c r="E9" s="277">
        <v>7.3899999999999993E-2</v>
      </c>
      <c r="F9" s="278">
        <f t="dataTable" ref="F9:J13" dt2D="1" dtr="1" r1="K9" r2="K10"/>
        <v>1116.6943023807933</v>
      </c>
      <c r="G9" s="279">
        <v>1194.433158472674</v>
      </c>
      <c r="H9" s="280">
        <v>1288.0695311477612</v>
      </c>
      <c r="I9" s="280">
        <v>1403.0353736804996</v>
      </c>
      <c r="J9" s="281">
        <v>1547.5554173784662</v>
      </c>
      <c r="K9" s="54"/>
    </row>
    <row r="10" spans="2:12" ht="17" thickBot="1" x14ac:dyDescent="0.25">
      <c r="D10" s="380"/>
      <c r="E10" s="277">
        <v>8.3900000000000002E-2</v>
      </c>
      <c r="F10" s="282">
        <v>968.90685625922072</v>
      </c>
      <c r="G10" s="283">
        <v>1023.1735443176133</v>
      </c>
      <c r="H10" s="284">
        <v>1086.6535919784492</v>
      </c>
      <c r="I10" s="285">
        <v>1161.9110139733921</v>
      </c>
      <c r="J10" s="286">
        <v>1252.5585018159718</v>
      </c>
      <c r="K10" s="54"/>
    </row>
    <row r="11" spans="2:12" ht="18" thickTop="1" thickBot="1" x14ac:dyDescent="0.25">
      <c r="D11" s="381"/>
      <c r="E11" s="277">
        <v>9.3899999999999997E-2</v>
      </c>
      <c r="F11" s="287">
        <v>858.66792830812687</v>
      </c>
      <c r="G11" s="288">
        <v>898.34800787505753</v>
      </c>
      <c r="H11" s="289">
        <v>943.78717010772561</v>
      </c>
      <c r="I11" s="287">
        <v>996.33731234550612</v>
      </c>
      <c r="J11" s="290">
        <v>1057.8093802603291</v>
      </c>
    </row>
    <row r="12" spans="2:12" ht="17" thickTop="1" x14ac:dyDescent="0.2">
      <c r="D12" s="380"/>
      <c r="E12" s="277">
        <v>0.104</v>
      </c>
      <c r="F12" s="291">
        <v>772.54646131557752</v>
      </c>
      <c r="G12" s="292">
        <v>802.51424357394262</v>
      </c>
      <c r="H12" s="293">
        <v>836.27541599159429</v>
      </c>
      <c r="I12" s="294">
        <v>874.59890900622599</v>
      </c>
      <c r="J12" s="295">
        <v>918.47653144326819</v>
      </c>
    </row>
    <row r="13" spans="2:12" ht="17" thickBot="1" x14ac:dyDescent="0.25">
      <c r="D13" s="380"/>
      <c r="E13" s="296">
        <v>0.1139</v>
      </c>
      <c r="F13" s="297">
        <v>705.26348825974299</v>
      </c>
      <c r="G13" s="298">
        <v>728.64604820617319</v>
      </c>
      <c r="H13" s="299">
        <v>754.65881737042423</v>
      </c>
      <c r="I13" s="299">
        <v>783.77203577952071</v>
      </c>
      <c r="J13" s="300">
        <v>816.57514245339485</v>
      </c>
    </row>
    <row r="14" spans="2:12" ht="17" thickTop="1" x14ac:dyDescent="0.2"/>
    <row r="17" spans="2:11" x14ac:dyDescent="0.2">
      <c r="B17" s="271" t="s">
        <v>708</v>
      </c>
      <c r="C17" s="272"/>
      <c r="D17" s="272"/>
      <c r="E17" s="272"/>
      <c r="F17" s="272"/>
      <c r="G17" s="272"/>
    </row>
    <row r="19" spans="2:11" ht="17" thickBot="1" x14ac:dyDescent="0.25"/>
    <row r="20" spans="2:11" ht="17" thickTop="1" x14ac:dyDescent="0.2">
      <c r="D20" s="272"/>
      <c r="E20" s="273" t="s">
        <v>706</v>
      </c>
      <c r="F20" s="377" t="s">
        <v>709</v>
      </c>
      <c r="G20" s="378"/>
      <c r="H20" s="377"/>
      <c r="I20" s="377"/>
      <c r="J20" s="379"/>
    </row>
    <row r="21" spans="2:11" ht="17" thickBot="1" x14ac:dyDescent="0.25">
      <c r="D21" s="272"/>
      <c r="E21" s="274">
        <f>'DCF Valuation'!J79</f>
        <v>1510.826765586344</v>
      </c>
      <c r="F21" s="302">
        <v>14.6</v>
      </c>
      <c r="G21" s="302">
        <v>15.6</v>
      </c>
      <c r="H21" s="302">
        <v>16.600000000000001</v>
      </c>
      <c r="I21" s="302">
        <v>17.600000000000001</v>
      </c>
      <c r="J21" s="303">
        <v>18.600000000000001</v>
      </c>
    </row>
    <row r="22" spans="2:11" x14ac:dyDescent="0.2">
      <c r="D22" s="380" t="s">
        <v>628</v>
      </c>
      <c r="E22" s="277">
        <v>7.3899999999999993E-2</v>
      </c>
      <c r="F22" s="278">
        <f t="dataTable" ref="F22:J26" dt2D="1" dtr="1" r1="K22" r2="K10" ca="1"/>
        <v>1468.0447491382261</v>
      </c>
      <c r="G22" s="279">
        <v>1546.3606612134899</v>
      </c>
      <c r="H22" s="280">
        <v>1624.6765732887536</v>
      </c>
      <c r="I22" s="280">
        <v>1702.9924853640175</v>
      </c>
      <c r="J22" s="281">
        <v>1781.3083974392816</v>
      </c>
      <c r="K22" s="44"/>
    </row>
    <row r="23" spans="2:11" ht="17" thickBot="1" x14ac:dyDescent="0.25">
      <c r="D23" s="380"/>
      <c r="E23" s="277">
        <v>8.3900000000000002E-2</v>
      </c>
      <c r="F23" s="282">
        <v>1416.1660418835979</v>
      </c>
      <c r="G23" s="283">
        <v>1491.282625503208</v>
      </c>
      <c r="H23" s="284">
        <v>1566.3992091228181</v>
      </c>
      <c r="I23" s="285">
        <v>1641.5157927424282</v>
      </c>
      <c r="J23" s="286">
        <v>1716.6323763620383</v>
      </c>
      <c r="K23" s="54"/>
    </row>
    <row r="24" spans="2:11" ht="18" thickTop="1" thickBot="1" x14ac:dyDescent="0.25">
      <c r="D24" s="381"/>
      <c r="E24" s="277">
        <v>9.3899999999999997E-2</v>
      </c>
      <c r="F24" s="287">
        <v>1366.8000502770051</v>
      </c>
      <c r="G24" s="288">
        <v>1438.8756061216191</v>
      </c>
      <c r="H24" s="289">
        <v>1510.9511619662333</v>
      </c>
      <c r="I24" s="287">
        <v>1583.0267178108472</v>
      </c>
      <c r="J24" s="290">
        <v>1655.1022736554614</v>
      </c>
    </row>
    <row r="25" spans="2:11" ht="17" thickTop="1" x14ac:dyDescent="0.2">
      <c r="D25" s="380"/>
      <c r="E25" s="277">
        <v>0.104</v>
      </c>
      <c r="F25" s="291">
        <v>1319.3442270884045</v>
      </c>
      <c r="G25" s="292">
        <v>1388.4996864691648</v>
      </c>
      <c r="H25" s="293">
        <v>1457.6551458499246</v>
      </c>
      <c r="I25" s="294">
        <v>1526.8106052306848</v>
      </c>
      <c r="J25" s="295">
        <v>1595.9660646114446</v>
      </c>
    </row>
    <row r="26" spans="2:11" ht="17" thickBot="1" x14ac:dyDescent="0.25">
      <c r="D26" s="380"/>
      <c r="E26" s="296">
        <v>0.1139</v>
      </c>
      <c r="F26" s="297">
        <v>1275.0394113843413</v>
      </c>
      <c r="G26" s="298">
        <v>1341.4717258182234</v>
      </c>
      <c r="H26" s="299">
        <v>1407.9040402521055</v>
      </c>
      <c r="I26" s="299">
        <v>1474.3363546859873</v>
      </c>
      <c r="J26" s="300">
        <v>1540.7686691198694</v>
      </c>
    </row>
    <row r="27" spans="2:11" ht="17" thickTop="1" x14ac:dyDescent="0.2"/>
  </sheetData>
  <mergeCells count="5">
    <mergeCell ref="B2:L2"/>
    <mergeCell ref="F7:J7"/>
    <mergeCell ref="D9:D13"/>
    <mergeCell ref="F20:J20"/>
    <mergeCell ref="D22:D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76E4D-8F9D-BF49-BCC5-81F2904B09DC}">
  <sheetPr>
    <tabColor rgb="FF404040"/>
  </sheetPr>
  <dimension ref="A1:K100"/>
  <sheetViews>
    <sheetView workbookViewId="0">
      <selection activeCell="F42" sqref="F42"/>
    </sheetView>
  </sheetViews>
  <sheetFormatPr baseColWidth="10" defaultRowHeight="16" x14ac:dyDescent="0.2"/>
  <cols>
    <col min="1" max="1" width="2.5" style="1" customWidth="1"/>
    <col min="2" max="3" width="31.6640625" style="1" customWidth="1"/>
    <col min="4" max="4" width="15.83203125" style="1" customWidth="1"/>
    <col min="5" max="5" width="50" style="1" customWidth="1"/>
    <col min="6" max="6" width="26.6640625" style="1" customWidth="1"/>
    <col min="7" max="7" width="15.83203125" style="1" customWidth="1"/>
    <col min="8" max="8" width="35" style="1" customWidth="1"/>
    <col min="9" max="16384" width="10.83203125" style="1"/>
  </cols>
  <sheetData>
    <row r="1" spans="1:11" x14ac:dyDescent="0.2">
      <c r="A1" s="9"/>
      <c r="B1" s="9"/>
      <c r="C1" s="9"/>
      <c r="D1" s="9"/>
      <c r="E1" s="9"/>
      <c r="F1" s="9"/>
      <c r="G1" s="9"/>
      <c r="H1" s="9"/>
      <c r="I1" s="9"/>
      <c r="J1" s="9"/>
      <c r="K1"/>
    </row>
    <row r="2" spans="1:11" ht="19" x14ac:dyDescent="0.25">
      <c r="A2" s="9"/>
      <c r="B2" s="10" t="s">
        <v>131</v>
      </c>
      <c r="C2" s="11"/>
      <c r="D2" s="11"/>
      <c r="E2" s="11"/>
      <c r="F2" s="11"/>
      <c r="G2" s="11"/>
      <c r="H2" s="11"/>
      <c r="I2" s="9"/>
      <c r="J2" s="9"/>
    </row>
    <row r="3" spans="1:11" x14ac:dyDescent="0.2">
      <c r="A3" s="9"/>
      <c r="B3" s="12" t="s">
        <v>710</v>
      </c>
      <c r="C3" s="13"/>
      <c r="D3" s="13"/>
      <c r="E3" s="13"/>
      <c r="F3" s="13"/>
      <c r="G3" s="13"/>
      <c r="H3" s="13"/>
      <c r="I3" s="9"/>
      <c r="J3" s="9"/>
    </row>
    <row r="4" spans="1:11" x14ac:dyDescent="0.2">
      <c r="A4" s="9"/>
      <c r="B4" s="9"/>
      <c r="C4" s="9"/>
      <c r="D4" s="9"/>
      <c r="E4" s="9"/>
      <c r="F4" s="9"/>
      <c r="G4" s="9"/>
      <c r="H4" s="9"/>
      <c r="I4" s="9"/>
      <c r="J4" s="9"/>
    </row>
    <row r="5" spans="1:11" x14ac:dyDescent="0.2">
      <c r="A5" s="9"/>
      <c r="B5" s="14" t="s">
        <v>132</v>
      </c>
      <c r="C5" s="15"/>
      <c r="D5" s="15"/>
      <c r="E5" s="15"/>
      <c r="F5" s="15"/>
      <c r="G5" s="15"/>
      <c r="H5" s="15"/>
      <c r="I5" s="9"/>
      <c r="J5" s="9"/>
    </row>
    <row r="6" spans="1:11" x14ac:dyDescent="0.2">
      <c r="A6" s="9"/>
      <c r="B6" s="16" t="s">
        <v>133</v>
      </c>
      <c r="C6" s="17" t="s">
        <v>134</v>
      </c>
      <c r="D6" s="16" t="s">
        <v>135</v>
      </c>
      <c r="E6" s="17" t="s">
        <v>136</v>
      </c>
      <c r="F6" s="17" t="s">
        <v>137</v>
      </c>
      <c r="G6" s="16" t="s">
        <v>138</v>
      </c>
      <c r="H6" s="17" t="s">
        <v>139</v>
      </c>
      <c r="I6" s="9"/>
      <c r="J6" s="9"/>
    </row>
    <row r="7" spans="1:11" x14ac:dyDescent="0.2">
      <c r="A7" s="9"/>
      <c r="B7" s="18" t="s">
        <v>140</v>
      </c>
      <c r="C7" s="19" t="s">
        <v>713</v>
      </c>
      <c r="D7" s="20" t="s">
        <v>714</v>
      </c>
      <c r="E7" s="19" t="s">
        <v>715</v>
      </c>
      <c r="F7" s="19" t="s">
        <v>48</v>
      </c>
      <c r="G7" s="313">
        <v>45717</v>
      </c>
      <c r="H7" s="19" t="s">
        <v>716</v>
      </c>
      <c r="I7" s="9"/>
      <c r="J7" s="9"/>
    </row>
    <row r="8" spans="1:11" x14ac:dyDescent="0.2">
      <c r="A8" s="9"/>
      <c r="B8" s="18" t="s">
        <v>142</v>
      </c>
      <c r="C8" s="19" t="s">
        <v>717</v>
      </c>
      <c r="D8" s="20" t="s">
        <v>714</v>
      </c>
      <c r="E8" s="19" t="s">
        <v>718</v>
      </c>
      <c r="F8" s="19" t="s">
        <v>719</v>
      </c>
      <c r="G8" s="313">
        <v>45717</v>
      </c>
      <c r="H8" s="19" t="s">
        <v>720</v>
      </c>
      <c r="I8" s="9"/>
      <c r="J8" s="9"/>
    </row>
    <row r="9" spans="1:11" x14ac:dyDescent="0.2">
      <c r="A9" s="9"/>
      <c r="B9" s="18" t="s">
        <v>143</v>
      </c>
      <c r="C9" s="19" t="s">
        <v>721</v>
      </c>
      <c r="D9" s="20" t="s">
        <v>722</v>
      </c>
      <c r="E9" s="19" t="s">
        <v>723</v>
      </c>
      <c r="F9" s="19" t="s">
        <v>724</v>
      </c>
      <c r="G9" s="313">
        <v>45717</v>
      </c>
      <c r="H9" s="19" t="s">
        <v>725</v>
      </c>
      <c r="I9" s="9"/>
      <c r="J9" s="9"/>
    </row>
    <row r="10" spans="1:11" x14ac:dyDescent="0.2">
      <c r="A10" s="9"/>
      <c r="B10" s="18" t="s">
        <v>144</v>
      </c>
      <c r="C10" s="19" t="s">
        <v>726</v>
      </c>
      <c r="D10" s="20" t="s">
        <v>727</v>
      </c>
      <c r="E10" s="19" t="s">
        <v>728</v>
      </c>
      <c r="F10" s="19" t="s">
        <v>729</v>
      </c>
      <c r="G10" s="313">
        <v>45717</v>
      </c>
      <c r="H10" s="19" t="s">
        <v>730</v>
      </c>
      <c r="I10" s="9"/>
      <c r="J10" s="9"/>
    </row>
    <row r="11" spans="1:11" x14ac:dyDescent="0.2">
      <c r="A11" s="9"/>
      <c r="B11" s="18" t="s">
        <v>145</v>
      </c>
      <c r="C11" s="19" t="s">
        <v>731</v>
      </c>
      <c r="D11" s="20" t="s">
        <v>727</v>
      </c>
      <c r="E11" s="19" t="s">
        <v>732</v>
      </c>
      <c r="F11" s="19" t="s">
        <v>733</v>
      </c>
      <c r="G11" s="313">
        <v>45717</v>
      </c>
      <c r="H11" s="19" t="s">
        <v>637</v>
      </c>
      <c r="I11" s="9"/>
      <c r="J11" s="9"/>
    </row>
    <row r="12" spans="1:11" x14ac:dyDescent="0.2">
      <c r="A12" s="9"/>
      <c r="B12" s="18" t="s">
        <v>146</v>
      </c>
      <c r="C12" s="19" t="s">
        <v>734</v>
      </c>
      <c r="D12" s="20" t="s">
        <v>735</v>
      </c>
      <c r="E12" s="19" t="s">
        <v>736</v>
      </c>
      <c r="F12" s="19" t="s">
        <v>17</v>
      </c>
      <c r="G12" s="313">
        <v>45717</v>
      </c>
      <c r="H12" s="19" t="s">
        <v>737</v>
      </c>
      <c r="I12" s="9"/>
      <c r="J12" s="9"/>
    </row>
    <row r="13" spans="1:11" x14ac:dyDescent="0.2">
      <c r="A13" s="9"/>
      <c r="B13" s="18" t="s">
        <v>147</v>
      </c>
      <c r="C13" s="19" t="s">
        <v>738</v>
      </c>
      <c r="D13" s="20" t="s">
        <v>739</v>
      </c>
      <c r="E13" s="19" t="s">
        <v>740</v>
      </c>
      <c r="F13" s="19" t="s">
        <v>50</v>
      </c>
      <c r="G13" s="313">
        <v>45627</v>
      </c>
      <c r="H13" s="19" t="s">
        <v>741</v>
      </c>
      <c r="I13" s="9"/>
      <c r="J13" s="9"/>
    </row>
    <row r="14" spans="1:11" x14ac:dyDescent="0.2">
      <c r="A14" s="9"/>
      <c r="B14" s="18" t="s">
        <v>148</v>
      </c>
      <c r="C14" s="19" t="s">
        <v>742</v>
      </c>
      <c r="D14" s="20" t="s">
        <v>714</v>
      </c>
      <c r="E14" s="19" t="s">
        <v>743</v>
      </c>
      <c r="F14" s="19" t="s">
        <v>19</v>
      </c>
      <c r="G14" s="313">
        <v>45717</v>
      </c>
      <c r="H14" s="19" t="s">
        <v>744</v>
      </c>
      <c r="I14" s="9"/>
      <c r="J14" s="9"/>
    </row>
    <row r="15" spans="1:11" x14ac:dyDescent="0.2">
      <c r="A15" s="9"/>
      <c r="B15" s="18" t="s">
        <v>149</v>
      </c>
      <c r="C15" s="19"/>
      <c r="D15" s="20"/>
      <c r="E15" s="19"/>
      <c r="F15" s="19"/>
      <c r="G15" s="20"/>
      <c r="H15" s="19"/>
      <c r="I15" s="9"/>
      <c r="J15" s="9"/>
    </row>
    <row r="16" spans="1:11" x14ac:dyDescent="0.2">
      <c r="A16" s="9"/>
      <c r="B16" s="18" t="s">
        <v>150</v>
      </c>
      <c r="C16" s="19"/>
      <c r="D16" s="9"/>
      <c r="E16" s="9"/>
      <c r="F16" s="9"/>
      <c r="G16" s="9"/>
      <c r="H16" s="9"/>
      <c r="I16" s="9"/>
      <c r="J16" s="9"/>
    </row>
    <row r="17" spans="1:10" x14ac:dyDescent="0.2">
      <c r="A17" s="9"/>
      <c r="B17" s="9"/>
      <c r="C17" s="9"/>
      <c r="D17" s="9"/>
      <c r="E17" s="9"/>
      <c r="F17" s="9"/>
      <c r="G17" s="9"/>
      <c r="H17" s="9"/>
      <c r="I17" s="9"/>
      <c r="J17" s="9"/>
    </row>
    <row r="18" spans="1:10" x14ac:dyDescent="0.2">
      <c r="A18" s="9"/>
      <c r="B18" s="14" t="s">
        <v>151</v>
      </c>
      <c r="C18" s="15"/>
      <c r="D18" s="15"/>
      <c r="E18" s="15"/>
      <c r="F18" s="15"/>
      <c r="G18" s="15"/>
      <c r="H18" s="15"/>
      <c r="I18" s="9"/>
      <c r="J18" s="9"/>
    </row>
    <row r="19" spans="1:10" x14ac:dyDescent="0.2">
      <c r="A19" s="9"/>
      <c r="B19" s="17" t="s">
        <v>152</v>
      </c>
      <c r="C19" s="17"/>
      <c r="D19" s="16" t="s">
        <v>153</v>
      </c>
      <c r="E19" s="17" t="s">
        <v>154</v>
      </c>
      <c r="F19" s="17" t="s">
        <v>155</v>
      </c>
      <c r="G19" s="16" t="s">
        <v>156</v>
      </c>
      <c r="H19" s="16" t="s">
        <v>157</v>
      </c>
      <c r="I19" s="9"/>
      <c r="J19" s="9"/>
    </row>
    <row r="20" spans="1:10" x14ac:dyDescent="0.2">
      <c r="A20" s="9"/>
      <c r="B20" s="21" t="s">
        <v>158</v>
      </c>
      <c r="C20" s="9"/>
      <c r="D20" s="314">
        <v>3.2300000000000002E-2</v>
      </c>
      <c r="E20" s="19" t="s">
        <v>745</v>
      </c>
      <c r="F20" s="19" t="s">
        <v>746</v>
      </c>
      <c r="G20" s="313">
        <v>45717</v>
      </c>
      <c r="H20" s="20" t="s">
        <v>146</v>
      </c>
      <c r="I20" s="9"/>
      <c r="J20" s="9"/>
    </row>
    <row r="21" spans="1:10" x14ac:dyDescent="0.2">
      <c r="A21" s="9"/>
      <c r="B21" s="21" t="s">
        <v>159</v>
      </c>
      <c r="C21" s="9"/>
      <c r="D21" s="314">
        <v>5.0099999999999999E-2</v>
      </c>
      <c r="E21" s="19" t="s">
        <v>747</v>
      </c>
      <c r="F21" s="19" t="s">
        <v>746</v>
      </c>
      <c r="G21" s="313">
        <v>45717</v>
      </c>
      <c r="H21" s="20" t="s">
        <v>144</v>
      </c>
      <c r="I21" s="9"/>
      <c r="J21" s="9"/>
    </row>
    <row r="22" spans="1:10" x14ac:dyDescent="0.2">
      <c r="A22" s="9"/>
      <c r="B22" s="21" t="s">
        <v>160</v>
      </c>
      <c r="C22" s="9"/>
      <c r="D22" s="22">
        <v>1.23</v>
      </c>
      <c r="E22" s="19" t="s">
        <v>748</v>
      </c>
      <c r="F22" s="19" t="s">
        <v>746</v>
      </c>
      <c r="G22" s="313">
        <v>45717</v>
      </c>
      <c r="H22" s="20" t="s">
        <v>144</v>
      </c>
      <c r="I22" s="9"/>
      <c r="J22" s="9"/>
    </row>
    <row r="23" spans="1:10" x14ac:dyDescent="0.2">
      <c r="A23" s="9"/>
      <c r="B23" s="21" t="s">
        <v>161</v>
      </c>
      <c r="C23" s="9"/>
      <c r="D23" s="314">
        <v>2.5000000000000001E-2</v>
      </c>
      <c r="E23" s="19" t="s">
        <v>749</v>
      </c>
      <c r="F23" s="19" t="s">
        <v>750</v>
      </c>
      <c r="G23" s="20" t="s">
        <v>54</v>
      </c>
      <c r="H23" s="20" t="s">
        <v>144</v>
      </c>
      <c r="I23" s="9"/>
      <c r="J23" s="9"/>
    </row>
    <row r="24" spans="1:10" x14ac:dyDescent="0.2">
      <c r="A24" s="9"/>
      <c r="B24" s="21" t="s">
        <v>162</v>
      </c>
      <c r="C24" s="9"/>
      <c r="D24" s="314">
        <v>0.28999999999999998</v>
      </c>
      <c r="E24" s="19" t="s">
        <v>751</v>
      </c>
      <c r="F24" s="19" t="s">
        <v>752</v>
      </c>
      <c r="G24" s="20" t="s">
        <v>753</v>
      </c>
      <c r="H24" s="20" t="s">
        <v>140</v>
      </c>
      <c r="I24" s="9"/>
      <c r="J24" s="9"/>
    </row>
    <row r="25" spans="1:10" x14ac:dyDescent="0.2">
      <c r="A25" s="9"/>
      <c r="B25" s="21" t="s">
        <v>802</v>
      </c>
      <c r="C25" s="9"/>
      <c r="D25" s="22" t="s">
        <v>754</v>
      </c>
      <c r="E25" s="19" t="s">
        <v>755</v>
      </c>
      <c r="F25" s="19" t="s">
        <v>756</v>
      </c>
      <c r="G25" s="313">
        <v>45627</v>
      </c>
      <c r="H25" s="20" t="s">
        <v>147</v>
      </c>
      <c r="I25" s="9"/>
      <c r="J25" s="9"/>
    </row>
    <row r="26" spans="1:10" x14ac:dyDescent="0.2">
      <c r="A26" s="9"/>
      <c r="B26" s="21" t="s">
        <v>163</v>
      </c>
      <c r="C26" s="9"/>
      <c r="D26" s="22" t="s">
        <v>757</v>
      </c>
      <c r="E26" s="19" t="s">
        <v>758</v>
      </c>
      <c r="F26" s="19" t="s">
        <v>759</v>
      </c>
      <c r="G26" s="313">
        <v>45717</v>
      </c>
      <c r="H26" s="20" t="s">
        <v>144</v>
      </c>
      <c r="I26" s="9"/>
      <c r="J26" s="9"/>
    </row>
    <row r="27" spans="1:10" x14ac:dyDescent="0.2">
      <c r="A27" s="9"/>
      <c r="B27" s="21" t="s">
        <v>164</v>
      </c>
      <c r="C27" s="9"/>
      <c r="D27" s="22" t="s">
        <v>760</v>
      </c>
      <c r="E27" s="19" t="s">
        <v>761</v>
      </c>
      <c r="F27" s="19" t="s">
        <v>759</v>
      </c>
      <c r="G27" s="313">
        <v>45717</v>
      </c>
      <c r="H27" s="20" t="s">
        <v>144</v>
      </c>
      <c r="I27" s="9"/>
      <c r="J27" s="9"/>
    </row>
    <row r="28" spans="1:10" x14ac:dyDescent="0.2">
      <c r="A28" s="9"/>
      <c r="B28" s="19" t="s">
        <v>165</v>
      </c>
      <c r="C28" s="9"/>
      <c r="D28" s="9"/>
      <c r="E28" s="9"/>
      <c r="F28" s="9"/>
      <c r="G28" s="9"/>
      <c r="H28" s="9"/>
      <c r="I28" s="9"/>
      <c r="J28" s="9"/>
    </row>
    <row r="29" spans="1:10" x14ac:dyDescent="0.2">
      <c r="A29" s="9"/>
      <c r="B29" s="9"/>
      <c r="C29" s="9"/>
      <c r="D29" s="9"/>
      <c r="E29" s="9"/>
      <c r="F29" s="9"/>
      <c r="G29" s="9"/>
      <c r="H29" s="9"/>
      <c r="I29" s="9"/>
      <c r="J29" s="9"/>
    </row>
    <row r="30" spans="1:10" x14ac:dyDescent="0.2">
      <c r="A30" s="9"/>
      <c r="B30" s="14" t="s">
        <v>166</v>
      </c>
      <c r="C30" s="15"/>
      <c r="D30" s="15"/>
      <c r="E30" s="15"/>
      <c r="F30" s="15"/>
      <c r="G30" s="15"/>
      <c r="H30" s="15"/>
      <c r="I30" s="9"/>
      <c r="J30" s="9"/>
    </row>
    <row r="31" spans="1:10" x14ac:dyDescent="0.2">
      <c r="A31" s="9"/>
      <c r="B31" s="16" t="s">
        <v>167</v>
      </c>
      <c r="C31" s="17" t="s">
        <v>168</v>
      </c>
      <c r="D31" s="17" t="s">
        <v>169</v>
      </c>
      <c r="E31" s="16" t="s">
        <v>157</v>
      </c>
      <c r="F31" s="17" t="s">
        <v>170</v>
      </c>
      <c r="G31" s="9"/>
      <c r="H31" s="9"/>
      <c r="I31" s="9"/>
      <c r="J31" s="9"/>
    </row>
    <row r="32" spans="1:10" x14ac:dyDescent="0.2">
      <c r="A32" s="9"/>
      <c r="B32" s="18" t="s">
        <v>171</v>
      </c>
      <c r="C32" s="19" t="s">
        <v>762</v>
      </c>
      <c r="D32" s="19" t="s">
        <v>763</v>
      </c>
      <c r="E32" s="20" t="s">
        <v>146</v>
      </c>
      <c r="F32" s="19" t="s">
        <v>764</v>
      </c>
      <c r="G32" s="9"/>
      <c r="H32" s="9"/>
      <c r="I32" s="9"/>
      <c r="J32" s="9"/>
    </row>
    <row r="33" spans="1:10" x14ac:dyDescent="0.2">
      <c r="A33" s="9"/>
      <c r="B33" s="18" t="s">
        <v>172</v>
      </c>
      <c r="C33" s="19" t="s">
        <v>765</v>
      </c>
      <c r="D33" s="19" t="s">
        <v>766</v>
      </c>
      <c r="E33" s="20" t="s">
        <v>144</v>
      </c>
      <c r="F33" s="19" t="s">
        <v>767</v>
      </c>
      <c r="G33" s="9"/>
      <c r="H33" s="9"/>
      <c r="I33" s="9"/>
      <c r="J33" s="9"/>
    </row>
    <row r="34" spans="1:10" x14ac:dyDescent="0.2">
      <c r="A34" s="9"/>
      <c r="B34" s="18" t="s">
        <v>173</v>
      </c>
      <c r="C34" s="19" t="s">
        <v>768</v>
      </c>
      <c r="D34" s="19" t="s">
        <v>769</v>
      </c>
      <c r="E34" s="20" t="s">
        <v>144</v>
      </c>
      <c r="F34" s="19" t="s">
        <v>770</v>
      </c>
      <c r="G34" s="9"/>
      <c r="H34" s="9"/>
      <c r="I34" s="9"/>
      <c r="J34" s="9"/>
    </row>
    <row r="35" spans="1:10" x14ac:dyDescent="0.2">
      <c r="A35" s="9"/>
      <c r="B35" s="18" t="s">
        <v>174</v>
      </c>
      <c r="C35" s="19" t="s">
        <v>771</v>
      </c>
      <c r="D35" s="19" t="s">
        <v>772</v>
      </c>
      <c r="E35" s="20" t="s">
        <v>140</v>
      </c>
      <c r="F35" s="19" t="s">
        <v>773</v>
      </c>
      <c r="G35" s="9"/>
      <c r="H35" s="9"/>
      <c r="I35" s="9"/>
      <c r="J35" s="9"/>
    </row>
    <row r="36" spans="1:10" x14ac:dyDescent="0.2">
      <c r="A36" s="9"/>
      <c r="B36" s="18" t="s">
        <v>175</v>
      </c>
      <c r="C36" s="19" t="s">
        <v>774</v>
      </c>
      <c r="D36" s="19" t="s">
        <v>775</v>
      </c>
      <c r="E36" s="20" t="s">
        <v>143</v>
      </c>
      <c r="F36" s="19" t="s">
        <v>776</v>
      </c>
      <c r="G36" s="9"/>
      <c r="H36" s="9"/>
      <c r="I36" s="9"/>
      <c r="J36" s="9"/>
    </row>
    <row r="37" spans="1:10" x14ac:dyDescent="0.2">
      <c r="A37" s="9"/>
      <c r="B37" s="18" t="s">
        <v>176</v>
      </c>
      <c r="C37" s="19" t="s">
        <v>777</v>
      </c>
      <c r="D37" s="19" t="s">
        <v>778</v>
      </c>
      <c r="E37" s="20" t="s">
        <v>140</v>
      </c>
      <c r="F37" s="19" t="s">
        <v>779</v>
      </c>
      <c r="G37" s="9"/>
      <c r="H37" s="9"/>
      <c r="I37" s="9"/>
      <c r="J37" s="9"/>
    </row>
    <row r="38" spans="1:10" x14ac:dyDescent="0.2">
      <c r="A38" s="9"/>
      <c r="B38" s="18" t="s">
        <v>177</v>
      </c>
      <c r="C38" s="19" t="s">
        <v>780</v>
      </c>
      <c r="D38" s="19" t="s">
        <v>781</v>
      </c>
      <c r="E38" s="20" t="s">
        <v>145</v>
      </c>
      <c r="F38" s="19" t="s">
        <v>782</v>
      </c>
      <c r="G38" s="9"/>
      <c r="H38" s="9"/>
      <c r="I38" s="9"/>
      <c r="J38" s="9"/>
    </row>
    <row r="39" spans="1:10" x14ac:dyDescent="0.2">
      <c r="A39" s="9"/>
      <c r="B39" s="18" t="s">
        <v>178</v>
      </c>
      <c r="C39" s="19" t="s">
        <v>783</v>
      </c>
      <c r="D39" s="19" t="s">
        <v>784</v>
      </c>
      <c r="E39" s="20" t="s">
        <v>140</v>
      </c>
      <c r="F39" s="19" t="s">
        <v>785</v>
      </c>
      <c r="G39" s="9"/>
      <c r="H39" s="9"/>
      <c r="I39" s="9"/>
      <c r="J39" s="9"/>
    </row>
    <row r="40" spans="1:10" x14ac:dyDescent="0.2">
      <c r="A40" s="9"/>
      <c r="B40" s="18" t="s">
        <v>179</v>
      </c>
      <c r="C40" s="19" t="s">
        <v>786</v>
      </c>
      <c r="D40" s="19" t="s">
        <v>787</v>
      </c>
      <c r="E40" s="20" t="s">
        <v>140</v>
      </c>
      <c r="F40" s="19" t="s">
        <v>788</v>
      </c>
      <c r="G40" s="9"/>
      <c r="H40" s="9"/>
      <c r="I40" s="9"/>
      <c r="J40" s="9"/>
    </row>
    <row r="41" spans="1:10" x14ac:dyDescent="0.2">
      <c r="A41" s="9"/>
      <c r="B41" s="18" t="s">
        <v>180</v>
      </c>
      <c r="C41" s="19" t="s">
        <v>789</v>
      </c>
      <c r="D41" s="19" t="s">
        <v>801</v>
      </c>
      <c r="E41" s="20" t="s">
        <v>144</v>
      </c>
      <c r="F41" s="19" t="s">
        <v>803</v>
      </c>
      <c r="G41" s="9"/>
      <c r="H41" s="9"/>
      <c r="I41" s="9"/>
      <c r="J41" s="9"/>
    </row>
    <row r="42" spans="1:10" x14ac:dyDescent="0.2">
      <c r="A42" s="9"/>
      <c r="B42" s="9"/>
      <c r="C42" s="9"/>
      <c r="D42" s="9"/>
      <c r="E42" s="9"/>
      <c r="F42" s="9"/>
      <c r="G42" s="9"/>
      <c r="H42" s="9"/>
      <c r="I42" s="9"/>
      <c r="J42" s="9"/>
    </row>
    <row r="43" spans="1:10" x14ac:dyDescent="0.2">
      <c r="A43" s="9"/>
      <c r="B43" s="14" t="s">
        <v>181</v>
      </c>
      <c r="C43" s="15"/>
      <c r="D43" s="15"/>
      <c r="E43" s="15"/>
      <c r="F43" s="15"/>
      <c r="G43" s="15"/>
      <c r="H43" s="15"/>
      <c r="I43" s="9"/>
      <c r="J43" s="9"/>
    </row>
    <row r="44" spans="1:10" x14ac:dyDescent="0.2">
      <c r="A44" s="9"/>
      <c r="B44" s="17" t="s">
        <v>182</v>
      </c>
      <c r="C44" s="17" t="s">
        <v>183</v>
      </c>
      <c r="D44" s="17" t="s">
        <v>184</v>
      </c>
      <c r="E44" s="9"/>
      <c r="F44" s="9"/>
      <c r="G44" s="9"/>
      <c r="H44" s="9"/>
      <c r="I44" s="9"/>
      <c r="J44" s="9"/>
    </row>
    <row r="45" spans="1:10" x14ac:dyDescent="0.2">
      <c r="A45" s="9"/>
      <c r="B45" s="23" t="s">
        <v>185</v>
      </c>
      <c r="C45" s="19" t="s">
        <v>790</v>
      </c>
      <c r="D45" s="19" t="s">
        <v>17</v>
      </c>
      <c r="E45" s="9"/>
      <c r="F45" s="9"/>
      <c r="G45" s="9"/>
      <c r="H45" s="9"/>
      <c r="I45" s="9"/>
      <c r="J45" s="9"/>
    </row>
    <row r="46" spans="1:10" x14ac:dyDescent="0.2">
      <c r="A46" s="9"/>
      <c r="B46" s="23" t="s">
        <v>186</v>
      </c>
      <c r="C46" s="19" t="s">
        <v>791</v>
      </c>
      <c r="D46" s="19" t="s">
        <v>17</v>
      </c>
      <c r="E46" s="9"/>
      <c r="F46" s="9"/>
      <c r="G46" s="9"/>
      <c r="H46" s="9"/>
      <c r="I46" s="9"/>
      <c r="J46" s="9"/>
    </row>
    <row r="47" spans="1:10" x14ac:dyDescent="0.2">
      <c r="A47" s="9"/>
      <c r="B47" s="23" t="s">
        <v>187</v>
      </c>
      <c r="C47" s="19" t="s">
        <v>792</v>
      </c>
      <c r="D47" s="19" t="s">
        <v>50</v>
      </c>
      <c r="E47" s="9"/>
      <c r="F47" s="9"/>
      <c r="G47" s="9"/>
      <c r="H47" s="9"/>
      <c r="I47" s="9"/>
      <c r="J47" s="9"/>
    </row>
    <row r="48" spans="1:10" x14ac:dyDescent="0.2">
      <c r="A48" s="9"/>
      <c r="B48" s="23" t="s">
        <v>188</v>
      </c>
      <c r="C48" s="19" t="s">
        <v>793</v>
      </c>
      <c r="D48" s="19" t="s">
        <v>45</v>
      </c>
      <c r="E48" s="9"/>
      <c r="F48" s="9"/>
      <c r="G48" s="9"/>
      <c r="H48" s="9"/>
      <c r="I48" s="9"/>
      <c r="J48" s="9"/>
    </row>
    <row r="49" spans="1:10" x14ac:dyDescent="0.2">
      <c r="A49" s="9"/>
      <c r="B49" s="23" t="s">
        <v>189</v>
      </c>
      <c r="C49" s="19" t="s">
        <v>794</v>
      </c>
      <c r="D49" s="19" t="s">
        <v>52</v>
      </c>
      <c r="E49" s="9"/>
      <c r="F49" s="9"/>
      <c r="G49" s="9"/>
      <c r="H49" s="9"/>
      <c r="I49" s="9"/>
      <c r="J49" s="9"/>
    </row>
    <row r="50" spans="1:10" x14ac:dyDescent="0.2">
      <c r="A50" s="9"/>
      <c r="B50" s="23" t="s">
        <v>190</v>
      </c>
      <c r="C50" s="19" t="s">
        <v>795</v>
      </c>
      <c r="D50" s="19" t="s">
        <v>52</v>
      </c>
      <c r="E50" s="9"/>
      <c r="F50" s="9"/>
      <c r="G50" s="9"/>
      <c r="H50" s="9"/>
      <c r="I50" s="9"/>
      <c r="J50" s="9"/>
    </row>
    <row r="51" spans="1:10" x14ac:dyDescent="0.2">
      <c r="A51" s="9"/>
      <c r="B51" s="23" t="s">
        <v>191</v>
      </c>
      <c r="C51" s="19" t="s">
        <v>796</v>
      </c>
      <c r="D51" s="19" t="s">
        <v>17</v>
      </c>
      <c r="E51" s="9"/>
      <c r="F51" s="9"/>
      <c r="G51" s="9"/>
      <c r="H51" s="9"/>
      <c r="I51" s="9"/>
      <c r="J51" s="9"/>
    </row>
    <row r="52" spans="1:10" x14ac:dyDescent="0.2">
      <c r="A52" s="9"/>
      <c r="B52" s="23" t="s">
        <v>192</v>
      </c>
      <c r="C52" s="19" t="s">
        <v>797</v>
      </c>
      <c r="D52" s="19" t="s">
        <v>45</v>
      </c>
      <c r="E52" s="9"/>
      <c r="F52" s="9"/>
      <c r="G52" s="9"/>
      <c r="H52" s="9"/>
      <c r="I52" s="9"/>
      <c r="J52" s="9"/>
    </row>
    <row r="53" spans="1:10" x14ac:dyDescent="0.2">
      <c r="A53" s="9"/>
      <c r="B53" s="23" t="s">
        <v>193</v>
      </c>
      <c r="C53" s="19" t="s">
        <v>798</v>
      </c>
      <c r="D53" s="19" t="s">
        <v>799</v>
      </c>
      <c r="E53" s="9"/>
      <c r="F53" s="9"/>
      <c r="G53" s="9"/>
      <c r="H53" s="9"/>
      <c r="I53" s="9"/>
      <c r="J53" s="9"/>
    </row>
    <row r="54" spans="1:10" x14ac:dyDescent="0.2">
      <c r="A54" s="9"/>
      <c r="B54" s="23" t="s">
        <v>195</v>
      </c>
      <c r="C54" s="19" t="s">
        <v>800</v>
      </c>
      <c r="D54" s="19" t="s">
        <v>24</v>
      </c>
      <c r="E54" s="9"/>
      <c r="F54" s="9"/>
      <c r="G54" s="9"/>
      <c r="H54" s="9"/>
      <c r="I54" s="9"/>
      <c r="J54" s="9"/>
    </row>
    <row r="55" spans="1:10" x14ac:dyDescent="0.2">
      <c r="A55" s="9"/>
      <c r="B55" s="9"/>
      <c r="C55" s="9"/>
      <c r="D55" s="9"/>
      <c r="E55" s="9"/>
      <c r="F55" s="9"/>
      <c r="G55" s="9"/>
      <c r="H55" s="9"/>
      <c r="I55" s="9"/>
      <c r="J55" s="9"/>
    </row>
    <row r="56" spans="1:10" x14ac:dyDescent="0.2">
      <c r="A56" s="9"/>
      <c r="B56" s="14" t="s">
        <v>196</v>
      </c>
      <c r="C56" s="15"/>
      <c r="D56" s="15"/>
      <c r="E56" s="15"/>
      <c r="F56" s="15"/>
      <c r="G56" s="15"/>
      <c r="H56" s="15"/>
      <c r="I56" s="9"/>
      <c r="J56" s="9"/>
    </row>
    <row r="57" spans="1:10" x14ac:dyDescent="0.2">
      <c r="A57" s="9"/>
      <c r="B57" s="16" t="s">
        <v>197</v>
      </c>
      <c r="C57" s="16" t="s">
        <v>198</v>
      </c>
      <c r="D57" s="16" t="s">
        <v>199</v>
      </c>
      <c r="E57" s="17" t="s">
        <v>200</v>
      </c>
      <c r="F57" s="17" t="s">
        <v>201</v>
      </c>
      <c r="G57" s="9"/>
      <c r="H57" s="9"/>
      <c r="I57" s="9"/>
      <c r="J57" s="9"/>
    </row>
    <row r="58" spans="1:10" x14ac:dyDescent="0.2">
      <c r="A58" s="9"/>
      <c r="B58" s="18" t="s">
        <v>202</v>
      </c>
      <c r="C58" s="20" t="s">
        <v>141</v>
      </c>
      <c r="D58" s="20" t="s">
        <v>203</v>
      </c>
      <c r="E58" s="19" t="s">
        <v>204</v>
      </c>
      <c r="F58" s="19" t="s">
        <v>205</v>
      </c>
      <c r="G58" s="9"/>
      <c r="H58" s="9"/>
      <c r="I58" s="9"/>
      <c r="J58" s="9"/>
    </row>
    <row r="59" spans="1:10" x14ac:dyDescent="0.2">
      <c r="A59" s="9"/>
      <c r="B59" s="18" t="s">
        <v>206</v>
      </c>
      <c r="C59" s="20" t="s">
        <v>141</v>
      </c>
      <c r="D59" s="20" t="s">
        <v>203</v>
      </c>
      <c r="E59" s="19" t="s">
        <v>207</v>
      </c>
      <c r="F59" s="19" t="s">
        <v>194</v>
      </c>
      <c r="G59" s="9"/>
      <c r="H59" s="9"/>
      <c r="I59" s="9"/>
      <c r="J59" s="9"/>
    </row>
    <row r="60" spans="1:10" x14ac:dyDescent="0.2">
      <c r="A60" s="9"/>
      <c r="B60" s="18" t="s">
        <v>208</v>
      </c>
      <c r="C60" s="20" t="s">
        <v>141</v>
      </c>
      <c r="D60" s="20" t="s">
        <v>203</v>
      </c>
      <c r="E60" s="19" t="s">
        <v>209</v>
      </c>
      <c r="F60" s="19" t="s">
        <v>210</v>
      </c>
      <c r="G60" s="9"/>
      <c r="H60" s="9"/>
      <c r="I60" s="9"/>
      <c r="J60" s="9"/>
    </row>
    <row r="61" spans="1:10" x14ac:dyDescent="0.2">
      <c r="A61" s="9"/>
      <c r="B61" s="18" t="s">
        <v>211</v>
      </c>
      <c r="C61" s="20" t="s">
        <v>141</v>
      </c>
      <c r="D61" s="20" t="s">
        <v>203</v>
      </c>
      <c r="E61" s="19" t="s">
        <v>212</v>
      </c>
      <c r="F61" s="19" t="s">
        <v>213</v>
      </c>
      <c r="G61" s="9"/>
      <c r="H61" s="9"/>
      <c r="I61" s="9"/>
      <c r="J61" s="9"/>
    </row>
    <row r="62" spans="1:10" x14ac:dyDescent="0.2">
      <c r="A62" s="9"/>
      <c r="B62" s="18" t="s">
        <v>214</v>
      </c>
      <c r="C62" s="20" t="s">
        <v>141</v>
      </c>
      <c r="D62" s="20" t="s">
        <v>203</v>
      </c>
      <c r="E62" s="19" t="s">
        <v>215</v>
      </c>
      <c r="F62" s="19" t="s">
        <v>216</v>
      </c>
      <c r="G62" s="9"/>
      <c r="H62" s="9"/>
      <c r="I62" s="9"/>
      <c r="J62" s="9"/>
    </row>
    <row r="63" spans="1:10" x14ac:dyDescent="0.2">
      <c r="A63" s="9"/>
      <c r="B63" s="18" t="s">
        <v>217</v>
      </c>
      <c r="C63" s="20" t="s">
        <v>141</v>
      </c>
      <c r="D63" s="20" t="s">
        <v>203</v>
      </c>
      <c r="E63" s="19" t="s">
        <v>215</v>
      </c>
      <c r="F63" s="19" t="s">
        <v>216</v>
      </c>
      <c r="G63" s="9"/>
      <c r="H63" s="9"/>
      <c r="I63" s="9"/>
      <c r="J63" s="9"/>
    </row>
    <row r="64" spans="1:10" x14ac:dyDescent="0.2">
      <c r="A64" s="9"/>
      <c r="B64" s="20" t="s">
        <v>218</v>
      </c>
      <c r="C64" s="9"/>
      <c r="D64" s="9"/>
      <c r="E64" s="9"/>
      <c r="F64" s="9"/>
      <c r="G64" s="9"/>
      <c r="H64" s="9"/>
      <c r="I64" s="9"/>
      <c r="J64" s="9"/>
    </row>
    <row r="65" spans="1:10" x14ac:dyDescent="0.2">
      <c r="A65" s="9"/>
      <c r="B65" s="9"/>
      <c r="C65" s="9"/>
      <c r="D65" s="9"/>
      <c r="E65" s="9"/>
      <c r="F65" s="9"/>
      <c r="G65" s="9"/>
      <c r="H65" s="9"/>
      <c r="I65" s="9"/>
      <c r="J65" s="9"/>
    </row>
    <row r="66" spans="1:10" x14ac:dyDescent="0.2">
      <c r="A66" s="9"/>
      <c r="B66" s="14" t="s">
        <v>219</v>
      </c>
      <c r="C66" s="15"/>
      <c r="D66" s="15"/>
      <c r="E66" s="15"/>
      <c r="F66" s="15"/>
      <c r="G66" s="15"/>
      <c r="H66" s="15"/>
      <c r="I66" s="9"/>
      <c r="J66" s="9"/>
    </row>
    <row r="67" spans="1:10" x14ac:dyDescent="0.2">
      <c r="A67" s="9"/>
      <c r="B67" s="24" t="s">
        <v>220</v>
      </c>
      <c r="C67" s="9"/>
      <c r="D67" s="9"/>
      <c r="E67" s="9"/>
      <c r="F67" s="9"/>
      <c r="G67" s="9"/>
      <c r="H67" s="9"/>
      <c r="I67" s="9"/>
      <c r="J67" s="9"/>
    </row>
    <row r="68" spans="1:10" x14ac:dyDescent="0.2">
      <c r="A68" s="9"/>
      <c r="B68" s="25" t="s">
        <v>221</v>
      </c>
      <c r="C68" s="9"/>
      <c r="D68" s="9"/>
      <c r="E68" s="9"/>
      <c r="F68" s="9"/>
      <c r="G68" s="9"/>
      <c r="H68" s="9"/>
      <c r="I68" s="9"/>
      <c r="J68" s="9"/>
    </row>
    <row r="69" spans="1:10" x14ac:dyDescent="0.2">
      <c r="A69" s="9"/>
      <c r="B69" s="25" t="s">
        <v>222</v>
      </c>
      <c r="C69" s="9"/>
      <c r="D69" s="9"/>
      <c r="E69" s="9"/>
      <c r="F69" s="9"/>
      <c r="G69" s="9"/>
      <c r="H69" s="9"/>
      <c r="I69" s="9"/>
      <c r="J69" s="9"/>
    </row>
    <row r="70" spans="1:10" x14ac:dyDescent="0.2">
      <c r="A70" s="9"/>
      <c r="B70" s="25" t="s">
        <v>223</v>
      </c>
      <c r="C70" s="9"/>
      <c r="D70" s="9"/>
      <c r="E70" s="9"/>
      <c r="F70" s="9"/>
      <c r="G70" s="9"/>
      <c r="H70" s="9"/>
      <c r="I70" s="9"/>
      <c r="J70" s="9"/>
    </row>
    <row r="71" spans="1:10" x14ac:dyDescent="0.2">
      <c r="A71" s="9"/>
      <c r="B71" s="25" t="s">
        <v>224</v>
      </c>
      <c r="C71" s="9"/>
      <c r="D71" s="9"/>
      <c r="E71" s="9"/>
      <c r="F71" s="9"/>
      <c r="G71" s="9"/>
      <c r="H71" s="9"/>
      <c r="I71" s="9"/>
      <c r="J71" s="9"/>
    </row>
    <row r="72" spans="1:10" x14ac:dyDescent="0.2">
      <c r="A72" s="9"/>
      <c r="B72" s="25" t="s">
        <v>225</v>
      </c>
      <c r="C72" s="9"/>
      <c r="D72" s="9"/>
      <c r="E72" s="9"/>
      <c r="F72" s="9"/>
      <c r="G72" s="9"/>
      <c r="H72" s="9"/>
      <c r="I72" s="9"/>
      <c r="J72" s="9"/>
    </row>
    <row r="73" spans="1:10" x14ac:dyDescent="0.2">
      <c r="A73" s="9"/>
      <c r="B73" s="25" t="s">
        <v>226</v>
      </c>
      <c r="C73" s="9"/>
      <c r="D73" s="9"/>
      <c r="E73" s="9"/>
      <c r="F73" s="9"/>
      <c r="G73" s="9"/>
      <c r="H73" s="9"/>
      <c r="I73" s="9"/>
      <c r="J73" s="9"/>
    </row>
    <row r="74" spans="1:10" x14ac:dyDescent="0.2">
      <c r="A74" s="9"/>
      <c r="B74" s="25" t="s">
        <v>227</v>
      </c>
      <c r="C74" s="9"/>
      <c r="D74" s="9"/>
      <c r="E74" s="9"/>
      <c r="F74" s="9"/>
      <c r="G74" s="9"/>
      <c r="H74" s="9"/>
      <c r="I74" s="9"/>
      <c r="J74" s="9"/>
    </row>
    <row r="75" spans="1:10" x14ac:dyDescent="0.2">
      <c r="A75" s="9"/>
      <c r="B75" s="9"/>
      <c r="C75" s="9"/>
      <c r="D75" s="9"/>
      <c r="E75" s="9"/>
      <c r="F75" s="9"/>
      <c r="G75" s="9"/>
      <c r="H75" s="9"/>
      <c r="I75" s="9"/>
      <c r="J75" s="9"/>
    </row>
    <row r="76" spans="1:10" x14ac:dyDescent="0.2">
      <c r="A76" s="9"/>
      <c r="B76" s="9"/>
      <c r="C76" s="9"/>
      <c r="D76" s="9"/>
      <c r="E76" s="9"/>
      <c r="F76" s="9"/>
      <c r="G76" s="9"/>
      <c r="H76" s="9"/>
      <c r="I76" s="9"/>
      <c r="J76" s="9"/>
    </row>
    <row r="77" spans="1:10" x14ac:dyDescent="0.2">
      <c r="A77" s="9"/>
      <c r="B77" s="9"/>
      <c r="C77" s="9"/>
      <c r="D77" s="9"/>
      <c r="E77" s="9"/>
      <c r="F77" s="9"/>
      <c r="G77" s="9"/>
      <c r="H77" s="9"/>
      <c r="I77" s="9"/>
      <c r="J77" s="9"/>
    </row>
    <row r="78" spans="1:10" x14ac:dyDescent="0.2">
      <c r="A78" s="9"/>
      <c r="B78" s="9"/>
      <c r="C78" s="9"/>
      <c r="D78" s="9"/>
      <c r="E78" s="9"/>
      <c r="F78" s="9"/>
      <c r="G78" s="9"/>
      <c r="H78" s="9"/>
      <c r="I78" s="9"/>
      <c r="J78" s="9"/>
    </row>
    <row r="79" spans="1:10" x14ac:dyDescent="0.2">
      <c r="A79" s="9"/>
      <c r="B79" s="9"/>
      <c r="C79" s="9"/>
      <c r="D79" s="9"/>
      <c r="E79" s="9"/>
      <c r="F79" s="9"/>
      <c r="G79" s="9"/>
      <c r="H79" s="9"/>
      <c r="I79" s="9"/>
      <c r="J79" s="9"/>
    </row>
    <row r="80" spans="1:10" x14ac:dyDescent="0.2">
      <c r="A80" s="9"/>
      <c r="B80" s="9"/>
      <c r="C80" s="9"/>
      <c r="D80" s="9"/>
      <c r="E80" s="9"/>
      <c r="F80" s="9"/>
      <c r="G80" s="9"/>
      <c r="H80" s="9"/>
      <c r="I80" s="9"/>
      <c r="J80" s="9"/>
    </row>
    <row r="81" spans="1:10" x14ac:dyDescent="0.2">
      <c r="A81" s="9"/>
      <c r="B81" s="9"/>
      <c r="C81" s="9"/>
      <c r="D81" s="9"/>
      <c r="E81" s="9"/>
      <c r="F81" s="9"/>
      <c r="G81" s="9"/>
      <c r="H81" s="9"/>
      <c r="I81" s="9"/>
      <c r="J81" s="9"/>
    </row>
    <row r="82" spans="1:10" x14ac:dyDescent="0.2">
      <c r="A82" s="9"/>
      <c r="B82" s="9"/>
      <c r="C82" s="9"/>
      <c r="D82" s="9"/>
      <c r="E82" s="9"/>
      <c r="F82" s="9"/>
      <c r="G82" s="9"/>
      <c r="H82" s="9"/>
      <c r="I82" s="9"/>
      <c r="J82" s="9"/>
    </row>
    <row r="83" spans="1:10" x14ac:dyDescent="0.2">
      <c r="A83" s="9"/>
      <c r="B83" s="9"/>
      <c r="C83" s="9"/>
      <c r="D83" s="9"/>
      <c r="E83" s="9"/>
      <c r="F83" s="9"/>
      <c r="G83" s="9"/>
      <c r="H83" s="9"/>
      <c r="I83" s="9"/>
      <c r="J83" s="9"/>
    </row>
    <row r="84" spans="1:10" x14ac:dyDescent="0.2">
      <c r="A84" s="9"/>
      <c r="B84" s="9"/>
      <c r="C84" s="9"/>
      <c r="D84" s="9"/>
      <c r="E84" s="9"/>
      <c r="F84" s="9"/>
      <c r="G84" s="9"/>
      <c r="H84" s="9"/>
      <c r="I84" s="9"/>
      <c r="J84" s="9"/>
    </row>
    <row r="85" spans="1:10" x14ac:dyDescent="0.2">
      <c r="A85" s="9"/>
      <c r="B85" s="9"/>
      <c r="C85" s="9"/>
      <c r="D85" s="9"/>
      <c r="E85" s="9"/>
      <c r="F85" s="9"/>
      <c r="G85" s="9"/>
      <c r="H85" s="9"/>
      <c r="I85" s="9"/>
      <c r="J85" s="9"/>
    </row>
    <row r="86" spans="1:10" x14ac:dyDescent="0.2">
      <c r="A86" s="9"/>
      <c r="B86" s="9"/>
      <c r="C86" s="9"/>
      <c r="D86" s="9"/>
      <c r="E86" s="9"/>
      <c r="F86" s="9"/>
      <c r="G86" s="9"/>
      <c r="H86" s="9"/>
      <c r="I86" s="9"/>
      <c r="J86" s="9"/>
    </row>
    <row r="87" spans="1:10" x14ac:dyDescent="0.2">
      <c r="A87" s="9"/>
      <c r="B87" s="9"/>
      <c r="C87" s="9"/>
      <c r="D87" s="9"/>
      <c r="E87" s="9"/>
      <c r="F87" s="9"/>
      <c r="G87" s="9"/>
      <c r="H87" s="9"/>
      <c r="I87" s="9"/>
      <c r="J87" s="9"/>
    </row>
    <row r="88" spans="1:10" x14ac:dyDescent="0.2">
      <c r="A88" s="9"/>
      <c r="B88" s="9"/>
      <c r="C88" s="9"/>
      <c r="D88" s="9"/>
      <c r="E88" s="9"/>
      <c r="F88" s="9"/>
      <c r="G88" s="9"/>
      <c r="H88" s="9"/>
      <c r="I88" s="9"/>
      <c r="J88" s="9"/>
    </row>
    <row r="89" spans="1:10" x14ac:dyDescent="0.2">
      <c r="A89" s="9"/>
      <c r="B89" s="9"/>
      <c r="C89" s="9"/>
      <c r="D89" s="9"/>
      <c r="E89" s="9"/>
      <c r="F89" s="9"/>
      <c r="G89" s="9"/>
      <c r="H89" s="9"/>
      <c r="I89" s="9"/>
      <c r="J89" s="9"/>
    </row>
    <row r="90" spans="1:10" x14ac:dyDescent="0.2">
      <c r="A90" s="9"/>
      <c r="B90" s="9"/>
      <c r="C90" s="9"/>
      <c r="D90" s="9"/>
      <c r="E90" s="9"/>
      <c r="F90" s="9"/>
      <c r="G90" s="9"/>
      <c r="H90" s="9"/>
      <c r="I90" s="9"/>
      <c r="J90" s="9"/>
    </row>
    <row r="91" spans="1:10" x14ac:dyDescent="0.2">
      <c r="A91" s="9"/>
      <c r="B91" s="9"/>
      <c r="C91" s="9"/>
      <c r="D91" s="9"/>
      <c r="E91" s="9"/>
      <c r="F91" s="9"/>
      <c r="G91" s="9"/>
      <c r="H91" s="9"/>
      <c r="I91" s="9"/>
      <c r="J91" s="9"/>
    </row>
    <row r="92" spans="1:10" x14ac:dyDescent="0.2">
      <c r="A92" s="9"/>
      <c r="B92" s="9"/>
      <c r="C92" s="9"/>
      <c r="D92" s="9"/>
      <c r="E92" s="9"/>
      <c r="F92" s="9"/>
      <c r="G92" s="9"/>
      <c r="H92" s="9"/>
      <c r="I92" s="9"/>
      <c r="J92" s="9"/>
    </row>
    <row r="93" spans="1:10" x14ac:dyDescent="0.2">
      <c r="A93" s="9"/>
      <c r="B93" s="9"/>
      <c r="C93" s="9"/>
      <c r="D93" s="9"/>
      <c r="E93" s="9"/>
      <c r="F93" s="9"/>
      <c r="G93" s="9"/>
      <c r="H93" s="9"/>
      <c r="I93" s="9"/>
      <c r="J93" s="9"/>
    </row>
    <row r="94" spans="1:10" x14ac:dyDescent="0.2">
      <c r="A94" s="9"/>
      <c r="B94" s="9"/>
      <c r="C94" s="9"/>
      <c r="D94" s="9"/>
      <c r="E94" s="9"/>
      <c r="F94" s="9"/>
      <c r="G94" s="9"/>
      <c r="H94" s="9"/>
      <c r="I94" s="9"/>
      <c r="J94" s="9"/>
    </row>
    <row r="95" spans="1:10" x14ac:dyDescent="0.2">
      <c r="A95" s="9"/>
      <c r="B95" s="9"/>
      <c r="C95" s="9"/>
      <c r="D95" s="9"/>
      <c r="E95" s="9"/>
      <c r="F95" s="9"/>
      <c r="G95" s="9"/>
      <c r="H95" s="9"/>
      <c r="I95" s="9"/>
      <c r="J95" s="9"/>
    </row>
    <row r="96" spans="1:10" x14ac:dyDescent="0.2">
      <c r="A96" s="9"/>
      <c r="B96" s="9"/>
      <c r="C96" s="9"/>
      <c r="D96" s="9"/>
      <c r="E96" s="9"/>
      <c r="F96" s="9"/>
      <c r="G96" s="9"/>
      <c r="H96" s="9"/>
      <c r="I96" s="9"/>
      <c r="J96" s="9"/>
    </row>
    <row r="97" spans="1:10" x14ac:dyDescent="0.2">
      <c r="A97" s="9"/>
      <c r="B97" s="9"/>
      <c r="C97" s="9"/>
      <c r="D97" s="9"/>
      <c r="E97" s="9"/>
      <c r="F97" s="9"/>
      <c r="G97" s="9"/>
      <c r="H97" s="9"/>
      <c r="I97" s="9"/>
      <c r="J97" s="9"/>
    </row>
    <row r="98" spans="1:10" x14ac:dyDescent="0.2">
      <c r="A98" s="9"/>
      <c r="B98" s="9"/>
      <c r="C98" s="9"/>
      <c r="D98" s="9"/>
      <c r="E98" s="9"/>
      <c r="F98" s="9"/>
      <c r="G98" s="9"/>
      <c r="H98" s="9"/>
      <c r="I98" s="9"/>
      <c r="J98" s="9"/>
    </row>
    <row r="99" spans="1:10" x14ac:dyDescent="0.2">
      <c r="A99" s="9"/>
      <c r="B99" s="9"/>
      <c r="C99" s="9"/>
      <c r="D99" s="9"/>
      <c r="E99" s="9"/>
      <c r="F99" s="9"/>
      <c r="G99" s="9"/>
      <c r="H99" s="9"/>
      <c r="I99" s="9"/>
      <c r="J99" s="9"/>
    </row>
    <row r="100" spans="1:10" x14ac:dyDescent="0.2">
      <c r="A100" s="9"/>
      <c r="B100" s="9"/>
      <c r="C100" s="9"/>
      <c r="D100" s="9"/>
      <c r="E100" s="9"/>
      <c r="F100" s="9"/>
      <c r="G100" s="9"/>
      <c r="H100" s="9"/>
      <c r="I100" s="9"/>
      <c r="J100" s="9"/>
    </row>
  </sheetData>
  <phoneticPr fontId="1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Cover</vt:lpstr>
      <vt:lpstr>TOC</vt:lpstr>
      <vt:lpstr>Executive Summary</vt:lpstr>
      <vt:lpstr>Historical Financials</vt:lpstr>
      <vt:lpstr>Historical Analysis</vt:lpstr>
      <vt:lpstr>Master Assumptions</vt:lpstr>
      <vt:lpstr>Supporting Schedules</vt:lpstr>
      <vt:lpstr>Forecast Model</vt:lpstr>
      <vt:lpstr>Integration Check</vt:lpstr>
      <vt:lpstr>DCF Valuation</vt:lpstr>
      <vt:lpstr>Trading Comps</vt:lpstr>
      <vt:lpstr>Valuation Summary</vt:lpstr>
      <vt:lpstr>Sensitivity Analysis</vt:lpstr>
      <vt:lpstr>Sources &amp; Footnotes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Divij Budhiraja</dc:creator>
  <cp:lastModifiedBy>Divij Budhiraja</cp:lastModifiedBy>
  <dcterms:created xsi:type="dcterms:W3CDTF">2026-02-07T14:08:17Z</dcterms:created>
  <dcterms:modified xsi:type="dcterms:W3CDTF">2026-03-14T15:20:53Z</dcterms:modified>
</cp:coreProperties>
</file>