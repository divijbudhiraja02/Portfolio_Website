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vijbudhiraja/Desktop/Fin_work/Equity Research/Public company research /Europe/Consumer Staples/L'oreal/"/>
    </mc:Choice>
  </mc:AlternateContent>
  <xr:revisionPtr revIDLastSave="0" documentId="13_ncr:1_{64B195DF-5ADB-784F-AFB4-CE091454DD5C}" xr6:coauthVersionLast="47" xr6:coauthVersionMax="47" xr10:uidLastSave="{00000000-0000-0000-0000-000000000000}"/>
  <bookViews>
    <workbookView xWindow="2060" yWindow="700" windowWidth="31980" windowHeight="19660" activeTab="2" xr2:uid="{D6D46415-4F71-764C-A0A6-B9336AF9D47C}"/>
  </bookViews>
  <sheets>
    <sheet name="Cover" sheetId="1" r:id="rId1"/>
    <sheet name="TOC" sheetId="2" r:id="rId2"/>
    <sheet name="Executive Summary" sheetId="3" r:id="rId3"/>
    <sheet name="Historical Financials" sheetId="9" r:id="rId4"/>
    <sheet name="Historical Analysis" sheetId="12" r:id="rId5"/>
    <sheet name="Master Assumptions" sheetId="6" r:id="rId6"/>
    <sheet name="Supporting Schedules" sheetId="18" r:id="rId7"/>
    <sheet name="Forecast Model" sheetId="14" r:id="rId8"/>
    <sheet name="Integration Check" sheetId="17" r:id="rId9"/>
    <sheet name="DCF Valuation" sheetId="22" r:id="rId10"/>
    <sheet name="Trading Comps" sheetId="23" r:id="rId11"/>
    <sheet name="Precedent Txns" sheetId="24" r:id="rId12"/>
    <sheet name="Valuation Summary" sheetId="25" r:id="rId13"/>
    <sheet name="Sensitivity Tables" sheetId="26" r:id="rId14"/>
    <sheet name="Scenario Analysis" sheetId="27" r:id="rId15"/>
    <sheet name="Football Field" sheetId="28" r:id="rId16"/>
    <sheet name="Market Data" sheetId="29" r:id="rId17"/>
    <sheet name="Sources &amp; Footnotes" sheetId="30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23" l="1"/>
  <c r="C26" i="23"/>
  <c r="C25" i="23"/>
  <c r="L21" i="23"/>
  <c r="K21" i="23"/>
  <c r="J21" i="23"/>
  <c r="L20" i="23"/>
  <c r="K20" i="23"/>
  <c r="J20" i="23"/>
  <c r="L19" i="23"/>
  <c r="K19" i="23"/>
  <c r="J19" i="23"/>
  <c r="L18" i="23"/>
  <c r="K18" i="23"/>
  <c r="J18" i="23"/>
  <c r="O15" i="23"/>
  <c r="N15" i="23"/>
  <c r="M15" i="23"/>
  <c r="O14" i="23"/>
  <c r="N14" i="23"/>
  <c r="M14" i="23"/>
  <c r="O13" i="23"/>
  <c r="N13" i="23"/>
  <c r="M13" i="23"/>
  <c r="O12" i="23"/>
  <c r="N12" i="23"/>
  <c r="M12" i="23"/>
  <c r="O11" i="23"/>
  <c r="N11" i="23"/>
  <c r="M11" i="23"/>
  <c r="O10" i="23"/>
  <c r="O19" i="23" s="1"/>
  <c r="E27" i="23" s="1"/>
  <c r="N10" i="23"/>
  <c r="M10" i="23"/>
  <c r="O9" i="23"/>
  <c r="N9" i="23"/>
  <c r="M9" i="23"/>
  <c r="O8" i="23"/>
  <c r="N8" i="23"/>
  <c r="M8" i="23"/>
  <c r="M19" i="23" s="1"/>
  <c r="E25" i="23" s="1"/>
  <c r="O7" i="23"/>
  <c r="N7" i="23"/>
  <c r="M7" i="23"/>
  <c r="E21" i="22"/>
  <c r="E66" i="22"/>
  <c r="E65" i="22"/>
  <c r="E64" i="22"/>
  <c r="E12" i="22"/>
  <c r="J65" i="14"/>
  <c r="K65" i="14" s="1"/>
  <c r="L65" i="14" s="1"/>
  <c r="M65" i="14" s="1"/>
  <c r="N65" i="14" s="1"/>
  <c r="J50" i="14"/>
  <c r="K50" i="14" s="1"/>
  <c r="L50" i="14" s="1"/>
  <c r="M50" i="14" s="1"/>
  <c r="N50" i="14" s="1"/>
  <c r="J115" i="14"/>
  <c r="K115" i="14" s="1"/>
  <c r="L115" i="14" s="1"/>
  <c r="M115" i="14" s="1"/>
  <c r="N115" i="14" s="1"/>
  <c r="K109" i="14"/>
  <c r="L109" i="14"/>
  <c r="M109" i="14"/>
  <c r="N109" i="14"/>
  <c r="J109" i="14"/>
  <c r="K110" i="14"/>
  <c r="L110" i="14"/>
  <c r="M110" i="14"/>
  <c r="N110" i="14"/>
  <c r="J110" i="14"/>
  <c r="K98" i="14"/>
  <c r="L98" i="14"/>
  <c r="M98" i="14"/>
  <c r="N98" i="14"/>
  <c r="J98" i="14"/>
  <c r="C28" i="23" l="1"/>
  <c r="N19" i="23"/>
  <c r="E26" i="23" s="1"/>
  <c r="M20" i="23"/>
  <c r="N20" i="23"/>
  <c r="O20" i="23"/>
  <c r="G25" i="23"/>
  <c r="I25" i="23" s="1"/>
  <c r="K25" i="23" s="1"/>
  <c r="G26" i="23"/>
  <c r="I26" i="23" s="1"/>
  <c r="K26" i="23" s="1"/>
  <c r="I27" i="23"/>
  <c r="K27" i="23" s="1"/>
  <c r="N18" i="23"/>
  <c r="D26" i="23" s="1"/>
  <c r="F26" i="23" s="1"/>
  <c r="H26" i="23" s="1"/>
  <c r="J26" i="23" s="1"/>
  <c r="M18" i="23"/>
  <c r="D25" i="23" s="1"/>
  <c r="F25" i="23" s="1"/>
  <c r="H25" i="23" s="1"/>
  <c r="J25" i="23" s="1"/>
  <c r="O18" i="23"/>
  <c r="D27" i="23" s="1"/>
  <c r="H27" i="23" s="1"/>
  <c r="J27" i="23" s="1"/>
  <c r="M21" i="23"/>
  <c r="N21" i="23"/>
  <c r="O21" i="23"/>
  <c r="E22" i="22"/>
  <c r="E23" i="22" s="1"/>
  <c r="I118" i="14"/>
  <c r="H118" i="14"/>
  <c r="G118" i="14"/>
  <c r="F118" i="14"/>
  <c r="I111" i="14"/>
  <c r="H111" i="14"/>
  <c r="G111" i="14"/>
  <c r="F111" i="14"/>
  <c r="I104" i="14"/>
  <c r="H104" i="14"/>
  <c r="G104" i="14"/>
  <c r="F104" i="14"/>
  <c r="E216" i="18"/>
  <c r="F216" i="18"/>
  <c r="G216" i="18"/>
  <c r="E225" i="18" s="1"/>
  <c r="D216" i="18"/>
  <c r="E207" i="18"/>
  <c r="F207" i="18"/>
  <c r="G207" i="18"/>
  <c r="D207" i="18"/>
  <c r="E236" i="18"/>
  <c r="F236" i="18"/>
  <c r="G236" i="18"/>
  <c r="E237" i="18"/>
  <c r="F237" i="18"/>
  <c r="G237" i="18"/>
  <c r="D237" i="18"/>
  <c r="D236" i="18"/>
  <c r="J66" i="14"/>
  <c r="K66" i="14" s="1"/>
  <c r="L66" i="14" s="1"/>
  <c r="M66" i="14" s="1"/>
  <c r="N66" i="14" s="1"/>
  <c r="E79" i="18"/>
  <c r="F79" i="18"/>
  <c r="G79" i="18"/>
  <c r="D79" i="18"/>
  <c r="E126" i="18"/>
  <c r="E127" i="18" s="1"/>
  <c r="F126" i="18"/>
  <c r="F127" i="18" s="1"/>
  <c r="G126" i="18"/>
  <c r="G127" i="18" s="1"/>
  <c r="F30" i="6" s="1"/>
  <c r="G30" i="6" s="1"/>
  <c r="H30" i="6" s="1"/>
  <c r="I30" i="6" s="1"/>
  <c r="J30" i="6" s="1"/>
  <c r="D126" i="18"/>
  <c r="D127" i="18" s="1"/>
  <c r="E197" i="18"/>
  <c r="E198" i="18" s="1"/>
  <c r="F197" i="18"/>
  <c r="F198" i="18" s="1"/>
  <c r="G197" i="18"/>
  <c r="G198" i="18" s="1"/>
  <c r="F35" i="6" s="1"/>
  <c r="G35" i="6" s="1"/>
  <c r="H35" i="6" s="1"/>
  <c r="I35" i="6" s="1"/>
  <c r="J35" i="6" s="1"/>
  <c r="D197" i="18"/>
  <c r="D198" i="18" s="1"/>
  <c r="E190" i="18"/>
  <c r="E191" i="18" s="1"/>
  <c r="F190" i="18"/>
  <c r="F191" i="18" s="1"/>
  <c r="G190" i="18"/>
  <c r="G191" i="18" s="1"/>
  <c r="F34" i="6" s="1"/>
  <c r="G34" i="6" s="1"/>
  <c r="D190" i="18"/>
  <c r="D191" i="18" s="1"/>
  <c r="E183" i="18"/>
  <c r="E184" i="18" s="1"/>
  <c r="F183" i="18"/>
  <c r="F184" i="18" s="1"/>
  <c r="G183" i="18"/>
  <c r="G184" i="18" s="1"/>
  <c r="F33" i="6" s="1"/>
  <c r="D183" i="18"/>
  <c r="D184" i="18" s="1"/>
  <c r="E176" i="18"/>
  <c r="E177" i="18" s="1"/>
  <c r="F176" i="18"/>
  <c r="F177" i="18" s="1"/>
  <c r="G176" i="18"/>
  <c r="G177" i="18" s="1"/>
  <c r="F32" i="6" s="1"/>
  <c r="G32" i="6" s="1"/>
  <c r="D176" i="18"/>
  <c r="D177" i="18" s="1"/>
  <c r="J48" i="14"/>
  <c r="K48" i="14" s="1"/>
  <c r="L48" i="14" s="1"/>
  <c r="M48" i="14" s="1"/>
  <c r="N48" i="14" s="1"/>
  <c r="J47" i="14"/>
  <c r="K47" i="14" s="1"/>
  <c r="L47" i="14" s="1"/>
  <c r="M47" i="14" s="1"/>
  <c r="N47" i="14" s="1"/>
  <c r="E167" i="18"/>
  <c r="F167" i="18"/>
  <c r="G167" i="18"/>
  <c r="H163" i="18" s="1"/>
  <c r="D163" i="18"/>
  <c r="E140" i="18"/>
  <c r="F140" i="18"/>
  <c r="G137" i="18" s="1"/>
  <c r="G163" i="18" s="1"/>
  <c r="G140" i="18"/>
  <c r="D140" i="18"/>
  <c r="E137" i="18" s="1"/>
  <c r="E163" i="18" s="1"/>
  <c r="E138" i="18"/>
  <c r="E164" i="18" s="1"/>
  <c r="F138" i="18"/>
  <c r="F164" i="18" s="1"/>
  <c r="G138" i="18"/>
  <c r="G164" i="18" s="1"/>
  <c r="D138" i="18"/>
  <c r="D164" i="18" s="1"/>
  <c r="D167" i="18"/>
  <c r="E153" i="18"/>
  <c r="E154" i="18" s="1"/>
  <c r="F153" i="18"/>
  <c r="F154" i="18" s="1"/>
  <c r="G153" i="18"/>
  <c r="G154" i="18" s="1"/>
  <c r="D153" i="18"/>
  <c r="D154" i="18" s="1"/>
  <c r="J46" i="14"/>
  <c r="K46" i="14" s="1"/>
  <c r="L46" i="14" s="1"/>
  <c r="M46" i="14" s="1"/>
  <c r="N46" i="14" s="1"/>
  <c r="E121" i="18"/>
  <c r="E122" i="18" s="1"/>
  <c r="F121" i="18"/>
  <c r="F122" i="18" s="1"/>
  <c r="G121" i="18"/>
  <c r="G122" i="18" s="1"/>
  <c r="F27" i="6" s="1"/>
  <c r="D121" i="18"/>
  <c r="D122" i="18" s="1"/>
  <c r="E118" i="18"/>
  <c r="E119" i="18" s="1"/>
  <c r="F118" i="18"/>
  <c r="F119" i="18" s="1"/>
  <c r="G118" i="18"/>
  <c r="G119" i="18" s="1"/>
  <c r="F28" i="6" s="1"/>
  <c r="G28" i="6" s="1"/>
  <c r="H28" i="6" s="1"/>
  <c r="I28" i="6" s="1"/>
  <c r="J28" i="6" s="1"/>
  <c r="D118" i="18"/>
  <c r="D119" i="18" s="1"/>
  <c r="F106" i="18"/>
  <c r="G106" i="18"/>
  <c r="E106" i="18"/>
  <c r="E100" i="18"/>
  <c r="E101" i="18" s="1"/>
  <c r="F100" i="18"/>
  <c r="F101" i="18" s="1"/>
  <c r="G100" i="18"/>
  <c r="G101" i="18" s="1"/>
  <c r="D100" i="18"/>
  <c r="D101" i="18" s="1"/>
  <c r="E99" i="18"/>
  <c r="F99" i="18"/>
  <c r="G99" i="18"/>
  <c r="D99" i="18"/>
  <c r="E93" i="18"/>
  <c r="E94" i="18" s="1"/>
  <c r="F93" i="18"/>
  <c r="F94" i="18" s="1"/>
  <c r="G93" i="18"/>
  <c r="G94" i="18" s="1"/>
  <c r="D93" i="18"/>
  <c r="D94" i="18" s="1"/>
  <c r="E92" i="18"/>
  <c r="F92" i="18"/>
  <c r="G92" i="18"/>
  <c r="D92" i="18"/>
  <c r="I77" i="14"/>
  <c r="I79" i="14" s="1"/>
  <c r="H77" i="14"/>
  <c r="H79" i="14" s="1"/>
  <c r="G77" i="14"/>
  <c r="G79" i="14" s="1"/>
  <c r="F77" i="14"/>
  <c r="F79" i="14" s="1"/>
  <c r="I67" i="14"/>
  <c r="H67" i="14"/>
  <c r="G67" i="14"/>
  <c r="F67" i="14"/>
  <c r="I61" i="14"/>
  <c r="H61" i="14"/>
  <c r="G61" i="14"/>
  <c r="F61" i="14"/>
  <c r="I51" i="14"/>
  <c r="H51" i="14"/>
  <c r="G51" i="14"/>
  <c r="F51" i="14"/>
  <c r="I43" i="14"/>
  <c r="H43" i="14"/>
  <c r="G43" i="14"/>
  <c r="F43" i="14"/>
  <c r="E74" i="18"/>
  <c r="F74" i="18"/>
  <c r="G74" i="18"/>
  <c r="D74" i="18"/>
  <c r="K24" i="14"/>
  <c r="L24" i="14"/>
  <c r="M24" i="14"/>
  <c r="N24" i="14"/>
  <c r="J24" i="14"/>
  <c r="J20" i="14"/>
  <c r="K20" i="14" s="1"/>
  <c r="L20" i="14" s="1"/>
  <c r="M20" i="14" s="1"/>
  <c r="N20" i="14" s="1"/>
  <c r="J19" i="14"/>
  <c r="K19" i="14" s="1"/>
  <c r="L19" i="14" s="1"/>
  <c r="M19" i="14" s="1"/>
  <c r="N19" i="14" s="1"/>
  <c r="E63" i="18"/>
  <c r="F63" i="18"/>
  <c r="G63" i="18"/>
  <c r="D63" i="18"/>
  <c r="E62" i="18"/>
  <c r="F62" i="18"/>
  <c r="G62" i="18"/>
  <c r="D62" i="18"/>
  <c r="J14" i="14"/>
  <c r="K14" i="14" s="1"/>
  <c r="L14" i="14" s="1"/>
  <c r="M14" i="14" s="1"/>
  <c r="N14" i="14" s="1"/>
  <c r="F48" i="18"/>
  <c r="G48" i="18"/>
  <c r="H48" i="18"/>
  <c r="J48" i="18" s="1"/>
  <c r="K48" i="18" s="1"/>
  <c r="F49" i="18"/>
  <c r="G49" i="18"/>
  <c r="H49" i="18"/>
  <c r="J49" i="18" s="1"/>
  <c r="K49" i="18" s="1"/>
  <c r="L49" i="18" s="1"/>
  <c r="M49" i="18" s="1"/>
  <c r="N49" i="18" s="1"/>
  <c r="F50" i="18"/>
  <c r="G50" i="18"/>
  <c r="H50" i="18"/>
  <c r="J50" i="18" s="1"/>
  <c r="K50" i="18" s="1"/>
  <c r="L50" i="18" s="1"/>
  <c r="M50" i="18" s="1"/>
  <c r="N50" i="18" s="1"/>
  <c r="E50" i="18"/>
  <c r="E49" i="18"/>
  <c r="E48" i="18"/>
  <c r="F47" i="18"/>
  <c r="G47" i="18"/>
  <c r="H47" i="18"/>
  <c r="J47" i="18" s="1"/>
  <c r="E47" i="18"/>
  <c r="H38" i="18"/>
  <c r="I38" i="18" s="1"/>
  <c r="G38" i="18"/>
  <c r="F37" i="18"/>
  <c r="G37" i="18" s="1"/>
  <c r="H37" i="18" s="1"/>
  <c r="I37" i="18" s="1"/>
  <c r="F29" i="18"/>
  <c r="G29" i="18"/>
  <c r="H29" i="18"/>
  <c r="E29" i="18"/>
  <c r="G26" i="18"/>
  <c r="H26" i="18"/>
  <c r="F26" i="18"/>
  <c r="G23" i="18"/>
  <c r="H23" i="18"/>
  <c r="F23" i="18"/>
  <c r="G20" i="18"/>
  <c r="H20" i="18"/>
  <c r="F20" i="18"/>
  <c r="G17" i="18"/>
  <c r="H17" i="18"/>
  <c r="F17" i="18"/>
  <c r="I10" i="14"/>
  <c r="I15" i="14" s="1"/>
  <c r="H10" i="14"/>
  <c r="H15" i="14" s="1"/>
  <c r="H21" i="14" s="1"/>
  <c r="H25" i="14" s="1"/>
  <c r="H29" i="14" s="1"/>
  <c r="G10" i="14"/>
  <c r="G15" i="14" s="1"/>
  <c r="G21" i="14" s="1"/>
  <c r="G25" i="14" s="1"/>
  <c r="G29" i="14" s="1"/>
  <c r="F10" i="14"/>
  <c r="F15" i="14" s="1"/>
  <c r="F21" i="14" s="1"/>
  <c r="F25" i="14" s="1"/>
  <c r="F29" i="14" s="1"/>
  <c r="C7" i="6"/>
  <c r="G225" i="18" l="1"/>
  <c r="G53" i="14"/>
  <c r="F80" i="18"/>
  <c r="I225" i="18"/>
  <c r="H225" i="18"/>
  <c r="I69" i="14"/>
  <c r="I80" i="14" s="1"/>
  <c r="F225" i="18"/>
  <c r="I122" i="14"/>
  <c r="F122" i="14"/>
  <c r="F53" i="14"/>
  <c r="F69" i="14"/>
  <c r="F80" i="14" s="1"/>
  <c r="F82" i="14" s="1"/>
  <c r="G122" i="14"/>
  <c r="H53" i="14"/>
  <c r="H69" i="14"/>
  <c r="H80" i="14" s="1"/>
  <c r="E238" i="18"/>
  <c r="E242" i="18" s="1"/>
  <c r="H122" i="14"/>
  <c r="I53" i="14"/>
  <c r="F28" i="14"/>
  <c r="I21" i="14"/>
  <c r="I25" i="14" s="1"/>
  <c r="I29" i="14" s="1"/>
  <c r="G28" i="14"/>
  <c r="G69" i="14"/>
  <c r="G80" i="14" s="1"/>
  <c r="G82" i="14" s="1"/>
  <c r="E24" i="22"/>
  <c r="H28" i="14"/>
  <c r="F238" i="18"/>
  <c r="G238" i="18"/>
  <c r="D80" i="18"/>
  <c r="G80" i="18"/>
  <c r="F29" i="6" s="1"/>
  <c r="G29" i="6" s="1"/>
  <c r="E80" i="18"/>
  <c r="H34" i="6"/>
  <c r="G33" i="6"/>
  <c r="H33" i="6" s="1"/>
  <c r="I33" i="6" s="1"/>
  <c r="J33" i="6" s="1"/>
  <c r="H32" i="6"/>
  <c r="D139" i="18"/>
  <c r="G139" i="18"/>
  <c r="E139" i="18"/>
  <c r="F137" i="18"/>
  <c r="D95" i="18"/>
  <c r="L48" i="18"/>
  <c r="M48" i="18" s="1"/>
  <c r="N48" i="18" s="1"/>
  <c r="E107" i="18"/>
  <c r="E108" i="18" s="1"/>
  <c r="E109" i="18" s="1"/>
  <c r="E95" i="18"/>
  <c r="G102" i="18"/>
  <c r="G95" i="18"/>
  <c r="F102" i="18"/>
  <c r="D156" i="18"/>
  <c r="F31" i="6" s="1"/>
  <c r="F95" i="18"/>
  <c r="E102" i="18"/>
  <c r="G64" i="18"/>
  <c r="F18" i="6" s="1"/>
  <c r="D102" i="18"/>
  <c r="G27" i="6"/>
  <c r="F107" i="18"/>
  <c r="F108" i="18" s="1"/>
  <c r="F109" i="18" s="1"/>
  <c r="D64" i="18"/>
  <c r="G107" i="18"/>
  <c r="G108" i="18" s="1"/>
  <c r="G109" i="18" s="1"/>
  <c r="H109" i="18" s="1"/>
  <c r="I109" i="18" s="1"/>
  <c r="J109" i="18" s="1"/>
  <c r="K109" i="18" s="1"/>
  <c r="L109" i="18" s="1"/>
  <c r="E64" i="18"/>
  <c r="F64" i="18"/>
  <c r="J52" i="18"/>
  <c r="K47" i="18"/>
  <c r="I82" i="14" l="1"/>
  <c r="H82" i="14"/>
  <c r="I28" i="14"/>
  <c r="J28" i="14" s="1"/>
  <c r="K28" i="14" s="1"/>
  <c r="L28" i="14" s="1"/>
  <c r="M28" i="14" s="1"/>
  <c r="N28" i="14" s="1"/>
  <c r="G18" i="6"/>
  <c r="H18" i="6" s="1"/>
  <c r="I18" i="6" s="1"/>
  <c r="J18" i="6" s="1"/>
  <c r="E15" i="22"/>
  <c r="E241" i="18"/>
  <c r="F241" i="18"/>
  <c r="F242" i="18"/>
  <c r="G242" i="18"/>
  <c r="G241" i="18"/>
  <c r="H29" i="6"/>
  <c r="E145" i="18"/>
  <c r="E146" i="18" s="1"/>
  <c r="E165" i="18"/>
  <c r="F139" i="18"/>
  <c r="F163" i="18"/>
  <c r="G145" i="18"/>
  <c r="G146" i="18" s="1"/>
  <c r="F21" i="6" s="1"/>
  <c r="G165" i="18"/>
  <c r="D145" i="18"/>
  <c r="D146" i="18" s="1"/>
  <c r="D165" i="18"/>
  <c r="G31" i="6"/>
  <c r="I34" i="6"/>
  <c r="I32" i="6"/>
  <c r="H102" i="18"/>
  <c r="I102" i="18" s="1"/>
  <c r="H95" i="18"/>
  <c r="I95" i="18" s="1"/>
  <c r="H27" i="6"/>
  <c r="L47" i="18"/>
  <c r="K52" i="18"/>
  <c r="J8" i="14"/>
  <c r="J107" i="14" s="1"/>
  <c r="J54" i="18"/>
  <c r="C9" i="18" s="1"/>
  <c r="F11" i="6" s="1"/>
  <c r="J111" i="14" l="1"/>
  <c r="F35" i="22"/>
  <c r="H31" i="6"/>
  <c r="I29" i="6"/>
  <c r="H164" i="18"/>
  <c r="J60" i="14"/>
  <c r="J102" i="18"/>
  <c r="K102" i="18" s="1"/>
  <c r="L102" i="18" s="1"/>
  <c r="F145" i="18"/>
  <c r="F146" i="18" s="1"/>
  <c r="F165" i="18"/>
  <c r="H165" i="18"/>
  <c r="G21" i="6"/>
  <c r="H21" i="6" s="1"/>
  <c r="I21" i="6" s="1"/>
  <c r="J21" i="6" s="1"/>
  <c r="J64" i="14"/>
  <c r="J49" i="14"/>
  <c r="J34" i="6"/>
  <c r="J32" i="6"/>
  <c r="I31" i="6"/>
  <c r="J95" i="18"/>
  <c r="K95" i="18" s="1"/>
  <c r="I27" i="6"/>
  <c r="J42" i="14"/>
  <c r="H93" i="18"/>
  <c r="H94" i="18" s="1"/>
  <c r="H92" i="18" s="1"/>
  <c r="J39" i="14" s="1"/>
  <c r="J40" i="14"/>
  <c r="K8" i="14"/>
  <c r="K60" i="14" s="1"/>
  <c r="K54" i="18"/>
  <c r="D9" i="18" s="1"/>
  <c r="G11" i="6" s="1"/>
  <c r="M47" i="18"/>
  <c r="L52" i="18"/>
  <c r="J13" i="14" l="1"/>
  <c r="J100" i="14"/>
  <c r="K107" i="14"/>
  <c r="J96" i="14"/>
  <c r="H167" i="18"/>
  <c r="I163" i="18" s="1"/>
  <c r="I165" i="18" s="1"/>
  <c r="J29" i="6"/>
  <c r="K64" i="14"/>
  <c r="K49" i="14"/>
  <c r="I164" i="18"/>
  <c r="J31" i="6"/>
  <c r="J27" i="6"/>
  <c r="K42" i="14"/>
  <c r="I93" i="18"/>
  <c r="I94" i="18" s="1"/>
  <c r="I92" i="18" s="1"/>
  <c r="K39" i="14" s="1"/>
  <c r="K40" i="14"/>
  <c r="L95" i="18"/>
  <c r="N47" i="18"/>
  <c r="N52" i="18" s="1"/>
  <c r="M52" i="18"/>
  <c r="L54" i="18"/>
  <c r="E9" i="18" s="1"/>
  <c r="H11" i="6" s="1"/>
  <c r="L8" i="14"/>
  <c r="L60" i="14" s="1"/>
  <c r="K111" i="14" l="1"/>
  <c r="G35" i="22"/>
  <c r="J95" i="14"/>
  <c r="F34" i="22"/>
  <c r="K13" i="14"/>
  <c r="L107" i="14"/>
  <c r="K100" i="14"/>
  <c r="K96" i="14"/>
  <c r="J45" i="14"/>
  <c r="J51" i="14" s="1"/>
  <c r="I167" i="18"/>
  <c r="L64" i="14"/>
  <c r="L49" i="14"/>
  <c r="J164" i="18"/>
  <c r="L42" i="14"/>
  <c r="J93" i="18"/>
  <c r="J94" i="18" s="1"/>
  <c r="J92" i="18" s="1"/>
  <c r="L39" i="14" s="1"/>
  <c r="L40" i="14"/>
  <c r="M8" i="14"/>
  <c r="M54" i="18"/>
  <c r="F9" i="18" s="1"/>
  <c r="I11" i="6" s="1"/>
  <c r="N54" i="18"/>
  <c r="G9" i="18" s="1"/>
  <c r="J11" i="6" s="1"/>
  <c r="N8" i="14"/>
  <c r="N60" i="14" s="1"/>
  <c r="L111" i="14" l="1"/>
  <c r="H35" i="22"/>
  <c r="K95" i="14"/>
  <c r="G34" i="22"/>
  <c r="N107" i="14"/>
  <c r="M60" i="14"/>
  <c r="M107" i="14"/>
  <c r="L100" i="14"/>
  <c r="L96" i="14"/>
  <c r="N40" i="14"/>
  <c r="N64" i="14"/>
  <c r="N49" i="14"/>
  <c r="L164" i="18"/>
  <c r="M64" i="14"/>
  <c r="M49" i="14"/>
  <c r="K164" i="18"/>
  <c r="J163" i="18"/>
  <c r="K45" i="14"/>
  <c r="K51" i="14" s="1"/>
  <c r="K93" i="18"/>
  <c r="K94" i="18" s="1"/>
  <c r="K92" i="18" s="1"/>
  <c r="M39" i="14" s="1"/>
  <c r="M42" i="14"/>
  <c r="M40" i="14"/>
  <c r="L93" i="18"/>
  <c r="L94" i="18" s="1"/>
  <c r="L92" i="18" s="1"/>
  <c r="N39" i="14" s="1"/>
  <c r="N42" i="14"/>
  <c r="N100" i="14" l="1"/>
  <c r="N111" i="14"/>
  <c r="J35" i="22"/>
  <c r="M111" i="14"/>
  <c r="I35" i="22"/>
  <c r="N96" i="14"/>
  <c r="M100" i="14"/>
  <c r="M96" i="14"/>
  <c r="J165" i="18"/>
  <c r="L13" i="14" s="1"/>
  <c r="H34" i="22" s="1"/>
  <c r="J167" i="18" l="1"/>
  <c r="K163" i="18" s="1"/>
  <c r="K165" i="18" s="1"/>
  <c r="M13" i="14" s="1"/>
  <c r="I34" i="22" s="1"/>
  <c r="L45" i="14" l="1"/>
  <c r="L51" i="14" s="1"/>
  <c r="L95" i="14"/>
  <c r="K167" i="18"/>
  <c r="M45" i="14" s="1"/>
  <c r="M51" i="14" s="1"/>
  <c r="L163" i="18" l="1"/>
  <c r="L165" i="18" s="1"/>
  <c r="N13" i="14" s="1"/>
  <c r="J34" i="22" s="1"/>
  <c r="L167" i="18"/>
  <c r="N45" i="14" s="1"/>
  <c r="N51" i="14" s="1"/>
  <c r="M95" i="14"/>
  <c r="G106" i="12"/>
  <c r="H106" i="12"/>
  <c r="I106" i="12"/>
  <c r="F106" i="12"/>
  <c r="I105" i="12"/>
  <c r="I76" i="12"/>
  <c r="H76" i="12"/>
  <c r="G76" i="12"/>
  <c r="G105" i="12" s="1"/>
  <c r="F76" i="12"/>
  <c r="F105" i="12" s="1"/>
  <c r="G60" i="12"/>
  <c r="G61" i="12" s="1"/>
  <c r="H60" i="12"/>
  <c r="H61" i="12" s="1"/>
  <c r="I60" i="12"/>
  <c r="I61" i="12" s="1"/>
  <c r="F60" i="12"/>
  <c r="F63" i="12" s="1"/>
  <c r="G52" i="12"/>
  <c r="H52" i="12"/>
  <c r="I52" i="12"/>
  <c r="F52" i="12"/>
  <c r="G53" i="12"/>
  <c r="H53" i="12"/>
  <c r="I53" i="12"/>
  <c r="G51" i="12"/>
  <c r="H51" i="12"/>
  <c r="I51" i="12"/>
  <c r="F53" i="12"/>
  <c r="F51" i="12"/>
  <c r="G44" i="12"/>
  <c r="H44" i="12"/>
  <c r="I44" i="12"/>
  <c r="G45" i="12"/>
  <c r="H45" i="12"/>
  <c r="I45" i="12"/>
  <c r="G46" i="12"/>
  <c r="H46" i="12"/>
  <c r="I46" i="12"/>
  <c r="G47" i="12"/>
  <c r="H47" i="12"/>
  <c r="I47" i="12"/>
  <c r="F47" i="12"/>
  <c r="F46" i="12"/>
  <c r="F45" i="12"/>
  <c r="F44" i="12"/>
  <c r="G21" i="12"/>
  <c r="H21" i="12"/>
  <c r="I21" i="12"/>
  <c r="F21" i="12"/>
  <c r="G20" i="12"/>
  <c r="H20" i="12"/>
  <c r="I20" i="12"/>
  <c r="F20" i="12"/>
  <c r="G19" i="12"/>
  <c r="H19" i="12"/>
  <c r="I19" i="12"/>
  <c r="F19" i="12"/>
  <c r="G7" i="12"/>
  <c r="H7" i="12"/>
  <c r="H8" i="12" s="1"/>
  <c r="I7" i="12"/>
  <c r="F7" i="12"/>
  <c r="G113" i="9"/>
  <c r="H113" i="9"/>
  <c r="I113" i="9"/>
  <c r="F113" i="9"/>
  <c r="G106" i="9"/>
  <c r="H106" i="9"/>
  <c r="I106" i="9"/>
  <c r="F106" i="9"/>
  <c r="G99" i="9"/>
  <c r="G37" i="12" s="1"/>
  <c r="H99" i="9"/>
  <c r="I99" i="9"/>
  <c r="I37" i="12" s="1"/>
  <c r="F99" i="9"/>
  <c r="F38" i="12" s="1"/>
  <c r="G67" i="9"/>
  <c r="H67" i="9"/>
  <c r="I67" i="9"/>
  <c r="F67" i="9"/>
  <c r="G76" i="9"/>
  <c r="G77" i="12" s="1"/>
  <c r="H76" i="9"/>
  <c r="H77" i="12" s="1"/>
  <c r="I76" i="9"/>
  <c r="I104" i="12" s="1"/>
  <c r="F76" i="9"/>
  <c r="F78" i="9" s="1"/>
  <c r="G61" i="9"/>
  <c r="H61" i="9"/>
  <c r="I61" i="9"/>
  <c r="F61" i="9"/>
  <c r="G53" i="9"/>
  <c r="H53" i="9"/>
  <c r="I53" i="9"/>
  <c r="F53" i="9"/>
  <c r="G45" i="9"/>
  <c r="G70" i="12" s="1"/>
  <c r="H45" i="9"/>
  <c r="H70" i="12" s="1"/>
  <c r="I45" i="9"/>
  <c r="I70" i="12" s="1"/>
  <c r="F45" i="9"/>
  <c r="G12" i="9"/>
  <c r="G17" i="9" s="1"/>
  <c r="G99" i="12" s="1"/>
  <c r="H12" i="9"/>
  <c r="H17" i="9" s="1"/>
  <c r="I12" i="9"/>
  <c r="I17" i="9" s="1"/>
  <c r="I26" i="12" s="1"/>
  <c r="F12" i="9"/>
  <c r="F17" i="9" s="1"/>
  <c r="F23" i="9" s="1"/>
  <c r="F100" i="12" s="1"/>
  <c r="I107" i="12" l="1"/>
  <c r="H71" i="12"/>
  <c r="G80" i="12"/>
  <c r="H116" i="9"/>
  <c r="F71" i="12"/>
  <c r="F70" i="12"/>
  <c r="F77" i="12"/>
  <c r="F79" i="12" s="1"/>
  <c r="G116" i="9"/>
  <c r="F27" i="12"/>
  <c r="I71" i="12"/>
  <c r="F84" i="12"/>
  <c r="G26" i="12"/>
  <c r="F37" i="12"/>
  <c r="F104" i="12"/>
  <c r="F107" i="12" s="1"/>
  <c r="F80" i="12"/>
  <c r="G13" i="12"/>
  <c r="G14" i="12" s="1"/>
  <c r="G38" i="12"/>
  <c r="G49" i="12"/>
  <c r="H79" i="12"/>
  <c r="H49" i="12"/>
  <c r="F61" i="12"/>
  <c r="H105" i="12"/>
  <c r="G79" i="12"/>
  <c r="G63" i="12"/>
  <c r="I80" i="12"/>
  <c r="H23" i="9"/>
  <c r="F246" i="18"/>
  <c r="H78" i="9"/>
  <c r="F245" i="18"/>
  <c r="I13" i="12"/>
  <c r="I14" i="12" s="1"/>
  <c r="I38" i="12"/>
  <c r="I63" i="12"/>
  <c r="F27" i="9"/>
  <c r="F30" i="9" s="1"/>
  <c r="D73" i="18"/>
  <c r="D75" i="18" s="1"/>
  <c r="H13" i="12"/>
  <c r="H14" i="12" s="1"/>
  <c r="H26" i="12"/>
  <c r="H38" i="12"/>
  <c r="H63" i="12"/>
  <c r="G71" i="12"/>
  <c r="H80" i="12"/>
  <c r="H99" i="12"/>
  <c r="I23" i="9"/>
  <c r="G246" i="18"/>
  <c r="G78" i="9"/>
  <c r="E245" i="18"/>
  <c r="H37" i="12"/>
  <c r="H84" i="12"/>
  <c r="H104" i="12"/>
  <c r="I9" i="12"/>
  <c r="F15" i="6"/>
  <c r="I27" i="12"/>
  <c r="I116" i="9"/>
  <c r="G8" i="12"/>
  <c r="H27" i="12"/>
  <c r="I84" i="12"/>
  <c r="I86" i="12" s="1"/>
  <c r="I78" i="9"/>
  <c r="D227" i="18"/>
  <c r="E222" i="18" s="1"/>
  <c r="G245" i="18"/>
  <c r="I99" i="12"/>
  <c r="I77" i="12"/>
  <c r="I79" i="12" s="1"/>
  <c r="G23" i="9"/>
  <c r="E246" i="18"/>
  <c r="G84" i="12"/>
  <c r="G104" i="12"/>
  <c r="G107" i="12" s="1"/>
  <c r="F116" i="9"/>
  <c r="F13" i="12"/>
  <c r="F14" i="12" s="1"/>
  <c r="F26" i="12"/>
  <c r="G27" i="12"/>
  <c r="F99" i="12"/>
  <c r="F101" i="12" s="1"/>
  <c r="F109" i="12" s="1"/>
  <c r="N95" i="14"/>
  <c r="I8" i="12"/>
  <c r="F55" i="12"/>
  <c r="I55" i="12"/>
  <c r="I49" i="12"/>
  <c r="G55" i="12"/>
  <c r="F49" i="12"/>
  <c r="H55" i="12"/>
  <c r="H54" i="9"/>
  <c r="I54" i="9"/>
  <c r="F68" i="9"/>
  <c r="F79" i="9" s="1"/>
  <c r="F54" i="9"/>
  <c r="G68" i="9"/>
  <c r="I68" i="9"/>
  <c r="G54" i="9"/>
  <c r="H68" i="9"/>
  <c r="H79" i="9" s="1"/>
  <c r="D238" i="18"/>
  <c r="D246" i="18" s="1"/>
  <c r="H107" i="12" l="1"/>
  <c r="F12" i="6"/>
  <c r="G86" i="12"/>
  <c r="G12" i="6"/>
  <c r="J10" i="14"/>
  <c r="I27" i="9"/>
  <c r="I30" i="9" s="1"/>
  <c r="G73" i="18"/>
  <c r="G75" i="18" s="1"/>
  <c r="F24" i="6" s="1"/>
  <c r="I100" i="12"/>
  <c r="I101" i="12" s="1"/>
  <c r="I109" i="12" s="1"/>
  <c r="H27" i="9"/>
  <c r="H30" i="9" s="1"/>
  <c r="F73" i="18"/>
  <c r="F75" i="18" s="1"/>
  <c r="H100" i="12"/>
  <c r="H101" i="12" s="1"/>
  <c r="H109" i="12" s="1"/>
  <c r="G15" i="6"/>
  <c r="J12" i="14"/>
  <c r="D208" i="18"/>
  <c r="D209" i="18" s="1"/>
  <c r="F92" i="12"/>
  <c r="F95" i="12"/>
  <c r="F28" i="12"/>
  <c r="I79" i="9"/>
  <c r="H86" i="12"/>
  <c r="G79" i="9"/>
  <c r="G27" i="9"/>
  <c r="G30" i="9" s="1"/>
  <c r="E73" i="18"/>
  <c r="E75" i="18" s="1"/>
  <c r="G100" i="12"/>
  <c r="G101" i="12" s="1"/>
  <c r="G109" i="12" s="1"/>
  <c r="D245" i="18"/>
  <c r="D242" i="18"/>
  <c r="D241" i="18"/>
  <c r="G24" i="6" l="1"/>
  <c r="H24" i="6" s="1"/>
  <c r="I24" i="6" s="1"/>
  <c r="J24" i="6" s="1"/>
  <c r="E16" i="22"/>
  <c r="E17" i="22" s="1"/>
  <c r="E26" i="22" s="1"/>
  <c r="F208" i="18"/>
  <c r="F209" i="18" s="1"/>
  <c r="H28" i="12"/>
  <c r="H95" i="12"/>
  <c r="H92" i="12"/>
  <c r="E208" i="18"/>
  <c r="E209" i="18" s="1"/>
  <c r="G95" i="12"/>
  <c r="G28" i="12"/>
  <c r="G92" i="12"/>
  <c r="J15" i="14"/>
  <c r="F31" i="22" s="1"/>
  <c r="J9" i="14"/>
  <c r="H100" i="18" s="1"/>
  <c r="H101" i="18" s="1"/>
  <c r="H99" i="18" s="1"/>
  <c r="G208" i="18"/>
  <c r="G209" i="18" s="1"/>
  <c r="D211" i="18" s="1"/>
  <c r="F38" i="6" s="1"/>
  <c r="G38" i="6" s="1"/>
  <c r="H38" i="6" s="1"/>
  <c r="I38" i="6" s="1"/>
  <c r="J38" i="6" s="1"/>
  <c r="I92" i="12"/>
  <c r="I95" i="12"/>
  <c r="I28" i="12"/>
  <c r="H15" i="6"/>
  <c r="K12" i="14"/>
  <c r="H12" i="6"/>
  <c r="K10" i="14"/>
  <c r="F32" i="22" l="1"/>
  <c r="F33" i="22" s="1"/>
  <c r="G55" i="22"/>
  <c r="F55" i="22"/>
  <c r="J55" i="22"/>
  <c r="I55" i="22"/>
  <c r="H55" i="22"/>
  <c r="I15" i="6"/>
  <c r="L12" i="14"/>
  <c r="K9" i="14"/>
  <c r="I100" i="18" s="1"/>
  <c r="I101" i="18" s="1"/>
  <c r="I99" i="18" s="1"/>
  <c r="K15" i="14"/>
  <c r="G31" i="22" s="1"/>
  <c r="G32" i="22" s="1"/>
  <c r="G33" i="22" s="1"/>
  <c r="J41" i="14"/>
  <c r="H107" i="18"/>
  <c r="H108" i="18" s="1"/>
  <c r="H106" i="18" s="1"/>
  <c r="J57" i="14" s="1"/>
  <c r="J102" i="14" s="1"/>
  <c r="I12" i="6"/>
  <c r="L10" i="14"/>
  <c r="J21" i="14"/>
  <c r="L9" i="14" l="1"/>
  <c r="J100" i="18" s="1"/>
  <c r="J101" i="18" s="1"/>
  <c r="J99" i="18" s="1"/>
  <c r="L15" i="14"/>
  <c r="H31" i="22" s="1"/>
  <c r="H32" i="22" s="1"/>
  <c r="H33" i="22" s="1"/>
  <c r="J12" i="6"/>
  <c r="N10" i="14" s="1"/>
  <c r="M10" i="14"/>
  <c r="J101" i="14"/>
  <c r="F36" i="22" s="1"/>
  <c r="F37" i="22" s="1"/>
  <c r="K21" i="14"/>
  <c r="I107" i="18"/>
  <c r="I108" i="18" s="1"/>
  <c r="I106" i="18" s="1"/>
  <c r="K57" i="14" s="1"/>
  <c r="K102" i="14" s="1"/>
  <c r="K41" i="14"/>
  <c r="K101" i="14" s="1"/>
  <c r="J23" i="14"/>
  <c r="J59" i="14" s="1"/>
  <c r="J103" i="14" s="1"/>
  <c r="J25" i="14"/>
  <c r="J27" i="14" s="1"/>
  <c r="J97" i="14" s="1"/>
  <c r="J15" i="6"/>
  <c r="N12" i="14" s="1"/>
  <c r="M12" i="14"/>
  <c r="F57" i="22" l="1"/>
  <c r="J29" i="14"/>
  <c r="J114" i="14" s="1"/>
  <c r="K23" i="14"/>
  <c r="K59" i="14" s="1"/>
  <c r="K103" i="14" s="1"/>
  <c r="G36" i="22" s="1"/>
  <c r="G37" i="22" s="1"/>
  <c r="G57" i="22" s="1"/>
  <c r="K25" i="14"/>
  <c r="K27" i="14" s="1"/>
  <c r="L21" i="14"/>
  <c r="M9" i="14"/>
  <c r="K100" i="18" s="1"/>
  <c r="K101" i="18" s="1"/>
  <c r="K99" i="18" s="1"/>
  <c r="M15" i="14"/>
  <c r="I31" i="22" s="1"/>
  <c r="I32" i="22" s="1"/>
  <c r="I33" i="22" s="1"/>
  <c r="N9" i="14"/>
  <c r="L100" i="18" s="1"/>
  <c r="L101" i="18" s="1"/>
  <c r="L99" i="18" s="1"/>
  <c r="N15" i="14"/>
  <c r="J78" i="14"/>
  <c r="J107" i="18"/>
  <c r="J108" i="18" s="1"/>
  <c r="J106" i="18" s="1"/>
  <c r="L57" i="14" s="1"/>
  <c r="L102" i="14" s="1"/>
  <c r="L41" i="14"/>
  <c r="L101" i="14" s="1"/>
  <c r="J94" i="14" l="1"/>
  <c r="J104" i="14" s="1"/>
  <c r="E223" i="18"/>
  <c r="E224" i="18" s="1"/>
  <c r="E227" i="18" s="1"/>
  <c r="J77" i="14" s="1"/>
  <c r="J79" i="14" s="1"/>
  <c r="K78" i="14"/>
  <c r="N21" i="14"/>
  <c r="J31" i="22"/>
  <c r="M21" i="14"/>
  <c r="K107" i="18"/>
  <c r="K108" i="18" s="1"/>
  <c r="K106" i="18" s="1"/>
  <c r="M57" i="14" s="1"/>
  <c r="M102" i="14" s="1"/>
  <c r="M41" i="14"/>
  <c r="M101" i="14" s="1"/>
  <c r="L23" i="14"/>
  <c r="L59" i="14" s="1"/>
  <c r="L103" i="14" s="1"/>
  <c r="H36" i="22" s="1"/>
  <c r="H37" i="22" s="1"/>
  <c r="K29" i="14"/>
  <c r="K97" i="14"/>
  <c r="N23" i="14"/>
  <c r="N59" i="14" s="1"/>
  <c r="N41" i="14"/>
  <c r="L107" i="18"/>
  <c r="L108" i="18" s="1"/>
  <c r="L106" i="18" s="1"/>
  <c r="N57" i="14" s="1"/>
  <c r="D252" i="18"/>
  <c r="D254" i="18" s="1"/>
  <c r="D256" i="18" s="1"/>
  <c r="F222" i="18" l="1"/>
  <c r="D255" i="18"/>
  <c r="D259" i="18"/>
  <c r="N25" i="14"/>
  <c r="N27" i="14" s="1"/>
  <c r="N97" i="14" s="1"/>
  <c r="L25" i="14"/>
  <c r="L27" i="14" s="1"/>
  <c r="L78" i="14" s="1"/>
  <c r="E48" i="22"/>
  <c r="E49" i="22" s="1"/>
  <c r="J32" i="22"/>
  <c r="J33" i="22" s="1"/>
  <c r="N101" i="14"/>
  <c r="K114" i="14"/>
  <c r="K94" i="14"/>
  <c r="K104" i="14" s="1"/>
  <c r="F223" i="18"/>
  <c r="F224" i="18" s="1"/>
  <c r="F227" i="18"/>
  <c r="N102" i="14"/>
  <c r="H57" i="22"/>
  <c r="M23" i="14"/>
  <c r="M59" i="14" s="1"/>
  <c r="M103" i="14" s="1"/>
  <c r="I36" i="22" s="1"/>
  <c r="I37" i="22" s="1"/>
  <c r="J58" i="14"/>
  <c r="J63" i="14"/>
  <c r="J67" i="14" s="1"/>
  <c r="L97" i="14" l="1"/>
  <c r="D21" i="26"/>
  <c r="J22" i="26"/>
  <c r="G20" i="26"/>
  <c r="L29" i="14"/>
  <c r="G223" i="18" s="1"/>
  <c r="G224" i="18" s="1"/>
  <c r="E10" i="26"/>
  <c r="D14" i="26"/>
  <c r="I23" i="26"/>
  <c r="N29" i="14"/>
  <c r="I223" i="18" s="1"/>
  <c r="I224" i="18" s="1"/>
  <c r="J24" i="26"/>
  <c r="J10" i="26"/>
  <c r="D10" i="26"/>
  <c r="H13" i="26"/>
  <c r="D22" i="26"/>
  <c r="I14" i="26"/>
  <c r="F22" i="26"/>
  <c r="E13" i="26"/>
  <c r="G22" i="26"/>
  <c r="E25" i="26"/>
  <c r="I26" i="26"/>
  <c r="F14" i="26"/>
  <c r="D24" i="26"/>
  <c r="I11" i="26"/>
  <c r="F8" i="26"/>
  <c r="H12" i="26"/>
  <c r="G23" i="26"/>
  <c r="J23" i="26"/>
  <c r="G21" i="26"/>
  <c r="H8" i="26"/>
  <c r="E14" i="26"/>
  <c r="H21" i="26"/>
  <c r="G9" i="26"/>
  <c r="G8" i="26"/>
  <c r="D8" i="26"/>
  <c r="E9" i="26"/>
  <c r="J21" i="26"/>
  <c r="J11" i="26"/>
  <c r="I10" i="26"/>
  <c r="J12" i="26"/>
  <c r="I13" i="26"/>
  <c r="G13" i="26"/>
  <c r="J14" i="26"/>
  <c r="G26" i="26"/>
  <c r="G14" i="26"/>
  <c r="F12" i="26"/>
  <c r="I57" i="22"/>
  <c r="K77" i="14"/>
  <c r="K79" i="14" s="1"/>
  <c r="G222" i="18"/>
  <c r="E252" i="18"/>
  <c r="E254" i="18" s="1"/>
  <c r="E255" i="18" s="1"/>
  <c r="K58" i="14" s="1"/>
  <c r="L94" i="14"/>
  <c r="L104" i="14" s="1"/>
  <c r="M25" i="14"/>
  <c r="M27" i="14" s="1"/>
  <c r="N103" i="14"/>
  <c r="J36" i="22" s="1"/>
  <c r="J37" i="22" s="1"/>
  <c r="J8" i="26" s="1"/>
  <c r="J117" i="14"/>
  <c r="J118" i="14" s="1"/>
  <c r="J122" i="14" s="1"/>
  <c r="J38" i="14" s="1"/>
  <c r="J61" i="14"/>
  <c r="J69" i="14" s="1"/>
  <c r="J80" i="14" s="1"/>
  <c r="N114" i="14" l="1"/>
  <c r="F20" i="26"/>
  <c r="L114" i="14"/>
  <c r="D20" i="26"/>
  <c r="H24" i="26"/>
  <c r="I8" i="26"/>
  <c r="E12" i="26"/>
  <c r="I24" i="26"/>
  <c r="J25" i="26"/>
  <c r="F9" i="26"/>
  <c r="F24" i="26"/>
  <c r="G10" i="26"/>
  <c r="N94" i="14"/>
  <c r="G25" i="26"/>
  <c r="J9" i="26"/>
  <c r="I22" i="26"/>
  <c r="F11" i="26"/>
  <c r="I9" i="26"/>
  <c r="F26" i="26"/>
  <c r="D25" i="26"/>
  <c r="H9" i="26"/>
  <c r="H26" i="26"/>
  <c r="E11" i="26"/>
  <c r="G24" i="26"/>
  <c r="H20" i="26"/>
  <c r="E20" i="26"/>
  <c r="F21" i="26"/>
  <c r="I20" i="26"/>
  <c r="H10" i="26"/>
  <c r="H25" i="26"/>
  <c r="F13" i="26"/>
  <c r="E26" i="26"/>
  <c r="I12" i="26"/>
  <c r="F10" i="26"/>
  <c r="E21" i="26"/>
  <c r="J20" i="26"/>
  <c r="I25" i="26"/>
  <c r="E23" i="26"/>
  <c r="H22" i="26"/>
  <c r="E22" i="26"/>
  <c r="I21" i="26"/>
  <c r="E24" i="26"/>
  <c r="D11" i="26"/>
  <c r="J26" i="26"/>
  <c r="D12" i="26"/>
  <c r="J13" i="26"/>
  <c r="F25" i="26"/>
  <c r="G12" i="26"/>
  <c r="H14" i="26"/>
  <c r="H11" i="26"/>
  <c r="E8" i="26"/>
  <c r="G11" i="26"/>
  <c r="F23" i="26"/>
  <c r="D9" i="26"/>
  <c r="D23" i="26"/>
  <c r="D26" i="26"/>
  <c r="D13" i="26"/>
  <c r="H23" i="26"/>
  <c r="E259" i="18"/>
  <c r="E256" i="18"/>
  <c r="K63" i="14" s="1"/>
  <c r="K67" i="14" s="1"/>
  <c r="M29" i="14"/>
  <c r="M97" i="14"/>
  <c r="M78" i="14"/>
  <c r="N78" i="14" s="1"/>
  <c r="N104" i="14"/>
  <c r="G227" i="18"/>
  <c r="J43" i="14"/>
  <c r="J53" i="14" s="1"/>
  <c r="J82" i="14" s="1"/>
  <c r="K61" i="14"/>
  <c r="F252" i="18" l="1"/>
  <c r="F254" i="18" s="1"/>
  <c r="H222" i="18"/>
  <c r="L77" i="14"/>
  <c r="L79" i="14" s="1"/>
  <c r="E44" i="22"/>
  <c r="E45" i="22" s="1"/>
  <c r="E51" i="22" s="1"/>
  <c r="E60" i="22" s="1"/>
  <c r="J57" i="22"/>
  <c r="E59" i="22" s="1"/>
  <c r="M114" i="14"/>
  <c r="H223" i="18"/>
  <c r="H224" i="18" s="1"/>
  <c r="M94" i="14"/>
  <c r="M104" i="14" s="1"/>
  <c r="K117" i="14"/>
  <c r="K118" i="14" s="1"/>
  <c r="K122" i="14" s="1"/>
  <c r="K38" i="14" s="1"/>
  <c r="K43" i="14" s="1"/>
  <c r="K53" i="14" s="1"/>
  <c r="K69" i="14"/>
  <c r="K80" i="14" s="1"/>
  <c r="H227" i="18" l="1"/>
  <c r="E61" i="22"/>
  <c r="E67" i="22" s="1"/>
  <c r="E70" i="22" s="1"/>
  <c r="E73" i="22" s="1"/>
  <c r="F255" i="18"/>
  <c r="L58" i="14" s="1"/>
  <c r="F259" i="18"/>
  <c r="F256" i="18"/>
  <c r="L63" i="14" s="1"/>
  <c r="L67" i="14" s="1"/>
  <c r="K82" i="14"/>
  <c r="L117" i="14" l="1"/>
  <c r="L118" i="14" s="1"/>
  <c r="L122" i="14" s="1"/>
  <c r="L38" i="14" s="1"/>
  <c r="L43" i="14" s="1"/>
  <c r="L53" i="14" s="1"/>
  <c r="L61" i="14"/>
  <c r="L69" i="14" s="1"/>
  <c r="L80" i="14" s="1"/>
  <c r="G252" i="18"/>
  <c r="G254" i="18" s="1"/>
  <c r="I222" i="18"/>
  <c r="I227" i="18" s="1"/>
  <c r="M77" i="14"/>
  <c r="M79" i="14" s="1"/>
  <c r="L82" i="14" l="1"/>
  <c r="H252" i="18"/>
  <c r="H254" i="18" s="1"/>
  <c r="N77" i="14"/>
  <c r="N79" i="14" s="1"/>
  <c r="G256" i="18"/>
  <c r="M63" i="14" s="1"/>
  <c r="M67" i="14" s="1"/>
  <c r="G259" i="18"/>
  <c r="G255" i="18"/>
  <c r="M58" i="14" s="1"/>
  <c r="M61" i="14" l="1"/>
  <c r="M69" i="14" s="1"/>
  <c r="M80" i="14" s="1"/>
  <c r="M117" i="14"/>
  <c r="M118" i="14" s="1"/>
  <c r="M122" i="14" s="1"/>
  <c r="M38" i="14" s="1"/>
  <c r="H259" i="18"/>
  <c r="H255" i="18"/>
  <c r="N58" i="14" s="1"/>
  <c r="H256" i="18"/>
  <c r="N63" i="14" s="1"/>
  <c r="N67" i="14" s="1"/>
  <c r="N61" i="14" l="1"/>
  <c r="N69" i="14" s="1"/>
  <c r="N80" i="14" s="1"/>
  <c r="N117" i="14"/>
  <c r="N118" i="14" s="1"/>
  <c r="N122" i="14" s="1"/>
  <c r="M43" i="14"/>
  <c r="M53" i="14" s="1"/>
  <c r="M82" i="14" s="1"/>
  <c r="N38" i="14"/>
  <c r="N43" i="14" s="1"/>
  <c r="N53" i="14" s="1"/>
  <c r="N82" i="1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tc={5318D222-BF44-D84D-BBED-6320262DA3CD}</author>
    <author>tc={811924B5-D106-5D46-A10A-131A5B17A2A2}</author>
    <author>tc={CDB5D620-58A7-4441-8319-8A1AE82B7294}</author>
    <author>tc={AAF128BA-2635-444A-90F8-F8EDB22372B1}</author>
    <author>tc={5B688A0C-61B3-DA4C-BB24-9FACCF3BBAA6}</author>
    <author>tc={B5028939-8B02-EA49-85E6-CA22B66AA9CF}</author>
  </authors>
  <commentList>
    <comment ref="E9" authorId="0" shapeId="0" xr:uid="{5318D222-BF44-D84D-BBED-6320262DA3CD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FRED/OECD, France 10Y OAT avg 2025 = 3.37%, current ~3.55%, https://fred.stlouisfed.org/series/IRLTLT01FRA156N</t>
      </text>
    </comment>
    <comment ref="E10" authorId="1" shapeId="0" xr:uid="{811924B5-D106-5D46-A10A-131A5B17A2A2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Damodaran, Implied ERP for France (Aa2 rated), Jan 2025 update, https://pages.stern.nyu.edu/~adamodar/New_Home_Page/datafile/ctryprem.html</t>
      </text>
    </comment>
    <comment ref="E11" authorId="2" shapeId="0" xr:uid="{CDB5D620-58A7-4441-8319-8A1AE82B7294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CNBC/Market data, 5Y monthly beta vs CAC 40, https://www.cnbc.com/quotes/OR-FR</t>
      </text>
    </comment>
    <comment ref="E20" authorId="3" shapeId="0" xr:uid="{AAF128BA-2635-444A-90F8-F8EDB22372B1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Yahoo Finance, L'Oréal market cap as of Mar 2026, https://finance.yahoo.com/quote/OR.PA/</t>
      </text>
    </comment>
    <comment ref="E69" authorId="4" shapeId="0" xr:uid="{5B688A0C-61B3-DA4C-BB24-9FACCF3BBAA6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CompaniesMarketCap / L'Oréal annual report, 534.48M shares outstanding as of Dec 2024, https://companiesmarketcap.com/l-oreal/shares-outstanding/</t>
      </text>
    </comment>
    <comment ref="E72" authorId="5" shapeId="0" xr:uid="{B5028939-8B02-EA49-85E6-CA22B66AA9CF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Investing.com, L'Oréal stock price as of Mar 19, 2026, https://www.investing.com/equities/l-oreal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tc={6B53F379-A643-774C-BDA9-1A81D413675F}</author>
    <author>tc={0B5AC17A-3BC0-EF42-AF39-04E9320B2396}</author>
  </authors>
  <commentList>
    <comment ref="E7" authorId="0" shapeId="0" xr:uid="{6B53F379-A643-774C-BDA9-1A81D413675F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Yahoo Finance, L'Oréal market data as of Mar 2026, https://finance.yahoo.com/quote/OR.PA/</t>
      </text>
    </comment>
    <comment ref="E8" authorId="1" shapeId="0" xr:uid="{0B5AC17A-3BC0-EF42-AF39-04E9320B2396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Yahoo Finance, Investing.com, CNBC, CompaniesMarketCap, various company filings. Approximate EUR conversions at USD/EUR ~0.92, JPY/EUR ~0.006. Data as of Mar 2026.</t>
      </text>
    </comment>
  </commentList>
</comments>
</file>

<file path=xl/sharedStrings.xml><?xml version="1.0" encoding="utf-8"?>
<sst xmlns="http://schemas.openxmlformats.org/spreadsheetml/2006/main" count="1083" uniqueCount="679">
  <si>
    <t xml:space="preserve">INCOME STATEMENT </t>
  </si>
  <si>
    <t>2021A</t>
  </si>
  <si>
    <t>2022A</t>
  </si>
  <si>
    <t>2023A</t>
  </si>
  <si>
    <t>Revenue</t>
  </si>
  <si>
    <t>COGS (excl. D&amp;A)</t>
  </si>
  <si>
    <t>Gross Profit (excl. D&amp;A)</t>
  </si>
  <si>
    <t>SG&amp;A Expense</t>
  </si>
  <si>
    <t>D&amp;A Expense</t>
  </si>
  <si>
    <t>EBIT</t>
  </si>
  <si>
    <t>Interest Income</t>
  </si>
  <si>
    <t>Interest Expense</t>
  </si>
  <si>
    <t>Other Income (Expense)</t>
  </si>
  <si>
    <t>EBT</t>
  </si>
  <si>
    <t>Income Taxes</t>
  </si>
  <si>
    <t>Equity in Affiliates</t>
  </si>
  <si>
    <t>Net Income</t>
  </si>
  <si>
    <t>Assets</t>
  </si>
  <si>
    <t>Cash &amp; Short-Term Investments</t>
  </si>
  <si>
    <t>Accounts Receivable</t>
  </si>
  <si>
    <t>Other Receivables</t>
  </si>
  <si>
    <t>Inventories</t>
  </si>
  <si>
    <t>Other Current Assets</t>
  </si>
  <si>
    <t>Total Current Assets</t>
  </si>
  <si>
    <t>Net PP&amp;E</t>
  </si>
  <si>
    <t>Goodwill</t>
  </si>
  <si>
    <t>Other Intangible Assets</t>
  </si>
  <si>
    <t>Long-Term Investments</t>
  </si>
  <si>
    <t>Deferred Tax Assets</t>
  </si>
  <si>
    <t>Other Non-Current Assets</t>
  </si>
  <si>
    <t>Total Non-Current Assets</t>
  </si>
  <si>
    <t>Total Assets</t>
  </si>
  <si>
    <t>Liabilities</t>
  </si>
  <si>
    <t>Accounts Payable</t>
  </si>
  <si>
    <t>Short-Term Debt</t>
  </si>
  <si>
    <t>Income Tax Payable</t>
  </si>
  <si>
    <t>Other Current Liabilities</t>
  </si>
  <si>
    <t>Total Current Liabilities</t>
  </si>
  <si>
    <t>Long-Term Debt</t>
  </si>
  <si>
    <t>Deferred Tax Liabilities</t>
  </si>
  <si>
    <t>Other Non-Current Liabilities</t>
  </si>
  <si>
    <t>Total Non-Current Liabilities</t>
  </si>
  <si>
    <t>Total Liabilities</t>
  </si>
  <si>
    <t>Shareholders' Equity</t>
  </si>
  <si>
    <t>Common Stock &amp; APIC</t>
  </si>
  <si>
    <t>Retained Earnings</t>
  </si>
  <si>
    <t>Treasury Stock</t>
  </si>
  <si>
    <t>Total Shareholders' Equity</t>
  </si>
  <si>
    <t>Total Liabilities &amp; Equity</t>
  </si>
  <si>
    <t>BALANCE STATEMENT</t>
  </si>
  <si>
    <t xml:space="preserve">CASH FLOW STATEMENT  </t>
  </si>
  <si>
    <t>Operating Activities</t>
  </si>
  <si>
    <t>D&amp;A</t>
  </si>
  <si>
    <t>Deferred Taxes</t>
  </si>
  <si>
    <t>Changes in Working Capital:</t>
  </si>
  <si>
    <t xml:space="preserve">  (Increase) / Decrease in Receivables</t>
  </si>
  <si>
    <t xml:space="preserve">  (Increase) / Decrease in Inventories</t>
  </si>
  <si>
    <t xml:space="preserve">  Increase / (Decrease) in Accounts Payable</t>
  </si>
  <si>
    <t xml:space="preserve">  Other Working Capital Changes</t>
  </si>
  <si>
    <t>Cash Flow from Operations</t>
  </si>
  <si>
    <t>Investing Activities</t>
  </si>
  <si>
    <t>Capital Expenditures</t>
  </si>
  <si>
    <t>Acquisitions</t>
  </si>
  <si>
    <t>Purchase / Sale of Investments</t>
  </si>
  <si>
    <t>Cash Flow from Investing</t>
  </si>
  <si>
    <t>Financing Activities</t>
  </si>
  <si>
    <t>Dividends Paid</t>
  </si>
  <si>
    <t>Debt Issuance / (Repayment)</t>
  </si>
  <si>
    <t>Cash Flow from Financing</t>
  </si>
  <si>
    <t>Effect of Exchange Rate</t>
  </si>
  <si>
    <t>Net Change in Cash</t>
  </si>
  <si>
    <t>SOURCES &amp; FOOTNOTES</t>
  </si>
  <si>
    <t>Duolingo, Inc. (DUOL)  |  Data Sources, Market Inputs, Methodology &amp; Audit Trail</t>
  </si>
  <si>
    <t>SECTION 1: PRIMARY DATA SOURCES</t>
  </si>
  <si>
    <t>#</t>
  </si>
  <si>
    <t>Source Name</t>
  </si>
  <si>
    <t>Type</t>
  </si>
  <si>
    <t>Data Used For</t>
  </si>
  <si>
    <t>Tabs Referenced</t>
  </si>
  <si>
    <t>Access Date</t>
  </si>
  <si>
    <t>URL / Reference</t>
  </si>
  <si>
    <t>S1</t>
  </si>
  <si>
    <t>[e.g., SEC EDGAR - DUOL 10-K]</t>
  </si>
  <si>
    <t>[SEC Filing]</t>
  </si>
  <si>
    <t>[IS, BS, CF statements; footnotes]</t>
  </si>
  <si>
    <t>[Historical Financials]</t>
  </si>
  <si>
    <t>[Date]</t>
  </si>
  <si>
    <t>[https://sec.gov/...]</t>
  </si>
  <si>
    <t>S2</t>
  </si>
  <si>
    <t>[e.g., SEC EDGAR - DUOL 10-Q]</t>
  </si>
  <si>
    <t>[Quarterly interim financials]</t>
  </si>
  <si>
    <t>S3</t>
  </si>
  <si>
    <t>[e.g., DUOL Investor Relations]</t>
  </si>
  <si>
    <t>[Company IR]</t>
  </si>
  <si>
    <t>[Earnings releases, investor decks, KPIs]</t>
  </si>
  <si>
    <t>[Key Metrics, Assumptions]</t>
  </si>
  <si>
    <t>[https://investors.duolingo.com/...]</t>
  </si>
  <si>
    <t>S4</t>
  </si>
  <si>
    <t>[e.g., Bloomberg Terminal]</t>
  </si>
  <si>
    <t>[Terminal]</t>
  </si>
  <si>
    <t>[Beta, trading data, consensus]</t>
  </si>
  <si>
    <t>[DCF Valuation]</t>
  </si>
  <si>
    <t>[DUOL US Equity]</t>
  </si>
  <si>
    <t>S5</t>
  </si>
  <si>
    <t>[e.g., Damodaran Online]</t>
  </si>
  <si>
    <t>[Academic]</t>
  </si>
  <si>
    <t>[ERP, sector betas, country risk]</t>
  </si>
  <si>
    <t>[https://pages.stern.nyu.edu/...]</t>
  </si>
  <si>
    <t>S6</t>
  </si>
  <si>
    <t>[e.g., FRED / U.S. Treasury]</t>
  </si>
  <si>
    <t>[Govt]</t>
  </si>
  <si>
    <t>[Risk-free rate, macro rates, CPI]</t>
  </si>
  <si>
    <t>[https://fred.stlouisfed.org/...]</t>
  </si>
  <si>
    <t>S7</t>
  </si>
  <si>
    <t>[e.g., Industry Research Report]</t>
  </si>
  <si>
    <t>[3rd Party]</t>
  </si>
  <si>
    <t>[TAM, market sizing, growth rates]</t>
  </si>
  <si>
    <t>[Forecast Model]</t>
  </si>
  <si>
    <t>[Publisher / Report Title]</t>
  </si>
  <si>
    <t>S8</t>
  </si>
  <si>
    <t>[e.g., FactSet / Capital IQ]</t>
  </si>
  <si>
    <t>[Comps, multiples, consensus]</t>
  </si>
  <si>
    <t>[Valuation]</t>
  </si>
  <si>
    <t>[Screen / export ref]</t>
  </si>
  <si>
    <t>S9</t>
  </si>
  <si>
    <t>[e.g., Duff &amp; Phelps / Kroll]</t>
  </si>
  <si>
    <t>[Size premium, ERP, cost of capital]</t>
  </si>
  <si>
    <t>[Publication / Edition]</t>
  </si>
  <si>
    <t>S10</t>
  </si>
  <si>
    <t>[Add more as needed]</t>
  </si>
  <si>
    <t>SECTION 2: EXTERNAL MARKET INPUTS USED</t>
  </si>
  <si>
    <t>Input</t>
  </si>
  <si>
    <t>Value Used</t>
  </si>
  <si>
    <t>Source / Basis</t>
  </si>
  <si>
    <t>Feeds Into</t>
  </si>
  <si>
    <t>As-Of Date</t>
  </si>
  <si>
    <t>Source Ref</t>
  </si>
  <si>
    <t>Risk-Free Rate (Rf)</t>
  </si>
  <si>
    <t>[Enter]</t>
  </si>
  <si>
    <t>[e.g., 10-Year UST Yield at close]</t>
  </si>
  <si>
    <t>[DCF: WACC]</t>
  </si>
  <si>
    <t>[S6]</t>
  </si>
  <si>
    <t>Equity Risk Premium (ERP)</t>
  </si>
  <si>
    <t>[e.g., Damodaran implied ERP, Jan 2025]</t>
  </si>
  <si>
    <t>[S5]</t>
  </si>
  <si>
    <t>Levered Beta</t>
  </si>
  <si>
    <t>[e.g., 5Y monthly regression vs. S&amp;P 500]</t>
  </si>
  <si>
    <t>[S4]</t>
  </si>
  <si>
    <t>Terminal Growth Rate (g)</t>
  </si>
  <si>
    <t>[e.g., Long-run nominal GDP proxy]</t>
  </si>
  <si>
    <t>[DCF: Terminal Value]</t>
  </si>
  <si>
    <t>Marginal Tax Rate</t>
  </si>
  <si>
    <t>[e.g., Blended federal + state statutory]</t>
  </si>
  <si>
    <t>[DCF: NOPAT]</t>
  </si>
  <si>
    <t>[S1]</t>
  </si>
  <si>
    <t>EdTech TAM ($bn)</t>
  </si>
  <si>
    <t>[e.g., HolonIQ / Grand View Research]</t>
  </si>
  <si>
    <t>[Forecast: Revenue]</t>
  </si>
  <si>
    <t>[S7]</t>
  </si>
  <si>
    <t>Consensus Revenue FY25E ($mm)</t>
  </si>
  <si>
    <t>[e.g., Bloomberg / FactSet median]</t>
  </si>
  <si>
    <t>[Benchmark]</t>
  </si>
  <si>
    <t>[S4/S8]</t>
  </si>
  <si>
    <t>Consensus EPS FY25E</t>
  </si>
  <si>
    <t>[Add rows as needed]</t>
  </si>
  <si>
    <t>SECTION 3: FOOTNOTES &amp; ADJUSTMENTS</t>
  </si>
  <si>
    <t>Ref #</t>
  </si>
  <si>
    <t>Tab / Cell</t>
  </si>
  <si>
    <t>Footnote Description</t>
  </si>
  <si>
    <t>Impact on Model</t>
  </si>
  <si>
    <t>[1]</t>
  </si>
  <si>
    <t>[e.g., Historical Financials, F10]</t>
  </si>
  <si>
    <t>[e.g., Revenue restated to reflect ASC 606 adoption; FY2020 adjusted]</t>
  </si>
  <si>
    <t>[e.g., +$2.3mm to FY2020 revenue]</t>
  </si>
  <si>
    <t>[2]</t>
  </si>
  <si>
    <t>[e.g., DCF Valuation, E11]</t>
  </si>
  <si>
    <t>[e.g., Beta sourced from 5Y monthly regression vs. S&amp;P 500; R-sq = 0.42]</t>
  </si>
  <si>
    <t>[Affects Ke and WACC]</t>
  </si>
  <si>
    <t>[3]</t>
  </si>
  <si>
    <t>[e.g., Master Assumptions, F20]</t>
  </si>
  <si>
    <t>[e.g., Tax rate reflects blended state + federal; no NOL carryforward assumed]</t>
  </si>
  <si>
    <t>[Affects NOPAT / FCF]</t>
  </si>
  <si>
    <t>[4]</t>
  </si>
  <si>
    <t>[e.g., DCF Valuation, E35]</t>
  </si>
  <si>
    <t>[e.g., SBC added back to FCF as non-cash; dilution via diluted share count]</t>
  </si>
  <si>
    <t>[Increases UCF significantly]</t>
  </si>
  <si>
    <t>[5]</t>
  </si>
  <si>
    <t>[e.g., Forecast Model, H11]</t>
  </si>
  <si>
    <t>[e.g., Revenue growth assumes continued MAU expansion; no new product lines]</t>
  </si>
  <si>
    <t>[S3]</t>
  </si>
  <si>
    <t>[Core revenue driver]</t>
  </si>
  <si>
    <t>[6]</t>
  </si>
  <si>
    <t>[Tab / Cell]</t>
  </si>
  <si>
    <t>[Description]</t>
  </si>
  <si>
    <t>[Sn]</t>
  </si>
  <si>
    <t>[Impact]</t>
  </si>
  <si>
    <t>[7]</t>
  </si>
  <si>
    <t>[8]</t>
  </si>
  <si>
    <t>[9]</t>
  </si>
  <si>
    <t>[10]</t>
  </si>
  <si>
    <t>SECTION 4: METHODOLOGY NOTES</t>
  </si>
  <si>
    <t>Area</t>
  </si>
  <si>
    <t>Methodology Description</t>
  </si>
  <si>
    <t>Applicable Tab(s)</t>
  </si>
  <si>
    <t>Valuation Approach</t>
  </si>
  <si>
    <t>[e.g., Unlevered DCF; perpetuity growth terminal value; mid-year convention]</t>
  </si>
  <si>
    <t>WACC Derivation</t>
  </si>
  <si>
    <t>[e.g., CAPM-based Ke; 100% equity weight (no debt); no size/country premium]</t>
  </si>
  <si>
    <t>Revenue Forecast</t>
  </si>
  <si>
    <t>[e.g., Top-line driven by MAU growth x ARPU; 3 scenarios (Bull/Base/Bear)]</t>
  </si>
  <si>
    <t>[Forecast Model, Scenarios]</t>
  </si>
  <si>
    <t>Margin Expansion</t>
  </si>
  <si>
    <t>[e.g., Gross margin converges to 76% by FY2029; OpEx leverage from scale]</t>
  </si>
  <si>
    <t>[Master Assumptions]</t>
  </si>
  <si>
    <t>Working Capital</t>
  </si>
  <si>
    <t>[e.g., DSO/DPO held constant at historical average; NWC as % of revenue delta]</t>
  </si>
  <si>
    <t>[Supporting Schedules]</t>
  </si>
  <si>
    <t>CapEx Treatment</t>
  </si>
  <si>
    <t>[e.g., CapEx as % of revenue; includes capitalized software development]</t>
  </si>
  <si>
    <t>SBC Treatment</t>
  </si>
  <si>
    <t>[e.g., SBC added back to FCF as non-cash; dilution captured via diluted shares]</t>
  </si>
  <si>
    <t>Tax Assumptions</t>
  </si>
  <si>
    <t>[e.g., Effective tax rate ramping 15% to 20% over forecast; no deferred tax]</t>
  </si>
  <si>
    <t>Terminal Value</t>
  </si>
  <si>
    <t>[e.g., Gordon growth model; 2.5% perpetuity rate = long-run nominal GDP proxy]</t>
  </si>
  <si>
    <t>[DCF, Sensitivity]</t>
  </si>
  <si>
    <t>Scenario Framework</t>
  </si>
  <si>
    <t>[e.g., Bull/Base/Bear via CHOOSE function; assumption-driven from Supp. Schedules]</t>
  </si>
  <si>
    <t>[Scenario Analysis]</t>
  </si>
  <si>
    <t>SECTION 5: REVISION LOG</t>
  </si>
  <si>
    <t>Version</t>
  </si>
  <si>
    <t>Date</t>
  </si>
  <si>
    <t>Author</t>
  </si>
  <si>
    <t>Change Description</t>
  </si>
  <si>
    <t>Tabs Affected</t>
  </si>
  <si>
    <t>v1.0</t>
  </si>
  <si>
    <t>[Initials]</t>
  </si>
  <si>
    <t>[e.g., Initial model build; historical financials + DCF]</t>
  </si>
  <si>
    <t>[All]</t>
  </si>
  <si>
    <t>v1.1</t>
  </si>
  <si>
    <t>[e.g., Updated beta + ERP; re-ran sensitivity tables]</t>
  </si>
  <si>
    <t>v1.2</t>
  </si>
  <si>
    <t>[e.g., Added scenario analysis; Bull/Base/Bear assumptions]</t>
  </si>
  <si>
    <t>[Scenarios, Assumptions]</t>
  </si>
  <si>
    <t>v2.0</t>
  </si>
  <si>
    <t>[e.g., Major revision: incorporated Q4 2024 actuals; revised forecast]</t>
  </si>
  <si>
    <t>[Hist. Fin., Forecast]</t>
  </si>
  <si>
    <t>v2.1</t>
  </si>
  <si>
    <t>[Change description]</t>
  </si>
  <si>
    <t>[Tab names]</t>
  </si>
  <si>
    <t>v3.0</t>
  </si>
  <si>
    <t>[Add]</t>
  </si>
  <si>
    <t>SECTION 6: DISCLAIMER &amp; LIMITATIONS</t>
  </si>
  <si>
    <t>IMPORTANT: This financial model is prepared for informational and analytical purposes only.</t>
  </si>
  <si>
    <t>[1] This model does not constitute investment advice, a recommendation, or a solicitation to buy or sell securities.</t>
  </si>
  <si>
    <t>[2] All projections are based on assumptions that may not reflect actual future performance.</t>
  </si>
  <si>
    <t>[3] Historical financial data is sourced from public SEC filings and may be subject to restatement.</t>
  </si>
  <si>
    <t>[4] Market data (prices, rates, betas) is point-in-time and subject to change.</t>
  </si>
  <si>
    <t>[5] Model outputs are highly sensitive to input assumptions; users should review the Sensitivity Analysis tab.</t>
  </si>
  <si>
    <t>[6] The author(s) make no warranty as to accuracy or completeness of data or projections.</t>
  </si>
  <si>
    <t>[7] Users should conduct independent due diligence before making any investment decisions.</t>
  </si>
  <si>
    <t>Comprehensive Valuation Model — Table of Contents</t>
  </si>
  <si>
    <t>Tab #</t>
  </si>
  <si>
    <t>Tab Name</t>
  </si>
  <si>
    <t>Description</t>
  </si>
  <si>
    <t>Status</t>
  </si>
  <si>
    <t>SECTION 1: EXECUTIVE SUMMARY &amp; OVERVIEW</t>
  </si>
  <si>
    <t>Cover</t>
  </si>
  <si>
    <t>Title page, version control, confidentiality notice</t>
  </si>
  <si>
    <t>Complete</t>
  </si>
  <si>
    <t>TOC</t>
  </si>
  <si>
    <t>Table of contents &amp; model map</t>
  </si>
  <si>
    <t>Executive Summary</t>
  </si>
  <si>
    <t>Investment thesis, highlights, key findings, target price</t>
  </si>
  <si>
    <t>SECTION 2: HISTORICAL FINANCIALS &amp; ANALYSIS</t>
  </si>
  <si>
    <t>Historical Financials</t>
  </si>
  <si>
    <t>Historical IS + BS + CF (vertical 3-statement model)</t>
  </si>
  <si>
    <t>Historical Analysis</t>
  </si>
  <si>
    <t>Margins, growth rates, ratio analysis, trends</t>
  </si>
  <si>
    <t>SECTION 3: ASSUMPTIONS &amp; OTHER INPUTS</t>
  </si>
  <si>
    <t>Master Assumptions</t>
  </si>
  <si>
    <t>Key drivers: revenue growth, margins, CapEx, tax, WACC</t>
  </si>
  <si>
    <t>Supporting Schedules</t>
  </si>
  <si>
    <t>Supporting analysis: TAM, benchmarks, comps backup</t>
  </si>
  <si>
    <t>SECTION 4: FORECASTS &amp; PROJECTIONS</t>
  </si>
  <si>
    <t>Forecast Model</t>
  </si>
  <si>
    <t>Projected IS + BS + CF (vertical 3-statement model)</t>
  </si>
  <si>
    <t>Integration Check</t>
  </si>
  <si>
    <t>BS balances, CF reconciliation, error checks</t>
  </si>
  <si>
    <t>SECTION 5: VALUATION</t>
  </si>
  <si>
    <t>DCF Valuation</t>
  </si>
  <si>
    <t>Discounted Cash Flow analysis (WACC, terminal value)</t>
  </si>
  <si>
    <t>Trading Comps</t>
  </si>
  <si>
    <t>Public comparable company analysis (EV/Revenue, EV/EBITDA)</t>
  </si>
  <si>
    <t>Valuation Summary</t>
  </si>
  <si>
    <t>Combined valuation range across all methodologies</t>
  </si>
  <si>
    <t>SECTION 6: OUTPUTS &amp; ANALYSIS</t>
  </si>
  <si>
    <t>Sensitivity Tables</t>
  </si>
  <si>
    <t>WACC vs. growth, revenue vs. margin data tables</t>
  </si>
  <si>
    <t>SECTION 7: REFERENCE &amp; DATA</t>
  </si>
  <si>
    <t>Sources &amp; Footnotes</t>
  </si>
  <si>
    <t>Data sources, methodology notes, disclaimers</t>
  </si>
  <si>
    <t>COLOR CODING LEGEND</t>
  </si>
  <si>
    <t>🔵</t>
  </si>
  <si>
    <t>BLUE cells</t>
  </si>
  <si>
    <t>Hardcoded inputs / assumptions (user changes these)</t>
  </si>
  <si>
    <t>⬛</t>
  </si>
  <si>
    <t>BLACK cells</t>
  </si>
  <si>
    <t>Formulas &amp; calculations (model calculates these)</t>
  </si>
  <si>
    <t>🟢</t>
  </si>
  <si>
    <t>GREEN cells</t>
  </si>
  <si>
    <t>Links from other worksheets within workbook</t>
  </si>
  <si>
    <t>🟡</t>
  </si>
  <si>
    <t>YELLOW cells</t>
  </si>
  <si>
    <t>Flags / checks / key assumptions needing attention</t>
  </si>
  <si>
    <t>🔴</t>
  </si>
  <si>
    <t>RED cells</t>
  </si>
  <si>
    <t>External links to other files</t>
  </si>
  <si>
    <t>2024A</t>
  </si>
  <si>
    <t>Other Operating Expense</t>
  </si>
  <si>
    <t>Unusual Expense</t>
  </si>
  <si>
    <t>Consolidated Net Income</t>
  </si>
  <si>
    <t>Minority Interests</t>
  </si>
  <si>
    <t>Other Appropriated Reserves</t>
  </si>
  <si>
    <t xml:space="preserve">CTA / Unrealized For. Exch. Gains  </t>
  </si>
  <si>
    <t xml:space="preserve">Accumulated Minority Int. </t>
  </si>
  <si>
    <t xml:space="preserve">Total Equity </t>
  </si>
  <si>
    <t>Provisions for risks &amp; charges</t>
  </si>
  <si>
    <t>Other Funds</t>
  </si>
  <si>
    <t>Sales of Fixed Assets</t>
  </si>
  <si>
    <t>Changes in Capital Stock</t>
  </si>
  <si>
    <t xml:space="preserve">Repayments of Operating Lease </t>
  </si>
  <si>
    <t xml:space="preserve">SECTION A: GROWTH AND MARGIN ANALYSIS </t>
  </si>
  <si>
    <t xml:space="preserve">REVENUE GROWTH: </t>
  </si>
  <si>
    <t>Trend</t>
  </si>
  <si>
    <t>Total Revenue ($M)</t>
  </si>
  <si>
    <t xml:space="preserve">YoY Growth % </t>
  </si>
  <si>
    <t>YoY Growth</t>
  </si>
  <si>
    <t xml:space="preserve">GROSS MARGIN: </t>
  </si>
  <si>
    <t>Gross Profit ($M)</t>
  </si>
  <si>
    <t>Gross Profit %</t>
  </si>
  <si>
    <t xml:space="preserve">OPEX ANALYSIS: </t>
  </si>
  <si>
    <t>SG&amp;A % of Revenue</t>
  </si>
  <si>
    <t>D&amp;A % of Revenue</t>
  </si>
  <si>
    <t>Total Opex % of Revenue</t>
  </si>
  <si>
    <t>PROFITABILITY:</t>
  </si>
  <si>
    <t xml:space="preserve">Operating Margin % </t>
  </si>
  <si>
    <t>EBITDA Margin %</t>
  </si>
  <si>
    <t>Net Margin %</t>
  </si>
  <si>
    <t>SECTION B: CASH GENERATION AND CAPITAL EFFICIENCY</t>
  </si>
  <si>
    <t>CASH FLOW QUALITY:</t>
  </si>
  <si>
    <t xml:space="preserve">Trend </t>
  </si>
  <si>
    <t>OCF</t>
  </si>
  <si>
    <t>FCF</t>
  </si>
  <si>
    <t>WC DYNAMICS:</t>
  </si>
  <si>
    <t>Changes in WC ($M):</t>
  </si>
  <si>
    <r>
      <t xml:space="preserve">     </t>
    </r>
    <r>
      <rPr>
        <i/>
        <sz val="12"/>
        <color theme="1"/>
        <rFont val="Aptos Narrow"/>
        <scheme val="minor"/>
      </rPr>
      <t xml:space="preserve">  Changes in AR</t>
    </r>
  </si>
  <si>
    <t xml:space="preserve">       Changes in AP</t>
  </si>
  <si>
    <t xml:space="preserve">       Changes in Inventory</t>
  </si>
  <si>
    <t xml:space="preserve">       Other WC changes </t>
  </si>
  <si>
    <t xml:space="preserve">Net WC Impact </t>
  </si>
  <si>
    <t>DSO</t>
  </si>
  <si>
    <t>DPO</t>
  </si>
  <si>
    <t>DIO</t>
  </si>
  <si>
    <t>CCC</t>
  </si>
  <si>
    <t>CAPEX REQUIREMENTS:</t>
  </si>
  <si>
    <t xml:space="preserve">CapEx ($M) </t>
  </si>
  <si>
    <t xml:space="preserve">      as % of Revenue </t>
  </si>
  <si>
    <t>CapEx / Depreciation</t>
  </si>
  <si>
    <t>SECTION C: BALANCE SHEET HEALTH AND RETURN METRICS</t>
  </si>
  <si>
    <t xml:space="preserve">LIQUIDITY: </t>
  </si>
  <si>
    <t xml:space="preserve">Current Ratio </t>
  </si>
  <si>
    <t>Quick Ratio</t>
  </si>
  <si>
    <t>LEVERAGE:</t>
  </si>
  <si>
    <t xml:space="preserve">Total Debt </t>
  </si>
  <si>
    <t>Equity</t>
  </si>
  <si>
    <t>Debt / Equity</t>
  </si>
  <si>
    <t>ICR</t>
  </si>
  <si>
    <t>EQUITY  &amp; RETAINED EARNINGS:</t>
  </si>
  <si>
    <t>Total Shareholder's Equity</t>
  </si>
  <si>
    <t xml:space="preserve">YoY equity Growth </t>
  </si>
  <si>
    <t>RETURN METRICS:</t>
  </si>
  <si>
    <t>RoE(%)</t>
  </si>
  <si>
    <t xml:space="preserve">       =NI/Shareholder's Equity</t>
  </si>
  <si>
    <t>RoA(%)</t>
  </si>
  <si>
    <t xml:space="preserve">       =Net Income/Avg Assets</t>
  </si>
  <si>
    <t>ROIC(%)</t>
  </si>
  <si>
    <t xml:space="preserve">          EBIT</t>
  </si>
  <si>
    <t xml:space="preserve">          x (1-Tax rate)</t>
  </si>
  <si>
    <t xml:space="preserve">         =NOPAT</t>
  </si>
  <si>
    <t xml:space="preserve">         Invested Capital</t>
  </si>
  <si>
    <t xml:space="preserve">        Total Equity </t>
  </si>
  <si>
    <t xml:space="preserve">              +Total Debt </t>
  </si>
  <si>
    <t xml:space="preserve">              -Excess Cash</t>
  </si>
  <si>
    <t xml:space="preserve">        = Invested Capital</t>
  </si>
  <si>
    <t xml:space="preserve">        = NOPAT/Invested Capital</t>
  </si>
  <si>
    <t>4Y CAGR</t>
  </si>
  <si>
    <t>MASTER ASSUMPTIONS</t>
  </si>
  <si>
    <t>Hermes International S.A. (RMS-FR)  |   Forecast Assumptions</t>
  </si>
  <si>
    <t>SCENARIO SELECTOR</t>
  </si>
  <si>
    <t>Active Scenario:</t>
  </si>
  <si>
    <t>Base</t>
  </si>
  <si>
    <t>Scenario Code:</t>
  </si>
  <si>
    <t>(1=Bull, 2=Base, 3=Bear)</t>
  </si>
  <si>
    <t>ACTIVE ASSUMPTIONS</t>
  </si>
  <si>
    <t>2025E</t>
  </si>
  <si>
    <t>2026E</t>
  </si>
  <si>
    <t>2027E</t>
  </si>
  <si>
    <t>2028E</t>
  </si>
  <si>
    <t>2029E</t>
  </si>
  <si>
    <t>REVENUE &amp; MARGINS</t>
  </si>
  <si>
    <t>Revenue Growth %</t>
  </si>
  <si>
    <t>Gross Margin %</t>
  </si>
  <si>
    <t>OPERATING EXPENSES (% of Revenue)</t>
  </si>
  <si>
    <t>SG&amp;A %</t>
  </si>
  <si>
    <t>Depreciation (% of Beg. PPE )</t>
  </si>
  <si>
    <t>Depreciation %</t>
  </si>
  <si>
    <t>TAX &amp; OTHER</t>
  </si>
  <si>
    <t>Effective Tax Rate %</t>
  </si>
  <si>
    <t>BALANCE SHEET &amp; CAPEX</t>
  </si>
  <si>
    <t>Other Current Assets % of Revenue</t>
  </si>
  <si>
    <t>Income Tax Payable % of Tax Expense</t>
  </si>
  <si>
    <t>Other CL % of Revenue</t>
  </si>
  <si>
    <t>Capex as % of Revenue</t>
  </si>
  <si>
    <t>Other Assumptions</t>
  </si>
  <si>
    <t xml:space="preserve">Divident Payout % </t>
  </si>
  <si>
    <t>Operating Leases(% of D&amp;A)</t>
  </si>
  <si>
    <t>VALUATION PARAMETERS</t>
  </si>
  <si>
    <t>Terminal Growth Rate</t>
  </si>
  <si>
    <t>INCOME STATEMENT</t>
  </si>
  <si>
    <t>All figures in millions of euros</t>
  </si>
  <si>
    <t>unless stated otherwise</t>
  </si>
  <si>
    <t>BALANCE SHEET</t>
  </si>
  <si>
    <t>ST Debt &amp; Curr. Portion of LT</t>
  </si>
  <si>
    <t>Provision for Risks &amp; Charges</t>
  </si>
  <si>
    <t>CASH FLOW STATEMENT</t>
  </si>
  <si>
    <t xml:space="preserve">Other Funds </t>
  </si>
  <si>
    <t>Other Investing Activities</t>
  </si>
  <si>
    <t>Change in Capital Stock</t>
  </si>
  <si>
    <t>Repayments of Operating Leases</t>
  </si>
  <si>
    <t>L'OREAL S.A</t>
  </si>
  <si>
    <t>SUPPORTING SCHEDULES</t>
  </si>
  <si>
    <t>Scenario Assumptions — Revenue Growth Rates</t>
  </si>
  <si>
    <t xml:space="preserve">L'Oreal S.A. </t>
  </si>
  <si>
    <t>REVENUE SCHEDULE -SEGMENT BASED APPROACH</t>
  </si>
  <si>
    <t>Section A: Segment wise Revenue Data</t>
  </si>
  <si>
    <t xml:space="preserve">All figures in millions </t>
  </si>
  <si>
    <t>of Euro</t>
  </si>
  <si>
    <t>Consumer Products</t>
  </si>
  <si>
    <t>YoY Growth %</t>
  </si>
  <si>
    <t xml:space="preserve">Luxe </t>
  </si>
  <si>
    <t xml:space="preserve">Dermatological Beauty </t>
  </si>
  <si>
    <t>Professional Products</t>
  </si>
  <si>
    <t xml:space="preserve">Total </t>
  </si>
  <si>
    <t>Growth Rate Assumptions</t>
  </si>
  <si>
    <t>(Blue = Input)</t>
  </si>
  <si>
    <t>Rationale</t>
  </si>
  <si>
    <t>Stable slight moderation to long term</t>
  </si>
  <si>
    <t>Recovery path in china</t>
  </si>
  <si>
    <t>Convergence to LT</t>
  </si>
  <si>
    <t>Almost Constant</t>
  </si>
  <si>
    <t>Section B: Segment Wise Growth Assumptions</t>
  </si>
  <si>
    <t>Section C: Projected Segment Revenue</t>
  </si>
  <si>
    <t>Revenue by Segment (€M)</t>
  </si>
  <si>
    <t>Total Revenue</t>
  </si>
  <si>
    <t>YoY Growth (%)</t>
  </si>
  <si>
    <t>Interest Expense Assumptions</t>
  </si>
  <si>
    <t>Section A: Historical Data</t>
  </si>
  <si>
    <t>Total Debt</t>
  </si>
  <si>
    <t>Implied Rate</t>
  </si>
  <si>
    <t xml:space="preserve">Implied Rate </t>
  </si>
  <si>
    <t>Tax Schedule</t>
  </si>
  <si>
    <t>PBT</t>
  </si>
  <si>
    <t>Taxes</t>
  </si>
  <si>
    <t>Effective Tax rate</t>
  </si>
  <si>
    <t>as % of PBT</t>
  </si>
  <si>
    <t>Check</t>
  </si>
  <si>
    <t>Working Capital Schedule</t>
  </si>
  <si>
    <t>WC Schedule</t>
  </si>
  <si>
    <t>Days in Period</t>
  </si>
  <si>
    <t xml:space="preserve">Accounts Receivables </t>
  </si>
  <si>
    <t>Acc. Receivables</t>
  </si>
  <si>
    <t xml:space="preserve">Daily Revenue </t>
  </si>
  <si>
    <t xml:space="preserve">DSO </t>
  </si>
  <si>
    <t>Inventory</t>
  </si>
  <si>
    <t>COGS</t>
  </si>
  <si>
    <t>Daily COGS</t>
  </si>
  <si>
    <t>Accounts Payables</t>
  </si>
  <si>
    <t>Acc. Payables</t>
  </si>
  <si>
    <t>Purchases</t>
  </si>
  <si>
    <t>Daily Purchases</t>
  </si>
  <si>
    <t>Other CA</t>
  </si>
  <si>
    <t>as % of Revenue</t>
  </si>
  <si>
    <t>Other Receivables as % of Revenue</t>
  </si>
  <si>
    <t>PP&amp;E Schedule</t>
  </si>
  <si>
    <t xml:space="preserve">SECTION A : Capex as % of Revenue </t>
  </si>
  <si>
    <t>Capex</t>
  </si>
  <si>
    <t>as % Revenue</t>
  </si>
  <si>
    <t>Avg. ( Last 2 years )</t>
  </si>
  <si>
    <t>SECTION B : Depreciation as % of Beg PPE</t>
  </si>
  <si>
    <t xml:space="preserve">Beg. PPE </t>
  </si>
  <si>
    <t xml:space="preserve">     (+) Capex </t>
  </si>
  <si>
    <t xml:space="preserve">     (-) Depreciation</t>
  </si>
  <si>
    <t xml:space="preserve">Ending PPE </t>
  </si>
  <si>
    <t>Depreciation Schedule</t>
  </si>
  <si>
    <t>SECTION A : Roll Forward Logic</t>
  </si>
  <si>
    <t>Beg. PPE</t>
  </si>
  <si>
    <t xml:space="preserve">     (+) Capex</t>
  </si>
  <si>
    <t xml:space="preserve">     (-) Implied Dep.</t>
  </si>
  <si>
    <t>Ending PPE</t>
  </si>
  <si>
    <t xml:space="preserve">Implied Dep. </t>
  </si>
  <si>
    <t>as % of Beg. PPE</t>
  </si>
  <si>
    <t>SECTION B : PPE Schedule</t>
  </si>
  <si>
    <t xml:space="preserve">SECTION A : DTA Historical </t>
  </si>
  <si>
    <t xml:space="preserve">DTA </t>
  </si>
  <si>
    <t>DTA as % of Revenue</t>
  </si>
  <si>
    <t>Other Non-current Assets % of Revenue</t>
  </si>
  <si>
    <t>SECTION B : Other Non-Current Assets Historical</t>
  </si>
  <si>
    <t>Other NC Assets</t>
  </si>
  <si>
    <t>DTA , DTL , Other Non-Current Assets, Other NC Liabilities</t>
  </si>
  <si>
    <t>SECTION C : DTL Historical</t>
  </si>
  <si>
    <t xml:space="preserve">DTL </t>
  </si>
  <si>
    <t>DTL as % of Revenue</t>
  </si>
  <si>
    <t>SECTION D : Other NC Liabilities</t>
  </si>
  <si>
    <t>Other NC Liabilities</t>
  </si>
  <si>
    <t>Other NC Liabilities as % of Revenue</t>
  </si>
  <si>
    <t>Other CA, CL &amp; Other Receivables Assumptions</t>
  </si>
  <si>
    <t>Section A: Other CA and Other Receivables</t>
  </si>
  <si>
    <t>Section B: Other CL</t>
  </si>
  <si>
    <t>Other CL</t>
  </si>
  <si>
    <t>Section B: ITP as % of Tax Expense</t>
  </si>
  <si>
    <t xml:space="preserve">ITP </t>
  </si>
  <si>
    <t>as % of Tax Expense</t>
  </si>
  <si>
    <t>SECTION A : Historical Debt</t>
  </si>
  <si>
    <t>ST Debt</t>
  </si>
  <si>
    <t>LT Debt</t>
  </si>
  <si>
    <t>Historical Mix</t>
  </si>
  <si>
    <t xml:space="preserve">        ST Debt </t>
  </si>
  <si>
    <t xml:space="preserve">        LT Debt</t>
  </si>
  <si>
    <t>Debt/Equity</t>
  </si>
  <si>
    <t>Equity Schedule</t>
  </si>
  <si>
    <t>SECTION A : Historical Dividend Analysis</t>
  </si>
  <si>
    <t>Dividends</t>
  </si>
  <si>
    <t>NI</t>
  </si>
  <si>
    <t>Dividend Payout</t>
  </si>
  <si>
    <t xml:space="preserve">Avg. Last 2 years </t>
  </si>
  <si>
    <t>SECTION B : Capital Inc. / Dec Analysis</t>
  </si>
  <si>
    <t>SECTION C : Equity Schedule</t>
  </si>
  <si>
    <t>Beg. Equity</t>
  </si>
  <si>
    <t xml:space="preserve">         (+) NI</t>
  </si>
  <si>
    <t xml:space="preserve">         (-) Dividends</t>
  </si>
  <si>
    <t xml:space="preserve">        (+/-) Capital inc./dec</t>
  </si>
  <si>
    <t>Ending Equity</t>
  </si>
  <si>
    <t>Capital Stock</t>
  </si>
  <si>
    <t xml:space="preserve">Gross Debt/EBITDA </t>
  </si>
  <si>
    <t>SECTION B : Tgt Ratio</t>
  </si>
  <si>
    <t>Implied Debt</t>
  </si>
  <si>
    <t xml:space="preserve">     ST Debt</t>
  </si>
  <si>
    <t xml:space="preserve">     LT Debt</t>
  </si>
  <si>
    <t xml:space="preserve">Int. Expense </t>
  </si>
  <si>
    <t>Debt Schedule - Target Ratio Approach</t>
  </si>
  <si>
    <t>DCF VALUATION</t>
  </si>
  <si>
    <t>L'Oréal S.A. | Unlevered Free Cash Flow to Firm</t>
  </si>
  <si>
    <t>All figures in millions of euros unless stated otherwise</t>
  </si>
  <si>
    <t>WACC CALCULATION</t>
  </si>
  <si>
    <t>Cost of Equity (CAPM)</t>
  </si>
  <si>
    <t>Risk-Free Rate (France 10Y OAT)</t>
  </si>
  <si>
    <t>Equity Risk Premium (Damodaran, France)</t>
  </si>
  <si>
    <t>Levered Beta (5Y Monthly)</t>
  </si>
  <si>
    <t>Cost of Equity (Ke)</t>
  </si>
  <si>
    <t>Cost of Debt</t>
  </si>
  <si>
    <t>Pre-Tax Cost of Debt</t>
  </si>
  <si>
    <t>Effective Tax Rate</t>
  </si>
  <si>
    <t>After-Tax Cost of Debt (Kd)</t>
  </si>
  <si>
    <t>Capital Structure</t>
  </si>
  <si>
    <t>Market Cap of Equity (€M)</t>
  </si>
  <si>
    <t>Total Debt (€M)</t>
  </si>
  <si>
    <t>Total Capital</t>
  </si>
  <si>
    <t>Equity Weight</t>
  </si>
  <si>
    <t>Debt Weight</t>
  </si>
  <si>
    <t>WACC</t>
  </si>
  <si>
    <t>UNLEVERED FREE CASH FLOW</t>
  </si>
  <si>
    <t xml:space="preserve">  Less: Taxes on EBIT</t>
  </si>
  <si>
    <t>NOPAT (EBIT × (1 - Tax Rate))</t>
  </si>
  <si>
    <t xml:space="preserve">  Plus: D&amp;A</t>
  </si>
  <si>
    <t xml:space="preserve">  Less: CapEx</t>
  </si>
  <si>
    <t xml:space="preserve">  Less: Change in Working Capital</t>
  </si>
  <si>
    <t>Unlevered Free Cash Flow</t>
  </si>
  <si>
    <t>TERMINAL VALUE</t>
  </si>
  <si>
    <t>Exit EV/EBITDA Multiple</t>
  </si>
  <si>
    <t>Gordon Growth Model</t>
  </si>
  <si>
    <t xml:space="preserve">  Terminal Year UFCF (2029E)</t>
  </si>
  <si>
    <t xml:space="preserve">  Terminal Value (Gordon Growth)</t>
  </si>
  <si>
    <t>Exit Multiple Method</t>
  </si>
  <si>
    <t xml:space="preserve">  Terminal Year EBITDA (2029E)</t>
  </si>
  <si>
    <t xml:space="preserve">  Terminal Value (Exit Multiple)</t>
  </si>
  <si>
    <t>Blended Terminal Value (50/50)</t>
  </si>
  <si>
    <t>ENTERPRISE VALUE BRIDGE</t>
  </si>
  <si>
    <t>Discount Period (Mid-Year Convention)</t>
  </si>
  <si>
    <t>Discount Factor</t>
  </si>
  <si>
    <t>PV of Free Cash Flows</t>
  </si>
  <si>
    <t>Sum of PV of FCFs</t>
  </si>
  <si>
    <t>PV of Terminal Value</t>
  </si>
  <si>
    <t>Enterprise Value</t>
  </si>
  <si>
    <t>Bridge to Equity Value</t>
  </si>
  <si>
    <t xml:space="preserve">  Less: Total Debt (2024A)</t>
  </si>
  <si>
    <t xml:space="preserve">  Plus: Cash &amp; ST Investments (2024A)</t>
  </si>
  <si>
    <t xml:space="preserve">  Less: Minority Interest</t>
  </si>
  <si>
    <t>Equity Value</t>
  </si>
  <si>
    <t>Shares Outstanding (M)</t>
  </si>
  <si>
    <t>Implied Share Price (€)</t>
  </si>
  <si>
    <t>Current Share Price (€)</t>
  </si>
  <si>
    <t>Upside / (Downside)</t>
  </si>
  <si>
    <t>SENSITIVITY ANALYSIS</t>
  </si>
  <si>
    <t>L'Oréal S.A. | Implied Share Price Sensitivity</t>
  </si>
  <si>
    <t>TABLE 1: WACC vs. Terminal Growth Rate — Implied Share Price (€)</t>
  </si>
  <si>
    <t>Terminal Growth Rate →</t>
  </si>
  <si>
    <t>WACC ↓</t>
  </si>
  <si>
    <t>TABLE 2: WACC vs. Exit EV/EBITDA Multiple — Implied Share Price (€)</t>
  </si>
  <si>
    <t>Exit EV/EBITDA →</t>
  </si>
  <si>
    <t>TRADING COMPARABLES ANALYSIS</t>
  </si>
  <si>
    <t>L'Oréal S.A. | Global Beauty &amp; Personal Care Peer Set</t>
  </si>
  <si>
    <t>All financial figures in millions of local currency (converted to EUR where noted). Data as of latest available filings.</t>
  </si>
  <si>
    <t>Company</t>
  </si>
  <si>
    <t>Ticker</t>
  </si>
  <si>
    <t>Currency</t>
  </si>
  <si>
    <t>Market Cap (€M)</t>
  </si>
  <si>
    <t>Enterprise Value (€M)</t>
  </si>
  <si>
    <t>Revenue LTM (€M)</t>
  </si>
  <si>
    <t>EBITDA LTM (€M)</t>
  </si>
  <si>
    <t>Net Income LTM (€M)</t>
  </si>
  <si>
    <t>Gross Margin</t>
  </si>
  <si>
    <t>EBITDA Margin</t>
  </si>
  <si>
    <t>Net Margin</t>
  </si>
  <si>
    <t>EV/Revenue</t>
  </si>
  <si>
    <t>EV/EBITDA</t>
  </si>
  <si>
    <t>P/E (TTM)</t>
  </si>
  <si>
    <t>P/E (Fwd)</t>
  </si>
  <si>
    <t>L'Oréal S.A.</t>
  </si>
  <si>
    <t>OR.PA</t>
  </si>
  <si>
    <t>EUR</t>
  </si>
  <si>
    <t>Estée Lauder</t>
  </si>
  <si>
    <t>EL</t>
  </si>
  <si>
    <t>USD→EUR</t>
  </si>
  <si>
    <t>Procter &amp; Gamble</t>
  </si>
  <si>
    <t>PG</t>
  </si>
  <si>
    <t>Unilever PLC</t>
  </si>
  <si>
    <t>ULVR.L</t>
  </si>
  <si>
    <t>Beiersdorf AG</t>
  </si>
  <si>
    <t>BEI.DE</t>
  </si>
  <si>
    <t>Shiseido Co.</t>
  </si>
  <si>
    <t>4911.T</t>
  </si>
  <si>
    <t>JPY→EUR</t>
  </si>
  <si>
    <t>Henkel AG</t>
  </si>
  <si>
    <t>HEN3.DE</t>
  </si>
  <si>
    <t>Colgate-Palmolive</t>
  </si>
  <si>
    <t>CL</t>
  </si>
  <si>
    <t>Church &amp; Dwight</t>
  </si>
  <si>
    <t>CHD</t>
  </si>
  <si>
    <t>PEER STATISTICS (Excl. L'Oréal)</t>
  </si>
  <si>
    <t>Mean</t>
  </si>
  <si>
    <t>Median</t>
  </si>
  <si>
    <t>High</t>
  </si>
  <si>
    <t>Low</t>
  </si>
  <si>
    <t>IMPLIED L'ORÉAL VALUATION FROM COMPS</t>
  </si>
  <si>
    <t>L'Oréal Metric</t>
  </si>
  <si>
    <t>Peer Mean</t>
  </si>
  <si>
    <t>Peer Median</t>
  </si>
  <si>
    <t>Implied EV (Mean)</t>
  </si>
  <si>
    <t>Implied EV (Median)</t>
  </si>
  <si>
    <t>Impl. Equity (Mean)</t>
  </si>
  <si>
    <t>Impl. Equity (Median)</t>
  </si>
  <si>
    <t>Price (Mean)</t>
  </si>
  <si>
    <t>Price (Median)</t>
  </si>
  <si>
    <t>Net Debt (for EV→Equity bridge)</t>
  </si>
  <si>
    <t>EV / Revenue</t>
  </si>
  <si>
    <t>EV / EBITDA</t>
  </si>
  <si>
    <t>P / 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</si>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</sst>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0.0&quot;x&quot;"/>
    <numFmt numFmtId="165" formatCode="_(* #,##0.00_);_(* \(#,##0.00\);_(* &quot;-&quot;_);_(@_)"/>
    <numFmt numFmtId="166" formatCode="0.0%"/>
    <numFmt numFmtId="167" formatCode="0.0"/>
    <numFmt numFmtId="168" formatCode="_(* #,##0_);_(* \(#,##0\);_(* &quot;-&quot;??_);_(@_)"/>
    <numFmt numFmtId="169" formatCode="#,##0.0"/>
    <numFmt numFmtId="170" formatCode="#,##0.0;\(#,##0.0\)"/>
    <numFmt numFmtId="171" formatCode="0.0\x"/>
    <numFmt numFmtId="172" formatCode="0.0000"/>
    <numFmt numFmtId="173" formatCode="\€#,##0.00"/>
    <numFmt numFmtId="174" formatCode="\€#,##0"/>
  </numFmts>
  <fonts count="6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scheme val="minor"/>
    </font>
    <font>
      <b/>
      <sz val="12"/>
      <color theme="1"/>
      <name val="Aptos Narrow"/>
      <scheme val="minor"/>
    </font>
    <font>
      <b/>
      <u/>
      <sz val="12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4"/>
      <color rgb="FFFFFFFF"/>
      <name val="Aptos Narrow"/>
      <scheme val="minor"/>
    </font>
    <font>
      <i/>
      <sz val="10"/>
      <color rgb="FF1F4E79"/>
      <name val="Aptos Narrow"/>
      <scheme val="minor"/>
    </font>
    <font>
      <b/>
      <sz val="11"/>
      <color rgb="FF000000"/>
      <name val="Aptos Narrow"/>
      <scheme val="minor"/>
    </font>
    <font>
      <b/>
      <sz val="11"/>
      <color rgb="FFFFFFFF"/>
      <name val="Aptos Narrow"/>
      <scheme val="minor"/>
    </font>
    <font>
      <b/>
      <sz val="10"/>
      <color rgb="FF000000"/>
      <name val="Aptos Narrow"/>
      <scheme val="minor"/>
    </font>
    <font>
      <i/>
      <sz val="10"/>
      <color rgb="FF808080"/>
      <name val="Aptos Narrow"/>
      <scheme val="minor"/>
    </font>
    <font>
      <sz val="10"/>
      <color rgb="FF000000"/>
      <name val="Aptos Narrow"/>
      <scheme val="minor"/>
    </font>
    <font>
      <sz val="10"/>
      <color rgb="FF0000FF"/>
      <name val="Aptos Narrow"/>
      <scheme val="minor"/>
    </font>
    <font>
      <b/>
      <sz val="10"/>
      <color rgb="FF1F4E79"/>
      <name val="Aptos Narrow"/>
      <scheme val="minor"/>
    </font>
    <font>
      <sz val="10"/>
      <color rgb="FF808080"/>
      <name val="Aptos Narrow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8"/>
      <color rgb="FF1B2A4A"/>
      <name val="Arial"/>
      <family val="2"/>
    </font>
    <font>
      <sz val="12"/>
      <color rgb="FF4472C4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9" tint="-0.249977111117893"/>
      <name val="Arial"/>
      <family val="2"/>
    </font>
    <font>
      <sz val="10"/>
      <color rgb="FF333333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008000"/>
      <name val="Arial"/>
      <family val="2"/>
    </font>
    <font>
      <b/>
      <sz val="10"/>
      <color rgb="FFBF8F00"/>
      <name val="Arial"/>
      <family val="2"/>
    </font>
    <font>
      <b/>
      <sz val="10"/>
      <color rgb="FFFF0000"/>
      <name val="Arial"/>
      <family val="2"/>
    </font>
    <font>
      <sz val="12"/>
      <color rgb="FF0000FF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9" tint="0.39997558519241921"/>
      <name val="Aptos Narrow"/>
      <family val="2"/>
      <scheme val="minor"/>
    </font>
    <font>
      <b/>
      <u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i/>
      <sz val="11"/>
      <color rgb="FF1F4E79"/>
      <name val="Aptos Narrow"/>
      <scheme val="minor"/>
    </font>
    <font>
      <b/>
      <u/>
      <sz val="12"/>
      <color rgb="FF1F4E79"/>
      <name val="Aptos Narrow"/>
      <scheme val="minor"/>
    </font>
    <font>
      <b/>
      <sz val="14"/>
      <color rgb="FF0000FF"/>
      <name val="Aptos Narrow"/>
      <scheme val="minor"/>
    </font>
    <font>
      <b/>
      <sz val="11"/>
      <color rgb="FF808080"/>
      <name val="Aptos Narrow"/>
      <scheme val="minor"/>
    </font>
    <font>
      <sz val="11"/>
      <color rgb="FF808080"/>
      <name val="Aptos Narrow"/>
      <scheme val="minor"/>
    </font>
    <font>
      <b/>
      <u/>
      <sz val="11"/>
      <color rgb="FF1F4E79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rgb="FFFFFFFF"/>
      <name val="Aptos Narrow"/>
      <scheme val="minor"/>
    </font>
    <font>
      <sz val="11"/>
      <color rgb="FF0000FF"/>
      <name val="Aptos Narrow"/>
      <scheme val="minor"/>
    </font>
    <font>
      <b/>
      <sz val="12"/>
      <color rgb="FFFFFFFF"/>
      <name val="Aptos Narrow"/>
      <family val="2"/>
      <scheme val="minor"/>
    </font>
    <font>
      <i/>
      <sz val="9"/>
      <color theme="0" tint="-0.499984740745262"/>
      <name val="Aptos Narrow"/>
      <scheme val="minor"/>
    </font>
    <font>
      <b/>
      <i/>
      <sz val="11"/>
      <color theme="1"/>
      <name val="Aptos Narrow (Body)"/>
    </font>
    <font>
      <b/>
      <i/>
      <sz val="11"/>
      <color theme="1"/>
      <name val="Aptos Narrow"/>
      <scheme val="minor"/>
    </font>
    <font>
      <i/>
      <sz val="9"/>
      <color rgb="FF808080"/>
      <name val="Aptos Narrow"/>
      <family val="2"/>
      <scheme val="minor"/>
    </font>
    <font>
      <i/>
      <sz val="9"/>
      <color rgb="FF0000FF"/>
      <name val="Aptos Narrow"/>
      <family val="2"/>
      <scheme val="minor"/>
    </font>
    <font>
      <b/>
      <sz val="12"/>
      <color theme="1"/>
      <name val="Aptos Narrow (Body)"/>
    </font>
    <font>
      <i/>
      <sz val="12"/>
      <color rgb="FF000000"/>
      <name val="Aptos Narrow"/>
      <scheme val="minor"/>
    </font>
    <font>
      <b/>
      <i/>
      <sz val="11"/>
      <color rgb="FFC62828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i/>
      <sz val="10"/>
      <color rgb="FF555555"/>
      <name val="Aptos Narrow"/>
      <family val="2"/>
      <scheme val="minor"/>
    </font>
    <font>
      <sz val="9"/>
      <color rgb="FF88888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1F4E79"/>
      <name val="Aptos Narrow"/>
      <family val="2"/>
      <scheme val="minor"/>
    </font>
    <font>
      <sz val="10"/>
      <color rgb="FF000000"/>
      <name val="Tahoma"/>
      <family val="2"/>
    </font>
    <font>
      <sz val="12"/>
      <color rgb="FF008000"/>
      <name val="Aptos Narrow"/>
      <family val="2"/>
      <scheme val="minor"/>
    </font>
    <font>
      <i/>
      <sz val="12"/>
      <color rgb="FF555555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FFFFFF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7E4F1"/>
        <bgColor indexed="64"/>
      </patternFill>
    </fill>
    <fill>
      <patternFill patternType="solid">
        <fgColor rgb="FFE9F0F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D8AC6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EAF8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1B2A4A"/>
      </bottom>
      <diagonal/>
    </border>
    <border>
      <left/>
      <right/>
      <top/>
      <bottom style="thin">
        <color rgb="FF999999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BF8F00"/>
      </bottom>
      <diagonal/>
    </border>
    <border>
      <left/>
      <right/>
      <top/>
      <bottom style="thin">
        <color rgb="FFC08F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1F4E79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auto="1"/>
      </bottom>
      <diagonal/>
    </border>
  </borders>
  <cellStyleXfs count="2">
    <xf numFmtId="0" fontId="0" fillId="0" borderId="0"/>
    <xf numFmtId="9" fontId="16" fillId="0" borderId="0" applyFont="0" applyFill="0" applyBorder="0" applyAlignment="0" applyProtection="0"/>
  </cellStyleXfs>
  <cellXfs count="233">
    <xf numFmtId="0" fontId="0" fillId="0" borderId="0" xfId="0"/>
    <xf numFmtId="0" fontId="0" fillId="2" borderId="0" xfId="0" applyFill="1"/>
    <xf numFmtId="0" fontId="2" fillId="5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1" fillId="2" borderId="0" xfId="0" applyFont="1" applyFill="1"/>
    <xf numFmtId="0" fontId="4" fillId="2" borderId="0" xfId="0" applyFont="1" applyFill="1"/>
    <xf numFmtId="0" fontId="5" fillId="4" borderId="0" xfId="0" applyFont="1" applyFill="1"/>
    <xf numFmtId="0" fontId="6" fillId="6" borderId="0" xfId="0" applyFont="1" applyFill="1"/>
    <xf numFmtId="0" fontId="5" fillId="6" borderId="0" xfId="0" applyFont="1" applyFill="1"/>
    <xf numFmtId="0" fontId="7" fillId="3" borderId="0" xfId="0" applyFont="1" applyFill="1"/>
    <xf numFmtId="0" fontId="5" fillId="3" borderId="0" xfId="0" applyFont="1" applyFill="1"/>
    <xf numFmtId="0" fontId="8" fillId="7" borderId="0" xfId="0" applyFont="1" applyFill="1"/>
    <xf numFmtId="0" fontId="5" fillId="7" borderId="0" xfId="0" applyFont="1" applyFill="1"/>
    <xf numFmtId="0" fontId="9" fillId="6" borderId="0" xfId="0" applyFont="1" applyFill="1" applyAlignment="1">
      <alignment horizontal="center"/>
    </xf>
    <xf numFmtId="0" fontId="9" fillId="6" borderId="0" xfId="0" applyFont="1" applyFill="1"/>
    <xf numFmtId="0" fontId="10" fillId="4" borderId="0" xfId="0" applyFont="1" applyFill="1" applyAlignment="1">
      <alignment horizontal="center"/>
    </xf>
    <xf numFmtId="0" fontId="11" fillId="4" borderId="0" xfId="0" applyFont="1" applyFill="1"/>
    <xf numFmtId="0" fontId="11" fillId="4" borderId="0" xfId="0" applyFont="1" applyFill="1" applyAlignment="1">
      <alignment horizontal="center"/>
    </xf>
    <xf numFmtId="0" fontId="12" fillId="4" borderId="0" xfId="0" applyFont="1" applyFill="1"/>
    <xf numFmtId="0" fontId="13" fillId="4" borderId="0" xfId="0" applyFont="1" applyFill="1" applyAlignment="1">
      <alignment horizontal="center"/>
    </xf>
    <xf numFmtId="0" fontId="10" fillId="4" borderId="0" xfId="0" applyFont="1" applyFill="1"/>
    <xf numFmtId="0" fontId="14" fillId="4" borderId="0" xfId="0" applyFont="1" applyFill="1"/>
    <xf numFmtId="0" fontId="15" fillId="4" borderId="0" xfId="0" applyFont="1" applyFill="1"/>
    <xf numFmtId="0" fontId="18" fillId="2" borderId="0" xfId="0" applyFont="1" applyFill="1" applyAlignment="1">
      <alignment horizontal="left"/>
    </xf>
    <xf numFmtId="0" fontId="19" fillId="2" borderId="0" xfId="0" applyFont="1" applyFill="1" applyAlignment="1">
      <alignment horizontal="left"/>
    </xf>
    <xf numFmtId="0" fontId="20" fillId="8" borderId="1" xfId="0" applyFont="1" applyFill="1" applyBorder="1" applyAlignment="1">
      <alignment horizontal="center"/>
    </xf>
    <xf numFmtId="0" fontId="20" fillId="8" borderId="1" xfId="0" applyFont="1" applyFill="1" applyBorder="1" applyAlignment="1">
      <alignment horizontal="left"/>
    </xf>
    <xf numFmtId="0" fontId="20" fillId="9" borderId="0" xfId="0" applyFont="1" applyFill="1"/>
    <xf numFmtId="0" fontId="0" fillId="9" borderId="0" xfId="0" applyFill="1"/>
    <xf numFmtId="0" fontId="21" fillId="10" borderId="0" xfId="0" applyFont="1" applyFill="1" applyAlignment="1">
      <alignment horizontal="center"/>
    </xf>
    <xf numFmtId="0" fontId="21" fillId="10" borderId="0" xfId="0" applyFont="1" applyFill="1"/>
    <xf numFmtId="0" fontId="22" fillId="10" borderId="0" xfId="0" applyFont="1" applyFill="1" applyAlignment="1">
      <alignment horizontal="center"/>
    </xf>
    <xf numFmtId="0" fontId="21" fillId="11" borderId="0" xfId="0" applyFont="1" applyFill="1" applyAlignment="1">
      <alignment horizontal="center"/>
    </xf>
    <xf numFmtId="0" fontId="21" fillId="11" borderId="0" xfId="0" applyFont="1" applyFill="1"/>
    <xf numFmtId="0" fontId="22" fillId="11" borderId="0" xfId="0" applyFont="1" applyFill="1" applyAlignment="1">
      <alignment horizontal="center"/>
    </xf>
    <xf numFmtId="0" fontId="20" fillId="12" borderId="0" xfId="0" applyFont="1" applyFill="1"/>
    <xf numFmtId="0" fontId="17" fillId="12" borderId="0" xfId="0" applyFont="1" applyFill="1"/>
    <xf numFmtId="0" fontId="20" fillId="13" borderId="0" xfId="0" applyFont="1" applyFill="1"/>
    <xf numFmtId="0" fontId="17" fillId="13" borderId="0" xfId="0" applyFont="1" applyFill="1"/>
    <xf numFmtId="0" fontId="20" fillId="14" borderId="0" xfId="0" applyFont="1" applyFill="1"/>
    <xf numFmtId="0" fontId="17" fillId="14" borderId="0" xfId="0" applyFont="1" applyFill="1"/>
    <xf numFmtId="0" fontId="21" fillId="2" borderId="0" xfId="0" applyFont="1" applyFill="1" applyAlignment="1">
      <alignment horizontal="center"/>
    </xf>
    <xf numFmtId="0" fontId="21" fillId="2" borderId="0" xfId="0" applyFont="1" applyFill="1"/>
    <xf numFmtId="0" fontId="22" fillId="2" borderId="0" xfId="0" applyFont="1" applyFill="1" applyAlignment="1">
      <alignment horizontal="center"/>
    </xf>
    <xf numFmtId="0" fontId="20" fillId="15" borderId="0" xfId="0" applyFont="1" applyFill="1"/>
    <xf numFmtId="0" fontId="17" fillId="15" borderId="0" xfId="0" applyFont="1" applyFill="1"/>
    <xf numFmtId="0" fontId="23" fillId="11" borderId="0" xfId="0" applyFont="1" applyFill="1" applyAlignment="1">
      <alignment horizontal="center"/>
    </xf>
    <xf numFmtId="0" fontId="20" fillId="16" borderId="0" xfId="0" applyFont="1" applyFill="1"/>
    <xf numFmtId="0" fontId="17" fillId="16" borderId="0" xfId="0" applyFont="1" applyFill="1"/>
    <xf numFmtId="0" fontId="20" fillId="17" borderId="0" xfId="0" applyFont="1" applyFill="1"/>
    <xf numFmtId="0" fontId="17" fillId="17" borderId="0" xfId="0" applyFont="1" applyFill="1"/>
    <xf numFmtId="0" fontId="24" fillId="11" borderId="2" xfId="0" applyFont="1" applyFill="1" applyBorder="1" applyAlignment="1">
      <alignment horizontal="center"/>
    </xf>
    <xf numFmtId="0" fontId="24" fillId="11" borderId="2" xfId="0" applyFont="1" applyFill="1" applyBorder="1"/>
    <xf numFmtId="0" fontId="23" fillId="11" borderId="2" xfId="0" applyFont="1" applyFill="1" applyBorder="1" applyAlignment="1">
      <alignment horizontal="center"/>
    </xf>
    <xf numFmtId="0" fontId="25" fillId="2" borderId="0" xfId="0" applyFont="1" applyFill="1"/>
    <xf numFmtId="0" fontId="24" fillId="2" borderId="0" xfId="0" applyFont="1" applyFill="1"/>
    <xf numFmtId="0" fontId="26" fillId="2" borderId="0" xfId="0" applyFont="1" applyFill="1"/>
    <xf numFmtId="0" fontId="27" fillId="2" borderId="0" xfId="0" applyFont="1" applyFill="1"/>
    <xf numFmtId="0" fontId="28" fillId="2" borderId="0" xfId="0" applyFont="1" applyFill="1"/>
    <xf numFmtId="0" fontId="21" fillId="2" borderId="2" xfId="0" applyFont="1" applyFill="1" applyBorder="1" applyAlignment="1">
      <alignment horizontal="center"/>
    </xf>
    <xf numFmtId="0" fontId="29" fillId="2" borderId="2" xfId="0" applyFont="1" applyFill="1" applyBorder="1"/>
    <xf numFmtId="0" fontId="24" fillId="2" borderId="2" xfId="0" applyFont="1" applyFill="1" applyBorder="1"/>
    <xf numFmtId="0" fontId="0" fillId="2" borderId="2" xfId="0" applyFill="1" applyBorder="1"/>
    <xf numFmtId="41" fontId="0" fillId="2" borderId="0" xfId="0" applyNumberFormat="1" applyFill="1"/>
    <xf numFmtId="41" fontId="30" fillId="2" borderId="0" xfId="0" applyNumberFormat="1" applyFont="1" applyFill="1"/>
    <xf numFmtId="41" fontId="3" fillId="2" borderId="0" xfId="0" applyNumberFormat="1" applyFont="1" applyFill="1"/>
    <xf numFmtId="0" fontId="31" fillId="2" borderId="0" xfId="0" applyFont="1" applyFill="1"/>
    <xf numFmtId="41" fontId="31" fillId="2" borderId="0" xfId="0" applyNumberFormat="1" applyFont="1" applyFill="1"/>
    <xf numFmtId="0" fontId="32" fillId="5" borderId="0" xfId="0" applyFont="1" applyFill="1"/>
    <xf numFmtId="0" fontId="33" fillId="5" borderId="0" xfId="0" applyFont="1" applyFill="1"/>
    <xf numFmtId="0" fontId="0" fillId="5" borderId="0" xfId="0" applyFill="1"/>
    <xf numFmtId="0" fontId="34" fillId="2" borderId="0" xfId="0" applyFont="1" applyFill="1"/>
    <xf numFmtId="0" fontId="3" fillId="2" borderId="0" xfId="0" applyFont="1" applyFill="1" applyAlignment="1">
      <alignment horizontal="right"/>
    </xf>
    <xf numFmtId="41" fontId="31" fillId="2" borderId="0" xfId="0" applyNumberFormat="1" applyFont="1" applyFill="1" applyAlignment="1">
      <alignment horizontal="right" vertical="center"/>
    </xf>
    <xf numFmtId="9" fontId="0" fillId="18" borderId="0" xfId="1" applyFont="1" applyFill="1"/>
    <xf numFmtId="9" fontId="3" fillId="18" borderId="0" xfId="1" applyFont="1" applyFill="1"/>
    <xf numFmtId="9" fontId="0" fillId="2" borderId="0" xfId="1" applyFont="1" applyFill="1"/>
    <xf numFmtId="2" fontId="0" fillId="2" borderId="0" xfId="0" applyNumberFormat="1" applyFill="1"/>
    <xf numFmtId="9" fontId="31" fillId="2" borderId="0" xfId="1" applyFont="1" applyFill="1"/>
    <xf numFmtId="0" fontId="3" fillId="2" borderId="3" xfId="0" applyFont="1" applyFill="1" applyBorder="1"/>
    <xf numFmtId="0" fontId="31" fillId="2" borderId="3" xfId="0" applyFont="1" applyFill="1" applyBorder="1"/>
    <xf numFmtId="9" fontId="31" fillId="2" borderId="3" xfId="1" applyFont="1" applyFill="1" applyBorder="1"/>
    <xf numFmtId="0" fontId="0" fillId="2" borderId="3" xfId="0" applyFill="1" applyBorder="1"/>
    <xf numFmtId="0" fontId="35" fillId="2" borderId="0" xfId="0" applyFont="1" applyFill="1"/>
    <xf numFmtId="0" fontId="36" fillId="2" borderId="0" xfId="0" applyFont="1" applyFill="1"/>
    <xf numFmtId="1" fontId="0" fillId="2" borderId="0" xfId="0" applyNumberFormat="1" applyFill="1"/>
    <xf numFmtId="9" fontId="36" fillId="2" borderId="0" xfId="1" applyFont="1" applyFill="1"/>
    <xf numFmtId="164" fontId="0" fillId="2" borderId="0" xfId="0" applyNumberFormat="1" applyFill="1"/>
    <xf numFmtId="165" fontId="0" fillId="2" borderId="0" xfId="0" applyNumberFormat="1" applyFill="1"/>
    <xf numFmtId="41" fontId="0" fillId="2" borderId="0" xfId="0" applyNumberFormat="1" applyFill="1" applyAlignment="1">
      <alignment horizontal="right"/>
    </xf>
    <xf numFmtId="10" fontId="0" fillId="2" borderId="0" xfId="0" applyNumberFormat="1" applyFill="1"/>
    <xf numFmtId="0" fontId="0" fillId="6" borderId="0" xfId="0" applyFill="1"/>
    <xf numFmtId="0" fontId="37" fillId="3" borderId="0" xfId="0" applyFont="1" applyFill="1"/>
    <xf numFmtId="0" fontId="0" fillId="3" borderId="0" xfId="0" applyFill="1"/>
    <xf numFmtId="0" fontId="38" fillId="2" borderId="0" xfId="0" applyFont="1" applyFill="1"/>
    <xf numFmtId="0" fontId="39" fillId="19" borderId="0" xfId="0" applyFont="1" applyFill="1" applyAlignment="1">
      <alignment horizontal="center"/>
    </xf>
    <xf numFmtId="0" fontId="40" fillId="2" borderId="0" xfId="0" applyFont="1" applyFill="1"/>
    <xf numFmtId="0" fontId="41" fillId="2" borderId="0" xfId="0" applyFont="1" applyFill="1" applyAlignment="1">
      <alignment horizontal="center"/>
    </xf>
    <xf numFmtId="0" fontId="11" fillId="2" borderId="0" xfId="0" applyFont="1" applyFill="1"/>
    <xf numFmtId="0" fontId="42" fillId="2" borderId="0" xfId="0" applyFont="1" applyFill="1"/>
    <xf numFmtId="0" fontId="43" fillId="2" borderId="0" xfId="0" applyFont="1" applyFill="1"/>
    <xf numFmtId="166" fontId="44" fillId="2" borderId="0" xfId="0" applyNumberFormat="1" applyFont="1" applyFill="1" applyAlignment="1">
      <alignment horizontal="center"/>
    </xf>
    <xf numFmtId="166" fontId="0" fillId="2" borderId="0" xfId="1" applyNumberFormat="1" applyFont="1" applyFill="1" applyAlignment="1">
      <alignment horizontal="center"/>
    </xf>
    <xf numFmtId="9" fontId="44" fillId="2" borderId="0" xfId="1" applyFont="1" applyFill="1" applyAlignment="1">
      <alignment horizontal="center"/>
    </xf>
    <xf numFmtId="164" fontId="44" fillId="2" borderId="0" xfId="0" applyNumberFormat="1" applyFont="1" applyFill="1" applyAlignment="1">
      <alignment horizontal="center"/>
    </xf>
    <xf numFmtId="0" fontId="6" fillId="2" borderId="0" xfId="0" applyFont="1" applyFill="1"/>
    <xf numFmtId="0" fontId="45" fillId="2" borderId="0" xfId="0" applyFont="1" applyFill="1"/>
    <xf numFmtId="0" fontId="43" fillId="2" borderId="0" xfId="0" applyFont="1" applyFill="1" applyAlignment="1">
      <alignment horizontal="center"/>
    </xf>
    <xf numFmtId="166" fontId="46" fillId="2" borderId="0" xfId="0" applyNumberFormat="1" applyFont="1" applyFill="1" applyAlignment="1">
      <alignment horizontal="center"/>
    </xf>
    <xf numFmtId="167" fontId="46" fillId="2" borderId="0" xfId="0" applyNumberFormat="1" applyFont="1" applyFill="1" applyAlignment="1">
      <alignment horizontal="center"/>
    </xf>
    <xf numFmtId="164" fontId="46" fillId="2" borderId="0" xfId="0" applyNumberFormat="1" applyFont="1" applyFill="1" applyAlignment="1">
      <alignment horizontal="center"/>
    </xf>
    <xf numFmtId="0" fontId="0" fillId="2" borderId="4" xfId="0" applyFill="1" applyBorder="1"/>
    <xf numFmtId="0" fontId="3" fillId="2" borderId="5" xfId="0" applyFont="1" applyFill="1" applyBorder="1" applyAlignment="1">
      <alignment horizontal="right"/>
    </xf>
    <xf numFmtId="0" fontId="3" fillId="2" borderId="4" xfId="0" applyFont="1" applyFill="1" applyBorder="1" applyAlignment="1">
      <alignment horizontal="right"/>
    </xf>
    <xf numFmtId="168" fontId="0" fillId="2" borderId="0" xfId="0" applyNumberFormat="1" applyFill="1"/>
    <xf numFmtId="168" fontId="3" fillId="2" borderId="0" xfId="0" applyNumberFormat="1" applyFont="1" applyFill="1"/>
    <xf numFmtId="43" fontId="0" fillId="2" borderId="0" xfId="0" applyNumberFormat="1" applyFill="1"/>
    <xf numFmtId="168" fontId="0" fillId="2" borderId="0" xfId="0" applyNumberFormat="1" applyFill="1" applyAlignment="1">
      <alignment horizontal="right"/>
    </xf>
    <xf numFmtId="168" fontId="31" fillId="2" borderId="0" xfId="0" applyNumberFormat="1" applyFont="1" applyFill="1"/>
    <xf numFmtId="41" fontId="3" fillId="2" borderId="0" xfId="0" applyNumberFormat="1" applyFont="1" applyFill="1" applyAlignment="1">
      <alignment horizontal="right"/>
    </xf>
    <xf numFmtId="0" fontId="0" fillId="4" borderId="0" xfId="0" applyFill="1"/>
    <xf numFmtId="0" fontId="47" fillId="6" borderId="0" xfId="0" applyFont="1" applyFill="1"/>
    <xf numFmtId="0" fontId="45" fillId="9" borderId="0" xfId="0" applyFont="1" applyFill="1"/>
    <xf numFmtId="0" fontId="42" fillId="3" borderId="0" xfId="0" applyFont="1" applyFill="1"/>
    <xf numFmtId="0" fontId="1" fillId="3" borderId="0" xfId="0" applyFont="1" applyFill="1" applyAlignment="1">
      <alignment horizontal="center"/>
    </xf>
    <xf numFmtId="166" fontId="0" fillId="2" borderId="0" xfId="0" applyNumberFormat="1" applyFill="1" applyAlignment="1">
      <alignment horizontal="center"/>
    </xf>
    <xf numFmtId="0" fontId="48" fillId="2" borderId="0" xfId="0" applyFont="1" applyFill="1"/>
    <xf numFmtId="0" fontId="49" fillId="2" borderId="0" xfId="0" applyFont="1" applyFill="1"/>
    <xf numFmtId="0" fontId="50" fillId="2" borderId="0" xfId="0" applyFont="1" applyFill="1"/>
    <xf numFmtId="166" fontId="0" fillId="2" borderId="0" xfId="1" applyNumberFormat="1" applyFont="1" applyFill="1"/>
    <xf numFmtId="0" fontId="47" fillId="9" borderId="0" xfId="0" applyFont="1" applyFill="1"/>
    <xf numFmtId="0" fontId="51" fillId="2" borderId="0" xfId="0" applyFont="1" applyFill="1"/>
    <xf numFmtId="0" fontId="52" fillId="2" borderId="0" xfId="0" applyFont="1" applyFill="1"/>
    <xf numFmtId="166" fontId="30" fillId="2" borderId="0" xfId="0" applyNumberFormat="1" applyFont="1" applyFill="1" applyAlignment="1">
      <alignment horizontal="center"/>
    </xf>
    <xf numFmtId="166" fontId="30" fillId="2" borderId="0" xfId="0" applyNumberFormat="1" applyFont="1" applyFill="1" applyAlignment="1">
      <alignment horizontal="right"/>
    </xf>
    <xf numFmtId="166" fontId="53" fillId="2" borderId="0" xfId="0" applyNumberFormat="1" applyFont="1" applyFill="1" applyAlignment="1">
      <alignment horizontal="left"/>
    </xf>
    <xf numFmtId="166" fontId="36" fillId="2" borderId="0" xfId="0" applyNumberFormat="1" applyFont="1" applyFill="1" applyAlignment="1">
      <alignment horizontal="left"/>
    </xf>
    <xf numFmtId="166" fontId="0" fillId="2" borderId="0" xfId="0" applyNumberFormat="1" applyFill="1"/>
    <xf numFmtId="166" fontId="54" fillId="20" borderId="0" xfId="0" applyNumberFormat="1" applyFont="1" applyFill="1" applyAlignment="1">
      <alignment horizontal="left"/>
    </xf>
    <xf numFmtId="10" fontId="30" fillId="2" borderId="0" xfId="0" applyNumberFormat="1" applyFont="1" applyFill="1"/>
    <xf numFmtId="0" fontId="1" fillId="2" borderId="0" xfId="0" applyFont="1" applyFill="1" applyAlignment="1">
      <alignment horizontal="right"/>
    </xf>
    <xf numFmtId="0" fontId="1" fillId="3" borderId="0" xfId="0" applyFont="1" applyFill="1" applyAlignment="1">
      <alignment horizontal="right"/>
    </xf>
    <xf numFmtId="3" fontId="0" fillId="2" borderId="0" xfId="0" applyNumberFormat="1" applyFill="1" applyAlignment="1">
      <alignment horizontal="right"/>
    </xf>
    <xf numFmtId="0" fontId="1" fillId="2" borderId="6" xfId="0" applyFont="1" applyFill="1" applyBorder="1"/>
    <xf numFmtId="0" fontId="0" fillId="2" borderId="6" xfId="0" applyFill="1" applyBorder="1"/>
    <xf numFmtId="3" fontId="1" fillId="2" borderId="6" xfId="0" applyNumberFormat="1" applyFont="1" applyFill="1" applyBorder="1" applyAlignment="1">
      <alignment horizontal="right"/>
    </xf>
    <xf numFmtId="166" fontId="1" fillId="2" borderId="0" xfId="0" applyNumberFormat="1" applyFont="1" applyFill="1" applyAlignment="1">
      <alignment horizontal="right"/>
    </xf>
    <xf numFmtId="41" fontId="0" fillId="2" borderId="6" xfId="0" applyNumberFormat="1" applyFill="1" applyBorder="1"/>
    <xf numFmtId="166" fontId="3" fillId="2" borderId="0" xfId="1" applyNumberFormat="1" applyFont="1" applyFill="1"/>
    <xf numFmtId="168" fontId="31" fillId="2" borderId="0" xfId="0" applyNumberFormat="1" applyFont="1" applyFill="1" applyAlignment="1">
      <alignment horizontal="right"/>
    </xf>
    <xf numFmtId="166" fontId="3" fillId="21" borderId="0" xfId="1" applyNumberFormat="1" applyFont="1" applyFill="1"/>
    <xf numFmtId="166" fontId="35" fillId="2" borderId="0" xfId="1" applyNumberFormat="1" applyFont="1" applyFill="1"/>
    <xf numFmtId="166" fontId="35" fillId="21" borderId="0" xfId="1" applyNumberFormat="1" applyFont="1" applyFill="1"/>
    <xf numFmtId="166" fontId="16" fillId="2" borderId="0" xfId="1" applyNumberFormat="1" applyFont="1" applyFill="1"/>
    <xf numFmtId="0" fontId="32" fillId="9" borderId="0" xfId="0" applyFont="1" applyFill="1"/>
    <xf numFmtId="0" fontId="55" fillId="4" borderId="0" xfId="0" applyFont="1" applyFill="1"/>
    <xf numFmtId="0" fontId="3" fillId="2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31" fillId="22" borderId="0" xfId="0" applyFont="1" applyFill="1" applyAlignment="1">
      <alignment horizontal="right"/>
    </xf>
    <xf numFmtId="41" fontId="0" fillId="23" borderId="0" xfId="0" applyNumberFormat="1" applyFill="1"/>
    <xf numFmtId="168" fontId="0" fillId="23" borderId="0" xfId="0" applyNumberFormat="1" applyFill="1"/>
    <xf numFmtId="166" fontId="0" fillId="21" borderId="0" xfId="1" applyNumberFormat="1" applyFont="1" applyFill="1"/>
    <xf numFmtId="166" fontId="3" fillId="21" borderId="0" xfId="0" applyNumberFormat="1" applyFont="1" applyFill="1"/>
    <xf numFmtId="41" fontId="35" fillId="2" borderId="0" xfId="0" applyNumberFormat="1" applyFont="1" applyFill="1"/>
    <xf numFmtId="0" fontId="0" fillId="2" borderId="7" xfId="0" applyFill="1" applyBorder="1"/>
    <xf numFmtId="41" fontId="0" fillId="2" borderId="7" xfId="0" applyNumberFormat="1" applyFill="1" applyBorder="1"/>
    <xf numFmtId="9" fontId="0" fillId="21" borderId="0" xfId="1" applyFont="1" applyFill="1"/>
    <xf numFmtId="2" fontId="0" fillId="2" borderId="0" xfId="1" applyNumberFormat="1" applyFont="1" applyFill="1"/>
    <xf numFmtId="2" fontId="0" fillId="21" borderId="0" xfId="1" applyNumberFormat="1" applyFont="1" applyFill="1"/>
    <xf numFmtId="166" fontId="3" fillId="2" borderId="0" xfId="0" applyNumberFormat="1" applyFont="1" applyFill="1"/>
    <xf numFmtId="168" fontId="0" fillId="22" borderId="0" xfId="0" applyNumberFormat="1" applyFill="1"/>
    <xf numFmtId="41" fontId="0" fillId="21" borderId="0" xfId="0" applyNumberFormat="1" applyFill="1"/>
    <xf numFmtId="0" fontId="0" fillId="2" borderId="0" xfId="0" applyFill="1" applyAlignment="1">
      <alignment horizontal="center"/>
    </xf>
    <xf numFmtId="0" fontId="2" fillId="14" borderId="0" xfId="0" applyFont="1" applyFill="1" applyAlignment="1">
      <alignment horizontal="left"/>
    </xf>
    <xf numFmtId="0" fontId="57" fillId="2" borderId="0" xfId="0" applyFont="1" applyFill="1"/>
    <xf numFmtId="0" fontId="58" fillId="2" borderId="0" xfId="0" applyFont="1" applyFill="1"/>
    <xf numFmtId="0" fontId="59" fillId="2" borderId="0" xfId="0" applyFont="1" applyFill="1"/>
    <xf numFmtId="0" fontId="61" fillId="2" borderId="7" xfId="0" applyFont="1" applyFill="1" applyBorder="1"/>
    <xf numFmtId="0" fontId="61" fillId="2" borderId="8" xfId="0" applyFont="1" applyFill="1" applyBorder="1"/>
    <xf numFmtId="0" fontId="0" fillId="2" borderId="8" xfId="0" applyFill="1" applyBorder="1"/>
    <xf numFmtId="2" fontId="30" fillId="2" borderId="0" xfId="0" applyNumberFormat="1" applyFont="1" applyFill="1"/>
    <xf numFmtId="10" fontId="1" fillId="2" borderId="0" xfId="0" applyNumberFormat="1" applyFont="1" applyFill="1"/>
    <xf numFmtId="10" fontId="63" fillId="2" borderId="0" xfId="0" applyNumberFormat="1" applyFont="1" applyFill="1"/>
    <xf numFmtId="3" fontId="0" fillId="2" borderId="0" xfId="0" applyNumberFormat="1" applyFill="1"/>
    <xf numFmtId="3" fontId="30" fillId="2" borderId="0" xfId="0" applyNumberFormat="1" applyFont="1" applyFill="1"/>
    <xf numFmtId="3" fontId="63" fillId="2" borderId="0" xfId="0" applyNumberFormat="1" applyFont="1" applyFill="1"/>
    <xf numFmtId="10" fontId="1" fillId="24" borderId="0" xfId="0" applyNumberFormat="1" applyFont="1" applyFill="1"/>
    <xf numFmtId="0" fontId="1" fillId="2" borderId="0" xfId="0" applyFont="1" applyFill="1" applyAlignment="1">
      <alignment horizontal="center"/>
    </xf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169" fontId="0" fillId="2" borderId="0" xfId="0" applyNumberFormat="1" applyFill="1"/>
    <xf numFmtId="169" fontId="63" fillId="2" borderId="0" xfId="0" applyNumberFormat="1" applyFont="1" applyFill="1"/>
    <xf numFmtId="169" fontId="1" fillId="2" borderId="0" xfId="0" applyNumberFormat="1" applyFont="1" applyFill="1"/>
    <xf numFmtId="170" fontId="63" fillId="2" borderId="0" xfId="0" applyNumberFormat="1" applyFont="1" applyFill="1"/>
    <xf numFmtId="0" fontId="1" fillId="2" borderId="9" xfId="0" applyFont="1" applyFill="1" applyBorder="1"/>
    <xf numFmtId="0" fontId="0" fillId="2" borderId="9" xfId="0" applyFill="1" applyBorder="1"/>
    <xf numFmtId="169" fontId="1" fillId="2" borderId="9" xfId="0" applyNumberFormat="1" applyFont="1" applyFill="1" applyBorder="1"/>
    <xf numFmtId="166" fontId="30" fillId="2" borderId="0" xfId="0" applyNumberFormat="1" applyFont="1" applyFill="1"/>
    <xf numFmtId="171" fontId="0" fillId="2" borderId="0" xfId="0" applyNumberFormat="1" applyFill="1"/>
    <xf numFmtId="171" fontId="30" fillId="2" borderId="0" xfId="0" applyNumberFormat="1" applyFont="1" applyFill="1"/>
    <xf numFmtId="169" fontId="60" fillId="24" borderId="0" xfId="0" applyNumberFormat="1" applyFont="1" applyFill="1"/>
    <xf numFmtId="167" fontId="0" fillId="2" borderId="0" xfId="0" applyNumberFormat="1" applyFill="1" applyAlignment="1">
      <alignment horizontal="center"/>
    </xf>
    <xf numFmtId="172" fontId="0" fillId="2" borderId="0" xfId="0" applyNumberFormat="1" applyFill="1" applyAlignment="1">
      <alignment horizontal="center"/>
    </xf>
    <xf numFmtId="0" fontId="1" fillId="2" borderId="8" xfId="0" applyFont="1" applyFill="1" applyBorder="1" applyAlignment="1">
      <alignment horizontal="center"/>
    </xf>
    <xf numFmtId="169" fontId="60" fillId="2" borderId="9" xfId="0" applyNumberFormat="1" applyFont="1" applyFill="1" applyBorder="1"/>
    <xf numFmtId="169" fontId="30" fillId="2" borderId="0" xfId="0" applyNumberFormat="1" applyFont="1" applyFill="1"/>
    <xf numFmtId="173" fontId="56" fillId="25" borderId="0" xfId="0" applyNumberFormat="1" applyFont="1" applyFill="1"/>
    <xf numFmtId="173" fontId="30" fillId="2" borderId="0" xfId="0" applyNumberFormat="1" applyFont="1" applyFill="1"/>
    <xf numFmtId="166" fontId="1" fillId="2" borderId="0" xfId="0" applyNumberFormat="1" applyFont="1" applyFill="1"/>
    <xf numFmtId="0" fontId="57" fillId="0" borderId="0" xfId="0" applyFont="1"/>
    <xf numFmtId="0" fontId="64" fillId="0" borderId="0" xfId="0" applyFont="1"/>
    <xf numFmtId="0" fontId="61" fillId="0" borderId="0" xfId="0" applyFont="1"/>
    <xf numFmtId="0" fontId="0" fillId="0" borderId="10" xfId="0" applyBorder="1"/>
    <xf numFmtId="174" fontId="0" fillId="0" borderId="10" xfId="0" applyNumberFormat="1" applyBorder="1" applyAlignment="1">
      <alignment horizontal="center"/>
    </xf>
    <xf numFmtId="174" fontId="1" fillId="19" borderId="10" xfId="0" applyNumberFormat="1" applyFont="1" applyFill="1" applyBorder="1" applyAlignment="1">
      <alignment horizontal="center"/>
    </xf>
    <xf numFmtId="0" fontId="65" fillId="0" borderId="10" xfId="0" applyFont="1" applyBorder="1"/>
    <xf numFmtId="166" fontId="1" fillId="25" borderId="10" xfId="0" applyNumberFormat="1" applyFont="1" applyFill="1" applyBorder="1" applyAlignment="1">
      <alignment horizontal="center"/>
    </xf>
    <xf numFmtId="0" fontId="65" fillId="25" borderId="10" xfId="0" applyFont="1" applyFill="1" applyBorder="1"/>
    <xf numFmtId="166" fontId="1" fillId="25" borderId="10" xfId="0" applyNumberFormat="1" applyFont="1" applyFill="1" applyBorder="1"/>
    <xf numFmtId="171" fontId="1" fillId="25" borderId="10" xfId="0" applyNumberFormat="1" applyFont="1" applyFill="1" applyBorder="1" applyAlignment="1">
      <alignment horizontal="center"/>
    </xf>
    <xf numFmtId="0" fontId="64" fillId="2" borderId="0" xfId="0" applyFont="1" applyFill="1"/>
    <xf numFmtId="0" fontId="66" fillId="2" borderId="0" xfId="0" applyFont="1" applyFill="1"/>
    <xf numFmtId="0" fontId="67" fillId="6" borderId="7" xfId="0" applyFont="1" applyFill="1" applyBorder="1" applyAlignment="1">
      <alignment horizontal="center"/>
    </xf>
    <xf numFmtId="0" fontId="1" fillId="24" borderId="0" xfId="0" applyFont="1" applyFill="1"/>
    <xf numFmtId="3" fontId="1" fillId="24" borderId="0" xfId="0" applyNumberFormat="1" applyFont="1" applyFill="1"/>
    <xf numFmtId="166" fontId="1" fillId="24" borderId="0" xfId="0" applyNumberFormat="1" applyFont="1" applyFill="1"/>
    <xf numFmtId="171" fontId="1" fillId="24" borderId="0" xfId="0" applyNumberFormat="1" applyFont="1" applyFill="1"/>
    <xf numFmtId="0" fontId="1" fillId="2" borderId="11" xfId="0" applyFont="1" applyFill="1" applyBorder="1"/>
    <xf numFmtId="0" fontId="0" fillId="2" borderId="11" xfId="0" applyFill="1" applyBorder="1"/>
    <xf numFmtId="166" fontId="0" fillId="2" borderId="11" xfId="0" applyNumberFormat="1" applyFill="1" applyBorder="1"/>
    <xf numFmtId="171" fontId="0" fillId="2" borderId="11" xfId="0" applyNumberFormat="1" applyFill="1" applyBorder="1"/>
    <xf numFmtId="174" fontId="0" fillId="2" borderId="0" xfId="0" applyNumberFormat="1" applyFill="1"/>
  </cellXfs>
  <cellStyles count="2">
    <cellStyle name="Normal" xfId="0" builtinId="0"/>
    <cellStyle name="Percent" xfId="1" builtinId="5"/>
  </cellStyles>
  <dxfs count="35">
    <dxf>
      <font>
        <color rgb="FF999999"/>
      </font>
    </dxf>
    <dxf>
      <font>
        <color rgb="FFBF8F00"/>
      </font>
    </dxf>
    <dxf>
      <font>
        <color rgb="FFBF8F00"/>
      </font>
    </dxf>
    <dxf>
      <font>
        <color rgb="FFBF8F00"/>
      </font>
    </dxf>
    <dxf>
      <font>
        <color rgb="FF548235"/>
      </font>
    </dxf>
    <dxf>
      <font>
        <color rgb="FF999999"/>
      </font>
    </dxf>
    <dxf>
      <font>
        <color rgb="FFBF8F00"/>
      </font>
    </dxf>
    <dxf>
      <font>
        <color rgb="FFBF8F00"/>
      </font>
    </dxf>
    <dxf>
      <font>
        <color rgb="FFBF8F00"/>
      </font>
    </dxf>
    <dxf>
      <font>
        <color rgb="FF548235"/>
      </font>
    </dxf>
    <dxf>
      <font>
        <color rgb="FF999999"/>
      </font>
    </dxf>
    <dxf>
      <font>
        <color rgb="FFBF8F00"/>
      </font>
    </dxf>
    <dxf>
      <font>
        <color rgb="FFBF8F00"/>
      </font>
    </dxf>
    <dxf>
      <font>
        <color rgb="FFBF8F00"/>
      </font>
    </dxf>
    <dxf>
      <font>
        <color rgb="FF548235"/>
      </font>
    </dxf>
    <dxf>
      <font>
        <color rgb="FF999999"/>
      </font>
    </dxf>
    <dxf>
      <font>
        <color rgb="FFBF8F00"/>
      </font>
    </dxf>
    <dxf>
      <font>
        <color rgb="FF548235"/>
      </font>
    </dxf>
    <dxf>
      <font>
        <color rgb="FFBF8F00"/>
      </font>
    </dxf>
    <dxf>
      <font>
        <color rgb="FFBF8F00"/>
      </font>
    </dxf>
    <dxf>
      <font>
        <color rgb="FF999999"/>
      </font>
    </dxf>
    <dxf>
      <font>
        <color rgb="FFBF8F00"/>
      </font>
    </dxf>
    <dxf>
      <font>
        <color rgb="FFBF8F00"/>
      </font>
    </dxf>
    <dxf>
      <font>
        <color rgb="FFBF8F00"/>
      </font>
    </dxf>
    <dxf>
      <font>
        <color rgb="FF548235"/>
      </font>
    </dxf>
    <dxf>
      <font>
        <color rgb="FF999999"/>
      </font>
    </dxf>
    <dxf>
      <font>
        <color rgb="FFBF8F00"/>
      </font>
    </dxf>
    <dxf>
      <font>
        <color rgb="FFBF8F00"/>
      </font>
    </dxf>
    <dxf>
      <font>
        <color rgb="FFBF8F00"/>
      </font>
    </dxf>
    <dxf>
      <font>
        <color rgb="FF548235"/>
      </font>
    </dxf>
    <dxf>
      <font>
        <color rgb="FF999999"/>
      </font>
    </dxf>
    <dxf>
      <font>
        <color rgb="FFBF8F00"/>
      </font>
    </dxf>
    <dxf>
      <font>
        <color rgb="FFBF8F00"/>
      </font>
    </dxf>
    <dxf>
      <font>
        <color rgb="FFBF8F00"/>
      </font>
    </dxf>
    <dxf>
      <font>
        <color rgb="FF548235"/>
      </font>
    </dxf>
  </dxfs>
  <tableStyles count="0" defaultTableStyle="TableStyleMedium2" defaultPivotStyle="PivotStyleLight16"/>
  <colors>
    <mruColors>
      <color rgb="FF0000FF"/>
      <color rgb="FF2E75B6"/>
      <color rgb="FF538234"/>
      <color rgb="FF2E73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813165</xdr:colOff>
      <xdr:row>6</xdr:row>
      <xdr:rowOff>191870</xdr:rowOff>
    </xdr:from>
    <xdr:to>
      <xdr:col>9</xdr:col>
      <xdr:colOff>0</xdr:colOff>
      <xdr:row>7</xdr:row>
      <xdr:rowOff>18274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4FE8928-47E2-B988-C99B-E7BB2DDD47D0}"/>
            </a:ext>
          </a:extLst>
        </xdr:cNvPr>
        <xdr:cNvCxnSpPr/>
      </xdr:nvCxnSpPr>
      <xdr:spPr>
        <a:xfrm flipV="1">
          <a:off x="4102374" y="1434460"/>
          <a:ext cx="4942950" cy="2741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813165</xdr:colOff>
      <xdr:row>35</xdr:row>
      <xdr:rowOff>191870</xdr:rowOff>
    </xdr:from>
    <xdr:to>
      <xdr:col>9</xdr:col>
      <xdr:colOff>0</xdr:colOff>
      <xdr:row>36</xdr:row>
      <xdr:rowOff>18274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A2A0A579-4860-EC45-9FBA-5328C5B0D484}"/>
            </a:ext>
          </a:extLst>
        </xdr:cNvPr>
        <xdr:cNvCxnSpPr/>
      </xdr:nvCxnSpPr>
      <xdr:spPr>
        <a:xfrm flipV="1">
          <a:off x="4102374" y="1434460"/>
          <a:ext cx="4120648" cy="2741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813165</xdr:colOff>
      <xdr:row>85</xdr:row>
      <xdr:rowOff>191870</xdr:rowOff>
    </xdr:from>
    <xdr:to>
      <xdr:col>9</xdr:col>
      <xdr:colOff>0</xdr:colOff>
      <xdr:row>86</xdr:row>
      <xdr:rowOff>18274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6AE56E0A-B82B-8D4F-BADD-F988C56617F8}"/>
            </a:ext>
          </a:extLst>
        </xdr:cNvPr>
        <xdr:cNvCxnSpPr/>
      </xdr:nvCxnSpPr>
      <xdr:spPr>
        <a:xfrm flipV="1">
          <a:off x="4102374" y="6697194"/>
          <a:ext cx="4120648" cy="2741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ivij Budhiraja" id="{34827E0E-511D-6349-8C36-59367CDA2F8F}" userId="ee992a1e4e82cdf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6-03-20T21:18:46.66" personId="{34827E0E-511D-6349-8C36-59367CDA2F8F}" id="{5318D222-BF44-D84D-BBED-6320262DA3CD}">
    <text>Source: FRED/OECD, France 10Y OAT avg 2025 = 3.37%, current ~3.55%, https://fred.stlouisfed.org/series/IRLTLT01FRA156N</text>
  </threadedComment>
  <threadedComment ref="E10" dT="2026-03-20T21:18:46.68" personId="{34827E0E-511D-6349-8C36-59367CDA2F8F}" id="{811924B5-D106-5D46-A10A-131A5B17A2A2}">
    <text>Source: Damodaran, Implied ERP for France (Aa2 rated), Jan 2025 update, https://pages.stern.nyu.edu/~adamodar/New_Home_Page/datafile/ctryprem.html</text>
  </threadedComment>
  <threadedComment ref="E11" dT="2026-03-20T21:18:46.68" personId="{34827E0E-511D-6349-8C36-59367CDA2F8F}" id="{CDB5D620-58A7-4441-8319-8A1AE82B7294}">
    <text>Source: CNBC/Market data, 5Y monthly beta vs CAC 40, https://www.cnbc.com/quotes/OR-FR</text>
  </threadedComment>
  <threadedComment ref="E20" dT="2026-03-20T21:18:46.86" personId="{34827E0E-511D-6349-8C36-59367CDA2F8F}" id="{AAF128BA-2635-444A-90F8-F8EDB22372B1}">
    <text>Source: Yahoo Finance, L'Oréal market cap as of Mar 2026, https://finance.yahoo.com/quote/OR.PA/</text>
  </threadedComment>
  <threadedComment ref="E69" dT="2026-03-20T21:19:58.57" personId="{34827E0E-511D-6349-8C36-59367CDA2F8F}" id="{5B688A0C-61B3-DA4C-BB24-9FACCF3BBAA6}">
    <text>Source: CompaniesMarketCap / L'Oréal annual report, 534.48M shares outstanding as of Dec 2024, https://companiesmarketcap.com/l-oreal/shares-outstanding/</text>
  </threadedComment>
  <threadedComment ref="E72" dT="2026-03-20T21:19:58.57" personId="{34827E0E-511D-6349-8C36-59367CDA2F8F}" id="{B5028939-8B02-EA49-85E6-CA22B66AA9CF}">
    <text>Source: Investing.com, L'Oréal stock price as of Mar 19, 2026, https://www.investing.com/equities/l-oreal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7" dT="2026-03-20T21:24:08.53" personId="{34827E0E-511D-6349-8C36-59367CDA2F8F}" id="{6B53F379-A643-774C-BDA9-1A81D413675F}">
    <text>Source: Yahoo Finance, L'Oréal market data as of Mar 2026, https://finance.yahoo.com/quote/OR.PA/</text>
  </threadedComment>
  <threadedComment ref="E8" dT="2026-03-20T21:24:08.58" personId="{34827E0E-511D-6349-8C36-59367CDA2F8F}" id="{0B5AC17A-3BC0-EF42-AF39-04E9320B2396}">
    <text>Source: Yahoo Finance, Investing.com, CNBC, CompaniesMarketCap, various company filings. Approximate EUR conversions at USD/EUR ~0.92, JPY/EUR ~0.006. Data as of Mar 2026.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AB20F94-4240-AA40-9381-3C8E217334FB}">
  <we:reference id="wa200009404" version="1.0.0.5" store="en-US" storeType="OMEX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55309-9523-5143-80DD-F368B652E0F8}">
  <sheetPr>
    <tabColor rgb="FF1B2A4A"/>
  </sheetPr>
  <dimension ref="B1:B2"/>
  <sheetViews>
    <sheetView zoomScale="125" workbookViewId="0">
      <selection activeCell="C1" sqref="C1"/>
    </sheetView>
  </sheetViews>
  <sheetFormatPr baseColWidth="10" defaultRowHeight="16" x14ac:dyDescent="0.2"/>
  <cols>
    <col min="1" max="1" width="5" style="1" customWidth="1"/>
    <col min="2" max="2" width="9.1640625" style="1" customWidth="1"/>
    <col min="3" max="4" width="46.6640625" style="1" customWidth="1"/>
    <col min="5" max="5" width="16.6640625" style="1" customWidth="1"/>
    <col min="6" max="16384" width="10.83203125" style="1"/>
  </cols>
  <sheetData>
    <row r="1" spans="2:2" ht="23" x14ac:dyDescent="0.25">
      <c r="B1" s="24"/>
    </row>
    <row r="2" spans="2:2" x14ac:dyDescent="0.2">
      <c r="B2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9FEC8-C216-2C43-95E5-6A5E8D9E16D5}">
  <sheetPr>
    <tabColor rgb="FF000080"/>
  </sheetPr>
  <dimension ref="B1:E39"/>
  <sheetViews>
    <sheetView zoomScale="150" workbookViewId="0">
      <pane ySplit="1" topLeftCell="A2" activePane="bottomLeft" state="frozen"/>
      <selection pane="bottomLeft" activeCell="C9" sqref="C9"/>
    </sheetView>
  </sheetViews>
  <sheetFormatPr baseColWidth="10" defaultRowHeight="16" x14ac:dyDescent="0.2"/>
  <cols>
    <col min="1" max="1" width="5" style="1" customWidth="1"/>
    <col min="2" max="2" width="9.1640625" style="1" customWidth="1"/>
    <col min="3" max="4" width="46.6640625" style="1" customWidth="1"/>
    <col min="5" max="5" width="16.6640625" style="1" customWidth="1"/>
    <col min="6" max="16384" width="10.83203125" style="1"/>
  </cols>
  <sheetData>
    <row r="1" spans="2:5" ht="23" x14ac:dyDescent="0.25">
      <c r="B1" s="24" t="s">
        <v>440</v>
      </c>
    </row>
    <row r="2" spans="2:5" x14ac:dyDescent="0.2">
      <c r="B2" s="25" t="s">
        <v>261</v>
      </c>
    </row>
    <row r="4" spans="2:5" ht="17" thickBot="1" x14ac:dyDescent="0.25">
      <c r="B4" s="26" t="s">
        <v>262</v>
      </c>
      <c r="C4" s="27" t="s">
        <v>263</v>
      </c>
      <c r="D4" s="27" t="s">
        <v>264</v>
      </c>
      <c r="E4" s="26" t="s">
        <v>265</v>
      </c>
    </row>
    <row r="5" spans="2:5" x14ac:dyDescent="0.2">
      <c r="B5" s="28" t="s">
        <v>266</v>
      </c>
      <c r="C5" s="29"/>
      <c r="D5" s="29"/>
      <c r="E5" s="29"/>
    </row>
    <row r="6" spans="2:5" x14ac:dyDescent="0.2">
      <c r="B6" s="30">
        <v>1</v>
      </c>
      <c r="C6" s="31" t="s">
        <v>267</v>
      </c>
      <c r="D6" s="31" t="s">
        <v>268</v>
      </c>
      <c r="E6" s="32" t="s">
        <v>269</v>
      </c>
    </row>
    <row r="7" spans="2:5" x14ac:dyDescent="0.2">
      <c r="B7" s="33">
        <v>2</v>
      </c>
      <c r="C7" s="34" t="s">
        <v>270</v>
      </c>
      <c r="D7" s="34" t="s">
        <v>271</v>
      </c>
      <c r="E7" s="35" t="s">
        <v>269</v>
      </c>
    </row>
    <row r="8" spans="2:5" x14ac:dyDescent="0.2">
      <c r="B8" s="30">
        <v>3</v>
      </c>
      <c r="C8" s="31" t="s">
        <v>272</v>
      </c>
      <c r="D8" s="31" t="s">
        <v>273</v>
      </c>
      <c r="E8" s="32" t="s">
        <v>269</v>
      </c>
    </row>
    <row r="10" spans="2:5" x14ac:dyDescent="0.2">
      <c r="B10" s="36" t="s">
        <v>274</v>
      </c>
      <c r="C10" s="37"/>
      <c r="D10" s="37"/>
      <c r="E10" s="37"/>
    </row>
    <row r="11" spans="2:5" x14ac:dyDescent="0.2">
      <c r="B11" s="30">
        <v>4</v>
      </c>
      <c r="C11" s="31" t="s">
        <v>275</v>
      </c>
      <c r="D11" s="31" t="s">
        <v>276</v>
      </c>
      <c r="E11" s="32" t="s">
        <v>269</v>
      </c>
    </row>
    <row r="12" spans="2:5" x14ac:dyDescent="0.2">
      <c r="B12" s="33">
        <v>5</v>
      </c>
      <c r="C12" s="34" t="s">
        <v>277</v>
      </c>
      <c r="D12" s="34" t="s">
        <v>278</v>
      </c>
      <c r="E12" s="35" t="s">
        <v>269</v>
      </c>
    </row>
    <row r="14" spans="2:5" x14ac:dyDescent="0.2">
      <c r="B14" s="38" t="s">
        <v>279</v>
      </c>
      <c r="C14" s="39"/>
      <c r="D14" s="39"/>
      <c r="E14" s="39"/>
    </row>
    <row r="15" spans="2:5" x14ac:dyDescent="0.2">
      <c r="B15" s="30">
        <v>6</v>
      </c>
      <c r="C15" s="31" t="s">
        <v>280</v>
      </c>
      <c r="D15" s="31" t="s">
        <v>281</v>
      </c>
      <c r="E15" s="32" t="s">
        <v>269</v>
      </c>
    </row>
    <row r="16" spans="2:5" x14ac:dyDescent="0.2">
      <c r="B16" s="33">
        <v>7</v>
      </c>
      <c r="C16" s="34" t="s">
        <v>282</v>
      </c>
      <c r="D16" s="34" t="s">
        <v>283</v>
      </c>
      <c r="E16" s="35" t="s">
        <v>269</v>
      </c>
    </row>
    <row r="18" spans="2:5" x14ac:dyDescent="0.2">
      <c r="B18" s="40" t="s">
        <v>284</v>
      </c>
      <c r="C18" s="41"/>
      <c r="D18" s="41"/>
      <c r="E18" s="41"/>
    </row>
    <row r="19" spans="2:5" x14ac:dyDescent="0.2">
      <c r="B19" s="30">
        <v>8</v>
      </c>
      <c r="C19" s="31" t="s">
        <v>285</v>
      </c>
      <c r="D19" s="31" t="s">
        <v>286</v>
      </c>
      <c r="E19" s="32" t="s">
        <v>269</v>
      </c>
    </row>
    <row r="20" spans="2:5" x14ac:dyDescent="0.2">
      <c r="B20" s="33">
        <v>9</v>
      </c>
      <c r="C20" s="34" t="s">
        <v>287</v>
      </c>
      <c r="D20" s="34" t="s">
        <v>288</v>
      </c>
      <c r="E20" s="35" t="s">
        <v>269</v>
      </c>
    </row>
    <row r="21" spans="2:5" x14ac:dyDescent="0.2">
      <c r="B21" s="42"/>
      <c r="C21" s="43"/>
      <c r="D21" s="43"/>
      <c r="E21" s="44"/>
    </row>
    <row r="22" spans="2:5" x14ac:dyDescent="0.2">
      <c r="B22" s="45" t="s">
        <v>289</v>
      </c>
      <c r="C22" s="46"/>
      <c r="D22" s="46"/>
      <c r="E22" s="46"/>
    </row>
    <row r="23" spans="2:5" x14ac:dyDescent="0.2">
      <c r="B23" s="33">
        <v>11</v>
      </c>
      <c r="C23" s="34" t="s">
        <v>290</v>
      </c>
      <c r="D23" s="34" t="s">
        <v>291</v>
      </c>
      <c r="E23" s="35" t="s">
        <v>269</v>
      </c>
    </row>
    <row r="24" spans="2:5" x14ac:dyDescent="0.2">
      <c r="B24" s="30">
        <v>12</v>
      </c>
      <c r="C24" s="31" t="s">
        <v>292</v>
      </c>
      <c r="D24" s="31" t="s">
        <v>293</v>
      </c>
      <c r="E24" s="32" t="s">
        <v>269</v>
      </c>
    </row>
    <row r="25" spans="2:5" x14ac:dyDescent="0.2">
      <c r="B25" s="33">
        <v>13</v>
      </c>
      <c r="C25" s="34" t="s">
        <v>294</v>
      </c>
      <c r="D25" s="34" t="s">
        <v>295</v>
      </c>
      <c r="E25" s="47" t="s">
        <v>269</v>
      </c>
    </row>
    <row r="27" spans="2:5" x14ac:dyDescent="0.2">
      <c r="B27" s="48" t="s">
        <v>296</v>
      </c>
      <c r="C27" s="49"/>
      <c r="D27" s="49"/>
      <c r="E27" s="49"/>
    </row>
    <row r="28" spans="2:5" x14ac:dyDescent="0.2">
      <c r="B28" s="33">
        <v>14</v>
      </c>
      <c r="C28" s="34" t="s">
        <v>297</v>
      </c>
      <c r="D28" s="34" t="s">
        <v>298</v>
      </c>
      <c r="E28" s="35" t="s">
        <v>269</v>
      </c>
    </row>
    <row r="30" spans="2:5" x14ac:dyDescent="0.2">
      <c r="B30" s="50" t="s">
        <v>299</v>
      </c>
      <c r="C30" s="51"/>
      <c r="D30" s="51"/>
      <c r="E30" s="51"/>
    </row>
    <row r="31" spans="2:5" x14ac:dyDescent="0.2">
      <c r="B31" s="52">
        <v>15</v>
      </c>
      <c r="C31" s="53" t="s">
        <v>300</v>
      </c>
      <c r="D31" s="53" t="s">
        <v>301</v>
      </c>
      <c r="E31" s="54" t="s">
        <v>269</v>
      </c>
    </row>
    <row r="34" spans="2:5" x14ac:dyDescent="0.2">
      <c r="B34" s="50" t="s">
        <v>302</v>
      </c>
      <c r="C34" s="51"/>
      <c r="D34" s="51"/>
      <c r="E34" s="51"/>
    </row>
    <row r="35" spans="2:5" x14ac:dyDescent="0.2">
      <c r="B35" s="42" t="s">
        <v>303</v>
      </c>
      <c r="C35" s="55" t="s">
        <v>304</v>
      </c>
      <c r="D35" s="56" t="s">
        <v>305</v>
      </c>
    </row>
    <row r="36" spans="2:5" x14ac:dyDescent="0.2">
      <c r="B36" s="42" t="s">
        <v>306</v>
      </c>
      <c r="C36" s="57" t="s">
        <v>307</v>
      </c>
      <c r="D36" s="56" t="s">
        <v>308</v>
      </c>
    </row>
    <row r="37" spans="2:5" x14ac:dyDescent="0.2">
      <c r="B37" s="42" t="s">
        <v>309</v>
      </c>
      <c r="C37" s="58" t="s">
        <v>310</v>
      </c>
      <c r="D37" s="56" t="s">
        <v>311</v>
      </c>
    </row>
    <row r="38" spans="2:5" x14ac:dyDescent="0.2">
      <c r="B38" s="42" t="s">
        <v>312</v>
      </c>
      <c r="C38" s="59" t="s">
        <v>313</v>
      </c>
      <c r="D38" s="56" t="s">
        <v>314</v>
      </c>
    </row>
    <row r="39" spans="2:5" x14ac:dyDescent="0.2">
      <c r="B39" s="60" t="s">
        <v>315</v>
      </c>
      <c r="C39" s="61" t="s">
        <v>316</v>
      </c>
      <c r="D39" s="62" t="s">
        <v>317</v>
      </c>
      <c r="E39" s="63"/>
    </row>
  </sheetData>
  <conditionalFormatting sqref="E6:E8">
    <cfRule type="cellIs" dxfId="34" priority="1" operator="equal">
      <formula>"Complete"</formula>
    </cfRule>
    <cfRule type="cellIs" dxfId="33" priority="2" operator="equal">
      <formula>"In Progress"</formula>
    </cfRule>
    <cfRule type="cellIs" dxfId="32" priority="3" operator="equal">
      <formula>"Pending"</formula>
    </cfRule>
    <cfRule type="cellIs" dxfId="31" priority="4" operator="equal">
      <formula>"Not Started"</formula>
    </cfRule>
    <cfRule type="cellIs" dxfId="30" priority="5" operator="equal">
      <formula>"N/A"</formula>
    </cfRule>
  </conditionalFormatting>
  <conditionalFormatting sqref="E11:E12">
    <cfRule type="cellIs" dxfId="29" priority="6" operator="equal">
      <formula>"Complete"</formula>
    </cfRule>
    <cfRule type="cellIs" dxfId="28" priority="7" operator="equal">
      <formula>"In Progress"</formula>
    </cfRule>
    <cfRule type="cellIs" dxfId="27" priority="8" operator="equal">
      <formula>"Pending"</formula>
    </cfRule>
    <cfRule type="cellIs" dxfId="26" priority="9" operator="equal">
      <formula>"Not Started"</formula>
    </cfRule>
    <cfRule type="cellIs" dxfId="25" priority="10" operator="equal">
      <formula>"N/A"</formula>
    </cfRule>
  </conditionalFormatting>
  <conditionalFormatting sqref="E15:E16">
    <cfRule type="cellIs" dxfId="24" priority="11" operator="equal">
      <formula>"Complete"</formula>
    </cfRule>
    <cfRule type="cellIs" dxfId="23" priority="12" operator="equal">
      <formula>"In Progress"</formula>
    </cfRule>
    <cfRule type="cellIs" dxfId="22" priority="13" operator="equal">
      <formula>"Pending"</formula>
    </cfRule>
    <cfRule type="cellIs" dxfId="21" priority="14" operator="equal">
      <formula>"Not Started"</formula>
    </cfRule>
    <cfRule type="cellIs" dxfId="20" priority="15" operator="equal">
      <formula>"N/A"</formula>
    </cfRule>
  </conditionalFormatting>
  <conditionalFormatting sqref="E19:E20">
    <cfRule type="cellIs" dxfId="19" priority="18" operator="equal">
      <formula>"Pending"</formula>
    </cfRule>
    <cfRule type="cellIs" dxfId="18" priority="17" operator="equal">
      <formula>"In Progress"</formula>
    </cfRule>
    <cfRule type="cellIs" dxfId="17" priority="16" operator="equal">
      <formula>"Complete"</formula>
    </cfRule>
    <cfRule type="cellIs" dxfId="16" priority="19" operator="equal">
      <formula>"Not Started"</formula>
    </cfRule>
    <cfRule type="cellIs" dxfId="15" priority="20" operator="equal">
      <formula>"N/A"</formula>
    </cfRule>
  </conditionalFormatting>
  <conditionalFormatting sqref="E22:E24">
    <cfRule type="cellIs" dxfId="14" priority="21" operator="equal">
      <formula>"Complete"</formula>
    </cfRule>
    <cfRule type="cellIs" dxfId="13" priority="22" operator="equal">
      <formula>"In Progress"</formula>
    </cfRule>
    <cfRule type="cellIs" dxfId="12" priority="23" operator="equal">
      <formula>"Pending"</formula>
    </cfRule>
    <cfRule type="cellIs" dxfId="11" priority="24" operator="equal">
      <formula>"Not Started"</formula>
    </cfRule>
    <cfRule type="cellIs" dxfId="10" priority="25" operator="equal">
      <formula>"N/A"</formula>
    </cfRule>
  </conditionalFormatting>
  <conditionalFormatting sqref="E27:E28">
    <cfRule type="cellIs" dxfId="9" priority="26" operator="equal">
      <formula>"Complete"</formula>
    </cfRule>
    <cfRule type="cellIs" dxfId="8" priority="27" operator="equal">
      <formula>"In Progress"</formula>
    </cfRule>
    <cfRule type="cellIs" dxfId="7" priority="28" operator="equal">
      <formula>"Pending"</formula>
    </cfRule>
    <cfRule type="cellIs" dxfId="6" priority="29" operator="equal">
      <formula>"Not Started"</formula>
    </cfRule>
    <cfRule type="cellIs" dxfId="5" priority="30" operator="equal">
      <formula>"N/A"</formula>
    </cfRule>
  </conditionalFormatting>
  <conditionalFormatting sqref="E30">
    <cfRule type="cellIs" dxfId="4" priority="31" operator="equal">
      <formula>"Complete"</formula>
    </cfRule>
    <cfRule type="cellIs" dxfId="3" priority="32" operator="equal">
      <formula>"In Progress"</formula>
    </cfRule>
    <cfRule type="cellIs" dxfId="2" priority="33" operator="equal">
      <formula>"Pending"</formula>
    </cfRule>
    <cfRule type="cellIs" dxfId="1" priority="34" operator="equal">
      <formula>"Not Started"</formula>
    </cfRule>
    <cfRule type="cellIs" dxfId="0" priority="35" operator="equal">
      <formula>"N/A"</formula>
    </cfRule>
  </conditionalFormatting>
  <dataValidations count="1">
    <dataValidation type="list" allowBlank="1" showInputMessage="1" showErrorMessage="1" sqref="E6:E8 E11:E12 E15:E16 E18:E21 E23:E25 E28 E31" xr:uid="{71751017-6AD9-4C43-A2DA-543278153A9D}">
      <formula1>"Complete,In Progress,Pending,Not Started,N/A"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0AECA-D317-BC4C-ABFB-CE4BAEC81BA6}">
  <sheetPr>
    <tabColor rgb="FF4472C4"/>
  </sheetPr>
  <dimension ref="A1"/>
  <sheetViews>
    <sheetView tabSelected="1" workbookViewId="0">
      <selection activeCell="E13" sqref="E13"/>
    </sheetView>
  </sheetViews>
  <sheetFormatPr baseColWidth="10" defaultRowHeight="16" x14ac:dyDescent="0.2"/>
  <cols>
    <col min="1" max="16384" width="10.83203125" style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F96D3-65A8-E34F-9A14-7C604C280FCC}">
  <sheetPr>
    <tabColor rgb="FF548235"/>
  </sheetPr>
  <dimension ref="B4:I116"/>
  <sheetViews>
    <sheetView topLeftCell="A52" zoomScale="139" workbookViewId="0">
      <selection activeCell="G121" sqref="G121"/>
    </sheetView>
  </sheetViews>
  <sheetFormatPr baseColWidth="10" defaultRowHeight="16" x14ac:dyDescent="0.2"/>
  <cols>
    <col min="1" max="1" width="4.6640625" style="1" customWidth="1"/>
    <col min="2" max="16384" width="10.83203125" style="1"/>
  </cols>
  <sheetData>
    <row r="4" spans="2:9" ht="19" x14ac:dyDescent="0.25">
      <c r="B4" s="2" t="s">
        <v>0</v>
      </c>
      <c r="C4" s="2"/>
      <c r="D4" s="2"/>
      <c r="E4" s="2"/>
      <c r="F4" s="2"/>
      <c r="G4" s="2"/>
      <c r="H4" s="2"/>
      <c r="I4" s="2"/>
    </row>
    <row r="7" spans="2:9" x14ac:dyDescent="0.2">
      <c r="F7" s="4" t="s">
        <v>1</v>
      </c>
      <c r="G7" s="4" t="s">
        <v>2</v>
      </c>
      <c r="H7" s="4" t="s">
        <v>3</v>
      </c>
      <c r="I7" s="4" t="s">
        <v>318</v>
      </c>
    </row>
    <row r="10" spans="2:9" x14ac:dyDescent="0.2">
      <c r="B10" s="1" t="s">
        <v>4</v>
      </c>
      <c r="F10" s="65">
        <v>32287.599999999999</v>
      </c>
      <c r="G10" s="65">
        <v>38260.6</v>
      </c>
      <c r="H10" s="65">
        <v>41182.5</v>
      </c>
      <c r="I10" s="65">
        <v>43486.8</v>
      </c>
    </row>
    <row r="11" spans="2:9" x14ac:dyDescent="0.2">
      <c r="B11" s="1" t="s">
        <v>5</v>
      </c>
      <c r="F11" s="65">
        <v>-7011.4</v>
      </c>
      <c r="G11" s="65">
        <v>-9427.4</v>
      </c>
      <c r="H11" s="65">
        <v>-9386.5</v>
      </c>
      <c r="I11" s="65">
        <v>-9640.7000000000007</v>
      </c>
    </row>
    <row r="12" spans="2:9" x14ac:dyDescent="0.2">
      <c r="B12" s="3" t="s">
        <v>6</v>
      </c>
      <c r="F12" s="66">
        <f>SUM(F10:F11)</f>
        <v>25276.199999999997</v>
      </c>
      <c r="G12" s="66">
        <f t="shared" ref="G12:I12" si="0">SUM(G10:G11)</f>
        <v>28833.199999999997</v>
      </c>
      <c r="H12" s="66">
        <f t="shared" si="0"/>
        <v>31796</v>
      </c>
      <c r="I12" s="66">
        <f t="shared" si="0"/>
        <v>33846.100000000006</v>
      </c>
    </row>
    <row r="13" spans="2:9" x14ac:dyDescent="0.2">
      <c r="F13" s="64"/>
      <c r="G13" s="64"/>
      <c r="H13" s="64"/>
      <c r="I13" s="64"/>
    </row>
    <row r="14" spans="2:9" x14ac:dyDescent="0.2">
      <c r="B14" s="1" t="s">
        <v>7</v>
      </c>
      <c r="F14" s="65">
        <v>-17709.5</v>
      </c>
      <c r="G14" s="65">
        <v>-20317</v>
      </c>
      <c r="H14" s="65">
        <v>-22303.599999999999</v>
      </c>
      <c r="I14" s="65">
        <v>-23572.6</v>
      </c>
    </row>
    <row r="15" spans="2:9" x14ac:dyDescent="0.2">
      <c r="B15" s="1" t="s">
        <v>8</v>
      </c>
      <c r="F15" s="65">
        <v>-1459.1</v>
      </c>
      <c r="G15" s="65">
        <v>-1474.2</v>
      </c>
      <c r="H15" s="65">
        <v>-1429.7</v>
      </c>
      <c r="I15" s="65">
        <v>-1586.7</v>
      </c>
    </row>
    <row r="16" spans="2:9" x14ac:dyDescent="0.2">
      <c r="B16" s="1" t="s">
        <v>319</v>
      </c>
      <c r="F16" s="65">
        <v>46</v>
      </c>
      <c r="G16" s="65">
        <v>0</v>
      </c>
      <c r="H16" s="65">
        <v>0</v>
      </c>
      <c r="I16" s="65">
        <v>0</v>
      </c>
    </row>
    <row r="17" spans="2:9" x14ac:dyDescent="0.2">
      <c r="B17" s="5" t="s">
        <v>9</v>
      </c>
      <c r="F17" s="66">
        <f>SUM(F12:F16)</f>
        <v>6153.5999999999967</v>
      </c>
      <c r="G17" s="66">
        <f t="shared" ref="G17:I17" si="1">SUM(G12:G16)</f>
        <v>7041.9999999999973</v>
      </c>
      <c r="H17" s="66">
        <f t="shared" si="1"/>
        <v>8062.7000000000016</v>
      </c>
      <c r="I17" s="66">
        <f t="shared" si="1"/>
        <v>8686.8000000000065</v>
      </c>
    </row>
    <row r="18" spans="2:9" x14ac:dyDescent="0.2">
      <c r="F18" s="64"/>
      <c r="G18" s="64"/>
      <c r="H18" s="64"/>
      <c r="I18" s="64"/>
    </row>
    <row r="19" spans="2:9" x14ac:dyDescent="0.2">
      <c r="B19" s="1" t="s">
        <v>10</v>
      </c>
      <c r="F19" s="65">
        <v>18.5</v>
      </c>
      <c r="G19" s="65">
        <v>69.8</v>
      </c>
      <c r="H19" s="65">
        <v>162.1</v>
      </c>
      <c r="I19" s="65">
        <v>148.69999999999999</v>
      </c>
    </row>
    <row r="20" spans="2:9" x14ac:dyDescent="0.2">
      <c r="B20" s="1" t="s">
        <v>11</v>
      </c>
      <c r="F20" s="65">
        <v>-38</v>
      </c>
      <c r="G20" s="65">
        <v>-70.400000000000006</v>
      </c>
      <c r="H20" s="65">
        <v>-226.7</v>
      </c>
      <c r="I20" s="65">
        <v>-373.4</v>
      </c>
    </row>
    <row r="21" spans="2:9" x14ac:dyDescent="0.2">
      <c r="B21" s="1" t="s">
        <v>12</v>
      </c>
      <c r="F21" s="65">
        <v>458.9</v>
      </c>
      <c r="G21" s="65">
        <v>820.4</v>
      </c>
      <c r="H21" s="65">
        <v>408</v>
      </c>
      <c r="I21" s="65">
        <v>379.3</v>
      </c>
    </row>
    <row r="22" spans="2:9" x14ac:dyDescent="0.2">
      <c r="B22" s="1" t="s">
        <v>320</v>
      </c>
      <c r="F22" s="65">
        <v>-545.70000000000005</v>
      </c>
      <c r="G22" s="65">
        <v>-251.2</v>
      </c>
      <c r="H22" s="65">
        <v>-405.1</v>
      </c>
      <c r="I22" s="65">
        <v>-408.5</v>
      </c>
    </row>
    <row r="23" spans="2:9" x14ac:dyDescent="0.2">
      <c r="B23" s="5" t="s">
        <v>13</v>
      </c>
      <c r="F23" s="66">
        <f>SUM(F17:F22)</f>
        <v>6047.2999999999965</v>
      </c>
      <c r="G23" s="66">
        <f t="shared" ref="G23:I23" si="2">SUM(G17:G22)</f>
        <v>7610.5999999999976</v>
      </c>
      <c r="H23" s="66">
        <f t="shared" si="2"/>
        <v>8001.0000000000018</v>
      </c>
      <c r="I23" s="66">
        <f t="shared" si="2"/>
        <v>8432.9000000000069</v>
      </c>
    </row>
    <row r="24" spans="2:9" x14ac:dyDescent="0.2">
      <c r="F24" s="64"/>
      <c r="G24" s="64"/>
      <c r="H24" s="64"/>
      <c r="I24" s="64"/>
    </row>
    <row r="25" spans="2:9" x14ac:dyDescent="0.2">
      <c r="B25" s="1" t="s">
        <v>14</v>
      </c>
      <c r="F25" s="65">
        <v>-1445.3</v>
      </c>
      <c r="G25" s="65">
        <v>-1899.4</v>
      </c>
      <c r="H25" s="65">
        <v>-1810.7</v>
      </c>
      <c r="I25" s="65">
        <v>-2015.1</v>
      </c>
    </row>
    <row r="26" spans="2:9" x14ac:dyDescent="0.2">
      <c r="B26" s="1" t="s">
        <v>15</v>
      </c>
      <c r="F26" s="65">
        <v>0.6</v>
      </c>
      <c r="G26" s="65">
        <v>1.4</v>
      </c>
      <c r="H26" s="65">
        <v>0.2</v>
      </c>
      <c r="I26" s="65">
        <v>-1.3</v>
      </c>
    </row>
    <row r="27" spans="2:9" x14ac:dyDescent="0.2">
      <c r="B27" s="5" t="s">
        <v>321</v>
      </c>
      <c r="F27" s="66">
        <f>SUM(F23:F26)</f>
        <v>4602.5999999999967</v>
      </c>
      <c r="G27" s="66">
        <f t="shared" ref="G27:I27" si="3">SUM(G23:G26)</f>
        <v>5712.5999999999967</v>
      </c>
      <c r="H27" s="66">
        <f t="shared" si="3"/>
        <v>6190.5000000000018</v>
      </c>
      <c r="I27" s="66">
        <f t="shared" si="3"/>
        <v>6416.5000000000064</v>
      </c>
    </row>
    <row r="29" spans="2:9" x14ac:dyDescent="0.2">
      <c r="B29" s="1" t="s">
        <v>322</v>
      </c>
      <c r="F29" s="65">
        <v>-5.0999999999999996</v>
      </c>
      <c r="G29" s="65">
        <v>-6</v>
      </c>
      <c r="H29" s="65">
        <v>-6.5</v>
      </c>
      <c r="I29" s="65">
        <v>-7.8</v>
      </c>
    </row>
    <row r="30" spans="2:9" x14ac:dyDescent="0.2">
      <c r="B30" s="3" t="s">
        <v>16</v>
      </c>
      <c r="F30" s="66">
        <f>SUM(F27:F29)</f>
        <v>4597.4999999999964</v>
      </c>
      <c r="G30" s="66">
        <f t="shared" ref="G30:I30" si="4">SUM(G27:G29)</f>
        <v>5706.5999999999967</v>
      </c>
      <c r="H30" s="66">
        <f t="shared" si="4"/>
        <v>6184.0000000000018</v>
      </c>
      <c r="I30" s="66">
        <f t="shared" si="4"/>
        <v>6408.7000000000062</v>
      </c>
    </row>
    <row r="32" spans="2:9" ht="19" x14ac:dyDescent="0.25">
      <c r="B32" s="2" t="s">
        <v>49</v>
      </c>
      <c r="C32" s="2"/>
      <c r="D32" s="2"/>
      <c r="E32" s="2"/>
      <c r="F32" s="2"/>
      <c r="G32" s="2"/>
      <c r="H32" s="2"/>
      <c r="I32" s="2"/>
    </row>
    <row r="36" spans="2:9" x14ac:dyDescent="0.2">
      <c r="F36" s="4" t="s">
        <v>1</v>
      </c>
      <c r="G36" s="4" t="s">
        <v>2</v>
      </c>
      <c r="H36" s="4" t="s">
        <v>3</v>
      </c>
      <c r="I36" s="4" t="s">
        <v>318</v>
      </c>
    </row>
    <row r="39" spans="2:9" x14ac:dyDescent="0.2">
      <c r="B39" s="6" t="s">
        <v>17</v>
      </c>
    </row>
    <row r="40" spans="2:9" x14ac:dyDescent="0.2">
      <c r="B40" s="1" t="s">
        <v>18</v>
      </c>
      <c r="F40" s="65">
        <v>2713.8</v>
      </c>
      <c r="G40" s="65">
        <v>2617.6999999999998</v>
      </c>
      <c r="H40" s="65">
        <v>4288.1000000000004</v>
      </c>
      <c r="I40" s="65">
        <v>4052.3</v>
      </c>
    </row>
    <row r="41" spans="2:9" x14ac:dyDescent="0.2">
      <c r="B41" s="1" t="s">
        <v>19</v>
      </c>
      <c r="F41" s="65">
        <v>4021</v>
      </c>
      <c r="G41" s="65">
        <v>4755.5</v>
      </c>
      <c r="H41" s="65">
        <v>5092.7</v>
      </c>
      <c r="I41" s="65">
        <v>5601.8</v>
      </c>
    </row>
    <row r="42" spans="2:9" x14ac:dyDescent="0.2">
      <c r="B42" s="1" t="s">
        <v>20</v>
      </c>
      <c r="F42" s="65">
        <v>844.1</v>
      </c>
      <c r="G42" s="65">
        <v>1005.5</v>
      </c>
      <c r="H42" s="65">
        <v>1056</v>
      </c>
      <c r="I42" s="65">
        <v>902.3</v>
      </c>
    </row>
    <row r="43" spans="2:9" x14ac:dyDescent="0.2">
      <c r="B43" s="1" t="s">
        <v>21</v>
      </c>
      <c r="F43" s="65">
        <v>3166.9</v>
      </c>
      <c r="G43" s="65">
        <v>4079.4</v>
      </c>
      <c r="H43" s="65">
        <v>4482.3999999999996</v>
      </c>
      <c r="I43" s="65">
        <v>4630.1000000000004</v>
      </c>
    </row>
    <row r="44" spans="2:9" x14ac:dyDescent="0.2">
      <c r="B44" s="1" t="s">
        <v>22</v>
      </c>
      <c r="F44" s="65">
        <v>1330</v>
      </c>
      <c r="G44" s="65">
        <v>1591.5</v>
      </c>
      <c r="H44" s="65">
        <v>1406.2</v>
      </c>
      <c r="I44" s="65">
        <v>1287</v>
      </c>
    </row>
    <row r="45" spans="2:9" x14ac:dyDescent="0.2">
      <c r="B45" s="5" t="s">
        <v>23</v>
      </c>
      <c r="F45" s="66">
        <f>SUM(F40:F44)</f>
        <v>12075.800000000001</v>
      </c>
      <c r="G45" s="66">
        <f t="shared" ref="G45:I45" si="5">SUM(G40:G44)</f>
        <v>14049.6</v>
      </c>
      <c r="H45" s="66">
        <f t="shared" si="5"/>
        <v>16325.4</v>
      </c>
      <c r="I45" s="66">
        <f t="shared" si="5"/>
        <v>16473.5</v>
      </c>
    </row>
    <row r="46" spans="2:9" x14ac:dyDescent="0.2">
      <c r="F46" s="64"/>
      <c r="G46" s="64"/>
      <c r="H46" s="64"/>
      <c r="I46" s="64"/>
    </row>
    <row r="47" spans="2:9" x14ac:dyDescent="0.2">
      <c r="B47" s="1" t="s">
        <v>24</v>
      </c>
      <c r="F47" s="65">
        <v>4773.8</v>
      </c>
      <c r="G47" s="65">
        <v>4964.3999999999996</v>
      </c>
      <c r="H47" s="65">
        <v>5560.1</v>
      </c>
      <c r="I47" s="65">
        <v>5965.2</v>
      </c>
    </row>
    <row r="48" spans="2:9" x14ac:dyDescent="0.2">
      <c r="B48" s="1" t="s">
        <v>25</v>
      </c>
      <c r="F48" s="65">
        <v>11074.5</v>
      </c>
      <c r="G48" s="65">
        <v>11717.7</v>
      </c>
      <c r="H48" s="65">
        <v>13102.6</v>
      </c>
      <c r="I48" s="65">
        <v>13382</v>
      </c>
    </row>
    <row r="49" spans="2:9" x14ac:dyDescent="0.2">
      <c r="B49" s="1" t="s">
        <v>26</v>
      </c>
      <c r="F49" s="65">
        <v>3462.8</v>
      </c>
      <c r="G49" s="65">
        <v>3640.1</v>
      </c>
      <c r="H49" s="65">
        <v>4287.1000000000004</v>
      </c>
      <c r="I49" s="65">
        <v>4594.8</v>
      </c>
    </row>
    <row r="50" spans="2:9" x14ac:dyDescent="0.2">
      <c r="B50" s="1" t="s">
        <v>27</v>
      </c>
      <c r="F50" s="65">
        <v>10930</v>
      </c>
      <c r="G50" s="65">
        <v>11271.2</v>
      </c>
      <c r="H50" s="65">
        <v>11329.3</v>
      </c>
      <c r="I50" s="65">
        <v>14493.1</v>
      </c>
    </row>
    <row r="51" spans="2:9" x14ac:dyDescent="0.2">
      <c r="B51" s="1" t="s">
        <v>28</v>
      </c>
      <c r="F51" s="65">
        <v>696.5</v>
      </c>
      <c r="G51" s="65">
        <v>801.1</v>
      </c>
      <c r="H51" s="65">
        <v>921.2</v>
      </c>
      <c r="I51" s="65">
        <v>973.3</v>
      </c>
    </row>
    <row r="52" spans="2:9" x14ac:dyDescent="0.2">
      <c r="B52" s="1" t="s">
        <v>29</v>
      </c>
      <c r="F52" s="65">
        <v>0</v>
      </c>
      <c r="G52" s="65">
        <v>400.1</v>
      </c>
      <c r="H52" s="65">
        <v>329.4</v>
      </c>
      <c r="I52" s="65">
        <v>471.5</v>
      </c>
    </row>
    <row r="53" spans="2:9" x14ac:dyDescent="0.2">
      <c r="B53" s="5" t="s">
        <v>30</v>
      </c>
      <c r="F53" s="66">
        <f>SUM(F47:F52)</f>
        <v>30937.599999999999</v>
      </c>
      <c r="G53" s="66">
        <f t="shared" ref="G53:I53" si="6">SUM(G47:G52)</f>
        <v>32794.6</v>
      </c>
      <c r="H53" s="66">
        <f t="shared" si="6"/>
        <v>35529.700000000004</v>
      </c>
      <c r="I53" s="66">
        <f t="shared" si="6"/>
        <v>39879.9</v>
      </c>
    </row>
    <row r="54" spans="2:9" x14ac:dyDescent="0.2">
      <c r="B54" s="5" t="s">
        <v>31</v>
      </c>
      <c r="F54" s="66">
        <f>F45+F53</f>
        <v>43013.4</v>
      </c>
      <c r="G54" s="66">
        <f t="shared" ref="G54:I54" si="7">G45+G53</f>
        <v>46844.2</v>
      </c>
      <c r="H54" s="66">
        <f t="shared" si="7"/>
        <v>51855.100000000006</v>
      </c>
      <c r="I54" s="66">
        <f t="shared" si="7"/>
        <v>56353.4</v>
      </c>
    </row>
    <row r="56" spans="2:9" x14ac:dyDescent="0.2">
      <c r="B56" s="6" t="s">
        <v>32</v>
      </c>
    </row>
    <row r="57" spans="2:9" x14ac:dyDescent="0.2">
      <c r="B57" s="1" t="s">
        <v>33</v>
      </c>
      <c r="F57" s="65">
        <v>6068.1</v>
      </c>
      <c r="G57" s="65">
        <v>6345.6</v>
      </c>
      <c r="H57" s="65">
        <v>6347</v>
      </c>
      <c r="I57" s="65">
        <v>6468.5</v>
      </c>
    </row>
    <row r="58" spans="2:9" x14ac:dyDescent="0.2">
      <c r="B58" s="1" t="s">
        <v>34</v>
      </c>
      <c r="F58" s="65">
        <v>5042.2</v>
      </c>
      <c r="G58" s="65">
        <v>1419.8</v>
      </c>
      <c r="H58" s="65">
        <v>2551.3000000000002</v>
      </c>
      <c r="I58" s="65">
        <v>1849.9</v>
      </c>
    </row>
    <row r="59" spans="2:9" x14ac:dyDescent="0.2">
      <c r="B59" s="1" t="s">
        <v>35</v>
      </c>
      <c r="F59" s="65">
        <v>268.89999999999998</v>
      </c>
      <c r="G59" s="65">
        <v>264.2</v>
      </c>
      <c r="H59" s="65">
        <v>208.1</v>
      </c>
      <c r="I59" s="65">
        <v>275.10000000000002</v>
      </c>
    </row>
    <row r="60" spans="2:9" x14ac:dyDescent="0.2">
      <c r="B60" s="1" t="s">
        <v>36</v>
      </c>
      <c r="F60" s="65">
        <v>5204</v>
      </c>
      <c r="G60" s="65">
        <v>5690</v>
      </c>
      <c r="H60" s="65">
        <v>5793.3</v>
      </c>
      <c r="I60" s="65">
        <v>6042.5</v>
      </c>
    </row>
    <row r="61" spans="2:9" x14ac:dyDescent="0.2">
      <c r="B61" s="5" t="s">
        <v>37</v>
      </c>
      <c r="F61" s="66">
        <f>SUM(F57:F60)</f>
        <v>16583.199999999997</v>
      </c>
      <c r="G61" s="66">
        <f t="shared" ref="G61:I61" si="8">SUM(G57:G60)</f>
        <v>13719.6</v>
      </c>
      <c r="H61" s="66">
        <f t="shared" si="8"/>
        <v>14899.7</v>
      </c>
      <c r="I61" s="66">
        <f t="shared" si="8"/>
        <v>14636</v>
      </c>
    </row>
    <row r="62" spans="2:9" x14ac:dyDescent="0.2">
      <c r="F62" s="64"/>
      <c r="G62" s="64"/>
      <c r="H62" s="64"/>
      <c r="I62" s="64"/>
    </row>
    <row r="63" spans="2:9" x14ac:dyDescent="0.2">
      <c r="B63" s="1" t="s">
        <v>38</v>
      </c>
      <c r="F63" s="65">
        <v>1258.2</v>
      </c>
      <c r="G63" s="65">
        <v>4231.1000000000004</v>
      </c>
      <c r="H63" s="65">
        <v>6140.9</v>
      </c>
      <c r="I63" s="65">
        <v>6645.1</v>
      </c>
    </row>
    <row r="64" spans="2:9" x14ac:dyDescent="0.2">
      <c r="B64" s="1" t="s">
        <v>39</v>
      </c>
      <c r="F64" s="65">
        <v>810.3</v>
      </c>
      <c r="G64" s="65">
        <v>905.6</v>
      </c>
      <c r="H64" s="65">
        <v>846.6</v>
      </c>
      <c r="I64" s="65">
        <v>964.5</v>
      </c>
    </row>
    <row r="65" spans="2:9" x14ac:dyDescent="0.2">
      <c r="B65" s="1" t="s">
        <v>40</v>
      </c>
      <c r="F65" s="65">
        <v>344.8</v>
      </c>
      <c r="G65" s="65">
        <v>275.60000000000002</v>
      </c>
      <c r="H65" s="65">
        <v>255.7</v>
      </c>
      <c r="I65" s="65">
        <v>224.3</v>
      </c>
    </row>
    <row r="66" spans="2:9" x14ac:dyDescent="0.2">
      <c r="B66" s="1" t="s">
        <v>327</v>
      </c>
      <c r="F66" s="65">
        <v>424.3</v>
      </c>
      <c r="G66" s="65">
        <v>525.79999999999995</v>
      </c>
      <c r="H66" s="65">
        <v>630.6</v>
      </c>
      <c r="I66" s="65">
        <v>745.7</v>
      </c>
    </row>
    <row r="67" spans="2:9" x14ac:dyDescent="0.2">
      <c r="B67" s="5" t="s">
        <v>41</v>
      </c>
      <c r="F67" s="66">
        <f>SUM(F63:F66)</f>
        <v>2837.6000000000004</v>
      </c>
      <c r="G67" s="66">
        <f t="shared" ref="G67:I67" si="9">SUM(G63:G66)</f>
        <v>5938.1000000000013</v>
      </c>
      <c r="H67" s="66">
        <f t="shared" si="9"/>
        <v>7873.8</v>
      </c>
      <c r="I67" s="66">
        <f t="shared" si="9"/>
        <v>8579.6</v>
      </c>
    </row>
    <row r="68" spans="2:9" x14ac:dyDescent="0.2">
      <c r="B68" s="5" t="s">
        <v>42</v>
      </c>
      <c r="F68" s="66">
        <f>F61+F67</f>
        <v>19420.799999999996</v>
      </c>
      <c r="G68" s="66">
        <f t="shared" ref="G68:I68" si="10">G61+G67</f>
        <v>19657.7</v>
      </c>
      <c r="H68" s="66">
        <f t="shared" si="10"/>
        <v>22773.5</v>
      </c>
      <c r="I68" s="66">
        <f t="shared" si="10"/>
        <v>23215.599999999999</v>
      </c>
    </row>
    <row r="69" spans="2:9" x14ac:dyDescent="0.2">
      <c r="F69" s="64"/>
      <c r="G69" s="64"/>
      <c r="H69" s="64"/>
      <c r="I69" s="64"/>
    </row>
    <row r="70" spans="2:9" x14ac:dyDescent="0.2">
      <c r="B70" s="6" t="s">
        <v>43</v>
      </c>
      <c r="F70" s="64"/>
      <c r="G70" s="64"/>
      <c r="H70" s="64"/>
      <c r="I70" s="64"/>
    </row>
    <row r="71" spans="2:9" x14ac:dyDescent="0.2">
      <c r="B71" s="1" t="s">
        <v>44</v>
      </c>
      <c r="F71" s="65">
        <v>3377.1</v>
      </c>
      <c r="G71" s="65">
        <v>3475.7</v>
      </c>
      <c r="H71" s="65">
        <v>3477.1</v>
      </c>
      <c r="I71" s="65">
        <v>3551.2000000000003</v>
      </c>
    </row>
    <row r="72" spans="2:9" x14ac:dyDescent="0.2">
      <c r="B72" s="1" t="s">
        <v>45</v>
      </c>
      <c r="F72" s="65">
        <v>23689.3</v>
      </c>
      <c r="G72" s="65">
        <v>17382.2</v>
      </c>
      <c r="H72" s="65">
        <v>19983</v>
      </c>
      <c r="I72" s="65">
        <v>22553.5</v>
      </c>
    </row>
    <row r="73" spans="2:9" x14ac:dyDescent="0.2">
      <c r="B73" s="1" t="s">
        <v>46</v>
      </c>
      <c r="F73" s="65">
        <v>-8940.2000000000007</v>
      </c>
      <c r="G73" s="65">
        <v>0</v>
      </c>
      <c r="H73" s="65">
        <v>0</v>
      </c>
      <c r="I73" s="65">
        <v>0</v>
      </c>
    </row>
    <row r="74" spans="2:9" x14ac:dyDescent="0.2">
      <c r="B74" s="1" t="s">
        <v>323</v>
      </c>
      <c r="F74" s="65">
        <v>5738.6</v>
      </c>
      <c r="G74" s="65">
        <v>6404.4</v>
      </c>
      <c r="H74" s="65">
        <v>6123.8</v>
      </c>
      <c r="I74" s="65">
        <v>7277.8</v>
      </c>
    </row>
    <row r="75" spans="2:9" x14ac:dyDescent="0.2">
      <c r="B75" s="1" t="s">
        <v>324</v>
      </c>
      <c r="F75" s="65">
        <v>-279.10000000000002</v>
      </c>
      <c r="G75" s="65">
        <v>-83.8</v>
      </c>
      <c r="H75" s="65">
        <v>-509.6</v>
      </c>
      <c r="I75" s="65">
        <v>-249.2</v>
      </c>
    </row>
    <row r="76" spans="2:9" x14ac:dyDescent="0.2">
      <c r="B76" s="5" t="s">
        <v>47</v>
      </c>
      <c r="F76" s="66">
        <f>SUM(F71:F75)</f>
        <v>23585.699999999997</v>
      </c>
      <c r="G76" s="66">
        <f t="shared" ref="G76:I76" si="11">SUM(G71:G75)</f>
        <v>27178.500000000004</v>
      </c>
      <c r="H76" s="66">
        <f t="shared" si="11"/>
        <v>29074.3</v>
      </c>
      <c r="I76" s="66">
        <f t="shared" si="11"/>
        <v>33133.300000000003</v>
      </c>
    </row>
    <row r="77" spans="2:9" x14ac:dyDescent="0.2">
      <c r="B77" s="67" t="s">
        <v>325</v>
      </c>
      <c r="F77" s="68">
        <v>6.9</v>
      </c>
      <c r="G77" s="68">
        <v>8</v>
      </c>
      <c r="H77" s="68">
        <v>7.3</v>
      </c>
      <c r="I77" s="68">
        <v>4.5</v>
      </c>
    </row>
    <row r="78" spans="2:9" x14ac:dyDescent="0.2">
      <c r="B78" s="3" t="s">
        <v>326</v>
      </c>
      <c r="F78" s="66">
        <f>SUM(F76:F77)</f>
        <v>23592.6</v>
      </c>
      <c r="G78" s="66">
        <f t="shared" ref="G78:I78" si="12">SUM(G76:G77)</f>
        <v>27186.500000000004</v>
      </c>
      <c r="H78" s="66">
        <f t="shared" si="12"/>
        <v>29081.599999999999</v>
      </c>
      <c r="I78" s="66">
        <f t="shared" si="12"/>
        <v>33137.800000000003</v>
      </c>
    </row>
    <row r="79" spans="2:9" x14ac:dyDescent="0.2">
      <c r="B79" s="5" t="s">
        <v>48</v>
      </c>
      <c r="F79" s="66">
        <f>F78+F68</f>
        <v>43013.399999999994</v>
      </c>
      <c r="G79" s="66">
        <f t="shared" ref="G79:I79" si="13">G78+G68</f>
        <v>46844.200000000004</v>
      </c>
      <c r="H79" s="66">
        <f t="shared" si="13"/>
        <v>51855.1</v>
      </c>
      <c r="I79" s="66">
        <f t="shared" si="13"/>
        <v>56353.4</v>
      </c>
    </row>
    <row r="82" spans="2:9" ht="19" x14ac:dyDescent="0.25">
      <c r="B82" s="2" t="s">
        <v>50</v>
      </c>
      <c r="C82" s="2"/>
      <c r="D82" s="2"/>
      <c r="E82" s="2"/>
      <c r="F82" s="2"/>
      <c r="G82" s="2"/>
      <c r="H82" s="2"/>
      <c r="I82" s="2"/>
    </row>
    <row r="86" spans="2:9" x14ac:dyDescent="0.2">
      <c r="F86" s="4" t="s">
        <v>1</v>
      </c>
      <c r="G86" s="4" t="s">
        <v>2</v>
      </c>
      <c r="H86" s="4" t="s">
        <v>3</v>
      </c>
      <c r="I86" s="4" t="s">
        <v>318</v>
      </c>
    </row>
    <row r="89" spans="2:9" x14ac:dyDescent="0.2">
      <c r="B89" s="6" t="s">
        <v>51</v>
      </c>
    </row>
    <row r="90" spans="2:9" x14ac:dyDescent="0.2">
      <c r="B90" s="1" t="s">
        <v>16</v>
      </c>
      <c r="F90" s="65">
        <v>4597.1000000000004</v>
      </c>
      <c r="G90" s="65">
        <v>5706.6</v>
      </c>
      <c r="H90" s="65">
        <v>6184</v>
      </c>
      <c r="I90" s="65">
        <v>6408.7</v>
      </c>
    </row>
    <row r="91" spans="2:9" x14ac:dyDescent="0.2">
      <c r="B91" s="1" t="s">
        <v>52</v>
      </c>
      <c r="F91" s="65">
        <v>1781</v>
      </c>
      <c r="G91" s="65">
        <v>1536.1</v>
      </c>
      <c r="H91" s="65">
        <v>1715</v>
      </c>
      <c r="I91" s="65">
        <v>1855.3</v>
      </c>
    </row>
    <row r="92" spans="2:9" x14ac:dyDescent="0.2">
      <c r="B92" s="1" t="s">
        <v>53</v>
      </c>
      <c r="F92" s="65">
        <v>83.6</v>
      </c>
      <c r="G92" s="65">
        <v>-96.5</v>
      </c>
      <c r="H92" s="65">
        <v>-95.3</v>
      </c>
      <c r="I92" s="65">
        <v>-37.4</v>
      </c>
    </row>
    <row r="93" spans="2:9" x14ac:dyDescent="0.2">
      <c r="B93" s="1" t="s">
        <v>328</v>
      </c>
      <c r="F93" s="65">
        <v>178.7</v>
      </c>
      <c r="G93" s="65">
        <v>143.4</v>
      </c>
      <c r="H93" s="65">
        <v>195.8</v>
      </c>
      <c r="I93" s="65">
        <v>286</v>
      </c>
    </row>
    <row r="94" spans="2:9" x14ac:dyDescent="0.2">
      <c r="B94" s="1" t="s">
        <v>54</v>
      </c>
      <c r="F94" s="65"/>
      <c r="G94" s="65"/>
      <c r="H94" s="65"/>
      <c r="I94" s="65"/>
    </row>
    <row r="95" spans="2:9" x14ac:dyDescent="0.2">
      <c r="B95" s="1" t="s">
        <v>55</v>
      </c>
      <c r="F95" s="65">
        <v>-407.1</v>
      </c>
      <c r="G95" s="65">
        <v>-717.6</v>
      </c>
      <c r="H95" s="65">
        <v>-427.3</v>
      </c>
      <c r="I95" s="65">
        <v>-506.7</v>
      </c>
    </row>
    <row r="96" spans="2:9" x14ac:dyDescent="0.2">
      <c r="B96" s="1" t="s">
        <v>56</v>
      </c>
      <c r="F96" s="65">
        <v>-373.3</v>
      </c>
      <c r="G96" s="65">
        <v>-865.4</v>
      </c>
      <c r="H96" s="65">
        <v>-438.3</v>
      </c>
      <c r="I96" s="65">
        <v>-121.2</v>
      </c>
    </row>
    <row r="97" spans="2:9" x14ac:dyDescent="0.2">
      <c r="B97" s="1" t="s">
        <v>57</v>
      </c>
      <c r="F97" s="65">
        <v>1086.8</v>
      </c>
      <c r="G97" s="65">
        <v>247.9</v>
      </c>
      <c r="H97" s="65">
        <v>138.69999999999999</v>
      </c>
      <c r="I97" s="65">
        <v>78.8</v>
      </c>
    </row>
    <row r="98" spans="2:9" x14ac:dyDescent="0.2">
      <c r="B98" s="1" t="s">
        <v>58</v>
      </c>
      <c r="F98" s="65">
        <v>-218.4</v>
      </c>
      <c r="G98" s="65">
        <v>323.8</v>
      </c>
      <c r="H98" s="65">
        <v>332</v>
      </c>
      <c r="I98" s="65">
        <v>322.5</v>
      </c>
    </row>
    <row r="99" spans="2:9" x14ac:dyDescent="0.2">
      <c r="B99" s="5" t="s">
        <v>59</v>
      </c>
      <c r="F99" s="66">
        <f>SUM(F90:F98)</f>
        <v>6728.4000000000005</v>
      </c>
      <c r="G99" s="66">
        <f t="shared" ref="G99:I99" si="14">SUM(G90:G98)</f>
        <v>6278.3</v>
      </c>
      <c r="H99" s="66">
        <f t="shared" si="14"/>
        <v>7604.5999999999995</v>
      </c>
      <c r="I99" s="66">
        <f t="shared" si="14"/>
        <v>8286</v>
      </c>
    </row>
    <row r="101" spans="2:9" x14ac:dyDescent="0.2">
      <c r="B101" s="6" t="s">
        <v>60</v>
      </c>
    </row>
    <row r="102" spans="2:9" x14ac:dyDescent="0.2">
      <c r="B102" s="1" t="s">
        <v>61</v>
      </c>
      <c r="F102" s="65">
        <v>-1075.2</v>
      </c>
      <c r="G102" s="65">
        <v>-1343.3</v>
      </c>
      <c r="H102" s="65">
        <v>-1488.6</v>
      </c>
      <c r="I102" s="65">
        <v>-1641.6</v>
      </c>
    </row>
    <row r="103" spans="2:9" x14ac:dyDescent="0.2">
      <c r="B103" s="1" t="s">
        <v>62</v>
      </c>
      <c r="F103" s="65">
        <v>-455.7</v>
      </c>
      <c r="G103" s="65">
        <v>-746.9</v>
      </c>
      <c r="H103" s="65">
        <v>-2497.1999999999998</v>
      </c>
      <c r="I103" s="65">
        <v>-162.80000000000001</v>
      </c>
    </row>
    <row r="104" spans="2:9" x14ac:dyDescent="0.2">
      <c r="B104" s="1" t="s">
        <v>63</v>
      </c>
      <c r="F104" s="65">
        <v>-117.3</v>
      </c>
      <c r="G104" s="65">
        <v>-142.80000000000001</v>
      </c>
      <c r="H104" s="65">
        <v>-170.7</v>
      </c>
      <c r="I104" s="65">
        <v>-1927</v>
      </c>
    </row>
    <row r="105" spans="2:9" x14ac:dyDescent="0.2">
      <c r="B105" s="1" t="s">
        <v>329</v>
      </c>
      <c r="F105" s="65">
        <v>14.5</v>
      </c>
      <c r="G105" s="65">
        <v>9.1999999999999993</v>
      </c>
      <c r="H105" s="65">
        <v>12.8</v>
      </c>
      <c r="I105" s="65">
        <v>13.6</v>
      </c>
    </row>
    <row r="106" spans="2:9" x14ac:dyDescent="0.2">
      <c r="B106" s="5" t="s">
        <v>64</v>
      </c>
      <c r="F106" s="66">
        <f>SUM(F102:F105)</f>
        <v>-1633.7</v>
      </c>
      <c r="G106" s="66">
        <f>SUM(G102:G105)</f>
        <v>-2223.8000000000002</v>
      </c>
      <c r="H106" s="66">
        <f>SUM(H102:H105)</f>
        <v>-4143.7</v>
      </c>
      <c r="I106" s="66">
        <f>SUM(I102:I105)</f>
        <v>-3717.7999999999997</v>
      </c>
    </row>
    <row r="108" spans="2:9" x14ac:dyDescent="0.2">
      <c r="B108" s="6" t="s">
        <v>65</v>
      </c>
    </row>
    <row r="109" spans="2:9" x14ac:dyDescent="0.2">
      <c r="B109" s="1" t="s">
        <v>66</v>
      </c>
      <c r="F109" s="65">
        <v>-2352.1</v>
      </c>
      <c r="G109" s="65">
        <v>-2689.9</v>
      </c>
      <c r="H109" s="65">
        <v>-3425.6</v>
      </c>
      <c r="I109" s="65">
        <v>-3614.9</v>
      </c>
    </row>
    <row r="110" spans="2:9" x14ac:dyDescent="0.2">
      <c r="B110" s="1" t="s">
        <v>330</v>
      </c>
      <c r="F110" s="65">
        <v>-10055.1</v>
      </c>
      <c r="G110" s="65">
        <v>-399.1</v>
      </c>
      <c r="H110" s="65">
        <v>-501.8</v>
      </c>
      <c r="I110" s="65">
        <v>-427.6</v>
      </c>
    </row>
    <row r="111" spans="2:9" x14ac:dyDescent="0.2">
      <c r="B111" s="1" t="s">
        <v>331</v>
      </c>
      <c r="F111" s="65">
        <v>-396.4</v>
      </c>
      <c r="G111" s="65">
        <v>-446.9</v>
      </c>
      <c r="H111" s="65">
        <v>-430.6</v>
      </c>
      <c r="I111" s="65">
        <v>-474.3</v>
      </c>
    </row>
    <row r="112" spans="2:9" x14ac:dyDescent="0.2">
      <c r="B112" s="1" t="s">
        <v>67</v>
      </c>
      <c r="F112" s="65">
        <v>3939.4</v>
      </c>
      <c r="G112" s="65">
        <v>-544</v>
      </c>
      <c r="H112" s="65">
        <v>2743.4</v>
      </c>
      <c r="I112" s="65">
        <v>-254.4</v>
      </c>
    </row>
    <row r="113" spans="2:9" x14ac:dyDescent="0.2">
      <c r="B113" s="5" t="s">
        <v>68</v>
      </c>
      <c r="F113" s="66">
        <f>SUM(F109:F112)</f>
        <v>-8864.2000000000007</v>
      </c>
      <c r="G113" s="66">
        <f t="shared" ref="G113:I113" si="15">SUM(G109:G112)</f>
        <v>-4079.9</v>
      </c>
      <c r="H113" s="66">
        <f t="shared" si="15"/>
        <v>-1614.6</v>
      </c>
      <c r="I113" s="66">
        <f t="shared" si="15"/>
        <v>-4771.2</v>
      </c>
    </row>
    <row r="114" spans="2:9" x14ac:dyDescent="0.2">
      <c r="F114" s="64"/>
      <c r="G114" s="64"/>
      <c r="H114" s="64"/>
      <c r="I114" s="64"/>
    </row>
    <row r="115" spans="2:9" x14ac:dyDescent="0.2">
      <c r="B115" s="1" t="s">
        <v>69</v>
      </c>
      <c r="F115" s="64">
        <v>77.400000000000006</v>
      </c>
      <c r="G115" s="64">
        <v>-70.7</v>
      </c>
      <c r="H115" s="64">
        <v>-175.9</v>
      </c>
      <c r="I115" s="64">
        <v>-32.799999999999997</v>
      </c>
    </row>
    <row r="116" spans="2:9" x14ac:dyDescent="0.2">
      <c r="B116" s="5" t="s">
        <v>70</v>
      </c>
      <c r="F116" s="66">
        <f>F99+F106+F113+F115</f>
        <v>-3692.1</v>
      </c>
      <c r="G116" s="66">
        <f t="shared" ref="G116:I116" si="16">G99+G106+G113+G115</f>
        <v>-96.100000000000094</v>
      </c>
      <c r="H116" s="66">
        <f t="shared" si="16"/>
        <v>1670.3999999999996</v>
      </c>
      <c r="I116" s="66">
        <f t="shared" si="16"/>
        <v>-235.7999999999991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3E4C3-5A3A-394F-B157-38856A18C342}">
  <sheetPr>
    <tabColor rgb="FF548235"/>
  </sheetPr>
  <dimension ref="B3:K109"/>
  <sheetViews>
    <sheetView topLeftCell="A42" zoomScale="186" workbookViewId="0">
      <selection activeCell="F81" sqref="F81"/>
    </sheetView>
  </sheetViews>
  <sheetFormatPr baseColWidth="10" defaultRowHeight="16" x14ac:dyDescent="0.2"/>
  <cols>
    <col min="1" max="1" width="5.83203125" style="1" customWidth="1"/>
    <col min="2" max="16384" width="10.83203125" style="1"/>
  </cols>
  <sheetData>
    <row r="3" spans="2:11" x14ac:dyDescent="0.2">
      <c r="B3" s="69" t="s">
        <v>332</v>
      </c>
      <c r="C3" s="70"/>
      <c r="D3" s="70"/>
      <c r="E3" s="70"/>
      <c r="F3" s="70"/>
      <c r="G3" s="70"/>
      <c r="H3" s="70"/>
      <c r="I3" s="70"/>
      <c r="J3" s="70"/>
      <c r="K3" s="71"/>
    </row>
    <row r="5" spans="2:11" x14ac:dyDescent="0.2">
      <c r="B5" s="72" t="s">
        <v>333</v>
      </c>
    </row>
    <row r="6" spans="2:11" x14ac:dyDescent="0.2">
      <c r="F6" s="73" t="s">
        <v>1</v>
      </c>
      <c r="G6" s="73" t="s">
        <v>2</v>
      </c>
      <c r="H6" s="73" t="s">
        <v>3</v>
      </c>
      <c r="I6" s="73" t="s">
        <v>318</v>
      </c>
      <c r="J6" s="4"/>
      <c r="K6" s="3" t="s">
        <v>334</v>
      </c>
    </row>
    <row r="7" spans="2:11" x14ac:dyDescent="0.2">
      <c r="B7" s="3" t="s">
        <v>335</v>
      </c>
      <c r="F7" s="74">
        <f>'Historical Financials'!F10</f>
        <v>32287.599999999999</v>
      </c>
      <c r="G7" s="74">
        <f>'Historical Financials'!G10</f>
        <v>38260.6</v>
      </c>
      <c r="H7" s="74">
        <f>'Historical Financials'!H10</f>
        <v>41182.5</v>
      </c>
      <c r="I7" s="74">
        <f>'Historical Financials'!I10</f>
        <v>43486.8</v>
      </c>
      <c r="K7" s="173"/>
    </row>
    <row r="8" spans="2:11" x14ac:dyDescent="0.2">
      <c r="B8" s="3" t="s">
        <v>336</v>
      </c>
      <c r="F8" s="75"/>
      <c r="G8" s="75">
        <f>(G7/F7-1)</f>
        <v>0.18499361984167306</v>
      </c>
      <c r="H8" s="75">
        <f t="shared" ref="H8:I8" si="0">(H7/G7-1)</f>
        <v>7.63683789590337E-2</v>
      </c>
      <c r="I8" s="75">
        <f t="shared" si="0"/>
        <v>5.595337825532698E-2</v>
      </c>
      <c r="K8" s="173"/>
    </row>
    <row r="9" spans="2:11" x14ac:dyDescent="0.2">
      <c r="B9" s="3" t="s">
        <v>396</v>
      </c>
      <c r="I9" s="76">
        <f>(I7/F7)^(1/3)-1</f>
        <v>0.10435125468441253</v>
      </c>
      <c r="K9" s="3" t="s">
        <v>337</v>
      </c>
    </row>
    <row r="11" spans="2:11" x14ac:dyDescent="0.2">
      <c r="B11" s="72" t="s">
        <v>338</v>
      </c>
    </row>
    <row r="12" spans="2:11" x14ac:dyDescent="0.2">
      <c r="F12" s="73" t="s">
        <v>1</v>
      </c>
      <c r="G12" s="73" t="s">
        <v>2</v>
      </c>
      <c r="H12" s="73" t="s">
        <v>3</v>
      </c>
      <c r="I12" s="73" t="s">
        <v>318</v>
      </c>
      <c r="K12" s="3" t="s">
        <v>334</v>
      </c>
    </row>
    <row r="13" spans="2:11" x14ac:dyDescent="0.2">
      <c r="B13" s="3" t="s">
        <v>339</v>
      </c>
      <c r="F13" s="64">
        <f>'Historical Financials'!F12</f>
        <v>25276.199999999997</v>
      </c>
      <c r="G13" s="64">
        <f>'Historical Financials'!G12</f>
        <v>28833.199999999997</v>
      </c>
      <c r="H13" s="64">
        <f>'Historical Financials'!H12</f>
        <v>31796</v>
      </c>
      <c r="I13" s="64">
        <f>'Historical Financials'!I12</f>
        <v>33846.100000000006</v>
      </c>
    </row>
    <row r="14" spans="2:11" x14ac:dyDescent="0.2">
      <c r="B14" s="3" t="s">
        <v>340</v>
      </c>
      <c r="F14" s="77">
        <f>F13/'Historical Financials'!F10</f>
        <v>0.78284542672728841</v>
      </c>
      <c r="G14" s="77">
        <f>G13/'Historical Financials'!G10</f>
        <v>0.75360030945672563</v>
      </c>
      <c r="H14" s="77">
        <f>H13/'Historical Financials'!H10</f>
        <v>0.772075517513507</v>
      </c>
      <c r="I14" s="77">
        <f>I13/'Historical Financials'!I10</f>
        <v>0.77830744041870181</v>
      </c>
    </row>
    <row r="15" spans="2:11" x14ac:dyDescent="0.2">
      <c r="B15" s="3"/>
      <c r="F15" s="78"/>
      <c r="G15" s="78"/>
      <c r="H15" s="78"/>
      <c r="I15" s="78"/>
    </row>
    <row r="17" spans="2:11" x14ac:dyDescent="0.2">
      <c r="B17" s="72" t="s">
        <v>341</v>
      </c>
    </row>
    <row r="18" spans="2:11" x14ac:dyDescent="0.2">
      <c r="F18" s="73" t="s">
        <v>1</v>
      </c>
      <c r="G18" s="73" t="s">
        <v>2</v>
      </c>
      <c r="H18" s="73" t="s">
        <v>3</v>
      </c>
      <c r="I18" s="73" t="s">
        <v>318</v>
      </c>
      <c r="K18" s="3" t="s">
        <v>334</v>
      </c>
    </row>
    <row r="19" spans="2:11" x14ac:dyDescent="0.2">
      <c r="B19" s="3" t="s">
        <v>342</v>
      </c>
      <c r="C19" s="67"/>
      <c r="D19" s="67"/>
      <c r="E19" s="67"/>
      <c r="F19" s="79">
        <f>-'Historical Financials'!F14/'Historical Financials'!F10</f>
        <v>0.54849230044970831</v>
      </c>
      <c r="G19" s="79">
        <f>-'Historical Financials'!G14/'Historical Financials'!G10</f>
        <v>0.53101624125079061</v>
      </c>
      <c r="H19" s="79">
        <f>-'Historical Financials'!H14/'Historical Financials'!H10</f>
        <v>0.54157955442238814</v>
      </c>
      <c r="I19" s="79">
        <f>-'Historical Financials'!I14/'Historical Financials'!I10</f>
        <v>0.54206333876026747</v>
      </c>
      <c r="J19" s="67"/>
    </row>
    <row r="20" spans="2:11" ht="17" thickBot="1" x14ac:dyDescent="0.25">
      <c r="B20" s="80" t="s">
        <v>343</v>
      </c>
      <c r="C20" s="81"/>
      <c r="D20" s="81"/>
      <c r="E20" s="81"/>
      <c r="F20" s="82">
        <f>-'Historical Financials'!F15/'Historical Financials'!F10</f>
        <v>4.5190723373679062E-2</v>
      </c>
      <c r="G20" s="82">
        <f>-'Historical Financials'!G15/'Historical Financials'!G10</f>
        <v>3.8530498737604744E-2</v>
      </c>
      <c r="H20" s="82">
        <f>-'Historical Financials'!H15/'Historical Financials'!H10</f>
        <v>3.4716202270381837E-2</v>
      </c>
      <c r="I20" s="82">
        <f>-'Historical Financials'!I15/'Historical Financials'!I10</f>
        <v>3.648693396616904E-2</v>
      </c>
      <c r="J20" s="81"/>
      <c r="K20" s="83"/>
    </row>
    <row r="21" spans="2:11" x14ac:dyDescent="0.2">
      <c r="B21" s="3" t="s">
        <v>344</v>
      </c>
      <c r="F21" s="77">
        <f>-('Historical Financials'!F14+'Historical Financials'!F15)/'Historical Financials'!F10</f>
        <v>0.59368302382338733</v>
      </c>
      <c r="G21" s="77">
        <f>-('Historical Financials'!G14+'Historical Financials'!G15)/'Historical Financials'!G10</f>
        <v>0.56954673998839545</v>
      </c>
      <c r="H21" s="77">
        <f>-('Historical Financials'!H14+'Historical Financials'!H15)/'Historical Financials'!H10</f>
        <v>0.57629575669277</v>
      </c>
      <c r="I21" s="77">
        <f>-('Historical Financials'!I14+'Historical Financials'!I15)/'Historical Financials'!I10</f>
        <v>0.57855027272643644</v>
      </c>
    </row>
    <row r="24" spans="2:11" x14ac:dyDescent="0.2">
      <c r="B24" s="72" t="s">
        <v>345</v>
      </c>
    </row>
    <row r="25" spans="2:11" x14ac:dyDescent="0.2">
      <c r="F25" s="73" t="s">
        <v>1</v>
      </c>
      <c r="G25" s="73" t="s">
        <v>2</v>
      </c>
      <c r="H25" s="73" t="s">
        <v>3</v>
      </c>
      <c r="I25" s="73" t="s">
        <v>318</v>
      </c>
      <c r="K25" s="3" t="s">
        <v>334</v>
      </c>
    </row>
    <row r="26" spans="2:11" x14ac:dyDescent="0.2">
      <c r="B26" s="3" t="s">
        <v>346</v>
      </c>
      <c r="F26" s="77">
        <f>'Historical Financials'!F17/'Historical Financials'!F10</f>
        <v>0.19058709845265664</v>
      </c>
      <c r="G26" s="77">
        <f>'Historical Financials'!G17/'Historical Financials'!G10</f>
        <v>0.18405356946833029</v>
      </c>
      <c r="H26" s="77">
        <f>'Historical Financials'!H17/'Historical Financials'!H10</f>
        <v>0.195779760820737</v>
      </c>
      <c r="I26" s="77">
        <f>'Historical Financials'!I17/'Historical Financials'!I10</f>
        <v>0.19975716769226537</v>
      </c>
    </row>
    <row r="27" spans="2:11" x14ac:dyDescent="0.2">
      <c r="B27" s="3" t="s">
        <v>347</v>
      </c>
      <c r="F27" s="77">
        <f>('Historical Financials'!F17-'Historical Financials'!F15)/'Historical Financials'!F10</f>
        <v>0.23577782182633572</v>
      </c>
      <c r="G27" s="77">
        <f>('Historical Financials'!G17-'Historical Financials'!G15)/'Historical Financials'!G10</f>
        <v>0.22258406820593502</v>
      </c>
      <c r="H27" s="77">
        <f>('Historical Financials'!H17-'Historical Financials'!H15)/'Historical Financials'!H10</f>
        <v>0.23049596309111883</v>
      </c>
      <c r="I27" s="77">
        <f>('Historical Financials'!I17-'Historical Financials'!I15)/'Historical Financials'!I10</f>
        <v>0.23624410165843443</v>
      </c>
    </row>
    <row r="28" spans="2:11" x14ac:dyDescent="0.2">
      <c r="B28" s="3" t="s">
        <v>348</v>
      </c>
      <c r="F28" s="77">
        <f>'Historical Financials'!F30/'Historical Financials'!F10</f>
        <v>0.14239212576964522</v>
      </c>
      <c r="G28" s="77">
        <f>'Historical Financials'!G30/'Historical Financials'!G10</f>
        <v>0.14915082356262047</v>
      </c>
      <c r="H28" s="77">
        <f>'Historical Financials'!H30/'Historical Financials'!H10</f>
        <v>0.15016086930128092</v>
      </c>
      <c r="I28" s="77">
        <f>'Historical Financials'!I30/'Historical Financials'!I10</f>
        <v>0.14737115630490186</v>
      </c>
    </row>
    <row r="32" spans="2:11" x14ac:dyDescent="0.2">
      <c r="B32" s="69" t="s">
        <v>349</v>
      </c>
      <c r="C32" s="70"/>
      <c r="D32" s="70"/>
      <c r="E32" s="70"/>
      <c r="F32" s="70"/>
      <c r="G32" s="70"/>
      <c r="H32" s="70"/>
      <c r="I32" s="70"/>
      <c r="J32" s="70"/>
      <c r="K32" s="71"/>
    </row>
    <row r="35" spans="2:11" x14ac:dyDescent="0.2">
      <c r="B35" s="72" t="s">
        <v>350</v>
      </c>
    </row>
    <row r="36" spans="2:11" x14ac:dyDescent="0.2">
      <c r="F36" s="73" t="s">
        <v>1</v>
      </c>
      <c r="G36" s="73" t="s">
        <v>2</v>
      </c>
      <c r="H36" s="73" t="s">
        <v>3</v>
      </c>
      <c r="I36" s="73" t="s">
        <v>318</v>
      </c>
      <c r="K36" s="3" t="s">
        <v>351</v>
      </c>
    </row>
    <row r="37" spans="2:11" x14ac:dyDescent="0.2">
      <c r="B37" s="3" t="s">
        <v>352</v>
      </c>
      <c r="F37" s="64">
        <f>'Historical Financials'!F99</f>
        <v>6728.4000000000005</v>
      </c>
      <c r="G37" s="64">
        <f>'Historical Financials'!G99</f>
        <v>6278.3</v>
      </c>
      <c r="H37" s="64">
        <f>'Historical Financials'!H99</f>
        <v>7604.5999999999995</v>
      </c>
      <c r="I37" s="64">
        <f>'Historical Financials'!I99</f>
        <v>8286</v>
      </c>
    </row>
    <row r="38" spans="2:11" x14ac:dyDescent="0.2">
      <c r="B38" s="3" t="s">
        <v>353</v>
      </c>
      <c r="F38" s="64">
        <f>'Historical Financials'!F99+'Historical Financials'!F102</f>
        <v>5653.2000000000007</v>
      </c>
      <c r="G38" s="64">
        <f>'Historical Financials'!G99+'Historical Financials'!G102</f>
        <v>4935</v>
      </c>
      <c r="H38" s="64">
        <f>'Historical Financials'!H99+'Historical Financials'!H102</f>
        <v>6116</v>
      </c>
      <c r="I38" s="64">
        <f>'Historical Financials'!I99+'Historical Financials'!I102</f>
        <v>6644.4</v>
      </c>
    </row>
    <row r="39" spans="2:11" x14ac:dyDescent="0.2">
      <c r="B39" s="84"/>
    </row>
    <row r="41" spans="2:11" x14ac:dyDescent="0.2">
      <c r="B41" s="72" t="s">
        <v>354</v>
      </c>
    </row>
    <row r="42" spans="2:11" x14ac:dyDescent="0.2">
      <c r="F42" s="73" t="s">
        <v>1</v>
      </c>
      <c r="G42" s="73" t="s">
        <v>2</v>
      </c>
      <c r="H42" s="73" t="s">
        <v>3</v>
      </c>
      <c r="I42" s="73" t="s">
        <v>318</v>
      </c>
      <c r="K42" s="3" t="s">
        <v>334</v>
      </c>
    </row>
    <row r="43" spans="2:11" x14ac:dyDescent="0.2">
      <c r="B43" s="3" t="s">
        <v>355</v>
      </c>
    </row>
    <row r="44" spans="2:11" x14ac:dyDescent="0.2">
      <c r="B44" s="84" t="s">
        <v>356</v>
      </c>
      <c r="F44" s="64">
        <f>'Historical Financials'!F95</f>
        <v>-407.1</v>
      </c>
      <c r="G44" s="64">
        <f>'Historical Financials'!G95</f>
        <v>-717.6</v>
      </c>
      <c r="H44" s="64">
        <f>'Historical Financials'!H95</f>
        <v>-427.3</v>
      </c>
      <c r="I44" s="64">
        <f>'Historical Financials'!I95</f>
        <v>-506.7</v>
      </c>
    </row>
    <row r="45" spans="2:11" x14ac:dyDescent="0.2">
      <c r="B45" s="85" t="s">
        <v>357</v>
      </c>
      <c r="F45" s="64">
        <f>'Historical Financials'!F97</f>
        <v>1086.8</v>
      </c>
      <c r="G45" s="64">
        <f>'Historical Financials'!G97</f>
        <v>247.9</v>
      </c>
      <c r="H45" s="64">
        <f>'Historical Financials'!H97</f>
        <v>138.69999999999999</v>
      </c>
      <c r="I45" s="64">
        <f>'Historical Financials'!I97</f>
        <v>78.8</v>
      </c>
    </row>
    <row r="46" spans="2:11" x14ac:dyDescent="0.2">
      <c r="B46" s="85" t="s">
        <v>358</v>
      </c>
      <c r="F46" s="64">
        <f>'Historical Financials'!F96</f>
        <v>-373.3</v>
      </c>
      <c r="G46" s="64">
        <f>'Historical Financials'!G96</f>
        <v>-865.4</v>
      </c>
      <c r="H46" s="64">
        <f>'Historical Financials'!H96</f>
        <v>-438.3</v>
      </c>
      <c r="I46" s="64">
        <f>'Historical Financials'!I96</f>
        <v>-121.2</v>
      </c>
    </row>
    <row r="47" spans="2:11" x14ac:dyDescent="0.2">
      <c r="B47" s="85" t="s">
        <v>359</v>
      </c>
      <c r="F47" s="64">
        <f>'Historical Financials'!F98</f>
        <v>-218.4</v>
      </c>
      <c r="G47" s="64">
        <f>'Historical Financials'!G98</f>
        <v>323.8</v>
      </c>
      <c r="H47" s="64">
        <f>'Historical Financials'!H98</f>
        <v>332</v>
      </c>
      <c r="I47" s="64">
        <f>'Historical Financials'!I98</f>
        <v>322.5</v>
      </c>
    </row>
    <row r="49" spans="2:9" x14ac:dyDescent="0.2">
      <c r="B49" s="3" t="s">
        <v>360</v>
      </c>
      <c r="F49" s="64">
        <f t="shared" ref="F49:I49" si="1">SUM(F44:F47)</f>
        <v>87.999999999999915</v>
      </c>
      <c r="G49" s="64">
        <f t="shared" si="1"/>
        <v>-1011.3</v>
      </c>
      <c r="H49" s="64">
        <f t="shared" si="1"/>
        <v>-394.90000000000009</v>
      </c>
      <c r="I49" s="64">
        <f t="shared" si="1"/>
        <v>-226.60000000000002</v>
      </c>
    </row>
    <row r="51" spans="2:9" x14ac:dyDescent="0.2">
      <c r="B51" s="3" t="s">
        <v>361</v>
      </c>
      <c r="F51" s="86">
        <f>'Historical Financials'!F41/('Historical Financials'!F10/365)</f>
        <v>45.455995490528871</v>
      </c>
      <c r="G51" s="86">
        <f>'Historical Financials'!G41/('Historical Financials'!G10/365)</f>
        <v>45.366708833630419</v>
      </c>
      <c r="H51" s="86">
        <f>'Historical Financials'!H41/('Historical Financials'!H10/365)</f>
        <v>45.136538578279605</v>
      </c>
      <c r="I51" s="86">
        <f>'Historical Financials'!I41/('Historical Financials'!I10/365)</f>
        <v>47.017876689018273</v>
      </c>
    </row>
    <row r="52" spans="2:9" x14ac:dyDescent="0.2">
      <c r="B52" s="3" t="s">
        <v>362</v>
      </c>
      <c r="F52" s="86">
        <f>'Historical Financials'!F57/(-'Historical Financials'!F11/365)</f>
        <v>315.8936161109051</v>
      </c>
      <c r="G52" s="86">
        <f>'Historical Financials'!G57/(-'Historical Financials'!G11/365)</f>
        <v>245.68216051085136</v>
      </c>
      <c r="H52" s="86">
        <f>'Historical Financials'!H57/(-'Historical Financials'!H11/365)</f>
        <v>246.80711660363286</v>
      </c>
      <c r="I52" s="86">
        <f>'Historical Financials'!I57/(-'Historical Financials'!I11/365)</f>
        <v>244.89948862634452</v>
      </c>
    </row>
    <row r="53" spans="2:9" x14ac:dyDescent="0.2">
      <c r="B53" s="3" t="s">
        <v>363</v>
      </c>
      <c r="F53" s="86">
        <f>'Historical Financials'!F43/(-'Historical Financials'!F11/365)</f>
        <v>164.86272356448072</v>
      </c>
      <c r="G53" s="86">
        <f>'Historical Financials'!G43/(-'Historical Financials'!G11/365)</f>
        <v>157.94185035110422</v>
      </c>
      <c r="H53" s="86">
        <f>'Historical Financials'!H43/(-'Historical Financials'!H11/365)</f>
        <v>174.30096415064185</v>
      </c>
      <c r="I53" s="86">
        <f>'Historical Financials'!I43/(-'Historical Financials'!I11/365)</f>
        <v>175.29707386393102</v>
      </c>
    </row>
    <row r="54" spans="2:9" x14ac:dyDescent="0.2">
      <c r="B54" s="3"/>
    </row>
    <row r="55" spans="2:9" x14ac:dyDescent="0.2">
      <c r="B55" s="3" t="s">
        <v>364</v>
      </c>
      <c r="F55" s="86">
        <f t="shared" ref="F55:I55" si="2">F51+F53-F52</f>
        <v>-105.57489705589552</v>
      </c>
      <c r="G55" s="86">
        <f t="shared" si="2"/>
        <v>-42.373601326116727</v>
      </c>
      <c r="H55" s="86">
        <f t="shared" si="2"/>
        <v>-27.369613874711405</v>
      </c>
      <c r="I55" s="86">
        <f t="shared" si="2"/>
        <v>-22.584538073395237</v>
      </c>
    </row>
    <row r="57" spans="2:9" x14ac:dyDescent="0.2">
      <c r="B57" s="72" t="s">
        <v>365</v>
      </c>
    </row>
    <row r="58" spans="2:9" x14ac:dyDescent="0.2">
      <c r="F58" s="73" t="s">
        <v>1</v>
      </c>
      <c r="G58" s="73" t="s">
        <v>2</v>
      </c>
      <c r="H58" s="73" t="s">
        <v>3</v>
      </c>
      <c r="I58" s="73" t="s">
        <v>318</v>
      </c>
    </row>
    <row r="59" spans="2:9" x14ac:dyDescent="0.2">
      <c r="F59" s="73"/>
      <c r="G59" s="73"/>
      <c r="H59" s="73"/>
      <c r="I59" s="73"/>
    </row>
    <row r="60" spans="2:9" x14ac:dyDescent="0.2">
      <c r="B60" s="3" t="s">
        <v>366</v>
      </c>
      <c r="F60" s="64">
        <f>-'Historical Financials'!F102</f>
        <v>1075.2</v>
      </c>
      <c r="G60" s="64">
        <f>-'Historical Financials'!G102</f>
        <v>1343.3</v>
      </c>
      <c r="H60" s="64">
        <f>-'Historical Financials'!H102</f>
        <v>1488.6</v>
      </c>
      <c r="I60" s="64">
        <f>-'Historical Financials'!I102</f>
        <v>1641.6</v>
      </c>
    </row>
    <row r="61" spans="2:9" x14ac:dyDescent="0.2">
      <c r="B61" s="84" t="s">
        <v>367</v>
      </c>
      <c r="F61" s="87">
        <f>F60/'Historical Financials'!F10</f>
        <v>3.3300709870042994E-2</v>
      </c>
      <c r="G61" s="87">
        <f>G60/'Historical Financials'!G10</f>
        <v>3.510922463317355E-2</v>
      </c>
      <c r="H61" s="87">
        <f>H60/'Historical Financials'!H10</f>
        <v>3.6146421416863958E-2</v>
      </c>
      <c r="I61" s="87">
        <f>I60/'Historical Financials'!I10</f>
        <v>3.774938602058555E-2</v>
      </c>
    </row>
    <row r="63" spans="2:9" x14ac:dyDescent="0.2">
      <c r="B63" s="3" t="s">
        <v>368</v>
      </c>
      <c r="F63" s="78">
        <f>F60/-'Historical Financials'!F15</f>
        <v>0.73689260503049836</v>
      </c>
      <c r="G63" s="78">
        <f>G60/-'Historical Financials'!G15</f>
        <v>0.91120607787274444</v>
      </c>
      <c r="H63" s="78">
        <f>H60/-'Historical Financials'!H15</f>
        <v>1.0411974540113309</v>
      </c>
      <c r="I63" s="78">
        <f>I60/-'Historical Financials'!I15</f>
        <v>1.0346001134429947</v>
      </c>
    </row>
    <row r="65" spans="2:11" x14ac:dyDescent="0.2">
      <c r="B65" s="69" t="s">
        <v>369</v>
      </c>
      <c r="C65" s="70"/>
      <c r="D65" s="70"/>
      <c r="E65" s="70"/>
      <c r="F65" s="70"/>
      <c r="G65" s="70"/>
      <c r="H65" s="70"/>
      <c r="I65" s="70"/>
      <c r="J65" s="70"/>
      <c r="K65" s="71"/>
    </row>
    <row r="68" spans="2:11" x14ac:dyDescent="0.2">
      <c r="B68" s="72" t="s">
        <v>370</v>
      </c>
    </row>
    <row r="69" spans="2:11" x14ac:dyDescent="0.2">
      <c r="F69" s="73" t="s">
        <v>1</v>
      </c>
      <c r="G69" s="73" t="s">
        <v>2</v>
      </c>
      <c r="H69" s="73" t="s">
        <v>3</v>
      </c>
      <c r="I69" s="73" t="s">
        <v>318</v>
      </c>
      <c r="K69" s="3" t="s">
        <v>334</v>
      </c>
    </row>
    <row r="70" spans="2:11" x14ac:dyDescent="0.2">
      <c r="B70" s="3" t="s">
        <v>371</v>
      </c>
      <c r="F70" s="88">
        <f>'Historical Financials'!F45/'Historical Financials'!F61</f>
        <v>0.7281947995561775</v>
      </c>
      <c r="G70" s="88">
        <f>'Historical Financials'!G45/'Historical Financials'!G61</f>
        <v>1.0240531793929852</v>
      </c>
      <c r="H70" s="88">
        <f>'Historical Financials'!H45/'Historical Financials'!H61</f>
        <v>1.09568649033202</v>
      </c>
      <c r="I70" s="88">
        <f>'Historical Financials'!I45/'Historical Financials'!I61</f>
        <v>1.1255465974309922</v>
      </c>
      <c r="K70" s="173"/>
    </row>
    <row r="71" spans="2:11" x14ac:dyDescent="0.2">
      <c r="B71" s="3" t="s">
        <v>372</v>
      </c>
      <c r="F71" s="88">
        <f>('Historical Financials'!F45-'Historical Financials'!F43)/'Historical Financials'!F61</f>
        <v>0.53722441989483349</v>
      </c>
      <c r="G71" s="88">
        <f>('Historical Financials'!G45-'Historical Financials'!G43)/'Historical Financials'!G61</f>
        <v>0.72671214904224612</v>
      </c>
      <c r="H71" s="88">
        <f>('Historical Financials'!H45-'Historical Financials'!H43)/'Historical Financials'!H61</f>
        <v>0.79484821842050513</v>
      </c>
      <c r="I71" s="88">
        <f>('Historical Financials'!I45-'Historical Financials'!I43)/'Historical Financials'!I61</f>
        <v>0.80919650177644165</v>
      </c>
      <c r="K71" s="173"/>
    </row>
    <row r="74" spans="2:11" x14ac:dyDescent="0.2">
      <c r="B74" s="72" t="s">
        <v>373</v>
      </c>
    </row>
    <row r="75" spans="2:11" x14ac:dyDescent="0.2">
      <c r="F75" s="73" t="s">
        <v>1</v>
      </c>
      <c r="G75" s="73" t="s">
        <v>2</v>
      </c>
      <c r="H75" s="73" t="s">
        <v>3</v>
      </c>
      <c r="I75" s="73" t="s">
        <v>318</v>
      </c>
    </row>
    <row r="76" spans="2:11" x14ac:dyDescent="0.2">
      <c r="B76" s="1" t="s">
        <v>374</v>
      </c>
      <c r="F76" s="64">
        <f>'Historical Financials'!F58+'Historical Financials'!F63</f>
        <v>6300.4</v>
      </c>
      <c r="G76" s="64">
        <f>'Historical Financials'!G58+'Historical Financials'!G63</f>
        <v>5650.9000000000005</v>
      </c>
      <c r="H76" s="64">
        <f>'Historical Financials'!H58+'Historical Financials'!H63</f>
        <v>8692.2000000000007</v>
      </c>
      <c r="I76" s="64">
        <f>'Historical Financials'!I58+'Historical Financials'!I63</f>
        <v>8495</v>
      </c>
    </row>
    <row r="77" spans="2:11" x14ac:dyDescent="0.2">
      <c r="B77" s="1" t="s">
        <v>375</v>
      </c>
      <c r="F77" s="64">
        <f>'Historical Financials'!F76</f>
        <v>23585.699999999997</v>
      </c>
      <c r="G77" s="64">
        <f>'Historical Financials'!G76</f>
        <v>27178.500000000004</v>
      </c>
      <c r="H77" s="64">
        <f>'Historical Financials'!H76</f>
        <v>29074.3</v>
      </c>
      <c r="I77" s="64">
        <f>'Historical Financials'!I76</f>
        <v>33133.300000000003</v>
      </c>
    </row>
    <row r="79" spans="2:11" x14ac:dyDescent="0.2">
      <c r="B79" s="3" t="s">
        <v>376</v>
      </c>
      <c r="F79" s="89">
        <f>F76/F77</f>
        <v>0.26712796313020182</v>
      </c>
      <c r="G79" s="89">
        <f>G76/G77</f>
        <v>0.20791802343764371</v>
      </c>
      <c r="H79" s="89">
        <f>H76/H77</f>
        <v>0.29896506536700801</v>
      </c>
      <c r="I79" s="89">
        <f>I76/I77</f>
        <v>0.25638858791608438</v>
      </c>
    </row>
    <row r="80" spans="2:11" x14ac:dyDescent="0.2">
      <c r="B80" s="3" t="s">
        <v>377</v>
      </c>
      <c r="F80" s="90">
        <f>'Historical Financials'!F17/(-'Historical Financials'!F20)</f>
        <v>161.93684210526308</v>
      </c>
      <c r="G80" s="90">
        <f>'Historical Financials'!G17/(-'Historical Financials'!G20)</f>
        <v>100.02840909090905</v>
      </c>
      <c r="H80" s="90">
        <f>'Historical Financials'!H17/(-'Historical Financials'!H20)</f>
        <v>35.565505072783424</v>
      </c>
      <c r="I80" s="90">
        <f>'Historical Financials'!I17/(-'Historical Financials'!I20)</f>
        <v>23.264059989287645</v>
      </c>
    </row>
    <row r="82" spans="2:9" x14ac:dyDescent="0.2">
      <c r="B82" s="72" t="s">
        <v>378</v>
      </c>
    </row>
    <row r="83" spans="2:9" x14ac:dyDescent="0.2">
      <c r="F83" s="73" t="s">
        <v>1</v>
      </c>
      <c r="G83" s="73" t="s">
        <v>2</v>
      </c>
      <c r="H83" s="73" t="s">
        <v>3</v>
      </c>
      <c r="I83" s="73" t="s">
        <v>318</v>
      </c>
    </row>
    <row r="84" spans="2:9" x14ac:dyDescent="0.2">
      <c r="B84" s="3" t="s">
        <v>379</v>
      </c>
      <c r="F84" s="64">
        <f>'Historical Financials'!F76</f>
        <v>23585.699999999997</v>
      </c>
      <c r="G84" s="64">
        <f>'Historical Financials'!G76</f>
        <v>27178.500000000004</v>
      </c>
      <c r="H84" s="64">
        <f>'Historical Financials'!H76</f>
        <v>29074.3</v>
      </c>
      <c r="I84" s="64">
        <f>'Historical Financials'!I76</f>
        <v>33133.300000000003</v>
      </c>
    </row>
    <row r="85" spans="2:9" x14ac:dyDescent="0.2">
      <c r="B85" s="3"/>
      <c r="F85" s="64"/>
      <c r="G85" s="64"/>
      <c r="H85" s="64"/>
      <c r="I85" s="64"/>
    </row>
    <row r="86" spans="2:9" x14ac:dyDescent="0.2">
      <c r="B86" s="3" t="s">
        <v>380</v>
      </c>
      <c r="F86" s="77"/>
      <c r="G86" s="77">
        <f>(G84-F84)/F84</f>
        <v>0.1523295895394246</v>
      </c>
      <c r="H86" s="77">
        <f>(H84-G84)/G84</f>
        <v>6.9753665581249721E-2</v>
      </c>
      <c r="I86" s="77">
        <f>(I84-H84)/H84</f>
        <v>0.13960783234678062</v>
      </c>
    </row>
    <row r="89" spans="2:9" x14ac:dyDescent="0.2">
      <c r="B89" s="72" t="s">
        <v>381</v>
      </c>
    </row>
    <row r="90" spans="2:9" x14ac:dyDescent="0.2">
      <c r="F90" s="73" t="s">
        <v>1</v>
      </c>
      <c r="G90" s="73" t="s">
        <v>2</v>
      </c>
      <c r="H90" s="73" t="s">
        <v>3</v>
      </c>
      <c r="I90" s="73" t="s">
        <v>318</v>
      </c>
    </row>
    <row r="91" spans="2:9" x14ac:dyDescent="0.2">
      <c r="B91" s="3"/>
    </row>
    <row r="92" spans="2:9" x14ac:dyDescent="0.2">
      <c r="B92" s="3" t="s">
        <v>382</v>
      </c>
      <c r="F92" s="77">
        <f>'Historical Financials'!F30/'Historical Financials'!F76</f>
        <v>0.19492743484399433</v>
      </c>
      <c r="G92" s="77">
        <f>'Historical Financials'!G30/'Historical Financials'!G76</f>
        <v>0.20996743749655045</v>
      </c>
      <c r="H92" s="77">
        <f>'Historical Financials'!H30/'Historical Financials'!H76</f>
        <v>0.21269643637164101</v>
      </c>
      <c r="I92" s="77">
        <f>'Historical Financials'!I30/'Historical Financials'!I76</f>
        <v>0.1934217237643098</v>
      </c>
    </row>
    <row r="93" spans="2:9" x14ac:dyDescent="0.2">
      <c r="B93" s="84" t="s">
        <v>383</v>
      </c>
      <c r="F93" s="77"/>
      <c r="G93" s="77"/>
      <c r="H93" s="77"/>
      <c r="I93" s="77"/>
    </row>
    <row r="94" spans="2:9" x14ac:dyDescent="0.2">
      <c r="F94" s="77"/>
      <c r="G94" s="77"/>
      <c r="H94" s="77"/>
      <c r="I94" s="77"/>
    </row>
    <row r="95" spans="2:9" x14ac:dyDescent="0.2">
      <c r="B95" s="3" t="s">
        <v>384</v>
      </c>
      <c r="F95" s="77">
        <f>'Historical Financials'!F30/'Historical Financials'!F54</f>
        <v>0.10688529621001819</v>
      </c>
      <c r="G95" s="77">
        <f>'Historical Financials'!G30/AVERAGE('Historical Financials'!F54,'Historical Financials'!G54)</f>
        <v>0.12701429817845117</v>
      </c>
      <c r="H95" s="77">
        <f>'Historical Financials'!H30/AVERAGE('Historical Financials'!G54,'Historical Financials'!H54)</f>
        <v>0.12530990594664809</v>
      </c>
      <c r="I95" s="77">
        <f>'Historical Financials'!I30/AVERAGE('Historical Financials'!H54,'Historical Financials'!I54)</f>
        <v>0.11845095348332166</v>
      </c>
    </row>
    <row r="96" spans="2:9" x14ac:dyDescent="0.2">
      <c r="B96" s="84" t="s">
        <v>385</v>
      </c>
      <c r="F96" s="77"/>
      <c r="G96" s="77"/>
      <c r="H96" s="77"/>
      <c r="I96" s="77"/>
    </row>
    <row r="98" spans="2:9" x14ac:dyDescent="0.2">
      <c r="B98" s="3" t="s">
        <v>386</v>
      </c>
    </row>
    <row r="99" spans="2:9" x14ac:dyDescent="0.2">
      <c r="B99" s="3" t="s">
        <v>387</v>
      </c>
      <c r="F99" s="64">
        <f>'Historical Financials'!F17</f>
        <v>6153.5999999999967</v>
      </c>
      <c r="G99" s="64">
        <f>'Historical Financials'!G17</f>
        <v>7041.9999999999973</v>
      </c>
      <c r="H99" s="64">
        <f>'Historical Financials'!H17</f>
        <v>8062.7000000000016</v>
      </c>
      <c r="I99" s="64">
        <f>'Historical Financials'!I17</f>
        <v>8686.8000000000065</v>
      </c>
    </row>
    <row r="100" spans="2:9" x14ac:dyDescent="0.2">
      <c r="B100" s="3" t="s">
        <v>388</v>
      </c>
      <c r="F100" s="77">
        <f>1-(-'Historical Financials'!F25/'Historical Financials'!F23)</f>
        <v>0.76100077720635639</v>
      </c>
      <c r="G100" s="77">
        <f>1-(-'Historical Financials'!G25/'Historical Financials'!G23)</f>
        <v>0.75042703597613847</v>
      </c>
      <c r="H100" s="77">
        <f>1-(-'Historical Financials'!H25/'Historical Financials'!H23)</f>
        <v>0.7736907886514186</v>
      </c>
      <c r="I100" s="91">
        <f>1-(-'Historical Financials'!I25/'Historical Financials'!I23)</f>
        <v>0.76104305754841173</v>
      </c>
    </row>
    <row r="101" spans="2:9" x14ac:dyDescent="0.2">
      <c r="B101" s="3" t="s">
        <v>389</v>
      </c>
      <c r="F101" s="64">
        <f>F99*F100</f>
        <v>4682.8943826170325</v>
      </c>
      <c r="G101" s="64">
        <f>G99*G100</f>
        <v>5284.5071873439647</v>
      </c>
      <c r="H101" s="64">
        <f>H99*H100</f>
        <v>6238.0367216597942</v>
      </c>
      <c r="I101" s="64">
        <f>I99*I100</f>
        <v>6611.0288323115483</v>
      </c>
    </row>
    <row r="103" spans="2:9" x14ac:dyDescent="0.2">
      <c r="B103" s="3" t="s">
        <v>390</v>
      </c>
    </row>
    <row r="104" spans="2:9" x14ac:dyDescent="0.2">
      <c r="B104" s="3" t="s">
        <v>391</v>
      </c>
      <c r="F104" s="64">
        <f>'Historical Financials'!F76</f>
        <v>23585.699999999997</v>
      </c>
      <c r="G104" s="64">
        <f>'Historical Financials'!G76</f>
        <v>27178.500000000004</v>
      </c>
      <c r="H104" s="64">
        <f>'Historical Financials'!H76</f>
        <v>29074.3</v>
      </c>
      <c r="I104" s="64">
        <f>'Historical Financials'!I76</f>
        <v>33133.300000000003</v>
      </c>
    </row>
    <row r="105" spans="2:9" x14ac:dyDescent="0.2">
      <c r="B105" s="3" t="s">
        <v>392</v>
      </c>
      <c r="F105" s="64">
        <f>F76</f>
        <v>6300.4</v>
      </c>
      <c r="G105" s="64">
        <f>G76</f>
        <v>5650.9000000000005</v>
      </c>
      <c r="H105" s="64">
        <f>H76</f>
        <v>8692.2000000000007</v>
      </c>
      <c r="I105" s="64">
        <f>I76</f>
        <v>8495</v>
      </c>
    </row>
    <row r="106" spans="2:9" x14ac:dyDescent="0.2">
      <c r="B106" s="3" t="s">
        <v>393</v>
      </c>
      <c r="F106" s="64">
        <f>-('Historical Financials'!F40-0.02*'Historical Financials'!F10)</f>
        <v>-2068.0480000000002</v>
      </c>
      <c r="G106" s="64">
        <f>-('Historical Financials'!G40-0.02*'Historical Financials'!G10)</f>
        <v>-1852.4879999999998</v>
      </c>
      <c r="H106" s="64">
        <f>-('Historical Financials'!H40-0.02*'Historical Financials'!H10)</f>
        <v>-3464.4500000000003</v>
      </c>
      <c r="I106" s="64">
        <f>-('Historical Financials'!I40-0.02*'Historical Financials'!I10)</f>
        <v>-3182.5640000000003</v>
      </c>
    </row>
    <row r="107" spans="2:9" x14ac:dyDescent="0.2">
      <c r="B107" s="3" t="s">
        <v>394</v>
      </c>
      <c r="F107" s="64">
        <f>SUM(F104:F106)</f>
        <v>27818.052</v>
      </c>
      <c r="G107" s="64">
        <f>SUM(G104:G106)</f>
        <v>30976.912</v>
      </c>
      <c r="H107" s="64">
        <f>SUM(H104:H106)</f>
        <v>34302.050000000003</v>
      </c>
      <c r="I107" s="64">
        <f>SUM(I104:I106)</f>
        <v>38445.736000000004</v>
      </c>
    </row>
    <row r="109" spans="2:9" x14ac:dyDescent="0.2">
      <c r="B109" s="84" t="s">
        <v>395</v>
      </c>
      <c r="F109" s="77">
        <f>F101/F107</f>
        <v>0.168340126138848</v>
      </c>
      <c r="G109" s="77">
        <f>G101/G107</f>
        <v>0.17059502856010841</v>
      </c>
      <c r="H109" s="77">
        <f>H101/H107</f>
        <v>0.1818560908651172</v>
      </c>
      <c r="I109" s="77">
        <f>I101/I107</f>
        <v>0.17195740074560018</v>
      </c>
    </row>
  </sheetData>
  <mergeCells count="2">
    <mergeCell ref="K7:K8"/>
    <mergeCell ref="K70:K71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negative="1" xr2:uid="{96EA594F-EF73-144A-8A71-ADB4C8BA779C}">
          <x14:colorSeries theme="9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Analysis'!F28:I28</xm:f>
              <xm:sqref>K28</xm:sqref>
            </x14:sparkline>
          </x14:sparklines>
        </x14:sparklineGroup>
        <x14:sparklineGroup displayEmptyCellsAs="gap" markers="1" negative="1" xr2:uid="{86334290-3626-B547-A7BD-FF445A23D791}">
          <x14:colorSeries theme="9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Analysis'!F27:I27</xm:f>
              <xm:sqref>K27</xm:sqref>
            </x14:sparkline>
          </x14:sparklines>
        </x14:sparklineGroup>
        <x14:sparklineGroup displayEmptyCellsAs="gap" markers="1" negative="1" xr2:uid="{7815B990-BC59-5E43-8E0B-236FAD2E1AEE}">
          <x14:colorSeries theme="9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Analysis'!F26:I26</xm:f>
              <xm:sqref>K26</xm:sqref>
            </x14:sparkline>
          </x14:sparklines>
        </x14:sparklineGroup>
        <x14:sparklineGroup type="column" displayEmptyCellsAs="gap" xr2:uid="{EFC2F31E-DF85-9D4B-9E68-DBA7A913EB2B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'Historical Analysis'!F19:I19</xm:f>
              <xm:sqref>K19</xm:sqref>
            </x14:sparkline>
          </x14:sparklines>
        </x14:sparklineGroup>
        <x14:sparklineGroup displayEmptyCellsAs="gap" markers="1" xr2:uid="{E14AF7D8-CFFD-B14D-8FD8-773E85E922BC}">
          <x14:colorSeries rgb="FFFF0000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Analysis'!F21:I21</xm:f>
              <xm:sqref>K21</xm:sqref>
            </x14:sparkline>
          </x14:sparklines>
        </x14:sparklineGroup>
        <x14:sparklineGroup type="column" displayEmptyCellsAs="gap" xr2:uid="{8BCAA370-4E75-7E41-A866-D4B675622F86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'Historical Analysis'!F20:I20</xm:f>
              <xm:sqref>K20</xm:sqref>
            </x14:sparkline>
          </x14:sparklines>
        </x14:sparklineGroup>
        <x14:sparklineGroup displayEmptyCellsAs="gap" markers="1" xr2:uid="{6FE20D15-6BC0-2B44-AC92-388AC69FA673}">
          <x14:colorSeries theme="9" tint="-0.249977111117893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Analysis'!F14:I14</xm:f>
              <xm:sqref>K14</xm:sqref>
            </x14:sparkline>
          </x14:sparklines>
        </x14:sparklineGroup>
        <x14:sparklineGroup displayEmptyCellsAs="gap" xr2:uid="{5D9FBD0F-08F9-F846-881A-1F1BEFACBCA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'Historical Analysis'!F14:F14</xm:f>
              <xm:sqref>F14</xm:sqref>
            </x14:sparkline>
            <x14:sparkline>
              <xm:f>'Historical Analysis'!G14:G14</xm:f>
              <xm:sqref>G14</xm:sqref>
            </x14:sparkline>
            <x14:sparkline>
              <xm:f>'Historical Analysis'!H14:H14</xm:f>
              <xm:sqref>H14</xm:sqref>
            </x14:sparkline>
            <x14:sparkline>
              <xm:f>'Historical Analysis'!I14:I14</xm:f>
              <xm:sqref>I14</xm:sqref>
            </x14:sparkline>
          </x14:sparklines>
        </x14:sparklineGroup>
        <x14:sparklineGroup displayEmptyCellsAs="gap" markers="1" first="1" last="1" xr2:uid="{C25FA8B9-C958-424A-B436-95CA0C2E193C}">
          <x14:colorSeries rgb="FFFF000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'Historical Analysis'!F8:I8</xm:f>
              <xm:sqref>K7</xm:sqref>
            </x14:sparkline>
          </x14:sparklines>
        </x14:sparklineGroup>
        <x14:sparklineGroup displayEmptyCellsAs="gap" markers="1" xr2:uid="{7CFEB411-3620-B44E-9429-5B19702F9810}">
          <x14:colorSeries theme="5" tint="0.39997558519241921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Analysis'!F63:I63</xm:f>
              <xm:sqref>K63</xm:sqref>
            </x14:sparkline>
          </x14:sparklines>
        </x14:sparklineGroup>
        <x14:sparklineGroup displayEmptyCellsAs="gap" markers="1" xr2:uid="{9D6673C7-FDDE-6C4E-B6AD-15375154C0D1}">
          <x14:colorSeries theme="5" tint="0.39997558519241921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Analysis'!F61:I61</xm:f>
              <xm:sqref>K61</xm:sqref>
            </x14:sparkline>
          </x14:sparklines>
        </x14:sparklineGroup>
        <x14:sparklineGroup type="column" displayEmptyCellsAs="gap" xr2:uid="{143A5F44-8A77-104C-8BBC-EBB022FADAA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'Historical Analysis'!F55:I55</xm:f>
              <xm:sqref>K55</xm:sqref>
            </x14:sparkline>
          </x14:sparklines>
        </x14:sparklineGroup>
        <x14:sparklineGroup type="column" displayEmptyCellsAs="gap" xr2:uid="{DF8F2D1B-FE01-024E-B85C-6ED5E216079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'Historical Analysis'!F49:I49</xm:f>
              <xm:sqref>K49</xm:sqref>
            </x14:sparkline>
          </x14:sparklines>
        </x14:sparklineGroup>
        <x14:sparklineGroup displayEmptyCellsAs="gap" markers="1" xr2:uid="{104EDEC1-3E50-B94F-88B4-079DA7EE7559}">
          <x14:colorSeries theme="9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Analysis'!F38:I38</xm:f>
              <xm:sqref>K38</xm:sqref>
            </x14:sparkline>
          </x14:sparklines>
        </x14:sparklineGroup>
        <x14:sparklineGroup displayEmptyCellsAs="gap" markers="1" xr2:uid="{EA8A38B7-4D9C-9345-BB08-BA17425AFA8C}">
          <x14:colorSeries theme="9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Analysis'!F37:I37</xm:f>
              <xm:sqref>K37</xm:sqref>
            </x14:sparkline>
          </x14:sparklines>
        </x14:sparklineGroup>
        <x14:sparklineGroup displayEmptyCellsAs="gap" markers="1" negative="1" xr2:uid="{CA731791-A48D-1349-9196-0979C87046F4}">
          <x14:colorSeries theme="9" tint="-0.249977111117893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Analysis'!F109:I109</xm:f>
              <xm:sqref>K109</xm:sqref>
            </x14:sparkline>
          </x14:sparklines>
        </x14:sparklineGroup>
        <x14:sparklineGroup displayEmptyCellsAs="gap" markers="1" negative="1" xr2:uid="{A70F52AA-B3CB-C14F-BBB2-14B11E362A70}">
          <x14:colorSeries theme="9" tint="0.39997558519241921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Analysis'!F96:I96</xm:f>
              <xm:sqref>K96</xm:sqref>
            </x14:sparkline>
          </x14:sparklines>
        </x14:sparklineGroup>
        <x14:sparklineGroup displayEmptyCellsAs="gap" markers="1" negative="1" xr2:uid="{13441348-BC09-4B4F-AA3D-C97B436DC9C9}">
          <x14:colorSeries theme="9" tint="0.39997558519241921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Analysis'!F93:I93</xm:f>
              <xm:sqref>K93</xm:sqref>
            </x14:sparkline>
          </x14:sparklines>
        </x14:sparklineGroup>
        <x14:sparklineGroup displayEmptyCellsAs="gap" markers="1" xr2:uid="{DE8469C0-AED2-BF4E-8773-5B1CA301AF5F}">
          <x14:colorSeries theme="5" tint="0.39997558519241921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Analysis'!F70:I70</xm:f>
              <xm:sqref>K70</xm:sqref>
            </x14:sparkline>
          </x14:sparklines>
        </x14:sparklineGroup>
        <x14:sparklineGroup displayEmptyCellsAs="gap" markers="1" xr2:uid="{BAC6AAB8-7C06-1447-8983-3D87E9BA6914}">
          <x14:colorSeries rgb="FFFF0000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Analysis'!F86:I86</xm:f>
              <xm:sqref>K86</xm:sqref>
            </x14:sparkline>
          </x14:sparklines>
        </x14:sparklineGroup>
        <x14:sparklineGroup displayEmptyCellsAs="gap" markers="1" xr2:uid="{E01AE595-D60A-1E4C-84EE-5C271EF820CF}">
          <x14:colorSeries theme="9" tint="-0.249977111117893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Analysis'!F92:I92</xm:f>
              <xm:sqref>K92</xm:sqref>
            </x14:sparkline>
          </x14:sparklines>
        </x14:sparklineGroup>
        <x14:sparklineGroup displayEmptyCellsAs="gap" markers="1" xr2:uid="{06CB8019-4BBE-D340-8A05-36A8386516DF}">
          <x14:colorSeries theme="9" tint="-0.249977111117893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Analysis'!F95:I95</xm:f>
              <xm:sqref>K95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2425A-B539-294B-9A37-3B8977317A64}">
  <sheetPr>
    <tabColor rgb="FF2E75B6"/>
  </sheetPr>
  <dimension ref="B2:K89"/>
  <sheetViews>
    <sheetView topLeftCell="A20" zoomScale="150" workbookViewId="0">
      <selection activeCell="G42" sqref="G42"/>
    </sheetView>
  </sheetViews>
  <sheetFormatPr baseColWidth="10" defaultRowHeight="16" x14ac:dyDescent="0.2"/>
  <cols>
    <col min="1" max="1" width="2.5" style="1" customWidth="1"/>
    <col min="2" max="2" width="30.83203125" style="1" customWidth="1"/>
    <col min="3" max="3" width="4.5" style="1" customWidth="1"/>
    <col min="4" max="4" width="4.6640625" style="1" customWidth="1"/>
    <col min="5" max="5" width="1.6640625" style="1" customWidth="1"/>
    <col min="6" max="10" width="14.1640625" style="1" customWidth="1"/>
    <col min="11" max="16384" width="10.83203125" style="1"/>
  </cols>
  <sheetData>
    <row r="2" spans="2:11" ht="28" customHeight="1" x14ac:dyDescent="0.25">
      <c r="B2" s="8" t="s">
        <v>397</v>
      </c>
      <c r="C2" s="92"/>
      <c r="D2" s="92"/>
      <c r="E2" s="92"/>
      <c r="F2" s="92"/>
      <c r="G2" s="92"/>
      <c r="H2" s="92"/>
      <c r="I2" s="92"/>
      <c r="J2" s="92"/>
      <c r="K2" s="92"/>
    </row>
    <row r="3" spans="2:11" x14ac:dyDescent="0.2">
      <c r="B3" s="93" t="s">
        <v>398</v>
      </c>
      <c r="C3" s="94"/>
      <c r="D3" s="94"/>
      <c r="E3" s="94"/>
      <c r="F3" s="94"/>
      <c r="G3" s="94"/>
      <c r="H3" s="94"/>
      <c r="I3" s="94"/>
      <c r="J3" s="94"/>
      <c r="K3" s="94"/>
    </row>
    <row r="5" spans="2:11" x14ac:dyDescent="0.2">
      <c r="B5" s="95" t="s">
        <v>399</v>
      </c>
    </row>
    <row r="6" spans="2:11" ht="19" x14ac:dyDescent="0.25">
      <c r="B6" s="3" t="s">
        <v>400</v>
      </c>
      <c r="C6" s="96" t="s">
        <v>401</v>
      </c>
    </row>
    <row r="7" spans="2:11" x14ac:dyDescent="0.2">
      <c r="B7" s="97" t="s">
        <v>402</v>
      </c>
      <c r="C7" s="98">
        <f>IF(C6="Bull",1,IF(C6="Base",2,3))</f>
        <v>2</v>
      </c>
      <c r="D7" s="99" t="s">
        <v>403</v>
      </c>
    </row>
    <row r="9" spans="2:11" x14ac:dyDescent="0.2">
      <c r="B9" s="15" t="s">
        <v>404</v>
      </c>
      <c r="C9" s="92"/>
      <c r="D9" s="92"/>
      <c r="E9" s="92"/>
      <c r="F9" s="14" t="s">
        <v>405</v>
      </c>
      <c r="G9" s="14" t="s">
        <v>406</v>
      </c>
      <c r="H9" s="14" t="s">
        <v>407</v>
      </c>
      <c r="I9" s="14" t="s">
        <v>408</v>
      </c>
      <c r="J9" s="14" t="s">
        <v>409</v>
      </c>
      <c r="K9" s="14"/>
    </row>
    <row r="10" spans="2:11" x14ac:dyDescent="0.2">
      <c r="B10" s="100" t="s">
        <v>410</v>
      </c>
    </row>
    <row r="11" spans="2:11" x14ac:dyDescent="0.2">
      <c r="B11" s="101" t="s">
        <v>411</v>
      </c>
      <c r="F11" s="102">
        <f>'Supporting Schedules'!C9</f>
        <v>5.8124568834680979E-2</v>
      </c>
      <c r="G11" s="102">
        <f>'Supporting Schedules'!D9</f>
        <v>6.2092430461764714E-2</v>
      </c>
      <c r="H11" s="102">
        <f>'Supporting Schedules'!E9</f>
        <v>6.0472722449278926E-2</v>
      </c>
      <c r="I11" s="102">
        <f>'Supporting Schedules'!F9</f>
        <v>5.7392568762107743E-2</v>
      </c>
      <c r="J11" s="102">
        <f>'Supporting Schedules'!G9</f>
        <v>5.480949224868481E-2</v>
      </c>
    </row>
    <row r="12" spans="2:11" x14ac:dyDescent="0.2">
      <c r="B12" s="101" t="s">
        <v>412</v>
      </c>
      <c r="F12" s="102">
        <f>AVERAGE('Historical Analysis'!H14:I14)</f>
        <v>0.77519147896610441</v>
      </c>
      <c r="G12" s="102">
        <f>F12</f>
        <v>0.77519147896610441</v>
      </c>
      <c r="H12" s="102">
        <f t="shared" ref="H12:J12" si="0">G12</f>
        <v>0.77519147896610441</v>
      </c>
      <c r="I12" s="102">
        <f t="shared" si="0"/>
        <v>0.77519147896610441</v>
      </c>
      <c r="J12" s="102">
        <f t="shared" si="0"/>
        <v>0.77519147896610441</v>
      </c>
    </row>
    <row r="14" spans="2:11" x14ac:dyDescent="0.2">
      <c r="B14" s="100" t="s">
        <v>413</v>
      </c>
    </row>
    <row r="15" spans="2:11" x14ac:dyDescent="0.2">
      <c r="B15" s="101" t="s">
        <v>414</v>
      </c>
      <c r="F15" s="102">
        <f>AVERAGE('Historical Analysis'!H19:I19)</f>
        <v>0.5418214465913278</v>
      </c>
      <c r="G15" s="102">
        <f>F15</f>
        <v>0.5418214465913278</v>
      </c>
      <c r="H15" s="102">
        <f t="shared" ref="H15:J15" si="1">G15</f>
        <v>0.5418214465913278</v>
      </c>
      <c r="I15" s="102">
        <f t="shared" si="1"/>
        <v>0.5418214465913278</v>
      </c>
      <c r="J15" s="102">
        <f t="shared" si="1"/>
        <v>0.5418214465913278</v>
      </c>
    </row>
    <row r="16" spans="2:11" x14ac:dyDescent="0.2">
      <c r="B16" s="101"/>
      <c r="F16" s="102"/>
      <c r="G16" s="102"/>
      <c r="H16" s="102"/>
      <c r="I16" s="102"/>
      <c r="J16" s="102"/>
    </row>
    <row r="17" spans="2:10" x14ac:dyDescent="0.2">
      <c r="B17" s="100" t="s">
        <v>11</v>
      </c>
      <c r="F17" s="102"/>
      <c r="G17" s="102"/>
      <c r="H17" s="102"/>
      <c r="I17" s="102"/>
      <c r="J17" s="102"/>
    </row>
    <row r="18" spans="2:10" x14ac:dyDescent="0.2">
      <c r="B18" s="101" t="s">
        <v>470</v>
      </c>
      <c r="F18" s="102">
        <f>'Supporting Schedules'!G64</f>
        <v>4.3955267804590935E-2</v>
      </c>
      <c r="G18" s="102">
        <f>F18</f>
        <v>4.3955267804590935E-2</v>
      </c>
      <c r="H18" s="102">
        <f t="shared" ref="H18:J18" si="2">G18</f>
        <v>4.3955267804590935E-2</v>
      </c>
      <c r="I18" s="102">
        <f t="shared" si="2"/>
        <v>4.3955267804590935E-2</v>
      </c>
      <c r="J18" s="102">
        <f t="shared" si="2"/>
        <v>4.3955267804590935E-2</v>
      </c>
    </row>
    <row r="19" spans="2:10" x14ac:dyDescent="0.2">
      <c r="B19" s="101"/>
      <c r="F19" s="102"/>
      <c r="G19" s="102"/>
      <c r="H19" s="102"/>
      <c r="I19" s="102"/>
      <c r="J19" s="102"/>
    </row>
    <row r="20" spans="2:10" x14ac:dyDescent="0.2">
      <c r="B20" s="100" t="s">
        <v>415</v>
      </c>
    </row>
    <row r="21" spans="2:10" x14ac:dyDescent="0.2">
      <c r="B21" s="101" t="s">
        <v>416</v>
      </c>
      <c r="F21" s="103">
        <f>'Supporting Schedules'!G146</f>
        <v>0.22238808654520617</v>
      </c>
      <c r="G21" s="103">
        <f>F21</f>
        <v>0.22238808654520617</v>
      </c>
      <c r="H21" s="103">
        <f t="shared" ref="H21:J21" si="3">G21</f>
        <v>0.22238808654520617</v>
      </c>
      <c r="I21" s="103">
        <f t="shared" si="3"/>
        <v>0.22238808654520617</v>
      </c>
      <c r="J21" s="103">
        <f t="shared" si="3"/>
        <v>0.22238808654520617</v>
      </c>
    </row>
    <row r="23" spans="2:10" x14ac:dyDescent="0.2">
      <c r="B23" s="100" t="s">
        <v>417</v>
      </c>
    </row>
    <row r="24" spans="2:10" x14ac:dyDescent="0.2">
      <c r="B24" s="101" t="s">
        <v>418</v>
      </c>
      <c r="F24" s="102">
        <f>'Supporting Schedules'!G75</f>
        <v>0.23895694245158822</v>
      </c>
      <c r="G24" s="102">
        <f>F24</f>
        <v>0.23895694245158822</v>
      </c>
      <c r="H24" s="102">
        <f t="shared" ref="H24:J24" si="4">G24</f>
        <v>0.23895694245158822</v>
      </c>
      <c r="I24" s="102">
        <f t="shared" si="4"/>
        <v>0.23895694245158822</v>
      </c>
      <c r="J24" s="102">
        <f t="shared" si="4"/>
        <v>0.23895694245158822</v>
      </c>
    </row>
    <row r="26" spans="2:10" x14ac:dyDescent="0.2">
      <c r="B26" s="100" t="s">
        <v>419</v>
      </c>
    </row>
    <row r="27" spans="2:10" x14ac:dyDescent="0.2">
      <c r="B27" s="101" t="s">
        <v>493</v>
      </c>
      <c r="F27" s="104">
        <f>'Supporting Schedules'!G122</f>
        <v>2.0748824930783592E-2</v>
      </c>
      <c r="G27" s="104">
        <f t="shared" ref="G27:G35" si="5">F27</f>
        <v>2.0748824930783592E-2</v>
      </c>
      <c r="H27" s="104">
        <f t="shared" ref="H27:J27" si="6">G27</f>
        <v>2.0748824930783592E-2</v>
      </c>
      <c r="I27" s="104">
        <f t="shared" si="6"/>
        <v>2.0748824930783592E-2</v>
      </c>
      <c r="J27" s="104">
        <f t="shared" si="6"/>
        <v>2.0748824930783592E-2</v>
      </c>
    </row>
    <row r="28" spans="2:10" x14ac:dyDescent="0.2">
      <c r="B28" s="101" t="s">
        <v>420</v>
      </c>
      <c r="F28" s="104">
        <f>'Supporting Schedules'!G119</f>
        <v>2.9595187505173981E-2</v>
      </c>
      <c r="G28" s="104">
        <f t="shared" si="5"/>
        <v>2.9595187505173981E-2</v>
      </c>
      <c r="H28" s="104">
        <f t="shared" ref="H28:J28" si="7">G28</f>
        <v>2.9595187505173981E-2</v>
      </c>
      <c r="I28" s="104">
        <f t="shared" si="7"/>
        <v>2.9595187505173981E-2</v>
      </c>
      <c r="J28" s="104">
        <f t="shared" si="7"/>
        <v>2.9595187505173981E-2</v>
      </c>
    </row>
    <row r="29" spans="2:10" x14ac:dyDescent="0.2">
      <c r="B29" s="101" t="s">
        <v>421</v>
      </c>
      <c r="F29" s="104">
        <f>AVERAGE('Supporting Schedules'!F80:G80)</f>
        <v>0.12572360393284857</v>
      </c>
      <c r="G29" s="104">
        <f t="shared" si="5"/>
        <v>0.12572360393284857</v>
      </c>
      <c r="H29" s="104">
        <f t="shared" ref="H29:J29" si="8">G29</f>
        <v>0.12572360393284857</v>
      </c>
      <c r="I29" s="104">
        <f t="shared" si="8"/>
        <v>0.12572360393284857</v>
      </c>
      <c r="J29" s="104">
        <f t="shared" si="8"/>
        <v>0.12572360393284857</v>
      </c>
    </row>
    <row r="30" spans="2:10" x14ac:dyDescent="0.2">
      <c r="B30" s="101" t="s">
        <v>422</v>
      </c>
      <c r="F30" s="104">
        <f>'Supporting Schedules'!G127</f>
        <v>0.13895021017872089</v>
      </c>
      <c r="G30" s="104">
        <f t="shared" si="5"/>
        <v>0.13895021017872089</v>
      </c>
      <c r="H30" s="104">
        <f t="shared" ref="H30:J30" si="9">G30</f>
        <v>0.13895021017872089</v>
      </c>
      <c r="I30" s="104">
        <f t="shared" si="9"/>
        <v>0.13895021017872089</v>
      </c>
      <c r="J30" s="104">
        <f t="shared" si="9"/>
        <v>0.13895021017872089</v>
      </c>
    </row>
    <row r="31" spans="2:10" x14ac:dyDescent="0.2">
      <c r="B31" s="101" t="s">
        <v>423</v>
      </c>
      <c r="F31" s="104">
        <f>'Supporting Schedules'!D156</f>
        <v>3.6947903718724751E-2</v>
      </c>
      <c r="G31" s="104">
        <f t="shared" si="5"/>
        <v>3.6947903718724751E-2</v>
      </c>
      <c r="H31" s="104">
        <f t="shared" ref="H31:J31" si="10">G31</f>
        <v>3.6947903718724751E-2</v>
      </c>
      <c r="I31" s="104">
        <f t="shared" si="10"/>
        <v>3.6947903718724751E-2</v>
      </c>
      <c r="J31" s="104">
        <f t="shared" si="10"/>
        <v>3.6947903718724751E-2</v>
      </c>
    </row>
    <row r="32" spans="2:10" x14ac:dyDescent="0.2">
      <c r="B32" s="101" t="s">
        <v>515</v>
      </c>
      <c r="F32" s="104">
        <f>'Supporting Schedules'!G177</f>
        <v>2.2381504272560866E-2</v>
      </c>
      <c r="G32" s="104">
        <f t="shared" si="5"/>
        <v>2.2381504272560866E-2</v>
      </c>
      <c r="H32" s="104">
        <f t="shared" ref="H32:J32" si="11">G32</f>
        <v>2.2381504272560866E-2</v>
      </c>
      <c r="I32" s="104">
        <f t="shared" si="11"/>
        <v>2.2381504272560866E-2</v>
      </c>
      <c r="J32" s="104">
        <f t="shared" si="11"/>
        <v>2.2381504272560866E-2</v>
      </c>
    </row>
    <row r="33" spans="2:10" x14ac:dyDescent="0.2">
      <c r="B33" s="101" t="s">
        <v>516</v>
      </c>
      <c r="F33" s="104">
        <f>'Supporting Schedules'!G184</f>
        <v>1.0842370558422324E-2</v>
      </c>
      <c r="G33" s="104">
        <f t="shared" si="5"/>
        <v>1.0842370558422324E-2</v>
      </c>
      <c r="H33" s="104">
        <f t="shared" ref="H33:J33" si="12">G33</f>
        <v>1.0842370558422324E-2</v>
      </c>
      <c r="I33" s="104">
        <f t="shared" si="12"/>
        <v>1.0842370558422324E-2</v>
      </c>
      <c r="J33" s="104">
        <f t="shared" si="12"/>
        <v>1.0842370558422324E-2</v>
      </c>
    </row>
    <row r="34" spans="2:10" x14ac:dyDescent="0.2">
      <c r="B34" s="101" t="s">
        <v>522</v>
      </c>
      <c r="F34" s="104">
        <f>'Supporting Schedules'!G191</f>
        <v>2.2179144016115232E-2</v>
      </c>
      <c r="G34" s="104">
        <f t="shared" si="5"/>
        <v>2.2179144016115232E-2</v>
      </c>
      <c r="H34" s="104">
        <f t="shared" ref="H34:J35" si="13">G34</f>
        <v>2.2179144016115232E-2</v>
      </c>
      <c r="I34" s="104">
        <f t="shared" si="13"/>
        <v>2.2179144016115232E-2</v>
      </c>
      <c r="J34" s="104">
        <f t="shared" si="13"/>
        <v>2.2179144016115232E-2</v>
      </c>
    </row>
    <row r="35" spans="2:10" x14ac:dyDescent="0.2">
      <c r="B35" s="101" t="s">
        <v>525</v>
      </c>
      <c r="F35" s="104">
        <f>'Supporting Schedules'!G198</f>
        <v>5.1578869909949688E-3</v>
      </c>
      <c r="G35" s="104">
        <f t="shared" si="5"/>
        <v>5.1578869909949688E-3</v>
      </c>
      <c r="H35" s="104">
        <f t="shared" si="13"/>
        <v>5.1578869909949688E-3</v>
      </c>
      <c r="I35" s="104">
        <f t="shared" si="13"/>
        <v>5.1578869909949688E-3</v>
      </c>
      <c r="J35" s="104">
        <f t="shared" si="13"/>
        <v>5.1578869909949688E-3</v>
      </c>
    </row>
    <row r="36" spans="2:10" x14ac:dyDescent="0.2">
      <c r="B36" s="101"/>
      <c r="F36" s="104"/>
      <c r="G36" s="104"/>
      <c r="H36" s="104"/>
      <c r="I36" s="104"/>
      <c r="J36" s="104"/>
    </row>
    <row r="37" spans="2:10" x14ac:dyDescent="0.2">
      <c r="B37" s="100" t="s">
        <v>424</v>
      </c>
      <c r="F37" s="104"/>
      <c r="G37" s="104"/>
      <c r="H37" s="104"/>
      <c r="I37" s="104"/>
      <c r="J37" s="104"/>
    </row>
    <row r="38" spans="2:10" x14ac:dyDescent="0.2">
      <c r="B38" s="101" t="s">
        <v>425</v>
      </c>
      <c r="F38" s="104">
        <f>'Supporting Schedules'!D211</f>
        <v>0.55900351016611016</v>
      </c>
      <c r="G38" s="104">
        <f>F38</f>
        <v>0.55900351016611016</v>
      </c>
      <c r="H38" s="104">
        <f t="shared" ref="H38:J38" si="14">G38</f>
        <v>0.55900351016611016</v>
      </c>
      <c r="I38" s="104">
        <f t="shared" si="14"/>
        <v>0.55900351016611016</v>
      </c>
      <c r="J38" s="104">
        <f t="shared" si="14"/>
        <v>0.55900351016611016</v>
      </c>
    </row>
    <row r="39" spans="2:10" x14ac:dyDescent="0.2">
      <c r="B39" s="101" t="s">
        <v>426</v>
      </c>
      <c r="F39" s="104"/>
      <c r="G39" s="104"/>
      <c r="H39" s="104"/>
      <c r="I39" s="104"/>
      <c r="J39" s="104"/>
    </row>
    <row r="40" spans="2:10" x14ac:dyDescent="0.2">
      <c r="B40" s="101"/>
      <c r="F40" s="104"/>
      <c r="G40" s="104"/>
      <c r="H40" s="104"/>
      <c r="I40" s="104"/>
      <c r="J40" s="104"/>
    </row>
    <row r="41" spans="2:10" x14ac:dyDescent="0.2">
      <c r="B41" s="100" t="s">
        <v>427</v>
      </c>
    </row>
    <row r="42" spans="2:10" x14ac:dyDescent="0.2">
      <c r="B42" s="101" t="s">
        <v>428</v>
      </c>
      <c r="F42" s="102"/>
      <c r="G42" s="102"/>
      <c r="H42" s="102"/>
      <c r="I42" s="102"/>
      <c r="J42" s="102"/>
    </row>
    <row r="43" spans="2:10" x14ac:dyDescent="0.2">
      <c r="B43" s="101"/>
      <c r="F43" s="105"/>
      <c r="G43" s="105"/>
      <c r="H43" s="105"/>
      <c r="I43" s="105"/>
      <c r="J43" s="105"/>
    </row>
    <row r="46" spans="2:10" ht="28" customHeight="1" x14ac:dyDescent="0.25">
      <c r="B46" s="106"/>
    </row>
    <row r="48" spans="2:10" x14ac:dyDescent="0.2">
      <c r="B48" s="107"/>
    </row>
    <row r="49" spans="2:10" x14ac:dyDescent="0.2">
      <c r="F49" s="108"/>
      <c r="G49" s="108"/>
      <c r="H49" s="108"/>
      <c r="I49" s="108"/>
      <c r="J49" s="108"/>
    </row>
    <row r="50" spans="2:10" x14ac:dyDescent="0.2">
      <c r="B50" s="101"/>
      <c r="F50" s="109"/>
      <c r="G50" s="109"/>
      <c r="H50" s="109"/>
      <c r="I50" s="109"/>
      <c r="J50" s="109"/>
    </row>
    <row r="51" spans="2:10" x14ac:dyDescent="0.2">
      <c r="B51" s="101"/>
      <c r="F51" s="109"/>
      <c r="G51" s="109"/>
      <c r="H51" s="109"/>
      <c r="I51" s="109"/>
      <c r="J51" s="109"/>
    </row>
    <row r="52" spans="2:10" x14ac:dyDescent="0.2">
      <c r="B52" s="101"/>
      <c r="F52" s="109"/>
      <c r="G52" s="109"/>
      <c r="H52" s="109"/>
      <c r="I52" s="109"/>
      <c r="J52" s="109"/>
    </row>
    <row r="53" spans="2:10" x14ac:dyDescent="0.2">
      <c r="B53" s="101"/>
      <c r="F53" s="109"/>
      <c r="G53" s="109"/>
      <c r="H53" s="109"/>
      <c r="I53" s="109"/>
      <c r="J53" s="109"/>
    </row>
    <row r="54" spans="2:10" x14ac:dyDescent="0.2">
      <c r="B54" s="101"/>
      <c r="F54" s="109"/>
      <c r="G54" s="109"/>
      <c r="H54" s="109"/>
      <c r="I54" s="109"/>
      <c r="J54" s="109"/>
    </row>
    <row r="55" spans="2:10" x14ac:dyDescent="0.2">
      <c r="B55" s="101"/>
      <c r="F55" s="109"/>
      <c r="G55" s="109"/>
      <c r="H55" s="109"/>
      <c r="I55" s="109"/>
      <c r="J55" s="109"/>
    </row>
    <row r="56" spans="2:10" x14ac:dyDescent="0.2">
      <c r="B56" s="101"/>
      <c r="F56" s="109"/>
      <c r="G56" s="109"/>
      <c r="H56" s="109"/>
      <c r="I56" s="109"/>
      <c r="J56" s="109"/>
    </row>
    <row r="57" spans="2:10" x14ac:dyDescent="0.2">
      <c r="B57" s="101"/>
      <c r="F57" s="110"/>
      <c r="G57" s="110"/>
      <c r="H57" s="110"/>
      <c r="I57" s="110"/>
      <c r="J57" s="110"/>
    </row>
    <row r="58" spans="2:10" x14ac:dyDescent="0.2">
      <c r="B58" s="101"/>
      <c r="F58" s="110"/>
      <c r="G58" s="110"/>
      <c r="H58" s="110"/>
      <c r="I58" s="110"/>
      <c r="J58" s="110"/>
    </row>
    <row r="59" spans="2:10" x14ac:dyDescent="0.2">
      <c r="B59" s="101"/>
      <c r="F59" s="109"/>
      <c r="G59" s="109"/>
      <c r="H59" s="109"/>
      <c r="I59" s="109"/>
      <c r="J59" s="109"/>
    </row>
    <row r="60" spans="2:10" x14ac:dyDescent="0.2">
      <c r="B60" s="101"/>
      <c r="F60" s="109"/>
      <c r="G60" s="109"/>
      <c r="H60" s="109"/>
      <c r="I60" s="109"/>
      <c r="J60" s="109"/>
    </row>
    <row r="61" spans="2:10" x14ac:dyDescent="0.2">
      <c r="B61" s="101"/>
      <c r="F61" s="111"/>
      <c r="G61" s="111"/>
      <c r="H61" s="111"/>
      <c r="I61" s="111"/>
      <c r="J61" s="111"/>
    </row>
    <row r="62" spans="2:10" x14ac:dyDescent="0.2">
      <c r="B62" s="107"/>
    </row>
    <row r="63" spans="2:10" x14ac:dyDescent="0.2">
      <c r="F63" s="108"/>
      <c r="G63" s="108"/>
      <c r="H63" s="108"/>
      <c r="I63" s="108"/>
      <c r="J63" s="108"/>
    </row>
    <row r="64" spans="2:10" x14ac:dyDescent="0.2">
      <c r="B64" s="101"/>
      <c r="F64" s="109"/>
      <c r="G64" s="109"/>
      <c r="H64" s="109"/>
      <c r="I64" s="109"/>
      <c r="J64" s="109"/>
    </row>
    <row r="65" spans="2:10" x14ac:dyDescent="0.2">
      <c r="B65" s="101"/>
      <c r="F65" s="109"/>
      <c r="G65" s="109"/>
      <c r="H65" s="109"/>
      <c r="I65" s="109"/>
      <c r="J65" s="109"/>
    </row>
    <row r="66" spans="2:10" x14ac:dyDescent="0.2">
      <c r="B66" s="101"/>
      <c r="F66" s="109"/>
      <c r="G66" s="109"/>
      <c r="H66" s="109"/>
      <c r="I66" s="109"/>
      <c r="J66" s="109"/>
    </row>
    <row r="67" spans="2:10" x14ac:dyDescent="0.2">
      <c r="B67" s="101"/>
      <c r="F67" s="109"/>
      <c r="G67" s="109"/>
      <c r="H67" s="109"/>
      <c r="I67" s="109"/>
      <c r="J67" s="109"/>
    </row>
    <row r="68" spans="2:10" x14ac:dyDescent="0.2">
      <c r="B68" s="101"/>
      <c r="F68" s="109"/>
      <c r="G68" s="109"/>
      <c r="H68" s="109"/>
      <c r="I68" s="109"/>
      <c r="J68" s="109"/>
    </row>
    <row r="69" spans="2:10" x14ac:dyDescent="0.2">
      <c r="B69" s="101"/>
      <c r="F69" s="109"/>
      <c r="G69" s="109"/>
      <c r="H69" s="109"/>
      <c r="I69" s="109"/>
      <c r="J69" s="109"/>
    </row>
    <row r="70" spans="2:10" x14ac:dyDescent="0.2">
      <c r="B70" s="101"/>
      <c r="F70" s="109"/>
      <c r="G70" s="109"/>
      <c r="H70" s="109"/>
      <c r="I70" s="109"/>
      <c r="J70" s="109"/>
    </row>
    <row r="71" spans="2:10" x14ac:dyDescent="0.2">
      <c r="B71" s="101"/>
      <c r="F71" s="110"/>
      <c r="G71" s="110"/>
      <c r="H71" s="110"/>
      <c r="I71" s="110"/>
      <c r="J71" s="110"/>
    </row>
    <row r="72" spans="2:10" x14ac:dyDescent="0.2">
      <c r="B72" s="101"/>
      <c r="F72" s="110"/>
      <c r="G72" s="110"/>
      <c r="H72" s="110"/>
      <c r="I72" s="110"/>
      <c r="J72" s="110"/>
    </row>
    <row r="73" spans="2:10" x14ac:dyDescent="0.2">
      <c r="B73" s="101"/>
      <c r="F73" s="109"/>
      <c r="G73" s="109"/>
      <c r="H73" s="109"/>
      <c r="I73" s="109"/>
      <c r="J73" s="109"/>
    </row>
    <row r="74" spans="2:10" x14ac:dyDescent="0.2">
      <c r="B74" s="101"/>
      <c r="F74" s="109"/>
      <c r="G74" s="109"/>
      <c r="H74" s="109"/>
      <c r="I74" s="109"/>
      <c r="J74" s="109"/>
    </row>
    <row r="75" spans="2:10" x14ac:dyDescent="0.2">
      <c r="B75" s="101"/>
      <c r="F75" s="111"/>
      <c r="G75" s="111"/>
      <c r="H75" s="111"/>
      <c r="I75" s="111"/>
      <c r="J75" s="111"/>
    </row>
    <row r="76" spans="2:10" x14ac:dyDescent="0.2">
      <c r="B76" s="107"/>
    </row>
    <row r="77" spans="2:10" x14ac:dyDescent="0.2">
      <c r="F77" s="108"/>
      <c r="G77" s="108"/>
      <c r="H77" s="108"/>
      <c r="I77" s="108"/>
      <c r="J77" s="108"/>
    </row>
    <row r="78" spans="2:10" x14ac:dyDescent="0.2">
      <c r="B78" s="101"/>
      <c r="F78" s="109"/>
      <c r="G78" s="109"/>
      <c r="H78" s="109"/>
      <c r="I78" s="109"/>
      <c r="J78" s="109"/>
    </row>
    <row r="79" spans="2:10" x14ac:dyDescent="0.2">
      <c r="B79" s="101"/>
      <c r="F79" s="109"/>
      <c r="G79" s="109"/>
      <c r="H79" s="109"/>
      <c r="I79" s="109"/>
      <c r="J79" s="109"/>
    </row>
    <row r="80" spans="2:10" x14ac:dyDescent="0.2">
      <c r="B80" s="101"/>
      <c r="F80" s="109"/>
      <c r="G80" s="109"/>
      <c r="H80" s="109"/>
      <c r="I80" s="109"/>
      <c r="J80" s="109"/>
    </row>
    <row r="81" spans="2:10" x14ac:dyDescent="0.2">
      <c r="B81" s="101"/>
      <c r="F81" s="109"/>
      <c r="G81" s="109"/>
      <c r="H81" s="109"/>
      <c r="I81" s="109"/>
      <c r="J81" s="109"/>
    </row>
    <row r="82" spans="2:10" x14ac:dyDescent="0.2">
      <c r="B82" s="101"/>
      <c r="F82" s="109"/>
      <c r="G82" s="109"/>
      <c r="H82" s="109"/>
      <c r="I82" s="109"/>
      <c r="J82" s="109"/>
    </row>
    <row r="83" spans="2:10" x14ac:dyDescent="0.2">
      <c r="B83" s="101"/>
      <c r="F83" s="109"/>
      <c r="G83" s="109"/>
      <c r="H83" s="109"/>
      <c r="I83" s="109"/>
      <c r="J83" s="109"/>
    </row>
    <row r="84" spans="2:10" x14ac:dyDescent="0.2">
      <c r="B84" s="101"/>
      <c r="F84" s="109"/>
      <c r="G84" s="109"/>
      <c r="H84" s="109"/>
      <c r="I84" s="109"/>
      <c r="J84" s="109"/>
    </row>
    <row r="85" spans="2:10" x14ac:dyDescent="0.2">
      <c r="B85" s="101"/>
      <c r="F85" s="110"/>
      <c r="G85" s="110"/>
      <c r="H85" s="110"/>
      <c r="I85" s="110"/>
      <c r="J85" s="110"/>
    </row>
    <row r="86" spans="2:10" x14ac:dyDescent="0.2">
      <c r="B86" s="101"/>
      <c r="F86" s="110"/>
      <c r="G86" s="110"/>
      <c r="H86" s="110"/>
      <c r="I86" s="110"/>
      <c r="J86" s="110"/>
    </row>
    <row r="87" spans="2:10" x14ac:dyDescent="0.2">
      <c r="B87" s="101"/>
      <c r="F87" s="109"/>
      <c r="G87" s="109"/>
      <c r="H87" s="109"/>
      <c r="I87" s="109"/>
      <c r="J87" s="109"/>
    </row>
    <row r="88" spans="2:10" x14ac:dyDescent="0.2">
      <c r="B88" s="101"/>
      <c r="F88" s="109"/>
      <c r="G88" s="109"/>
      <c r="H88" s="109"/>
      <c r="I88" s="109"/>
      <c r="J88" s="109"/>
    </row>
    <row r="89" spans="2:10" x14ac:dyDescent="0.2">
      <c r="B89" s="101"/>
      <c r="F89" s="111"/>
      <c r="G89" s="111"/>
      <c r="H89" s="111"/>
      <c r="I89" s="111"/>
      <c r="J89" s="111"/>
    </row>
  </sheetData>
  <dataValidations count="1">
    <dataValidation type="list" allowBlank="1" showInputMessage="1" showErrorMessage="1" promptTitle="Scenario Selection" prompt="Select Bull, Base, or Bear case" sqref="C6" xr:uid="{126FF444-E03B-6C41-959A-FAF9B619B2FB}">
      <formula1>"Bull,Base,Bear"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A8AC-005F-A74D-9206-047F8758E1BE}">
  <sheetPr>
    <tabColor rgb="FF2E75B6"/>
  </sheetPr>
  <dimension ref="A2:O259"/>
  <sheetViews>
    <sheetView zoomScale="139" workbookViewId="0">
      <selection activeCell="K240" sqref="K240"/>
    </sheetView>
  </sheetViews>
  <sheetFormatPr baseColWidth="10" defaultRowHeight="16" x14ac:dyDescent="0.2"/>
  <cols>
    <col min="1" max="1" width="3.33203125" style="1" customWidth="1"/>
    <col min="2" max="16384" width="10.83203125" style="1"/>
  </cols>
  <sheetData>
    <row r="2" spans="1:14" ht="19" x14ac:dyDescent="0.25">
      <c r="A2" s="121"/>
      <c r="B2" s="8" t="s">
        <v>441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</row>
    <row r="3" spans="1:14" x14ac:dyDescent="0.2">
      <c r="A3" s="121"/>
      <c r="B3" s="93" t="s">
        <v>443</v>
      </c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</row>
    <row r="4" spans="1:14" x14ac:dyDescent="0.2">
      <c r="A4" s="121"/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</row>
    <row r="5" spans="1:14" x14ac:dyDescent="0.2">
      <c r="A5" s="121"/>
      <c r="B5" s="122" t="s">
        <v>444</v>
      </c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</row>
    <row r="7" spans="1:14" x14ac:dyDescent="0.2">
      <c r="B7" s="123" t="s">
        <v>442</v>
      </c>
      <c r="C7" s="29"/>
      <c r="D7" s="29"/>
      <c r="E7" s="29"/>
      <c r="F7" s="29"/>
      <c r="G7" s="29"/>
    </row>
    <row r="8" spans="1:14" x14ac:dyDescent="0.2">
      <c r="B8" s="124"/>
      <c r="C8" s="125" t="s">
        <v>405</v>
      </c>
      <c r="D8" s="125" t="s">
        <v>406</v>
      </c>
      <c r="E8" s="125" t="s">
        <v>407</v>
      </c>
      <c r="F8" s="125" t="s">
        <v>408</v>
      </c>
      <c r="G8" s="125" t="s">
        <v>409</v>
      </c>
    </row>
    <row r="9" spans="1:14" x14ac:dyDescent="0.2">
      <c r="C9" s="126">
        <f>J54</f>
        <v>5.8124568834680979E-2</v>
      </c>
      <c r="D9" s="126">
        <f t="shared" ref="D9:G9" si="0">K54</f>
        <v>6.2092430461764714E-2</v>
      </c>
      <c r="E9" s="126">
        <f t="shared" si="0"/>
        <v>6.0472722449278926E-2</v>
      </c>
      <c r="F9" s="126">
        <f t="shared" si="0"/>
        <v>5.7392568762107743E-2</v>
      </c>
      <c r="G9" s="126">
        <f t="shared" si="0"/>
        <v>5.480949224868481E-2</v>
      </c>
    </row>
    <row r="12" spans="1:14" x14ac:dyDescent="0.2">
      <c r="B12" s="123" t="s">
        <v>445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</row>
    <row r="13" spans="1:14" x14ac:dyDescent="0.2">
      <c r="B13" s="127" t="s">
        <v>446</v>
      </c>
    </row>
    <row r="14" spans="1:14" x14ac:dyDescent="0.2">
      <c r="B14" s="127" t="s">
        <v>447</v>
      </c>
      <c r="D14" s="73"/>
      <c r="E14" s="73" t="s">
        <v>1</v>
      </c>
      <c r="F14" s="73" t="s">
        <v>2</v>
      </c>
      <c r="G14" s="73" t="s">
        <v>3</v>
      </c>
      <c r="H14" s="73" t="s">
        <v>318</v>
      </c>
    </row>
    <row r="16" spans="1:14" x14ac:dyDescent="0.2">
      <c r="B16" s="3" t="s">
        <v>448</v>
      </c>
      <c r="D16" s="64"/>
      <c r="E16" s="64">
        <v>12233.5</v>
      </c>
      <c r="F16" s="64">
        <v>14021.3</v>
      </c>
      <c r="G16" s="64">
        <v>15172.7</v>
      </c>
      <c r="H16" s="64">
        <v>15982.4</v>
      </c>
    </row>
    <row r="17" spans="2:14" x14ac:dyDescent="0.2">
      <c r="B17" s="128" t="s">
        <v>449</v>
      </c>
      <c r="D17" s="64"/>
      <c r="E17" s="64"/>
      <c r="F17" s="130">
        <f>(F16/E16)-1</f>
        <v>0.14613969836923202</v>
      </c>
      <c r="G17" s="130">
        <f t="shared" ref="G17:H17" si="1">(G16/F16)-1</f>
        <v>8.2117920592241989E-2</v>
      </c>
      <c r="H17" s="130">
        <f t="shared" si="1"/>
        <v>5.3365584240115504E-2</v>
      </c>
    </row>
    <row r="18" spans="2:14" x14ac:dyDescent="0.2">
      <c r="B18" s="3"/>
      <c r="D18" s="64"/>
      <c r="E18" s="64"/>
      <c r="F18" s="64"/>
      <c r="G18" s="64"/>
      <c r="H18" s="64"/>
    </row>
    <row r="19" spans="2:14" x14ac:dyDescent="0.2">
      <c r="B19" s="3" t="s">
        <v>450</v>
      </c>
      <c r="D19" s="64"/>
      <c r="E19" s="64">
        <v>12346.2</v>
      </c>
      <c r="F19" s="64">
        <v>14638.1</v>
      </c>
      <c r="G19" s="64">
        <v>14924</v>
      </c>
      <c r="H19" s="64">
        <v>15591.1</v>
      </c>
    </row>
    <row r="20" spans="2:14" x14ac:dyDescent="0.2">
      <c r="B20" s="129" t="s">
        <v>449</v>
      </c>
      <c r="E20" s="64"/>
      <c r="F20" s="130">
        <f>(F19/E19)-1</f>
        <v>0.1856360661580081</v>
      </c>
      <c r="G20" s="130">
        <f t="shared" ref="G20:H20" si="2">(G19/F19)-1</f>
        <v>1.9531223314501078E-2</v>
      </c>
      <c r="H20" s="130">
        <f t="shared" si="2"/>
        <v>4.4699812382739346E-2</v>
      </c>
    </row>
    <row r="21" spans="2:14" x14ac:dyDescent="0.2">
      <c r="E21" s="64"/>
      <c r="F21" s="64"/>
      <c r="G21" s="64"/>
      <c r="H21" s="64"/>
    </row>
    <row r="22" spans="2:14" x14ac:dyDescent="0.2">
      <c r="B22" s="3" t="s">
        <v>451</v>
      </c>
      <c r="E22" s="64">
        <v>3924</v>
      </c>
      <c r="F22" s="64">
        <v>5124.5</v>
      </c>
      <c r="G22" s="64">
        <v>6432</v>
      </c>
      <c r="H22" s="64">
        <v>7027.1</v>
      </c>
    </row>
    <row r="23" spans="2:14" x14ac:dyDescent="0.2">
      <c r="B23" s="129" t="s">
        <v>449</v>
      </c>
      <c r="E23" s="64"/>
      <c r="F23" s="130">
        <f>(F22/E22)-1</f>
        <v>0.30593781855249746</v>
      </c>
      <c r="G23" s="130">
        <f t="shared" ref="G23:H23" si="3">(G22/F22)-1</f>
        <v>0.25514684359449702</v>
      </c>
      <c r="H23" s="130">
        <f t="shared" si="3"/>
        <v>9.2521766169154196E-2</v>
      </c>
    </row>
    <row r="24" spans="2:14" x14ac:dyDescent="0.2">
      <c r="E24" s="64"/>
      <c r="F24" s="64"/>
      <c r="G24" s="64"/>
      <c r="H24" s="64"/>
    </row>
    <row r="25" spans="2:14" x14ac:dyDescent="0.2">
      <c r="B25" s="3" t="s">
        <v>452</v>
      </c>
      <c r="E25" s="64">
        <v>3783.9</v>
      </c>
      <c r="F25" s="64">
        <v>4476.8</v>
      </c>
      <c r="G25" s="64">
        <v>4653.8999999999996</v>
      </c>
      <c r="H25" s="64">
        <v>4886.2</v>
      </c>
    </row>
    <row r="26" spans="2:14" x14ac:dyDescent="0.2">
      <c r="B26" s="129" t="s">
        <v>449</v>
      </c>
      <c r="E26" s="64"/>
      <c r="F26" s="130">
        <f>(F25/E25)-1</f>
        <v>0.1831179470916251</v>
      </c>
      <c r="G26" s="130">
        <f t="shared" ref="G26:H26" si="4">(G25/F25)-1</f>
        <v>3.9559506790564525E-2</v>
      </c>
      <c r="H26" s="130">
        <f t="shared" si="4"/>
        <v>4.9915124948967549E-2</v>
      </c>
    </row>
    <row r="29" spans="2:14" x14ac:dyDescent="0.2">
      <c r="B29" s="3" t="s">
        <v>453</v>
      </c>
      <c r="E29" s="64">
        <f>E16+E19+E22+E25</f>
        <v>32287.600000000002</v>
      </c>
      <c r="F29" s="64">
        <f t="shared" ref="F29:H29" si="5">F16+F19+F22+F25</f>
        <v>38260.700000000004</v>
      </c>
      <c r="G29" s="64">
        <f t="shared" si="5"/>
        <v>41182.6</v>
      </c>
      <c r="H29" s="64">
        <f t="shared" si="5"/>
        <v>43486.799999999996</v>
      </c>
    </row>
    <row r="32" spans="2:14" x14ac:dyDescent="0.2">
      <c r="B32" s="131" t="s">
        <v>461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spans="2:15" x14ac:dyDescent="0.2">
      <c r="B33" s="132" t="s">
        <v>454</v>
      </c>
    </row>
    <row r="34" spans="2:15" x14ac:dyDescent="0.2">
      <c r="B34" s="133" t="s">
        <v>455</v>
      </c>
    </row>
    <row r="35" spans="2:15" x14ac:dyDescent="0.2">
      <c r="B35" s="5"/>
    </row>
    <row r="36" spans="2:15" x14ac:dyDescent="0.2">
      <c r="B36" s="5"/>
      <c r="E36" s="125" t="s">
        <v>405</v>
      </c>
      <c r="F36" s="125" t="s">
        <v>406</v>
      </c>
      <c r="G36" s="125" t="s">
        <v>407</v>
      </c>
      <c r="H36" s="125" t="s">
        <v>408</v>
      </c>
      <c r="I36" s="125" t="s">
        <v>409</v>
      </c>
      <c r="J36" s="134"/>
      <c r="K36" s="136" t="s">
        <v>456</v>
      </c>
      <c r="L36" s="134"/>
      <c r="M36" s="134"/>
      <c r="N36" s="134"/>
    </row>
    <row r="37" spans="2:15" x14ac:dyDescent="0.2">
      <c r="B37" s="3" t="s">
        <v>448</v>
      </c>
      <c r="E37" s="140">
        <v>5.5E-2</v>
      </c>
      <c r="F37" s="140">
        <f>E37</f>
        <v>5.5E-2</v>
      </c>
      <c r="G37" s="140">
        <f>F37-0.5%</f>
        <v>0.05</v>
      </c>
      <c r="H37" s="140">
        <f>G37</f>
        <v>0.05</v>
      </c>
      <c r="I37" s="140">
        <f>H37</f>
        <v>0.05</v>
      </c>
      <c r="J37" s="135"/>
      <c r="K37" s="137" t="s">
        <v>457</v>
      </c>
      <c r="L37" s="134"/>
      <c r="M37" s="134"/>
      <c r="N37" s="134"/>
    </row>
    <row r="38" spans="2:15" x14ac:dyDescent="0.2">
      <c r="B38" s="3" t="s">
        <v>450</v>
      </c>
      <c r="E38" s="140">
        <v>4.4999999999999998E-2</v>
      </c>
      <c r="F38" s="140">
        <v>0.06</v>
      </c>
      <c r="G38" s="140">
        <f>F38+0.5%</f>
        <v>6.5000000000000002E-2</v>
      </c>
      <c r="H38" s="140">
        <f>F38</f>
        <v>0.06</v>
      </c>
      <c r="I38" s="140">
        <f>H38-0.5%</f>
        <v>5.5E-2</v>
      </c>
      <c r="J38" s="134"/>
      <c r="K38" s="137" t="s">
        <v>458</v>
      </c>
      <c r="L38" s="134"/>
      <c r="M38" s="134"/>
      <c r="N38" s="134"/>
    </row>
    <row r="39" spans="2:15" x14ac:dyDescent="0.2">
      <c r="B39" s="3" t="s">
        <v>451</v>
      </c>
      <c r="E39" s="140">
        <v>0.1</v>
      </c>
      <c r="F39" s="140">
        <v>0.09</v>
      </c>
      <c r="G39" s="140">
        <v>0.08</v>
      </c>
      <c r="H39" s="140">
        <v>7.4999999999999997E-2</v>
      </c>
      <c r="I39" s="140">
        <v>7.0000000000000007E-2</v>
      </c>
      <c r="J39" s="134"/>
      <c r="K39" s="139" t="s">
        <v>459</v>
      </c>
      <c r="L39" s="134"/>
      <c r="M39" s="134"/>
      <c r="N39" s="134"/>
    </row>
    <row r="40" spans="2:15" x14ac:dyDescent="0.2">
      <c r="B40" s="3" t="s">
        <v>452</v>
      </c>
      <c r="E40" s="140">
        <v>0.05</v>
      </c>
      <c r="F40" s="140">
        <v>0.05</v>
      </c>
      <c r="G40" s="140">
        <v>0.05</v>
      </c>
      <c r="H40" s="140">
        <v>4.4999999999999998E-2</v>
      </c>
      <c r="I40" s="140">
        <v>4.4999999999999998E-2</v>
      </c>
      <c r="J40" s="134"/>
      <c r="K40" s="139" t="s">
        <v>460</v>
      </c>
      <c r="L40" s="134"/>
      <c r="M40" s="134"/>
      <c r="N40" s="134"/>
    </row>
    <row r="41" spans="2:15" x14ac:dyDescent="0.2">
      <c r="B41" s="5"/>
      <c r="J41" s="134"/>
      <c r="K41" s="134"/>
      <c r="L41" s="134"/>
      <c r="M41" s="134"/>
      <c r="N41" s="134"/>
    </row>
    <row r="42" spans="2:15" x14ac:dyDescent="0.2">
      <c r="B42" s="5"/>
      <c r="J42" s="134"/>
      <c r="K42" s="134"/>
      <c r="L42" s="134"/>
      <c r="M42" s="134"/>
      <c r="N42" s="134"/>
    </row>
    <row r="43" spans="2:15" x14ac:dyDescent="0.2">
      <c r="B43" s="131" t="s">
        <v>462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</row>
    <row r="45" spans="2:15" x14ac:dyDescent="0.2">
      <c r="B45" s="5" t="s">
        <v>463</v>
      </c>
      <c r="E45" s="141" t="s">
        <v>1</v>
      </c>
      <c r="F45" s="141" t="s">
        <v>2</v>
      </c>
      <c r="G45" s="141" t="s">
        <v>3</v>
      </c>
      <c r="H45" s="141" t="s">
        <v>318</v>
      </c>
      <c r="J45" s="142" t="s">
        <v>405</v>
      </c>
      <c r="K45" s="142" t="s">
        <v>406</v>
      </c>
      <c r="L45" s="142" t="s">
        <v>407</v>
      </c>
      <c r="M45" s="142" t="s">
        <v>408</v>
      </c>
      <c r="N45" s="142" t="s">
        <v>409</v>
      </c>
    </row>
    <row r="46" spans="2:15" x14ac:dyDescent="0.2">
      <c r="B46" s="5"/>
      <c r="E46" s="143"/>
      <c r="F46" s="143"/>
      <c r="G46" s="143"/>
      <c r="H46" s="143"/>
      <c r="I46" s="143"/>
      <c r="K46" s="143"/>
      <c r="L46" s="143"/>
      <c r="M46" s="143"/>
      <c r="N46" s="143"/>
      <c r="O46" s="143"/>
    </row>
    <row r="47" spans="2:15" x14ac:dyDescent="0.2">
      <c r="B47" s="3" t="s">
        <v>448</v>
      </c>
      <c r="E47" s="143">
        <f>E16</f>
        <v>12233.5</v>
      </c>
      <c r="F47" s="143">
        <f t="shared" ref="F47:H47" si="6">F16</f>
        <v>14021.3</v>
      </c>
      <c r="G47" s="143">
        <f t="shared" si="6"/>
        <v>15172.7</v>
      </c>
      <c r="H47" s="143">
        <f t="shared" si="6"/>
        <v>15982.4</v>
      </c>
      <c r="I47" s="143"/>
      <c r="J47" s="64">
        <f>H47*(1+E37)</f>
        <v>16861.431999999997</v>
      </c>
      <c r="K47" s="64">
        <f>J47*(1+F37)</f>
        <v>17788.810759999997</v>
      </c>
      <c r="L47" s="64">
        <f t="shared" ref="L47:N47" si="7">K47*(1+G37)</f>
        <v>18678.251297999996</v>
      </c>
      <c r="M47" s="64">
        <f t="shared" si="7"/>
        <v>19612.163862899997</v>
      </c>
      <c r="N47" s="64">
        <f t="shared" si="7"/>
        <v>20592.772056044996</v>
      </c>
      <c r="O47" s="143"/>
    </row>
    <row r="48" spans="2:15" x14ac:dyDescent="0.2">
      <c r="B48" s="3" t="s">
        <v>450</v>
      </c>
      <c r="E48" s="143">
        <f>E19</f>
        <v>12346.2</v>
      </c>
      <c r="F48" s="143">
        <f t="shared" ref="F48:H48" si="8">F19</f>
        <v>14638.1</v>
      </c>
      <c r="G48" s="143">
        <f t="shared" si="8"/>
        <v>14924</v>
      </c>
      <c r="H48" s="143">
        <f t="shared" si="8"/>
        <v>15591.1</v>
      </c>
      <c r="I48" s="143"/>
      <c r="J48" s="64">
        <f>H48*(1+E38)</f>
        <v>16292.699499999999</v>
      </c>
      <c r="K48" s="90">
        <f>J48*(1+F38)</f>
        <v>17270.261470000001</v>
      </c>
      <c r="L48" s="90">
        <f t="shared" ref="L48:N48" si="9">K48*(1+G38)</f>
        <v>18392.828465549999</v>
      </c>
      <c r="M48" s="90">
        <f t="shared" si="9"/>
        <v>19496.398173483001</v>
      </c>
      <c r="N48" s="90">
        <f t="shared" si="9"/>
        <v>20568.700073024564</v>
      </c>
      <c r="O48" s="143"/>
    </row>
    <row r="49" spans="2:15" x14ac:dyDescent="0.2">
      <c r="B49" s="3" t="s">
        <v>451</v>
      </c>
      <c r="E49" s="143">
        <f>E22</f>
        <v>3924</v>
      </c>
      <c r="F49" s="143">
        <f t="shared" ref="F49:H49" si="10">F22</f>
        <v>5124.5</v>
      </c>
      <c r="G49" s="143">
        <f t="shared" si="10"/>
        <v>6432</v>
      </c>
      <c r="H49" s="143">
        <f t="shared" si="10"/>
        <v>7027.1</v>
      </c>
      <c r="I49" s="143"/>
      <c r="J49" s="64">
        <f>H49*(1+E39)</f>
        <v>7729.8100000000013</v>
      </c>
      <c r="K49" s="90">
        <f>J49*(1+F39)</f>
        <v>8425.4929000000029</v>
      </c>
      <c r="L49" s="90">
        <f t="shared" ref="L49:N49" si="11">K49*(1+G39)</f>
        <v>9099.5323320000043</v>
      </c>
      <c r="M49" s="90">
        <f t="shared" si="11"/>
        <v>9781.9972569000038</v>
      </c>
      <c r="N49" s="90">
        <f t="shared" si="11"/>
        <v>10466.737064883004</v>
      </c>
      <c r="O49" s="143"/>
    </row>
    <row r="50" spans="2:15" x14ac:dyDescent="0.2">
      <c r="B50" s="3" t="s">
        <v>452</v>
      </c>
      <c r="E50" s="143">
        <f>E25</f>
        <v>3783.9</v>
      </c>
      <c r="F50" s="143">
        <f t="shared" ref="F50:H50" si="12">F25</f>
        <v>4476.8</v>
      </c>
      <c r="G50" s="143">
        <f t="shared" si="12"/>
        <v>4653.8999999999996</v>
      </c>
      <c r="H50" s="143">
        <f t="shared" si="12"/>
        <v>4886.2</v>
      </c>
      <c r="I50" s="143"/>
      <c r="J50" s="64">
        <f>H50*(1+E40)</f>
        <v>5130.51</v>
      </c>
      <c r="K50" s="90">
        <f>J50*(1+F40)</f>
        <v>5387.0355000000009</v>
      </c>
      <c r="L50" s="90">
        <f t="shared" ref="L50:N50" si="13">K50*(1+G40)</f>
        <v>5656.387275000001</v>
      </c>
      <c r="M50" s="90">
        <f t="shared" si="13"/>
        <v>5910.9247023750004</v>
      </c>
      <c r="N50" s="90">
        <f t="shared" si="13"/>
        <v>6176.9163139818747</v>
      </c>
      <c r="O50" s="143"/>
    </row>
    <row r="51" spans="2:15" x14ac:dyDescent="0.2">
      <c r="B51" s="5"/>
      <c r="E51" s="143"/>
      <c r="F51" s="143"/>
      <c r="G51" s="143"/>
      <c r="H51" s="143"/>
      <c r="I51" s="143"/>
      <c r="K51" s="143"/>
      <c r="L51" s="143"/>
      <c r="M51" s="143"/>
      <c r="N51" s="143"/>
      <c r="O51" s="143"/>
    </row>
    <row r="52" spans="2:15" x14ac:dyDescent="0.2">
      <c r="B52" s="144" t="s">
        <v>464</v>
      </c>
      <c r="C52" s="145"/>
      <c r="D52" s="145"/>
      <c r="E52" s="146"/>
      <c r="F52" s="146"/>
      <c r="G52" s="146"/>
      <c r="H52" s="146"/>
      <c r="I52" s="146"/>
      <c r="J52" s="148">
        <f>SUM(J47:J50)</f>
        <v>46014.451500000003</v>
      </c>
      <c r="K52" s="148">
        <f t="shared" ref="K52:N52" si="14">SUM(K47:K50)</f>
        <v>48871.600630000001</v>
      </c>
      <c r="L52" s="148">
        <f t="shared" si="14"/>
        <v>51826.999370549995</v>
      </c>
      <c r="M52" s="148">
        <f t="shared" si="14"/>
        <v>54801.483995657996</v>
      </c>
      <c r="N52" s="148">
        <f t="shared" si="14"/>
        <v>57805.125507934441</v>
      </c>
    </row>
    <row r="54" spans="2:15" x14ac:dyDescent="0.2">
      <c r="B54" s="5" t="s">
        <v>465</v>
      </c>
      <c r="J54" s="149">
        <f>(J52/H29)-1</f>
        <v>5.8124568834680979E-2</v>
      </c>
      <c r="K54" s="147">
        <f>(K52/J52)-1</f>
        <v>6.2092430461764714E-2</v>
      </c>
      <c r="L54" s="147">
        <f t="shared" ref="L54:N54" si="15">(L52/K52)-1</f>
        <v>6.0472722449278926E-2</v>
      </c>
      <c r="M54" s="147">
        <f t="shared" si="15"/>
        <v>5.7392568762107743E-2</v>
      </c>
      <c r="N54" s="147">
        <f t="shared" si="15"/>
        <v>5.480949224868481E-2</v>
      </c>
      <c r="O54" s="147"/>
    </row>
    <row r="57" spans="2:15" x14ac:dyDescent="0.2">
      <c r="B57" s="122" t="s">
        <v>466</v>
      </c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</row>
    <row r="59" spans="2:15" x14ac:dyDescent="0.2">
      <c r="B59" s="123" t="s">
        <v>467</v>
      </c>
      <c r="C59" s="29"/>
      <c r="D59" s="29"/>
      <c r="E59" s="29"/>
      <c r="F59" s="29"/>
      <c r="G59" s="29"/>
      <c r="H59" s="29"/>
      <c r="I59" s="29"/>
      <c r="J59" s="29"/>
    </row>
    <row r="61" spans="2:15" x14ac:dyDescent="0.2">
      <c r="D61" s="141" t="s">
        <v>1</v>
      </c>
      <c r="E61" s="141" t="s">
        <v>2</v>
      </c>
      <c r="F61" s="141" t="s">
        <v>3</v>
      </c>
      <c r="G61" s="141" t="s">
        <v>318</v>
      </c>
    </row>
    <row r="62" spans="2:15" x14ac:dyDescent="0.2">
      <c r="B62" s="1" t="s">
        <v>468</v>
      </c>
      <c r="D62" s="64">
        <f>'Historical Financials'!F58+'Historical Financials'!F63</f>
        <v>6300.4</v>
      </c>
      <c r="E62" s="64">
        <f>'Historical Financials'!G58+'Historical Financials'!G63</f>
        <v>5650.9000000000005</v>
      </c>
      <c r="F62" s="64">
        <f>'Historical Financials'!H58+'Historical Financials'!H63</f>
        <v>8692.2000000000007</v>
      </c>
      <c r="G62" s="64">
        <f>'Historical Financials'!I58+'Historical Financials'!I63</f>
        <v>8495</v>
      </c>
    </row>
    <row r="63" spans="2:15" x14ac:dyDescent="0.2">
      <c r="B63" s="1" t="s">
        <v>11</v>
      </c>
      <c r="D63" s="64">
        <f>-'Historical Financials'!F20</f>
        <v>38</v>
      </c>
      <c r="E63" s="64">
        <f>-'Historical Financials'!G20</f>
        <v>70.400000000000006</v>
      </c>
      <c r="F63" s="64">
        <f>-'Historical Financials'!H20</f>
        <v>226.7</v>
      </c>
      <c r="G63" s="64">
        <f>-'Historical Financials'!I20</f>
        <v>373.4</v>
      </c>
    </row>
    <row r="64" spans="2:15" x14ac:dyDescent="0.2">
      <c r="B64" s="84" t="s">
        <v>469</v>
      </c>
      <c r="D64" s="149">
        <f>D63/D62</f>
        <v>6.0313630880579018E-3</v>
      </c>
      <c r="E64" s="149">
        <f t="shared" ref="E64:G64" si="16">E63/E62</f>
        <v>1.2458192500309684E-2</v>
      </c>
      <c r="F64" s="149">
        <f t="shared" si="16"/>
        <v>2.608085409907733E-2</v>
      </c>
      <c r="G64" s="151">
        <f t="shared" si="16"/>
        <v>4.3955267804590935E-2</v>
      </c>
    </row>
    <row r="67" spans="2:13" x14ac:dyDescent="0.2">
      <c r="B67" s="122" t="s">
        <v>471</v>
      </c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</row>
    <row r="70" spans="2:13" x14ac:dyDescent="0.2">
      <c r="B70" s="123" t="s">
        <v>467</v>
      </c>
      <c r="C70" s="29"/>
      <c r="D70" s="29"/>
      <c r="E70" s="29"/>
      <c r="F70" s="29"/>
      <c r="G70" s="29"/>
      <c r="H70" s="29"/>
      <c r="I70" s="29"/>
      <c r="J70" s="29"/>
    </row>
    <row r="72" spans="2:13" x14ac:dyDescent="0.2">
      <c r="D72" s="141" t="s">
        <v>1</v>
      </c>
      <c r="E72" s="141" t="s">
        <v>2</v>
      </c>
      <c r="F72" s="141" t="s">
        <v>3</v>
      </c>
      <c r="G72" s="141" t="s">
        <v>318</v>
      </c>
    </row>
    <row r="73" spans="2:13" x14ac:dyDescent="0.2">
      <c r="B73" s="1" t="s">
        <v>472</v>
      </c>
      <c r="D73" s="64">
        <f>'Historical Financials'!F23</f>
        <v>6047.2999999999965</v>
      </c>
      <c r="E73" s="64">
        <f>'Historical Financials'!G23</f>
        <v>7610.5999999999976</v>
      </c>
      <c r="F73" s="64">
        <f>'Historical Financials'!H23</f>
        <v>8001.0000000000018</v>
      </c>
      <c r="G73" s="64">
        <f>'Historical Financials'!I23</f>
        <v>8432.9000000000069</v>
      </c>
    </row>
    <row r="74" spans="2:13" x14ac:dyDescent="0.2">
      <c r="B74" s="1" t="s">
        <v>473</v>
      </c>
      <c r="D74" s="64">
        <f>-'Historical Financials'!F25</f>
        <v>1445.3</v>
      </c>
      <c r="E74" s="64">
        <f>-'Historical Financials'!G25</f>
        <v>1899.4</v>
      </c>
      <c r="F74" s="64">
        <f>-'Historical Financials'!H25</f>
        <v>1810.7</v>
      </c>
      <c r="G74" s="64">
        <f>-'Historical Financials'!I25</f>
        <v>2015.1</v>
      </c>
    </row>
    <row r="75" spans="2:13" x14ac:dyDescent="0.2">
      <c r="B75" s="3" t="s">
        <v>474</v>
      </c>
      <c r="D75" s="152">
        <f>D74/D73</f>
        <v>0.23899922279364358</v>
      </c>
      <c r="E75" s="152">
        <f t="shared" ref="E75:G75" si="17">E74/E73</f>
        <v>0.24957296402386153</v>
      </c>
      <c r="F75" s="152">
        <f t="shared" si="17"/>
        <v>0.22630921134858137</v>
      </c>
      <c r="G75" s="153">
        <f t="shared" si="17"/>
        <v>0.23895694245158822</v>
      </c>
    </row>
    <row r="77" spans="2:13" x14ac:dyDescent="0.2">
      <c r="B77" s="123" t="s">
        <v>530</v>
      </c>
      <c r="C77" s="29"/>
      <c r="D77" s="29"/>
      <c r="E77" s="29"/>
      <c r="F77" s="29"/>
      <c r="G77" s="29"/>
      <c r="H77" s="29"/>
      <c r="I77" s="29"/>
      <c r="J77" s="29"/>
    </row>
    <row r="79" spans="2:13" x14ac:dyDescent="0.2">
      <c r="B79" s="1" t="s">
        <v>531</v>
      </c>
      <c r="D79" s="64">
        <f>'Historical Financials'!F59</f>
        <v>268.89999999999998</v>
      </c>
      <c r="E79" s="64">
        <f>'Historical Financials'!G59</f>
        <v>264.2</v>
      </c>
      <c r="F79" s="64">
        <f>'Historical Financials'!H59</f>
        <v>208.1</v>
      </c>
      <c r="G79" s="64">
        <f>'Historical Financials'!I59</f>
        <v>275.10000000000002</v>
      </c>
    </row>
    <row r="80" spans="2:13" x14ac:dyDescent="0.2">
      <c r="B80" s="1" t="s">
        <v>532</v>
      </c>
      <c r="D80" s="130">
        <f>D79/D74</f>
        <v>0.18605133882238981</v>
      </c>
      <c r="E80" s="130">
        <f t="shared" ref="E80:G80" si="18">E79/E74</f>
        <v>0.13909655680741284</v>
      </c>
      <c r="F80" s="130">
        <f t="shared" si="18"/>
        <v>0.11492792842547081</v>
      </c>
      <c r="G80" s="130">
        <f t="shared" si="18"/>
        <v>0.13651927944022632</v>
      </c>
    </row>
    <row r="82" spans="2:13" x14ac:dyDescent="0.2">
      <c r="B82" s="122" t="s">
        <v>477</v>
      </c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</row>
    <row r="86" spans="2:13" x14ac:dyDescent="0.2">
      <c r="B86" s="155" t="s">
        <v>478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</row>
    <row r="87" spans="2:13" x14ac:dyDescent="0.2">
      <c r="B87" s="156"/>
      <c r="C87" s="73"/>
      <c r="D87" s="73" t="s">
        <v>1</v>
      </c>
      <c r="E87" s="73" t="s">
        <v>2</v>
      </c>
      <c r="F87" s="73" t="s">
        <v>3</v>
      </c>
      <c r="G87" s="73" t="s">
        <v>318</v>
      </c>
      <c r="H87" s="157" t="s">
        <v>405</v>
      </c>
      <c r="I87" s="157" t="s">
        <v>406</v>
      </c>
      <c r="J87" s="157" t="s">
        <v>407</v>
      </c>
      <c r="K87" s="157" t="s">
        <v>408</v>
      </c>
      <c r="L87" s="157" t="s">
        <v>409</v>
      </c>
    </row>
    <row r="88" spans="2:13" x14ac:dyDescent="0.2">
      <c r="B88" s="101" t="s">
        <v>479</v>
      </c>
      <c r="C88" s="158"/>
      <c r="D88" s="158">
        <v>365</v>
      </c>
      <c r="E88" s="158">
        <v>365</v>
      </c>
      <c r="F88" s="158">
        <v>365</v>
      </c>
      <c r="G88" s="158">
        <v>365</v>
      </c>
      <c r="H88" s="159">
        <v>365</v>
      </c>
      <c r="I88" s="159">
        <v>365</v>
      </c>
      <c r="J88" s="159">
        <v>365</v>
      </c>
      <c r="K88" s="159">
        <v>365</v>
      </c>
      <c r="L88" s="159">
        <v>365</v>
      </c>
    </row>
    <row r="90" spans="2:13" x14ac:dyDescent="0.2">
      <c r="B90" s="72" t="s">
        <v>480</v>
      </c>
    </row>
    <row r="92" spans="2:13" x14ac:dyDescent="0.2">
      <c r="B92" s="1" t="s">
        <v>481</v>
      </c>
      <c r="D92" s="64">
        <f>'Historical Financials'!F41</f>
        <v>4021</v>
      </c>
      <c r="E92" s="64">
        <f>'Historical Financials'!G41</f>
        <v>4755.5</v>
      </c>
      <c r="F92" s="64">
        <f>'Historical Financials'!H41</f>
        <v>5092.7</v>
      </c>
      <c r="G92" s="64">
        <f>'Historical Financials'!I41</f>
        <v>5601.8</v>
      </c>
      <c r="H92" s="160">
        <f>H95*H94</f>
        <v>5808.8148929149838</v>
      </c>
      <c r="I92" s="160">
        <f t="shared" ref="I92:L92" si="19">I95*I94</f>
        <v>6232.4736734706385</v>
      </c>
      <c r="J92" s="160">
        <f t="shared" si="19"/>
        <v>6575.9765059204265</v>
      </c>
      <c r="K92" s="160">
        <f t="shared" si="19"/>
        <v>6971.0428199141388</v>
      </c>
      <c r="L92" s="160">
        <f t="shared" si="19"/>
        <v>7343.8112652614691</v>
      </c>
    </row>
    <row r="93" spans="2:13" x14ac:dyDescent="0.2">
      <c r="B93" s="1" t="s">
        <v>4</v>
      </c>
      <c r="D93" s="64">
        <f>'Historical Financials'!F10</f>
        <v>32287.599999999999</v>
      </c>
      <c r="E93" s="64">
        <f>'Historical Financials'!G10</f>
        <v>38260.6</v>
      </c>
      <c r="F93" s="64">
        <f>'Historical Financials'!H10</f>
        <v>41182.5</v>
      </c>
      <c r="G93" s="64">
        <f>'Historical Financials'!I10</f>
        <v>43486.8</v>
      </c>
      <c r="H93" s="64">
        <f>'Forecast Model'!J8</f>
        <v>46014.451500000003</v>
      </c>
      <c r="I93" s="64">
        <f>'Forecast Model'!K8</f>
        <v>48871.600630000001</v>
      </c>
      <c r="J93" s="64">
        <f>'Forecast Model'!L8</f>
        <v>51826.999370549995</v>
      </c>
      <c r="K93" s="64">
        <f>'Forecast Model'!M8</f>
        <v>54801.483995657996</v>
      </c>
      <c r="L93" s="64">
        <f>'Forecast Model'!N8</f>
        <v>57805.125507934441</v>
      </c>
    </row>
    <row r="94" spans="2:13" x14ac:dyDescent="0.2">
      <c r="B94" s="1" t="s">
        <v>482</v>
      </c>
      <c r="D94" s="115">
        <f>D93/D88</f>
        <v>88.459178082191784</v>
      </c>
      <c r="E94" s="115">
        <f t="shared" ref="E94:G94" si="20">E93/E88</f>
        <v>104.82356164383562</v>
      </c>
      <c r="F94" s="115">
        <f t="shared" si="20"/>
        <v>112.82876712328768</v>
      </c>
      <c r="G94" s="115">
        <f t="shared" si="20"/>
        <v>119.14191780821919</v>
      </c>
      <c r="H94" s="64">
        <f>H93/H88</f>
        <v>126.06699041095891</v>
      </c>
      <c r="I94" s="64">
        <f t="shared" ref="I94:L94" si="21">I93/I88</f>
        <v>133.89479624657534</v>
      </c>
      <c r="J94" s="64">
        <f t="shared" si="21"/>
        <v>141.99177909739726</v>
      </c>
      <c r="K94" s="64">
        <f t="shared" si="21"/>
        <v>150.14105204289862</v>
      </c>
      <c r="L94" s="64">
        <f t="shared" si="21"/>
        <v>158.37020687105326</v>
      </c>
    </row>
    <row r="95" spans="2:13" x14ac:dyDescent="0.2">
      <c r="B95" s="1" t="s">
        <v>483</v>
      </c>
      <c r="D95" s="78">
        <f>D92/D94</f>
        <v>45.455995490528871</v>
      </c>
      <c r="E95" s="78">
        <f t="shared" ref="E95:G95" si="22">E92/E94</f>
        <v>45.366708833630419</v>
      </c>
      <c r="F95" s="78">
        <f t="shared" si="22"/>
        <v>45.136538578279605</v>
      </c>
      <c r="G95" s="78">
        <f t="shared" si="22"/>
        <v>47.017876689018273</v>
      </c>
      <c r="H95" s="89">
        <f>AVERAGE(F95:G95)</f>
        <v>46.077207633648939</v>
      </c>
      <c r="I95" s="89">
        <f t="shared" ref="I95:K95" si="23">AVERAGE(G95:H95)</f>
        <v>46.54754216133361</v>
      </c>
      <c r="J95" s="89">
        <f t="shared" si="23"/>
        <v>46.312374897491274</v>
      </c>
      <c r="K95" s="89">
        <f t="shared" si="23"/>
        <v>46.429958529412446</v>
      </c>
      <c r="L95" s="89">
        <f>AVERAGE(J95:K95)</f>
        <v>46.371166713451856</v>
      </c>
    </row>
    <row r="97" spans="2:13" x14ac:dyDescent="0.2">
      <c r="B97" s="72" t="s">
        <v>484</v>
      </c>
    </row>
    <row r="99" spans="2:13" x14ac:dyDescent="0.2">
      <c r="B99" s="1" t="s">
        <v>484</v>
      </c>
      <c r="D99" s="64">
        <f>'Historical Financials'!F43</f>
        <v>3166.9</v>
      </c>
      <c r="E99" s="64">
        <f>'Historical Financials'!G43</f>
        <v>4079.4</v>
      </c>
      <c r="F99" s="64">
        <f>'Historical Financials'!H43</f>
        <v>4482.3999999999996</v>
      </c>
      <c r="G99" s="64">
        <f>'Historical Financials'!I43</f>
        <v>4630.1000000000004</v>
      </c>
      <c r="H99" s="160">
        <f>H101*H102</f>
        <v>4953.9674024768256</v>
      </c>
      <c r="I99" s="160">
        <f t="shared" ref="I99:L99" si="24">I101*I102</f>
        <v>5269.0671766248906</v>
      </c>
      <c r="J99" s="160">
        <f t="shared" si="24"/>
        <v>5583.7274160430143</v>
      </c>
      <c r="K99" s="160">
        <f t="shared" si="24"/>
        <v>5906.2932306581379</v>
      </c>
      <c r="L99" s="160">
        <f t="shared" si="24"/>
        <v>6228.9058991331749</v>
      </c>
    </row>
    <row r="100" spans="2:13" x14ac:dyDescent="0.2">
      <c r="B100" s="1" t="s">
        <v>485</v>
      </c>
      <c r="D100" s="64">
        <f>-'Historical Financials'!F11</f>
        <v>7011.4</v>
      </c>
      <c r="E100" s="64">
        <f>-'Historical Financials'!G11</f>
        <v>9427.4</v>
      </c>
      <c r="F100" s="64">
        <f>-'Historical Financials'!H11</f>
        <v>9386.5</v>
      </c>
      <c r="G100" s="64">
        <f>-'Historical Financials'!I11</f>
        <v>9640.7000000000007</v>
      </c>
      <c r="H100" s="64">
        <f>-'Forecast Model'!J9</f>
        <v>10344.440787900916</v>
      </c>
      <c r="I100" s="64">
        <f>-'Forecast Model'!K9</f>
        <v>10986.752258189503</v>
      </c>
      <c r="J100" s="64">
        <f>-'Forecast Model'!L9</f>
        <v>11651.151078117982</v>
      </c>
      <c r="K100" s="64">
        <f>-'Forecast Model'!M9</f>
        <v>12319.840567526575</v>
      </c>
      <c r="L100" s="64">
        <f>-'Forecast Model'!N9</f>
        <v>12995.084773617455</v>
      </c>
    </row>
    <row r="101" spans="2:13" x14ac:dyDescent="0.2">
      <c r="B101" s="1" t="s">
        <v>486</v>
      </c>
      <c r="D101" s="117">
        <f>D100/D88</f>
        <v>19.209315068493151</v>
      </c>
      <c r="E101" s="117">
        <f t="shared" ref="E101:G101" si="25">E100/E88</f>
        <v>25.828493150684931</v>
      </c>
      <c r="F101" s="117">
        <f t="shared" si="25"/>
        <v>25.716438356164385</v>
      </c>
      <c r="G101" s="117">
        <f t="shared" si="25"/>
        <v>26.412876712328771</v>
      </c>
      <c r="H101" s="64">
        <f>H100/H88</f>
        <v>28.340933665481963</v>
      </c>
      <c r="I101" s="64">
        <f t="shared" ref="I101:L101" si="26">I100/I88</f>
        <v>30.100691118327404</v>
      </c>
      <c r="J101" s="64">
        <f t="shared" si="26"/>
        <v>31.920961857857485</v>
      </c>
      <c r="K101" s="64">
        <f t="shared" si="26"/>
        <v>33.752987856237191</v>
      </c>
      <c r="L101" s="64">
        <f t="shared" si="26"/>
        <v>35.602971982513573</v>
      </c>
    </row>
    <row r="102" spans="2:13" x14ac:dyDescent="0.2">
      <c r="B102" s="1" t="s">
        <v>363</v>
      </c>
      <c r="D102" s="78">
        <f>D99/D101</f>
        <v>164.86272356448072</v>
      </c>
      <c r="E102" s="78">
        <f t="shared" ref="E102:G102" si="27">E99/E101</f>
        <v>157.94185035110422</v>
      </c>
      <c r="F102" s="78">
        <f t="shared" si="27"/>
        <v>174.30096415064185</v>
      </c>
      <c r="G102" s="78">
        <f t="shared" si="27"/>
        <v>175.29707386393102</v>
      </c>
      <c r="H102" s="78">
        <f>AVERAGE(F102:G102)</f>
        <v>174.79901900728643</v>
      </c>
      <c r="I102" s="78">
        <f t="shared" ref="I102:L102" si="28">AVERAGE(G102:H102)</f>
        <v>175.04804643560874</v>
      </c>
      <c r="J102" s="78">
        <f t="shared" si="28"/>
        <v>174.9235327214476</v>
      </c>
      <c r="K102" s="78">
        <f t="shared" si="28"/>
        <v>174.98578957852817</v>
      </c>
      <c r="L102" s="78">
        <f t="shared" si="28"/>
        <v>174.95466114998788</v>
      </c>
    </row>
    <row r="104" spans="2:13" x14ac:dyDescent="0.2">
      <c r="B104" s="72" t="s">
        <v>487</v>
      </c>
    </row>
    <row r="106" spans="2:13" x14ac:dyDescent="0.2">
      <c r="B106" s="1" t="s">
        <v>488</v>
      </c>
      <c r="E106" s="64">
        <f>'Historical Financials'!G57</f>
        <v>6345.6</v>
      </c>
      <c r="F106" s="64">
        <f>'Historical Financials'!H57</f>
        <v>6347</v>
      </c>
      <c r="G106" s="64">
        <f>'Historical Financials'!I57</f>
        <v>6468.5</v>
      </c>
      <c r="H106" s="161">
        <f>H108*H109</f>
        <v>7049.9725725816697</v>
      </c>
      <c r="I106" s="161">
        <f t="shared" ref="I106:L106" si="29">I108*I109</f>
        <v>7468.6393967528447</v>
      </c>
      <c r="J106" s="161">
        <f t="shared" si="29"/>
        <v>7907.4057565569756</v>
      </c>
      <c r="K106" s="161">
        <f t="shared" si="29"/>
        <v>8354.5222592950413</v>
      </c>
      <c r="L106" s="161">
        <f t="shared" si="29"/>
        <v>8800.7770324236117</v>
      </c>
    </row>
    <row r="107" spans="2:13" x14ac:dyDescent="0.2">
      <c r="B107" s="1" t="s">
        <v>489</v>
      </c>
      <c r="E107" s="64">
        <f>E99-D99+E100</f>
        <v>10339.9</v>
      </c>
      <c r="F107" s="64">
        <f t="shared" ref="F107:G107" si="30">F99-E99+F100</f>
        <v>9789.5</v>
      </c>
      <c r="G107" s="64">
        <f t="shared" si="30"/>
        <v>9788.4000000000015</v>
      </c>
      <c r="H107" s="64">
        <f t="shared" ref="H107:L107" si="31">H99-G99+H100</f>
        <v>10668.308190377742</v>
      </c>
      <c r="I107" s="64">
        <f t="shared" si="31"/>
        <v>11301.852032337567</v>
      </c>
      <c r="J107" s="64">
        <f t="shared" si="31"/>
        <v>11965.811317536107</v>
      </c>
      <c r="K107" s="64">
        <f t="shared" si="31"/>
        <v>12642.406382141698</v>
      </c>
      <c r="L107" s="64">
        <f t="shared" si="31"/>
        <v>13317.697442092493</v>
      </c>
    </row>
    <row r="108" spans="2:13" x14ac:dyDescent="0.2">
      <c r="B108" s="1" t="s">
        <v>490</v>
      </c>
      <c r="E108" s="117">
        <f>E107/E88</f>
        <v>28.328493150684931</v>
      </c>
      <c r="F108" s="117">
        <f t="shared" ref="F108:G108" si="32">F107/F88</f>
        <v>26.82054794520548</v>
      </c>
      <c r="G108" s="117">
        <f t="shared" si="32"/>
        <v>26.817534246575345</v>
      </c>
      <c r="H108" s="117">
        <f t="shared" ref="H108" si="33">H107/H88</f>
        <v>29.228241617473266</v>
      </c>
      <c r="I108" s="117">
        <f t="shared" ref="I108" si="34">I107/I88</f>
        <v>30.963978170787854</v>
      </c>
      <c r="J108" s="117">
        <f t="shared" ref="J108" si="35">J107/J88</f>
        <v>32.783044705578376</v>
      </c>
      <c r="K108" s="117">
        <f t="shared" ref="K108" si="36">K107/K88</f>
        <v>34.636729814086848</v>
      </c>
      <c r="L108" s="117">
        <f t="shared" ref="L108" si="37">L107/L88</f>
        <v>36.486842307102719</v>
      </c>
    </row>
    <row r="109" spans="2:13" x14ac:dyDescent="0.2">
      <c r="B109" s="1" t="s">
        <v>362</v>
      </c>
      <c r="E109" s="78">
        <f>E106/E108</f>
        <v>224.00061896149867</v>
      </c>
      <c r="F109" s="78">
        <f t="shared" ref="F109:G109" si="38">F106/F108</f>
        <v>236.64691761581287</v>
      </c>
      <c r="G109" s="78">
        <f t="shared" si="38"/>
        <v>241.20412937763064</v>
      </c>
      <c r="H109" s="78">
        <f>G109</f>
        <v>241.20412937763064</v>
      </c>
      <c r="I109" s="78">
        <f t="shared" ref="I109:L109" si="39">H109</f>
        <v>241.20412937763064</v>
      </c>
      <c r="J109" s="78">
        <f t="shared" si="39"/>
        <v>241.20412937763064</v>
      </c>
      <c r="K109" s="78">
        <f t="shared" si="39"/>
        <v>241.20412937763064</v>
      </c>
      <c r="L109" s="78">
        <f t="shared" si="39"/>
        <v>241.20412937763064</v>
      </c>
    </row>
    <row r="112" spans="2:13" x14ac:dyDescent="0.2">
      <c r="B112" s="122" t="s">
        <v>526</v>
      </c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</row>
    <row r="115" spans="2:10" x14ac:dyDescent="0.2">
      <c r="B115" s="123" t="s">
        <v>527</v>
      </c>
      <c r="C115" s="29"/>
      <c r="D115" s="29"/>
      <c r="E115" s="29"/>
      <c r="F115" s="29"/>
      <c r="G115" s="29"/>
      <c r="H115" s="29"/>
      <c r="I115" s="29"/>
      <c r="J115" s="29"/>
    </row>
    <row r="117" spans="2:10" x14ac:dyDescent="0.2">
      <c r="D117" s="73" t="s">
        <v>1</v>
      </c>
      <c r="E117" s="73" t="s">
        <v>2</v>
      </c>
      <c r="F117" s="73" t="s">
        <v>3</v>
      </c>
      <c r="G117" s="73" t="s">
        <v>318</v>
      </c>
    </row>
    <row r="118" spans="2:10" x14ac:dyDescent="0.2">
      <c r="B118" s="1" t="s">
        <v>491</v>
      </c>
      <c r="D118" s="64">
        <f>'Historical Financials'!F44</f>
        <v>1330</v>
      </c>
      <c r="E118" s="64">
        <f>'Historical Financials'!G44</f>
        <v>1591.5</v>
      </c>
      <c r="F118" s="64">
        <f>'Historical Financials'!H44</f>
        <v>1406.2</v>
      </c>
      <c r="G118" s="64">
        <f>'Historical Financials'!I44</f>
        <v>1287</v>
      </c>
    </row>
    <row r="119" spans="2:10" x14ac:dyDescent="0.2">
      <c r="B119" s="1" t="s">
        <v>492</v>
      </c>
      <c r="D119" s="130">
        <f>D118/'Historical Financials'!F10</f>
        <v>4.1192284344454218E-2</v>
      </c>
      <c r="E119" s="130">
        <f>E118/'Historical Financials'!G10</f>
        <v>4.1596315792224899E-2</v>
      </c>
      <c r="F119" s="130">
        <f>F118/'Historical Financials'!H10</f>
        <v>3.4145571541310024E-2</v>
      </c>
      <c r="G119" s="162">
        <f>G118/'Historical Financials'!I10</f>
        <v>2.9595187505173981E-2</v>
      </c>
    </row>
    <row r="121" spans="2:10" x14ac:dyDescent="0.2">
      <c r="B121" s="1" t="s">
        <v>20</v>
      </c>
      <c r="D121" s="64">
        <f>'Historical Financials'!F42</f>
        <v>844.1</v>
      </c>
      <c r="E121" s="64">
        <f>'Historical Financials'!G42</f>
        <v>1005.5</v>
      </c>
      <c r="F121" s="64">
        <f>'Historical Financials'!H42</f>
        <v>1056</v>
      </c>
      <c r="G121" s="64">
        <f>'Historical Financials'!I42</f>
        <v>902.3</v>
      </c>
    </row>
    <row r="122" spans="2:10" x14ac:dyDescent="0.2">
      <c r="B122" s="1" t="s">
        <v>492</v>
      </c>
      <c r="D122" s="130">
        <f>D121/'Historical Financials'!F10</f>
        <v>2.6143163319664518E-2</v>
      </c>
      <c r="E122" s="130">
        <f>E121/'Historical Financials'!G10</f>
        <v>2.6280298793014224E-2</v>
      </c>
      <c r="F122" s="130">
        <f>F121/'Historical Financials'!H10</f>
        <v>2.5641959570205791E-2</v>
      </c>
      <c r="G122" s="162">
        <f>G121/'Historical Financials'!I10</f>
        <v>2.0748824930783592E-2</v>
      </c>
    </row>
    <row r="124" spans="2:10" x14ac:dyDescent="0.2">
      <c r="B124" s="123" t="s">
        <v>528</v>
      </c>
      <c r="C124" s="29"/>
      <c r="D124" s="29"/>
      <c r="E124" s="29"/>
      <c r="F124" s="29"/>
      <c r="G124" s="29"/>
      <c r="H124" s="29"/>
      <c r="I124" s="29"/>
      <c r="J124" s="29"/>
    </row>
    <row r="125" spans="2:10" x14ac:dyDescent="0.2">
      <c r="D125" s="73" t="s">
        <v>1</v>
      </c>
      <c r="E125" s="73" t="s">
        <v>2</v>
      </c>
      <c r="F125" s="73" t="s">
        <v>3</v>
      </c>
      <c r="G125" s="73" t="s">
        <v>318</v>
      </c>
    </row>
    <row r="126" spans="2:10" x14ac:dyDescent="0.2">
      <c r="B126" s="1" t="s">
        <v>529</v>
      </c>
      <c r="D126" s="64">
        <f>'Historical Financials'!F60</f>
        <v>5204</v>
      </c>
      <c r="E126" s="64">
        <f>'Historical Financials'!G60</f>
        <v>5690</v>
      </c>
      <c r="F126" s="64">
        <f>'Historical Financials'!H60</f>
        <v>5793.3</v>
      </c>
      <c r="G126" s="64">
        <f>'Historical Financials'!I60</f>
        <v>6042.5</v>
      </c>
    </row>
    <row r="127" spans="2:10" x14ac:dyDescent="0.2">
      <c r="B127" s="1" t="s">
        <v>492</v>
      </c>
      <c r="D127" s="130">
        <f>D126/'Historical Financials'!F10</f>
        <v>0.16117642686356373</v>
      </c>
      <c r="E127" s="130">
        <f>E126/'Historical Financials'!G10</f>
        <v>0.14871695686946887</v>
      </c>
      <c r="F127" s="130">
        <f>F126/'Historical Financials'!H10</f>
        <v>0.14067382990347843</v>
      </c>
      <c r="G127" s="162">
        <f>G126/'Historical Financials'!I10</f>
        <v>0.13895021017872089</v>
      </c>
    </row>
    <row r="132" spans="2:13" x14ac:dyDescent="0.2">
      <c r="B132" s="122" t="s">
        <v>504</v>
      </c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</row>
    <row r="134" spans="2:13" x14ac:dyDescent="0.2">
      <c r="B134" s="123" t="s">
        <v>505</v>
      </c>
      <c r="C134" s="29"/>
      <c r="D134" s="29"/>
      <c r="E134" s="29"/>
      <c r="F134" s="29"/>
      <c r="G134" s="29"/>
    </row>
    <row r="135" spans="2:13" x14ac:dyDescent="0.2">
      <c r="B135" s="124"/>
      <c r="C135" s="125"/>
      <c r="D135" s="125" t="s">
        <v>1</v>
      </c>
      <c r="E135" s="125" t="s">
        <v>2</v>
      </c>
      <c r="F135" s="125" t="s">
        <v>3</v>
      </c>
      <c r="G135" s="125" t="s">
        <v>318</v>
      </c>
    </row>
    <row r="137" spans="2:13" x14ac:dyDescent="0.2">
      <c r="B137" s="1" t="s">
        <v>506</v>
      </c>
      <c r="D137" s="65">
        <v>4750.5</v>
      </c>
      <c r="E137" s="64">
        <f>D140</f>
        <v>4773.8</v>
      </c>
      <c r="F137" s="64">
        <f>E140</f>
        <v>4964.3999999999996</v>
      </c>
      <c r="G137" s="64">
        <f>F140</f>
        <v>5560.1</v>
      </c>
    </row>
    <row r="138" spans="2:13" x14ac:dyDescent="0.2">
      <c r="B138" s="1" t="s">
        <v>507</v>
      </c>
      <c r="D138" s="64">
        <f>-'Historical Financials'!F102</f>
        <v>1075.2</v>
      </c>
      <c r="E138" s="64">
        <f>-'Historical Financials'!G102</f>
        <v>1343.3</v>
      </c>
      <c r="F138" s="64">
        <f>-'Historical Financials'!H102</f>
        <v>1488.6</v>
      </c>
      <c r="G138" s="64">
        <f>-'Historical Financials'!I102</f>
        <v>1641.6</v>
      </c>
    </row>
    <row r="139" spans="2:13" x14ac:dyDescent="0.2">
      <c r="B139" s="84" t="s">
        <v>508</v>
      </c>
      <c r="C139" s="84"/>
      <c r="D139" s="164">
        <f>-(D137+D138-D140)</f>
        <v>-1051.8999999999996</v>
      </c>
      <c r="E139" s="164">
        <f t="shared" ref="E139:G139" si="40">-(E137+E138-E140)</f>
        <v>-1152.7000000000007</v>
      </c>
      <c r="F139" s="164">
        <f t="shared" si="40"/>
        <v>-892.89999999999964</v>
      </c>
      <c r="G139" s="164">
        <f t="shared" si="40"/>
        <v>-1236.5000000000009</v>
      </c>
    </row>
    <row r="140" spans="2:13" x14ac:dyDescent="0.2">
      <c r="B140" s="1" t="s">
        <v>509</v>
      </c>
      <c r="D140" s="64">
        <f>'Historical Financials'!F47</f>
        <v>4773.8</v>
      </c>
      <c r="E140" s="64">
        <f>'Historical Financials'!G47</f>
        <v>4964.3999999999996</v>
      </c>
      <c r="F140" s="64">
        <f>'Historical Financials'!H47</f>
        <v>5560.1</v>
      </c>
      <c r="G140" s="64">
        <f>'Historical Financials'!I47</f>
        <v>5965.2</v>
      </c>
    </row>
    <row r="142" spans="2:13" x14ac:dyDescent="0.2">
      <c r="B142" s="123" t="s">
        <v>499</v>
      </c>
      <c r="C142" s="29"/>
      <c r="D142" s="29"/>
      <c r="E142" s="29"/>
      <c r="F142" s="29"/>
      <c r="G142" s="29"/>
    </row>
    <row r="143" spans="2:13" x14ac:dyDescent="0.2">
      <c r="B143" s="124"/>
      <c r="C143" s="125"/>
      <c r="D143" s="125" t="s">
        <v>1</v>
      </c>
      <c r="E143" s="125" t="s">
        <v>2</v>
      </c>
      <c r="F143" s="125" t="s">
        <v>3</v>
      </c>
      <c r="G143" s="125" t="s">
        <v>318</v>
      </c>
    </row>
    <row r="145" spans="2:13" x14ac:dyDescent="0.2">
      <c r="B145" s="1" t="s">
        <v>510</v>
      </c>
      <c r="D145" s="64">
        <f>-D139</f>
        <v>1051.8999999999996</v>
      </c>
      <c r="E145" s="64">
        <f t="shared" ref="E145:G145" si="41">-E139</f>
        <v>1152.7000000000007</v>
      </c>
      <c r="F145" s="64">
        <f t="shared" si="41"/>
        <v>892.89999999999964</v>
      </c>
      <c r="G145" s="64">
        <f t="shared" si="41"/>
        <v>1236.5000000000009</v>
      </c>
    </row>
    <row r="146" spans="2:13" x14ac:dyDescent="0.2">
      <c r="B146" s="1" t="s">
        <v>511</v>
      </c>
      <c r="D146" s="130">
        <f>D145/D137</f>
        <v>0.2214293232291337</v>
      </c>
      <c r="E146" s="130">
        <f t="shared" ref="E146:G146" si="42">E145/E137</f>
        <v>0.24146382336922381</v>
      </c>
      <c r="F146" s="130">
        <f t="shared" si="42"/>
        <v>0.17986060752558208</v>
      </c>
      <c r="G146" s="162">
        <f t="shared" si="42"/>
        <v>0.22238808654520617</v>
      </c>
    </row>
    <row r="148" spans="2:13" x14ac:dyDescent="0.2">
      <c r="B148" s="122" t="s">
        <v>494</v>
      </c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</row>
    <row r="150" spans="2:13" x14ac:dyDescent="0.2">
      <c r="B150" s="123" t="s">
        <v>495</v>
      </c>
      <c r="C150" s="29"/>
      <c r="D150" s="29"/>
      <c r="E150" s="29"/>
      <c r="F150" s="29"/>
      <c r="G150" s="29"/>
      <c r="H150" s="29"/>
    </row>
    <row r="151" spans="2:13" x14ac:dyDescent="0.2">
      <c r="B151" s="124"/>
      <c r="C151" s="125"/>
      <c r="D151" s="125" t="s">
        <v>1</v>
      </c>
      <c r="E151" s="125" t="s">
        <v>2</v>
      </c>
      <c r="F151" s="125" t="s">
        <v>3</v>
      </c>
      <c r="G151" s="125" t="s">
        <v>318</v>
      </c>
      <c r="H151" s="125"/>
    </row>
    <row r="153" spans="2:13" x14ac:dyDescent="0.2">
      <c r="B153" s="3" t="s">
        <v>496</v>
      </c>
      <c r="D153" s="64">
        <f>-'Historical Financials'!F102</f>
        <v>1075.2</v>
      </c>
      <c r="E153" s="64">
        <f>-'Historical Financials'!G102</f>
        <v>1343.3</v>
      </c>
      <c r="F153" s="64">
        <f>-'Historical Financials'!H102</f>
        <v>1488.6</v>
      </c>
      <c r="G153" s="64">
        <f>-'Historical Financials'!I102</f>
        <v>1641.6</v>
      </c>
    </row>
    <row r="154" spans="2:13" x14ac:dyDescent="0.2">
      <c r="B154" s="3" t="s">
        <v>497</v>
      </c>
      <c r="D154" s="130">
        <f>D153/'Historical Financials'!F10</f>
        <v>3.3300709870042994E-2</v>
      </c>
      <c r="E154" s="130">
        <f>E153/'Historical Financials'!G10</f>
        <v>3.510922463317355E-2</v>
      </c>
      <c r="F154" s="130">
        <f>F153/'Historical Financials'!H10</f>
        <v>3.6146421416863958E-2</v>
      </c>
      <c r="G154" s="130">
        <f>G153/'Historical Financials'!I10</f>
        <v>3.774938602058555E-2</v>
      </c>
    </row>
    <row r="156" spans="2:13" x14ac:dyDescent="0.2">
      <c r="B156" s="3" t="s">
        <v>498</v>
      </c>
      <c r="D156" s="163">
        <f>AVERAGE(F154:G154)</f>
        <v>3.6947903718724751E-2</v>
      </c>
    </row>
    <row r="160" spans="2:13" x14ac:dyDescent="0.2">
      <c r="B160" s="123" t="s">
        <v>512</v>
      </c>
      <c r="C160" s="29"/>
      <c r="D160" s="29"/>
      <c r="E160" s="29"/>
      <c r="F160" s="29"/>
      <c r="G160" s="29"/>
      <c r="H160" s="29"/>
      <c r="I160" s="29"/>
      <c r="J160" s="29"/>
      <c r="K160" s="29"/>
      <c r="L160" s="29"/>
    </row>
    <row r="161" spans="2:13" x14ac:dyDescent="0.2">
      <c r="B161" s="124"/>
      <c r="C161" s="125"/>
      <c r="D161" s="125" t="s">
        <v>1</v>
      </c>
      <c r="E161" s="125" t="s">
        <v>2</v>
      </c>
      <c r="F161" s="125" t="s">
        <v>3</v>
      </c>
      <c r="G161" s="125" t="s">
        <v>318</v>
      </c>
      <c r="H161" s="125" t="s">
        <v>405</v>
      </c>
      <c r="I161" s="125" t="s">
        <v>406</v>
      </c>
      <c r="J161" s="125" t="s">
        <v>407</v>
      </c>
      <c r="K161" s="125" t="s">
        <v>408</v>
      </c>
      <c r="L161" s="125" t="s">
        <v>409</v>
      </c>
    </row>
    <row r="163" spans="2:13" x14ac:dyDescent="0.2">
      <c r="B163" s="3" t="s">
        <v>500</v>
      </c>
      <c r="D163" s="65">
        <f>D137</f>
        <v>4750.5</v>
      </c>
      <c r="E163" s="64">
        <f t="shared" ref="E163:G163" si="43">E137</f>
        <v>4773.8</v>
      </c>
      <c r="F163" s="64">
        <f t="shared" si="43"/>
        <v>4964.3999999999996</v>
      </c>
      <c r="G163" s="64">
        <f t="shared" si="43"/>
        <v>5560.1</v>
      </c>
      <c r="H163" s="64">
        <f>G167</f>
        <v>5965.2</v>
      </c>
      <c r="I163" s="64">
        <f>H167</f>
        <v>6338.7481098324652</v>
      </c>
      <c r="J163" s="64">
        <f t="shared" ref="J163:L163" si="44">I167</f>
        <v>6734.7892412519886</v>
      </c>
      <c r="K163" s="64">
        <f t="shared" si="44"/>
        <v>7151.9513313782072</v>
      </c>
      <c r="L163" s="64">
        <f t="shared" si="44"/>
        <v>7586.2425140433743</v>
      </c>
    </row>
    <row r="164" spans="2:13" x14ac:dyDescent="0.2">
      <c r="B164" s="3" t="s">
        <v>501</v>
      </c>
      <c r="D164" s="64">
        <f>D138</f>
        <v>1075.2</v>
      </c>
      <c r="E164" s="64">
        <f t="shared" ref="E164:G164" si="45">E138</f>
        <v>1343.3</v>
      </c>
      <c r="F164" s="64">
        <f t="shared" si="45"/>
        <v>1488.6</v>
      </c>
      <c r="G164" s="64">
        <f t="shared" si="45"/>
        <v>1641.6</v>
      </c>
      <c r="H164" s="64">
        <f>'Master Assumptions'!F31*'Forecast Model'!J8</f>
        <v>1700.1375236919298</v>
      </c>
      <c r="I164" s="64">
        <f>'Master Assumptions'!G31*'Forecast Model'!K8</f>
        <v>1805.7031946572079</v>
      </c>
      <c r="J164" s="64">
        <f>'Master Assumptions'!H31*'Forecast Model'!L8</f>
        <v>1914.8989827734895</v>
      </c>
      <c r="K164" s="64">
        <f>'Master Assumptions'!I31*'Forecast Model'!M8</f>
        <v>2024.7999543148069</v>
      </c>
      <c r="L164" s="64">
        <f>'Master Assumptions'!J31*'Forecast Model'!N8</f>
        <v>2135.7782117159618</v>
      </c>
    </row>
    <row r="165" spans="2:13" x14ac:dyDescent="0.2">
      <c r="B165" s="3" t="s">
        <v>502</v>
      </c>
      <c r="D165" s="64">
        <f>D139</f>
        <v>-1051.8999999999996</v>
      </c>
      <c r="E165" s="64">
        <f t="shared" ref="E165:G165" si="46">E139</f>
        <v>-1152.7000000000007</v>
      </c>
      <c r="F165" s="64">
        <f t="shared" si="46"/>
        <v>-892.89999999999964</v>
      </c>
      <c r="G165" s="64">
        <f t="shared" si="46"/>
        <v>-1236.5000000000009</v>
      </c>
      <c r="H165" s="160">
        <f>-'Master Assumptions'!F21*'Supporting Schedules'!H163</f>
        <v>-1326.5894138594638</v>
      </c>
      <c r="I165" s="160">
        <f>-'Master Assumptions'!G21*'Supporting Schedules'!I163</f>
        <v>-1409.6620632376844</v>
      </c>
      <c r="J165" s="160">
        <f>-'Master Assumptions'!H21*'Supporting Schedules'!J163</f>
        <v>-1497.7368926472707</v>
      </c>
      <c r="K165" s="160">
        <f>-'Master Assumptions'!I21*'Supporting Schedules'!K163</f>
        <v>-1590.5087716496391</v>
      </c>
      <c r="L165" s="160">
        <f>-'Master Assumptions'!J21*'Supporting Schedules'!L163</f>
        <v>-1687.0899567660003</v>
      </c>
    </row>
    <row r="166" spans="2:13" x14ac:dyDescent="0.2">
      <c r="B166" s="3"/>
      <c r="H166" s="64"/>
      <c r="I166" s="64"/>
      <c r="J166" s="64"/>
      <c r="K166" s="64"/>
      <c r="L166" s="64"/>
    </row>
    <row r="167" spans="2:13" x14ac:dyDescent="0.2">
      <c r="B167" s="3" t="s">
        <v>503</v>
      </c>
      <c r="D167" s="64">
        <f>'Historical Financials'!F47</f>
        <v>4773.8</v>
      </c>
      <c r="E167" s="64">
        <f>'Historical Financials'!G47</f>
        <v>4964.3999999999996</v>
      </c>
      <c r="F167" s="64">
        <f>'Historical Financials'!H47</f>
        <v>5560.1</v>
      </c>
      <c r="G167" s="64">
        <f>'Historical Financials'!I47</f>
        <v>5965.2</v>
      </c>
      <c r="H167" s="160">
        <f>SUM(H163:H165)</f>
        <v>6338.7481098324652</v>
      </c>
      <c r="I167" s="160">
        <f>SUM(I163:I165)</f>
        <v>6734.7892412519886</v>
      </c>
      <c r="J167" s="160">
        <f t="shared" ref="J167:L167" si="47">SUM(J163:J165)</f>
        <v>7151.9513313782072</v>
      </c>
      <c r="K167" s="160">
        <f t="shared" si="47"/>
        <v>7586.2425140433743</v>
      </c>
      <c r="L167" s="160">
        <f t="shared" si="47"/>
        <v>8034.9307689933357</v>
      </c>
    </row>
    <row r="170" spans="2:13" x14ac:dyDescent="0.2">
      <c r="B170" s="122" t="s">
        <v>519</v>
      </c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</row>
    <row r="173" spans="2:13" x14ac:dyDescent="0.2">
      <c r="B173" s="123" t="s">
        <v>513</v>
      </c>
      <c r="C173" s="29"/>
      <c r="D173" s="29"/>
      <c r="E173" s="29"/>
      <c r="F173" s="29"/>
      <c r="G173" s="29"/>
      <c r="H173" s="29"/>
    </row>
    <row r="174" spans="2:13" x14ac:dyDescent="0.2">
      <c r="B174" s="124"/>
      <c r="C174" s="125"/>
      <c r="D174" s="125" t="s">
        <v>1</v>
      </c>
      <c r="E174" s="125" t="s">
        <v>2</v>
      </c>
      <c r="F174" s="125" t="s">
        <v>3</v>
      </c>
      <c r="G174" s="125" t="s">
        <v>318</v>
      </c>
      <c r="H174" s="125"/>
    </row>
    <row r="176" spans="2:13" x14ac:dyDescent="0.2">
      <c r="B176" s="3" t="s">
        <v>514</v>
      </c>
      <c r="D176" s="64">
        <f>'Historical Financials'!F51</f>
        <v>696.5</v>
      </c>
      <c r="E176" s="64">
        <f>'Historical Financials'!G51</f>
        <v>801.1</v>
      </c>
      <c r="F176" s="64">
        <f>'Historical Financials'!H51</f>
        <v>921.2</v>
      </c>
      <c r="G176" s="64">
        <f>'Historical Financials'!I51</f>
        <v>973.3</v>
      </c>
    </row>
    <row r="177" spans="2:8" x14ac:dyDescent="0.2">
      <c r="B177" s="84" t="s">
        <v>492</v>
      </c>
      <c r="D177" s="130">
        <f>D176/'Historical Financials'!F10</f>
        <v>2.1571748906701025E-2</v>
      </c>
      <c r="E177" s="130">
        <f>E176/'Historical Financials'!G10</f>
        <v>2.0937988426736644E-2</v>
      </c>
      <c r="F177" s="130">
        <f>F176/'Historical Financials'!H10</f>
        <v>2.236872457961513E-2</v>
      </c>
      <c r="G177" s="162">
        <f>G176/'Historical Financials'!I10</f>
        <v>2.2381504272560866E-2</v>
      </c>
    </row>
    <row r="180" spans="2:8" x14ac:dyDescent="0.2">
      <c r="B180" s="123" t="s">
        <v>517</v>
      </c>
      <c r="C180" s="29"/>
      <c r="D180" s="29"/>
      <c r="E180" s="29"/>
      <c r="F180" s="29"/>
      <c r="G180" s="29"/>
      <c r="H180" s="29"/>
    </row>
    <row r="181" spans="2:8" x14ac:dyDescent="0.2">
      <c r="B181" s="124"/>
      <c r="C181" s="125"/>
      <c r="D181" s="125" t="s">
        <v>1</v>
      </c>
      <c r="E181" s="125" t="s">
        <v>2</v>
      </c>
      <c r="F181" s="125" t="s">
        <v>3</v>
      </c>
      <c r="G181" s="125" t="s">
        <v>318</v>
      </c>
      <c r="H181" s="125"/>
    </row>
    <row r="183" spans="2:8" x14ac:dyDescent="0.2">
      <c r="B183" s="3" t="s">
        <v>518</v>
      </c>
      <c r="D183" s="64">
        <f>'Historical Financials'!F52</f>
        <v>0</v>
      </c>
      <c r="E183" s="64">
        <f>'Historical Financials'!G52</f>
        <v>400.1</v>
      </c>
      <c r="F183" s="64">
        <f>'Historical Financials'!H52</f>
        <v>329.4</v>
      </c>
      <c r="G183" s="64">
        <f>'Historical Financials'!I52</f>
        <v>471.5</v>
      </c>
    </row>
    <row r="184" spans="2:8" x14ac:dyDescent="0.2">
      <c r="B184" s="84" t="s">
        <v>492</v>
      </c>
      <c r="D184" s="130">
        <f>D183/'Historical Financials'!F10</f>
        <v>0</v>
      </c>
      <c r="E184" s="130">
        <f>E183/'Historical Financials'!G10</f>
        <v>1.0457232766867223E-2</v>
      </c>
      <c r="F184" s="130">
        <f>F183/'Historical Financials'!H10</f>
        <v>7.998543070478965E-3</v>
      </c>
      <c r="G184" s="162">
        <f>G183/'Historical Financials'!I10</f>
        <v>1.0842370558422324E-2</v>
      </c>
    </row>
    <row r="187" spans="2:8" x14ac:dyDescent="0.2">
      <c r="B187" s="123" t="s">
        <v>520</v>
      </c>
      <c r="C187" s="29"/>
      <c r="D187" s="29"/>
      <c r="E187" s="29"/>
      <c r="F187" s="29"/>
      <c r="G187" s="29"/>
      <c r="H187" s="29"/>
    </row>
    <row r="188" spans="2:8" x14ac:dyDescent="0.2">
      <c r="B188" s="124"/>
      <c r="C188" s="125"/>
      <c r="D188" s="125" t="s">
        <v>1</v>
      </c>
      <c r="E188" s="125" t="s">
        <v>2</v>
      </c>
      <c r="F188" s="125" t="s">
        <v>3</v>
      </c>
      <c r="G188" s="125" t="s">
        <v>318</v>
      </c>
      <c r="H188" s="125"/>
    </row>
    <row r="190" spans="2:8" x14ac:dyDescent="0.2">
      <c r="B190" s="3" t="s">
        <v>521</v>
      </c>
      <c r="D190" s="64">
        <f>'Historical Financials'!F64</f>
        <v>810.3</v>
      </c>
      <c r="E190" s="64">
        <f>'Historical Financials'!G64</f>
        <v>905.6</v>
      </c>
      <c r="F190" s="64">
        <f>'Historical Financials'!H64</f>
        <v>846.6</v>
      </c>
      <c r="G190" s="64">
        <f>'Historical Financials'!I64</f>
        <v>964.5</v>
      </c>
    </row>
    <row r="191" spans="2:8" x14ac:dyDescent="0.2">
      <c r="B191" s="84" t="s">
        <v>492</v>
      </c>
      <c r="D191" s="130">
        <f>D190/'Historical Financials'!F10</f>
        <v>2.5096321807752821E-2</v>
      </c>
      <c r="E191" s="130">
        <f>E190/'Historical Financials'!G10</f>
        <v>2.3669257669769947E-2</v>
      </c>
      <c r="F191" s="130">
        <f>F190/'Historical Financials'!H10</f>
        <v>2.0557275541795667E-2</v>
      </c>
      <c r="G191" s="162">
        <f>G190/'Historical Financials'!I10</f>
        <v>2.2179144016115232E-2</v>
      </c>
    </row>
    <row r="194" spans="2:13" x14ac:dyDescent="0.2">
      <c r="B194" s="123" t="s">
        <v>523</v>
      </c>
      <c r="C194" s="29"/>
      <c r="D194" s="29"/>
      <c r="E194" s="29"/>
      <c r="F194" s="29"/>
      <c r="G194" s="29"/>
      <c r="H194" s="29"/>
    </row>
    <row r="195" spans="2:13" x14ac:dyDescent="0.2">
      <c r="B195" s="124"/>
      <c r="C195" s="125"/>
      <c r="D195" s="125" t="s">
        <v>1</v>
      </c>
      <c r="E195" s="125" t="s">
        <v>2</v>
      </c>
      <c r="F195" s="125" t="s">
        <v>3</v>
      </c>
      <c r="G195" s="125" t="s">
        <v>318</v>
      </c>
      <c r="H195" s="125"/>
    </row>
    <row r="197" spans="2:13" x14ac:dyDescent="0.2">
      <c r="B197" s="3" t="s">
        <v>524</v>
      </c>
      <c r="D197" s="64">
        <f>'Historical Financials'!F65</f>
        <v>344.8</v>
      </c>
      <c r="E197" s="64">
        <f>'Historical Financials'!G65</f>
        <v>275.60000000000002</v>
      </c>
      <c r="F197" s="64">
        <f>'Historical Financials'!H65</f>
        <v>255.7</v>
      </c>
      <c r="G197" s="64">
        <f>'Historical Financials'!I65</f>
        <v>224.3</v>
      </c>
    </row>
    <row r="198" spans="2:13" x14ac:dyDescent="0.2">
      <c r="B198" s="84" t="s">
        <v>492</v>
      </c>
      <c r="D198" s="130">
        <f>D197/'Historical Financials'!F10</f>
        <v>1.0679022287193847E-2</v>
      </c>
      <c r="E198" s="130">
        <f>E197/'Historical Financials'!G10</f>
        <v>7.2032325682294587E-3</v>
      </c>
      <c r="F198" s="130">
        <f>F197/'Historical Financials'!H10</f>
        <v>6.2089479754750196E-3</v>
      </c>
      <c r="G198" s="130">
        <f>G197/'Historical Financials'!I10</f>
        <v>5.1578869909949688E-3</v>
      </c>
    </row>
    <row r="199" spans="2:13" x14ac:dyDescent="0.2">
      <c r="B199" s="84"/>
      <c r="D199" s="130"/>
      <c r="E199" s="130"/>
      <c r="F199" s="130"/>
      <c r="G199" s="130"/>
    </row>
    <row r="200" spans="2:13" x14ac:dyDescent="0.2">
      <c r="B200" s="84"/>
      <c r="D200" s="130"/>
      <c r="E200" s="130"/>
      <c r="F200" s="130"/>
      <c r="G200" s="130"/>
    </row>
    <row r="201" spans="2:13" x14ac:dyDescent="0.2">
      <c r="B201" s="84"/>
      <c r="D201" s="130"/>
      <c r="E201" s="130"/>
      <c r="F201" s="130"/>
      <c r="G201" s="130"/>
    </row>
    <row r="202" spans="2:13" x14ac:dyDescent="0.2">
      <c r="B202" s="122" t="s">
        <v>540</v>
      </c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</row>
    <row r="203" spans="2:13" x14ac:dyDescent="0.2">
      <c r="B203" s="84"/>
      <c r="D203" s="130"/>
      <c r="E203" s="130"/>
      <c r="F203" s="130"/>
      <c r="G203" s="130"/>
    </row>
    <row r="204" spans="2:13" x14ac:dyDescent="0.2">
      <c r="B204" s="123" t="s">
        <v>541</v>
      </c>
      <c r="C204" s="29"/>
      <c r="D204" s="29"/>
      <c r="E204" s="29"/>
      <c r="F204" s="29"/>
      <c r="G204" s="29"/>
      <c r="H204" s="29"/>
      <c r="I204" s="29"/>
    </row>
    <row r="205" spans="2:13" x14ac:dyDescent="0.2">
      <c r="B205" s="124"/>
      <c r="C205" s="125"/>
      <c r="D205" s="125" t="s">
        <v>1</v>
      </c>
      <c r="E205" s="125" t="s">
        <v>2</v>
      </c>
      <c r="F205" s="125" t="s">
        <v>3</v>
      </c>
      <c r="G205" s="125" t="s">
        <v>318</v>
      </c>
      <c r="H205" s="125"/>
      <c r="I205" s="125"/>
    </row>
    <row r="206" spans="2:13" x14ac:dyDescent="0.2">
      <c r="B206" s="84"/>
      <c r="D206" s="130"/>
      <c r="E206" s="130"/>
      <c r="F206" s="130"/>
      <c r="G206" s="130"/>
    </row>
    <row r="207" spans="2:13" x14ac:dyDescent="0.2">
      <c r="B207" s="84" t="s">
        <v>542</v>
      </c>
      <c r="D207" s="168">
        <f>-'Historical Financials'!F109</f>
        <v>2352.1</v>
      </c>
      <c r="E207" s="168">
        <f>-'Historical Financials'!G109</f>
        <v>2689.9</v>
      </c>
      <c r="F207" s="168">
        <f>-'Historical Financials'!H109</f>
        <v>3425.6</v>
      </c>
      <c r="G207" s="168">
        <f>-'Historical Financials'!I109</f>
        <v>3614.9</v>
      </c>
    </row>
    <row r="208" spans="2:13" x14ac:dyDescent="0.2">
      <c r="B208" s="84" t="s">
        <v>543</v>
      </c>
      <c r="D208" s="168">
        <f>'Historical Financials'!F30</f>
        <v>4597.4999999999964</v>
      </c>
      <c r="E208" s="168">
        <f>'Historical Financials'!G30</f>
        <v>5706.5999999999967</v>
      </c>
      <c r="F208" s="168">
        <f>'Historical Financials'!H30</f>
        <v>6184.0000000000018</v>
      </c>
      <c r="G208" s="168">
        <f>'Historical Financials'!I30</f>
        <v>6408.7000000000062</v>
      </c>
    </row>
    <row r="209" spans="2:9" x14ac:dyDescent="0.2">
      <c r="B209" s="84" t="s">
        <v>544</v>
      </c>
      <c r="D209" s="130">
        <f>D207/D208</f>
        <v>0.51160413268080518</v>
      </c>
      <c r="E209" s="130">
        <f t="shared" ref="E209:G209" si="48">E207/E208</f>
        <v>0.47136648792626112</v>
      </c>
      <c r="F209" s="130">
        <f t="shared" si="48"/>
        <v>0.55394566623544617</v>
      </c>
      <c r="G209" s="130">
        <f t="shared" si="48"/>
        <v>0.56406135409677416</v>
      </c>
    </row>
    <row r="210" spans="2:9" x14ac:dyDescent="0.2">
      <c r="B210" s="84"/>
      <c r="D210" s="130"/>
      <c r="E210" s="130"/>
      <c r="F210" s="130"/>
      <c r="G210" s="130"/>
    </row>
    <row r="211" spans="2:9" x14ac:dyDescent="0.2">
      <c r="B211" s="3" t="s">
        <v>545</v>
      </c>
      <c r="D211" s="170">
        <f>AVERAGE(F209:G209)</f>
        <v>0.55900351016611016</v>
      </c>
    </row>
    <row r="213" spans="2:9" x14ac:dyDescent="0.2">
      <c r="B213" s="123" t="s">
        <v>546</v>
      </c>
      <c r="C213" s="29"/>
      <c r="D213" s="29"/>
      <c r="E213" s="29"/>
      <c r="F213" s="29"/>
      <c r="G213" s="29"/>
      <c r="H213" s="29"/>
      <c r="I213" s="29"/>
    </row>
    <row r="214" spans="2:9" x14ac:dyDescent="0.2">
      <c r="B214" s="124"/>
      <c r="C214" s="125"/>
      <c r="D214" s="125" t="s">
        <v>1</v>
      </c>
      <c r="E214" s="125" t="s">
        <v>2</v>
      </c>
      <c r="F214" s="125" t="s">
        <v>3</v>
      </c>
      <c r="G214" s="125" t="s">
        <v>318</v>
      </c>
      <c r="H214" s="125"/>
      <c r="I214" s="125"/>
    </row>
    <row r="216" spans="2:9" x14ac:dyDescent="0.2">
      <c r="B216" s="1" t="s">
        <v>553</v>
      </c>
      <c r="D216" s="64">
        <f>'Historical Financials'!F110</f>
        <v>-10055.1</v>
      </c>
      <c r="E216" s="64">
        <f>'Historical Financials'!G110</f>
        <v>-399.1</v>
      </c>
      <c r="F216" s="64">
        <f>'Historical Financials'!H110</f>
        <v>-501.8</v>
      </c>
      <c r="G216" s="172">
        <f>'Historical Financials'!I110</f>
        <v>-427.6</v>
      </c>
    </row>
    <row r="219" spans="2:9" x14ac:dyDescent="0.2">
      <c r="B219" s="123" t="s">
        <v>547</v>
      </c>
      <c r="C219" s="29"/>
      <c r="D219" s="29"/>
      <c r="E219" s="29"/>
      <c r="F219" s="29"/>
      <c r="G219" s="29"/>
      <c r="H219" s="29"/>
      <c r="I219" s="29"/>
    </row>
    <row r="220" spans="2:9" x14ac:dyDescent="0.2">
      <c r="B220" s="124"/>
      <c r="C220" s="125"/>
      <c r="D220" s="125" t="s">
        <v>318</v>
      </c>
      <c r="E220" s="125" t="s">
        <v>405</v>
      </c>
      <c r="F220" s="125" t="s">
        <v>406</v>
      </c>
      <c r="G220" s="125" t="s">
        <v>407</v>
      </c>
      <c r="H220" s="125" t="s">
        <v>408</v>
      </c>
      <c r="I220" s="125" t="s">
        <v>409</v>
      </c>
    </row>
    <row r="222" spans="2:9" x14ac:dyDescent="0.2">
      <c r="B222" s="1" t="s">
        <v>548</v>
      </c>
      <c r="E222" s="64">
        <f>D227</f>
        <v>33133.300000000003</v>
      </c>
      <c r="F222" s="64">
        <f>E227</f>
        <v>35753.74913176641</v>
      </c>
      <c r="G222" s="64">
        <f t="shared" ref="G222:I222" si="49">F227</f>
        <v>38571.144228488636</v>
      </c>
      <c r="H222" s="64">
        <f t="shared" si="49"/>
        <v>41591.507206560564</v>
      </c>
      <c r="I222" s="64">
        <f t="shared" si="49"/>
        <v>44814.76958817806</v>
      </c>
    </row>
    <row r="223" spans="2:9" x14ac:dyDescent="0.2">
      <c r="B223" s="1" t="s">
        <v>549</v>
      </c>
      <c r="E223" s="64">
        <f>'Forecast Model'!J29</f>
        <v>6911.7310500918484</v>
      </c>
      <c r="F223" s="64">
        <f>'Forecast Model'!K29</f>
        <v>7358.3240944718564</v>
      </c>
      <c r="G223" s="64">
        <f>'Forecast Model'!L29</f>
        <v>7818.5723867568013</v>
      </c>
      <c r="H223" s="64">
        <f>'Forecast Model'!M29</f>
        <v>8278.6653993383516</v>
      </c>
      <c r="I223" s="64">
        <f>'Forecast Model'!N29</f>
        <v>8741.0646985554304</v>
      </c>
    </row>
    <row r="224" spans="2:9" x14ac:dyDescent="0.2">
      <c r="B224" s="1" t="s">
        <v>550</v>
      </c>
      <c r="E224" s="64">
        <f>-E223*$D$211</f>
        <v>-3863.6819183254379</v>
      </c>
      <c r="F224" s="64">
        <f>-F223*$D$211</f>
        <v>-4113.3289977496315</v>
      </c>
      <c r="G224" s="64">
        <f t="shared" ref="G224:I224" si="50">-G223*$D$211</f>
        <v>-4370.6094086848734</v>
      </c>
      <c r="H224" s="64">
        <f t="shared" si="50"/>
        <v>-4627.8030177208602</v>
      </c>
      <c r="I224" s="64">
        <f t="shared" si="50"/>
        <v>-4886.285849081557</v>
      </c>
    </row>
    <row r="225" spans="2:13" x14ac:dyDescent="0.2">
      <c r="B225" s="1" t="s">
        <v>551</v>
      </c>
      <c r="E225" s="64">
        <f>$G$216</f>
        <v>-427.6</v>
      </c>
      <c r="F225" s="64">
        <f>$G$216</f>
        <v>-427.6</v>
      </c>
      <c r="G225" s="64">
        <f t="shared" ref="G225:I225" si="51">$G$216</f>
        <v>-427.6</v>
      </c>
      <c r="H225" s="64">
        <f t="shared" si="51"/>
        <v>-427.6</v>
      </c>
      <c r="I225" s="64">
        <f t="shared" si="51"/>
        <v>-427.6</v>
      </c>
    </row>
    <row r="226" spans="2:13" x14ac:dyDescent="0.2">
      <c r="E226" s="64"/>
      <c r="F226" s="64"/>
      <c r="G226" s="64"/>
      <c r="H226" s="64"/>
      <c r="I226" s="64"/>
    </row>
    <row r="227" spans="2:13" x14ac:dyDescent="0.2">
      <c r="B227" s="1" t="s">
        <v>552</v>
      </c>
      <c r="D227" s="64">
        <f>'Historical Financials'!I76</f>
        <v>33133.300000000003</v>
      </c>
      <c r="E227" s="160">
        <f>SUM(E222:E225)</f>
        <v>35753.74913176641</v>
      </c>
      <c r="F227" s="160">
        <f>SUM(F222:F225)</f>
        <v>38571.144228488636</v>
      </c>
      <c r="G227" s="160">
        <f t="shared" ref="G227:I227" si="52">SUM(G222:G225)</f>
        <v>41591.507206560564</v>
      </c>
      <c r="H227" s="160">
        <f t="shared" si="52"/>
        <v>44814.76958817806</v>
      </c>
      <c r="I227" s="160">
        <f t="shared" si="52"/>
        <v>48241.948437651932</v>
      </c>
    </row>
    <row r="230" spans="2:13" x14ac:dyDescent="0.2">
      <c r="B230" s="122" t="s">
        <v>560</v>
      </c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</row>
    <row r="233" spans="2:13" x14ac:dyDescent="0.2">
      <c r="B233" s="123" t="s">
        <v>533</v>
      </c>
      <c r="C233" s="29"/>
      <c r="D233" s="29"/>
      <c r="E233" s="29"/>
      <c r="F233" s="29"/>
      <c r="G233" s="29"/>
      <c r="H233" s="29"/>
    </row>
    <row r="234" spans="2:13" x14ac:dyDescent="0.2">
      <c r="B234" s="124"/>
      <c r="C234" s="125"/>
      <c r="D234" s="125" t="s">
        <v>1</v>
      </c>
      <c r="E234" s="125" t="s">
        <v>2</v>
      </c>
      <c r="F234" s="125" t="s">
        <v>3</v>
      </c>
      <c r="G234" s="125" t="s">
        <v>318</v>
      </c>
      <c r="H234" s="125"/>
    </row>
    <row r="236" spans="2:13" x14ac:dyDescent="0.2">
      <c r="B236" s="1" t="s">
        <v>534</v>
      </c>
      <c r="D236" s="64">
        <f>'Historical Financials'!F58</f>
        <v>5042.2</v>
      </c>
      <c r="E236" s="64">
        <f>'Historical Financials'!G58</f>
        <v>1419.8</v>
      </c>
      <c r="F236" s="64">
        <f>'Historical Financials'!H58</f>
        <v>2551.3000000000002</v>
      </c>
      <c r="G236" s="64">
        <f>'Historical Financials'!I58</f>
        <v>1849.9</v>
      </c>
    </row>
    <row r="237" spans="2:13" x14ac:dyDescent="0.2">
      <c r="B237" s="165" t="s">
        <v>535</v>
      </c>
      <c r="C237" s="165"/>
      <c r="D237" s="166">
        <f>'Historical Financials'!F63</f>
        <v>1258.2</v>
      </c>
      <c r="E237" s="166">
        <f>'Historical Financials'!G63</f>
        <v>4231.1000000000004</v>
      </c>
      <c r="F237" s="166">
        <f>'Historical Financials'!H63</f>
        <v>6140.9</v>
      </c>
      <c r="G237" s="166">
        <f>'Historical Financials'!I63</f>
        <v>6645.1</v>
      </c>
    </row>
    <row r="238" spans="2:13" x14ac:dyDescent="0.2">
      <c r="B238" s="3" t="s">
        <v>468</v>
      </c>
      <c r="D238" s="66">
        <f>SUM(D236:D237)</f>
        <v>6300.4</v>
      </c>
      <c r="E238" s="66">
        <f>SUM(E236:E237)</f>
        <v>5650.9000000000005</v>
      </c>
      <c r="F238" s="66">
        <f>SUM(F236:F237)</f>
        <v>8692.2000000000007</v>
      </c>
      <c r="G238" s="66">
        <f>SUM(G236:G237)</f>
        <v>8495</v>
      </c>
    </row>
    <row r="240" spans="2:13" x14ac:dyDescent="0.2">
      <c r="B240" s="3" t="s">
        <v>536</v>
      </c>
    </row>
    <row r="241" spans="2:8" x14ac:dyDescent="0.2">
      <c r="B241" s="1" t="s">
        <v>537</v>
      </c>
      <c r="D241" s="77">
        <f>D236/D238</f>
        <v>0.80029839375277767</v>
      </c>
      <c r="E241" s="77">
        <f t="shared" ref="E241:G241" si="53">E236/E238</f>
        <v>0.25125201295368876</v>
      </c>
      <c r="F241" s="77">
        <f t="shared" si="53"/>
        <v>0.29351602586226733</v>
      </c>
      <c r="G241" s="167">
        <f t="shared" si="53"/>
        <v>0.2177633902295468</v>
      </c>
    </row>
    <row r="242" spans="2:8" x14ac:dyDescent="0.2">
      <c r="B242" s="1" t="s">
        <v>538</v>
      </c>
      <c r="D242" s="77">
        <f>D237/D238</f>
        <v>0.19970160624722241</v>
      </c>
      <c r="E242" s="77">
        <f t="shared" ref="E242:G242" si="54">E237/E238</f>
        <v>0.74874798704631118</v>
      </c>
      <c r="F242" s="77">
        <f t="shared" si="54"/>
        <v>0.70648397413773256</v>
      </c>
      <c r="G242" s="167">
        <f t="shared" si="54"/>
        <v>0.78223660977045328</v>
      </c>
    </row>
    <row r="245" spans="2:8" x14ac:dyDescent="0.2">
      <c r="B245" s="3" t="s">
        <v>539</v>
      </c>
      <c r="D245" s="168">
        <f>D238/'Historical Financials'!F76</f>
        <v>0.26712796313020182</v>
      </c>
      <c r="E245" s="168">
        <f>E238/'Historical Financials'!G76</f>
        <v>0.20791802343764371</v>
      </c>
      <c r="F245" s="168">
        <f>F238/'Historical Financials'!H76</f>
        <v>0.29896506536700801</v>
      </c>
      <c r="G245" s="169">
        <f>G238/'Historical Financials'!I76</f>
        <v>0.25638858791608438</v>
      </c>
    </row>
    <row r="246" spans="2:8" x14ac:dyDescent="0.2">
      <c r="B246" s="3" t="s">
        <v>554</v>
      </c>
      <c r="D246" s="117">
        <f>D238/('Historical Financials'!F17-'Historical Financials'!F15)</f>
        <v>0.8276170084201403</v>
      </c>
      <c r="E246" s="117">
        <f>E238/('Historical Financials'!G17-'Historical Financials'!G15)</f>
        <v>0.66354712195580212</v>
      </c>
      <c r="F246" s="117">
        <f>F238/('Historical Financials'!H17-'Historical Financials'!H15)</f>
        <v>0.915700981838102</v>
      </c>
      <c r="G246" s="117">
        <f>G238/('Historical Financials'!I17-'Historical Financials'!I15)</f>
        <v>0.82688470336302078</v>
      </c>
    </row>
    <row r="249" spans="2:8" x14ac:dyDescent="0.2">
      <c r="B249" s="123" t="s">
        <v>555</v>
      </c>
      <c r="C249" s="29"/>
      <c r="D249" s="29"/>
      <c r="E249" s="29"/>
      <c r="F249" s="29"/>
      <c r="G249" s="29"/>
      <c r="H249" s="29"/>
    </row>
    <row r="250" spans="2:8" x14ac:dyDescent="0.2">
      <c r="B250" s="124"/>
      <c r="C250" s="125"/>
      <c r="D250" s="125" t="s">
        <v>405</v>
      </c>
      <c r="E250" s="125" t="s">
        <v>406</v>
      </c>
      <c r="F250" s="125" t="s">
        <v>407</v>
      </c>
      <c r="G250" s="125" t="s">
        <v>408</v>
      </c>
      <c r="H250" s="125" t="s">
        <v>409</v>
      </c>
    </row>
    <row r="252" spans="2:8" x14ac:dyDescent="0.2">
      <c r="B252" s="1" t="s">
        <v>375</v>
      </c>
      <c r="D252" s="64">
        <f>E227</f>
        <v>35753.74913176641</v>
      </c>
      <c r="E252" s="64">
        <f t="shared" ref="E252:H252" si="55">F227</f>
        <v>38571.144228488636</v>
      </c>
      <c r="F252" s="64">
        <f t="shared" si="55"/>
        <v>41591.507206560564</v>
      </c>
      <c r="G252" s="64">
        <f t="shared" si="55"/>
        <v>44814.76958817806</v>
      </c>
      <c r="H252" s="64">
        <f t="shared" si="55"/>
        <v>48241.948437651932</v>
      </c>
    </row>
    <row r="254" spans="2:8" x14ac:dyDescent="0.2">
      <c r="B254" s="3" t="s">
        <v>556</v>
      </c>
      <c r="D254" s="115">
        <f>D252*$G$245</f>
        <v>9166.8532525995179</v>
      </c>
      <c r="E254" s="115">
        <f t="shared" ref="E254:H254" si="56">E252*$G$245</f>
        <v>9889.2012030498299</v>
      </c>
      <c r="F254" s="115">
        <f t="shared" si="56"/>
        <v>10663.587801991711</v>
      </c>
      <c r="G254" s="115">
        <f t="shared" si="56"/>
        <v>11489.995492497656</v>
      </c>
      <c r="H254" s="115">
        <f t="shared" si="56"/>
        <v>12368.685038250132</v>
      </c>
    </row>
    <row r="255" spans="2:8" x14ac:dyDescent="0.2">
      <c r="B255" s="3" t="s">
        <v>557</v>
      </c>
      <c r="D255" s="115">
        <f>$G$241*D254</f>
        <v>1996.205042022819</v>
      </c>
      <c r="E255" s="115">
        <f t="shared" ref="E255:H255" si="57">$G$241*E254</f>
        <v>2153.5059806382437</v>
      </c>
      <c r="F255" s="115">
        <f t="shared" si="57"/>
        <v>2322.1390317721562</v>
      </c>
      <c r="G255" s="115">
        <f t="shared" si="57"/>
        <v>2502.1003721685006</v>
      </c>
      <c r="H255" s="115">
        <f t="shared" si="57"/>
        <v>2693.4467866108207</v>
      </c>
    </row>
    <row r="256" spans="2:8" x14ac:dyDescent="0.2">
      <c r="B256" s="3" t="s">
        <v>558</v>
      </c>
      <c r="D256" s="115">
        <f>$G$242*D254</f>
        <v>7170.6482105766991</v>
      </c>
      <c r="E256" s="115">
        <f t="shared" ref="E256:H256" si="58">$G$242*E254</f>
        <v>7735.6952224115867</v>
      </c>
      <c r="F256" s="115">
        <f t="shared" si="58"/>
        <v>8341.4487702195547</v>
      </c>
      <c r="G256" s="115">
        <f t="shared" si="58"/>
        <v>8987.8951203291563</v>
      </c>
      <c r="H256" s="115">
        <f t="shared" si="58"/>
        <v>9675.2382516393136</v>
      </c>
    </row>
    <row r="259" spans="2:8" x14ac:dyDescent="0.2">
      <c r="B259" s="3" t="s">
        <v>559</v>
      </c>
      <c r="D259" s="115">
        <f>D254*$G$64</f>
        <v>402.9314896433973</v>
      </c>
      <c r="E259" s="115">
        <f t="shared" ref="E259:H259" si="59">E254*$G$64</f>
        <v>434.68248725353811</v>
      </c>
      <c r="F259" s="115">
        <f t="shared" si="59"/>
        <v>468.72085759431485</v>
      </c>
      <c r="G259" s="115">
        <f t="shared" si="59"/>
        <v>505.04582894627714</v>
      </c>
      <c r="H259" s="115">
        <f t="shared" si="59"/>
        <v>543.66886324692166</v>
      </c>
    </row>
  </sheetData>
  <pageMargins left="0.7" right="0.7" top="0.75" bottom="0.75" header="0.3" footer="0.3"/>
  <ignoredErrors>
    <ignoredError sqref="G37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2E258-AB41-1742-929B-40699BF92EDB}">
  <sheetPr>
    <tabColor rgb="FFBF8F00"/>
  </sheetPr>
  <dimension ref="B3:N122"/>
  <sheetViews>
    <sheetView topLeftCell="A57" zoomScale="125" workbookViewId="0">
      <selection activeCell="J83" sqref="J83"/>
    </sheetView>
  </sheetViews>
  <sheetFormatPr baseColWidth="10" defaultRowHeight="16" x14ac:dyDescent="0.2"/>
  <cols>
    <col min="1" max="1" width="3.1640625" style="1" customWidth="1"/>
    <col min="2" max="5" width="10.83203125" style="1"/>
    <col min="6" max="6" width="13" style="1" customWidth="1"/>
    <col min="7" max="16384" width="10.83203125" style="1"/>
  </cols>
  <sheetData>
    <row r="3" spans="2:14" ht="19" x14ac:dyDescent="0.25">
      <c r="B3" s="174" t="s">
        <v>429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</row>
    <row r="4" spans="2:14" x14ac:dyDescent="0.2">
      <c r="J4" s="112"/>
      <c r="K4" s="112"/>
      <c r="L4" s="112"/>
      <c r="M4" s="112"/>
      <c r="N4" s="112"/>
    </row>
    <row r="5" spans="2:14" x14ac:dyDescent="0.2">
      <c r="B5" s="85" t="s">
        <v>430</v>
      </c>
      <c r="F5" s="113" t="s">
        <v>1</v>
      </c>
      <c r="G5" s="114" t="s">
        <v>2</v>
      </c>
      <c r="H5" s="114" t="s">
        <v>3</v>
      </c>
      <c r="I5" s="114" t="s">
        <v>318</v>
      </c>
      <c r="J5" s="114" t="s">
        <v>405</v>
      </c>
      <c r="K5" s="114" t="s">
        <v>406</v>
      </c>
      <c r="L5" s="114" t="s">
        <v>407</v>
      </c>
      <c r="M5" s="114" t="s">
        <v>408</v>
      </c>
      <c r="N5" s="114" t="s">
        <v>409</v>
      </c>
    </row>
    <row r="6" spans="2:14" x14ac:dyDescent="0.2">
      <c r="B6" s="85" t="s">
        <v>431</v>
      </c>
    </row>
    <row r="8" spans="2:14" x14ac:dyDescent="0.2">
      <c r="B8" s="1" t="s">
        <v>4</v>
      </c>
      <c r="F8" s="65">
        <v>32287.599999999999</v>
      </c>
      <c r="G8" s="65">
        <v>38260.6</v>
      </c>
      <c r="H8" s="65">
        <v>41182.5</v>
      </c>
      <c r="I8" s="65">
        <v>43486.8</v>
      </c>
      <c r="J8" s="115">
        <f>'Supporting Schedules'!J52</f>
        <v>46014.451500000003</v>
      </c>
      <c r="K8" s="115">
        <f>'Supporting Schedules'!K52</f>
        <v>48871.600630000001</v>
      </c>
      <c r="L8" s="115">
        <f>'Supporting Schedules'!L52</f>
        <v>51826.999370549995</v>
      </c>
      <c r="M8" s="115">
        <f>'Supporting Schedules'!M52</f>
        <v>54801.483995657996</v>
      </c>
      <c r="N8" s="115">
        <f>'Supporting Schedules'!N52</f>
        <v>57805.125507934441</v>
      </c>
    </row>
    <row r="9" spans="2:14" x14ac:dyDescent="0.2">
      <c r="B9" s="1" t="s">
        <v>5</v>
      </c>
      <c r="F9" s="65">
        <v>-7011.4</v>
      </c>
      <c r="G9" s="65">
        <v>-9427.4</v>
      </c>
      <c r="H9" s="65">
        <v>-9386.5</v>
      </c>
      <c r="I9" s="65">
        <v>-9640.7000000000007</v>
      </c>
      <c r="J9" s="115">
        <f>J10-J8</f>
        <v>-10344.440787900916</v>
      </c>
      <c r="K9" s="115">
        <f t="shared" ref="K9:N9" si="0">K10-K8</f>
        <v>-10986.752258189503</v>
      </c>
      <c r="L9" s="115">
        <f t="shared" si="0"/>
        <v>-11651.151078117982</v>
      </c>
      <c r="M9" s="115">
        <f t="shared" si="0"/>
        <v>-12319.840567526575</v>
      </c>
      <c r="N9" s="115">
        <f t="shared" si="0"/>
        <v>-12995.084773617455</v>
      </c>
    </row>
    <row r="10" spans="2:14" x14ac:dyDescent="0.2">
      <c r="B10" s="3" t="s">
        <v>6</v>
      </c>
      <c r="F10" s="66">
        <f>SUM(F8:F9)</f>
        <v>25276.199999999997</v>
      </c>
      <c r="G10" s="66">
        <f t="shared" ref="G10:I10" si="1">SUM(G8:G9)</f>
        <v>28833.199999999997</v>
      </c>
      <c r="H10" s="66">
        <f t="shared" si="1"/>
        <v>31796</v>
      </c>
      <c r="I10" s="66">
        <f t="shared" si="1"/>
        <v>33846.100000000006</v>
      </c>
      <c r="J10" s="116">
        <f>J8*'Master Assumptions'!F12</f>
        <v>35670.010712099087</v>
      </c>
      <c r="K10" s="116">
        <f>K8*'Master Assumptions'!G12</f>
        <v>37884.848371810498</v>
      </c>
      <c r="L10" s="116">
        <f>L8*'Master Assumptions'!H12</f>
        <v>40175.848292432012</v>
      </c>
      <c r="M10" s="116">
        <f>M8*'Master Assumptions'!I12</f>
        <v>42481.643428131421</v>
      </c>
      <c r="N10" s="116">
        <f>N8*'Master Assumptions'!J12</f>
        <v>44810.040734316986</v>
      </c>
    </row>
    <row r="11" spans="2:14" x14ac:dyDescent="0.2">
      <c r="F11" s="64"/>
      <c r="G11" s="64"/>
      <c r="H11" s="64"/>
      <c r="I11" s="64"/>
    </row>
    <row r="12" spans="2:14" x14ac:dyDescent="0.2">
      <c r="B12" s="1" t="s">
        <v>7</v>
      </c>
      <c r="F12" s="65">
        <v>-17709.5</v>
      </c>
      <c r="G12" s="65">
        <v>-20317</v>
      </c>
      <c r="H12" s="65">
        <v>-22303.599999999999</v>
      </c>
      <c r="I12" s="65">
        <v>-23572.6</v>
      </c>
      <c r="J12" s="115">
        <f>-J8*'Master Assumptions'!F15</f>
        <v>-24931.616675836496</v>
      </c>
      <c r="K12" s="115">
        <f>-K8*'Master Assumptions'!G15</f>
        <v>-26479.681350580249</v>
      </c>
      <c r="L12" s="115">
        <f>-L8*'Master Assumptions'!H15</f>
        <v>-28080.979771439233</v>
      </c>
      <c r="M12" s="115">
        <f>-M8*'Master Assumptions'!I15</f>
        <v>-29692.619333878916</v>
      </c>
      <c r="N12" s="115">
        <f>-N8*'Master Assumptions'!J15</f>
        <v>-31320.056723102301</v>
      </c>
    </row>
    <row r="13" spans="2:14" x14ac:dyDescent="0.2">
      <c r="B13" s="1" t="s">
        <v>8</v>
      </c>
      <c r="F13" s="65">
        <v>-1459.1</v>
      </c>
      <c r="G13" s="65">
        <v>-1474.2</v>
      </c>
      <c r="H13" s="65">
        <v>-1429.7</v>
      </c>
      <c r="I13" s="65">
        <v>-1586.7</v>
      </c>
      <c r="J13" s="115">
        <f>'Supporting Schedules'!H165</f>
        <v>-1326.5894138594638</v>
      </c>
      <c r="K13" s="115">
        <f>'Supporting Schedules'!I165</f>
        <v>-1409.6620632376844</v>
      </c>
      <c r="L13" s="115">
        <f>'Supporting Schedules'!J165</f>
        <v>-1497.7368926472707</v>
      </c>
      <c r="M13" s="115">
        <f>'Supporting Schedules'!K165</f>
        <v>-1590.5087716496391</v>
      </c>
      <c r="N13" s="115">
        <f>'Supporting Schedules'!L165</f>
        <v>-1687.0899567660003</v>
      </c>
    </row>
    <row r="14" spans="2:14" x14ac:dyDescent="0.2">
      <c r="B14" s="1" t="s">
        <v>319</v>
      </c>
      <c r="F14" s="65">
        <v>46</v>
      </c>
      <c r="G14" s="65">
        <v>0</v>
      </c>
      <c r="H14" s="65">
        <v>0</v>
      </c>
      <c r="I14" s="65">
        <v>0</v>
      </c>
      <c r="J14" s="115">
        <f>I14</f>
        <v>0</v>
      </c>
      <c r="K14" s="115">
        <f t="shared" ref="K14:N14" si="2">J14</f>
        <v>0</v>
      </c>
      <c r="L14" s="115">
        <f t="shared" si="2"/>
        <v>0</v>
      </c>
      <c r="M14" s="115">
        <f t="shared" si="2"/>
        <v>0</v>
      </c>
      <c r="N14" s="115">
        <f t="shared" si="2"/>
        <v>0</v>
      </c>
    </row>
    <row r="15" spans="2:14" x14ac:dyDescent="0.2">
      <c r="B15" s="5" t="s">
        <v>9</v>
      </c>
      <c r="F15" s="66">
        <f>SUM(F10:F14)</f>
        <v>6153.5999999999967</v>
      </c>
      <c r="G15" s="66">
        <f t="shared" ref="G15:I15" si="3">SUM(G10:G14)</f>
        <v>7041.9999999999973</v>
      </c>
      <c r="H15" s="66">
        <f t="shared" si="3"/>
        <v>8062.7000000000016</v>
      </c>
      <c r="I15" s="66">
        <f t="shared" si="3"/>
        <v>8686.8000000000065</v>
      </c>
      <c r="J15" s="116">
        <f>SUM(J10:J14)</f>
        <v>9411.8046224031277</v>
      </c>
      <c r="K15" s="116">
        <f t="shared" ref="K15:N15" si="4">SUM(K10:K14)</f>
        <v>9995.5049579925653</v>
      </c>
      <c r="L15" s="116">
        <f t="shared" si="4"/>
        <v>10597.131628345509</v>
      </c>
      <c r="M15" s="116">
        <f t="shared" si="4"/>
        <v>11198.515322602867</v>
      </c>
      <c r="N15" s="116">
        <f t="shared" si="4"/>
        <v>11802.894054448685</v>
      </c>
    </row>
    <row r="16" spans="2:14" x14ac:dyDescent="0.2">
      <c r="F16" s="64"/>
      <c r="G16" s="64"/>
      <c r="H16" s="64"/>
      <c r="I16" s="64"/>
      <c r="J16" s="117"/>
      <c r="K16" s="117"/>
      <c r="L16" s="117"/>
      <c r="M16" s="117"/>
      <c r="N16" s="117"/>
    </row>
    <row r="17" spans="2:14" x14ac:dyDescent="0.2">
      <c r="B17" s="1" t="s">
        <v>10</v>
      </c>
      <c r="F17" s="65">
        <v>18.5</v>
      </c>
      <c r="G17" s="65">
        <v>69.8</v>
      </c>
      <c r="H17" s="65">
        <v>162.1</v>
      </c>
      <c r="I17" s="65">
        <v>148.69999999999999</v>
      </c>
      <c r="J17" s="115"/>
      <c r="K17" s="115"/>
      <c r="L17" s="115"/>
      <c r="M17" s="115"/>
      <c r="N17" s="115"/>
    </row>
    <row r="18" spans="2:14" x14ac:dyDescent="0.2">
      <c r="B18" s="1" t="s">
        <v>11</v>
      </c>
      <c r="F18" s="65">
        <v>-38</v>
      </c>
      <c r="G18" s="65">
        <v>-70.400000000000006</v>
      </c>
      <c r="H18" s="65">
        <v>-226.7</v>
      </c>
      <c r="I18" s="65">
        <v>-373.4</v>
      </c>
      <c r="J18" s="115">
        <v>-295.12552537497203</v>
      </c>
      <c r="K18" s="115">
        <v>-295.12552537497203</v>
      </c>
      <c r="L18" s="115">
        <v>-295.12552537497203</v>
      </c>
      <c r="M18" s="115">
        <v>-295.12552537497203</v>
      </c>
      <c r="N18" s="115">
        <v>-295.12552537497203</v>
      </c>
    </row>
    <row r="19" spans="2:14" x14ac:dyDescent="0.2">
      <c r="B19" s="1" t="s">
        <v>12</v>
      </c>
      <c r="F19" s="65">
        <v>458.9</v>
      </c>
      <c r="G19" s="65">
        <v>820.4</v>
      </c>
      <c r="H19" s="65">
        <v>408</v>
      </c>
      <c r="I19" s="65">
        <v>379.3</v>
      </c>
      <c r="J19" s="118">
        <f>I19*(1+1%)</f>
        <v>383.09300000000002</v>
      </c>
      <c r="K19" s="118">
        <f t="shared" ref="K19:N19" si="5">J19*(1+1%)</f>
        <v>386.92393000000004</v>
      </c>
      <c r="L19" s="118">
        <f t="shared" si="5"/>
        <v>390.79316930000005</v>
      </c>
      <c r="M19" s="118">
        <f t="shared" si="5"/>
        <v>394.70110099300007</v>
      </c>
      <c r="N19" s="118">
        <f t="shared" si="5"/>
        <v>398.64811200293008</v>
      </c>
    </row>
    <row r="20" spans="2:14" x14ac:dyDescent="0.2">
      <c r="B20" s="1" t="s">
        <v>320</v>
      </c>
      <c r="F20" s="65">
        <v>-545.70000000000005</v>
      </c>
      <c r="G20" s="65">
        <v>-251.2</v>
      </c>
      <c r="H20" s="65">
        <v>-405.1</v>
      </c>
      <c r="I20" s="65">
        <v>-408.5</v>
      </c>
      <c r="J20" s="150">
        <f>AVERAGE(H20:I20)</f>
        <v>-406.8</v>
      </c>
      <c r="K20" s="150">
        <f>J20</f>
        <v>-406.8</v>
      </c>
      <c r="L20" s="150">
        <f t="shared" ref="L20:N20" si="6">K20</f>
        <v>-406.8</v>
      </c>
      <c r="M20" s="150">
        <f t="shared" si="6"/>
        <v>-406.8</v>
      </c>
      <c r="N20" s="150">
        <f t="shared" si="6"/>
        <v>-406.8</v>
      </c>
    </row>
    <row r="21" spans="2:14" x14ac:dyDescent="0.2">
      <c r="B21" s="5" t="s">
        <v>13</v>
      </c>
      <c r="F21" s="66">
        <f>SUM(F15:F20)</f>
        <v>6047.2999999999965</v>
      </c>
      <c r="G21" s="66">
        <f t="shared" ref="G21:I21" si="7">SUM(G15:G20)</f>
        <v>7610.5999999999976</v>
      </c>
      <c r="H21" s="66">
        <f t="shared" si="7"/>
        <v>8001.0000000000018</v>
      </c>
      <c r="I21" s="66">
        <f t="shared" si="7"/>
        <v>8432.9000000000069</v>
      </c>
      <c r="J21" s="116">
        <f>SUM(J15:J20)</f>
        <v>9092.9720970281578</v>
      </c>
      <c r="K21" s="116">
        <f t="shared" ref="K21:N21" si="8">SUM(K15:K20)</f>
        <v>9680.5033626175955</v>
      </c>
      <c r="L21" s="116">
        <f t="shared" si="8"/>
        <v>10285.999272270539</v>
      </c>
      <c r="M21" s="116">
        <f t="shared" si="8"/>
        <v>10891.290898220896</v>
      </c>
      <c r="N21" s="116">
        <f t="shared" si="8"/>
        <v>11499.616641076644</v>
      </c>
    </row>
    <row r="22" spans="2:14" x14ac:dyDescent="0.2">
      <c r="F22" s="64"/>
      <c r="G22" s="64"/>
      <c r="H22" s="64"/>
      <c r="I22" s="64"/>
      <c r="J22" s="115"/>
      <c r="K22" s="115"/>
      <c r="L22" s="115"/>
      <c r="M22" s="115"/>
      <c r="N22" s="115"/>
    </row>
    <row r="23" spans="2:14" x14ac:dyDescent="0.2">
      <c r="B23" s="1" t="s">
        <v>14</v>
      </c>
      <c r="F23" s="65">
        <v>-1445.3</v>
      </c>
      <c r="G23" s="65">
        <v>-1899.4</v>
      </c>
      <c r="H23" s="65">
        <v>-1810.7</v>
      </c>
      <c r="I23" s="65">
        <v>-2015.1</v>
      </c>
      <c r="J23" s="115">
        <f>-J21*'Master Assumptions'!F24</f>
        <v>-2172.828810103455</v>
      </c>
      <c r="K23" s="115">
        <f>-K21*'Master Assumptions'!G24</f>
        <v>-2313.2234849234192</v>
      </c>
      <c r="L23" s="115">
        <f>-L21*'Master Assumptions'!H24</f>
        <v>-2457.9109361610294</v>
      </c>
      <c r="M23" s="115">
        <f>-M21*'Master Assumptions'!I24</f>
        <v>-2602.549572389677</v>
      </c>
      <c r="N23" s="115">
        <f>-N21*'Master Assumptions'!J24</f>
        <v>-2747.9132319170776</v>
      </c>
    </row>
    <row r="24" spans="2:14" x14ac:dyDescent="0.2">
      <c r="B24" s="1" t="s">
        <v>15</v>
      </c>
      <c r="F24" s="65">
        <v>0.6</v>
      </c>
      <c r="G24" s="65">
        <v>1.4</v>
      </c>
      <c r="H24" s="65">
        <v>0.2</v>
      </c>
      <c r="I24" s="65">
        <v>-1.3</v>
      </c>
      <c r="J24" s="119">
        <f>0</f>
        <v>0</v>
      </c>
      <c r="K24" s="119">
        <f>0</f>
        <v>0</v>
      </c>
      <c r="L24" s="119">
        <f>0</f>
        <v>0</v>
      </c>
      <c r="M24" s="119">
        <f>0</f>
        <v>0</v>
      </c>
      <c r="N24" s="119">
        <f>0</f>
        <v>0</v>
      </c>
    </row>
    <row r="25" spans="2:14" x14ac:dyDescent="0.2">
      <c r="B25" s="5" t="s">
        <v>321</v>
      </c>
      <c r="F25" s="66">
        <f>SUM(F21:F24)</f>
        <v>4602.5999999999967</v>
      </c>
      <c r="G25" s="66">
        <f t="shared" ref="G25:I25" si="9">SUM(G21:G24)</f>
        <v>5712.5999999999967</v>
      </c>
      <c r="H25" s="66">
        <f t="shared" si="9"/>
        <v>6190.5000000000018</v>
      </c>
      <c r="I25" s="66">
        <f t="shared" si="9"/>
        <v>6416.5000000000064</v>
      </c>
      <c r="J25" s="116">
        <f>SUM(J21:J24)</f>
        <v>6920.1432869247028</v>
      </c>
      <c r="K25" s="116">
        <f t="shared" ref="K25:N25" si="10">SUM(K21:K24)</f>
        <v>7367.2798776941763</v>
      </c>
      <c r="L25" s="116">
        <f t="shared" si="10"/>
        <v>7828.0883361095093</v>
      </c>
      <c r="M25" s="116">
        <f t="shared" si="10"/>
        <v>8288.741325831219</v>
      </c>
      <c r="N25" s="116">
        <f t="shared" si="10"/>
        <v>8751.7034091595669</v>
      </c>
    </row>
    <row r="27" spans="2:14" x14ac:dyDescent="0.2">
      <c r="B27" s="1" t="s">
        <v>322</v>
      </c>
      <c r="F27" s="65">
        <v>-5.0999999999999996</v>
      </c>
      <c r="G27" s="65">
        <v>-6</v>
      </c>
      <c r="H27" s="65">
        <v>-6.5</v>
      </c>
      <c r="I27" s="65">
        <v>-7.8</v>
      </c>
      <c r="J27" s="64">
        <f>-J28*J25</f>
        <v>-8.4122368328547701</v>
      </c>
      <c r="K27" s="64">
        <f t="shared" ref="K27:N27" si="11">-K28*K25</f>
        <v>-8.9557832223197256</v>
      </c>
      <c r="L27" s="64">
        <f t="shared" si="11"/>
        <v>-9.5159493527085033</v>
      </c>
      <c r="M27" s="64">
        <f t="shared" si="11"/>
        <v>-10.075926492867364</v>
      </c>
      <c r="N27" s="64">
        <f t="shared" si="11"/>
        <v>-10.638710604136921</v>
      </c>
    </row>
    <row r="28" spans="2:14" x14ac:dyDescent="0.2">
      <c r="B28" s="84" t="s">
        <v>475</v>
      </c>
      <c r="F28" s="154">
        <f>-F27/F25</f>
        <v>1.1080693521053325E-3</v>
      </c>
      <c r="G28" s="154">
        <f t="shared" ref="G28:I28" si="12">-G27/G25</f>
        <v>1.0503098414032146E-3</v>
      </c>
      <c r="H28" s="154">
        <f t="shared" si="12"/>
        <v>1.0499959615539937E-3</v>
      </c>
      <c r="I28" s="154">
        <f t="shared" si="12"/>
        <v>1.2156159900257137E-3</v>
      </c>
      <c r="J28" s="138">
        <f>I28</f>
        <v>1.2156159900257137E-3</v>
      </c>
      <c r="K28" s="138">
        <f t="shared" ref="K28:N28" si="13">J28</f>
        <v>1.2156159900257137E-3</v>
      </c>
      <c r="L28" s="138">
        <f t="shared" si="13"/>
        <v>1.2156159900257137E-3</v>
      </c>
      <c r="M28" s="138">
        <f t="shared" si="13"/>
        <v>1.2156159900257137E-3</v>
      </c>
      <c r="N28" s="138">
        <f t="shared" si="13"/>
        <v>1.2156159900257137E-3</v>
      </c>
    </row>
    <row r="29" spans="2:14" x14ac:dyDescent="0.2">
      <c r="B29" s="3" t="s">
        <v>16</v>
      </c>
      <c r="F29" s="66">
        <f>SUM(F25:F27)</f>
        <v>4597.4999999999964</v>
      </c>
      <c r="G29" s="66">
        <f t="shared" ref="G29:I29" si="14">SUM(G25:G27)</f>
        <v>5706.5999999999967</v>
      </c>
      <c r="H29" s="66">
        <f t="shared" si="14"/>
        <v>6184.0000000000018</v>
      </c>
      <c r="I29" s="66">
        <f t="shared" si="14"/>
        <v>6408.7000000000062</v>
      </c>
      <c r="J29" s="116">
        <f>J25+J27</f>
        <v>6911.7310500918484</v>
      </c>
      <c r="K29" s="116">
        <f t="shared" ref="K29:N29" si="15">K25+K27</f>
        <v>7358.3240944718564</v>
      </c>
      <c r="L29" s="116">
        <f t="shared" si="15"/>
        <v>7818.5723867568013</v>
      </c>
      <c r="M29" s="116">
        <f t="shared" si="15"/>
        <v>8278.6653993383516</v>
      </c>
      <c r="N29" s="116">
        <f t="shared" si="15"/>
        <v>8741.0646985554304</v>
      </c>
    </row>
    <row r="32" spans="2:14" ht="19" x14ac:dyDescent="0.25">
      <c r="B32" s="174" t="s">
        <v>432</v>
      </c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</row>
    <row r="33" spans="2:14" x14ac:dyDescent="0.2">
      <c r="J33" s="112"/>
      <c r="K33" s="112"/>
      <c r="L33" s="112"/>
      <c r="M33" s="112"/>
      <c r="N33" s="112"/>
    </row>
    <row r="34" spans="2:14" x14ac:dyDescent="0.2">
      <c r="B34" s="85" t="s">
        <v>430</v>
      </c>
      <c r="F34" s="113" t="s">
        <v>1</v>
      </c>
      <c r="G34" s="114" t="s">
        <v>2</v>
      </c>
      <c r="H34" s="114" t="s">
        <v>3</v>
      </c>
      <c r="I34" s="114" t="s">
        <v>318</v>
      </c>
      <c r="J34" s="114" t="s">
        <v>405</v>
      </c>
      <c r="K34" s="114" t="s">
        <v>406</v>
      </c>
      <c r="L34" s="114" t="s">
        <v>407</v>
      </c>
      <c r="M34" s="114" t="s">
        <v>408</v>
      </c>
      <c r="N34" s="114" t="s">
        <v>409</v>
      </c>
    </row>
    <row r="35" spans="2:14" x14ac:dyDescent="0.2">
      <c r="B35" s="85" t="s">
        <v>431</v>
      </c>
    </row>
    <row r="37" spans="2:14" x14ac:dyDescent="0.2">
      <c r="B37" s="6" t="s">
        <v>17</v>
      </c>
      <c r="J37" s="115"/>
      <c r="K37" s="115"/>
      <c r="L37" s="115"/>
      <c r="M37" s="115"/>
      <c r="N37" s="115"/>
    </row>
    <row r="38" spans="2:14" x14ac:dyDescent="0.2">
      <c r="B38" s="1" t="s">
        <v>18</v>
      </c>
      <c r="F38" s="65">
        <v>2713.8</v>
      </c>
      <c r="G38" s="65">
        <v>2617.6999999999998</v>
      </c>
      <c r="H38" s="65">
        <v>4288.1000000000004</v>
      </c>
      <c r="I38" s="65">
        <v>4052.3</v>
      </c>
      <c r="J38" s="115">
        <f>I38+J122</f>
        <v>7251.586749719555</v>
      </c>
      <c r="K38" s="115">
        <f t="shared" ref="K38:N38" si="16">J38+K122</f>
        <v>10354.386590016384</v>
      </c>
      <c r="L38" s="115">
        <f t="shared" si="16"/>
        <v>13801.552531973199</v>
      </c>
      <c r="M38" s="115">
        <f t="shared" si="16"/>
        <v>17437.632068071762</v>
      </c>
      <c r="N38" s="115">
        <f t="shared" si="16"/>
        <v>21340.133657533584</v>
      </c>
    </row>
    <row r="39" spans="2:14" x14ac:dyDescent="0.2">
      <c r="B39" s="1" t="s">
        <v>19</v>
      </c>
      <c r="F39" s="65">
        <v>4021</v>
      </c>
      <c r="G39" s="65">
        <v>4755.5</v>
      </c>
      <c r="H39" s="65">
        <v>5092.7</v>
      </c>
      <c r="I39" s="65">
        <v>5601.8</v>
      </c>
      <c r="J39" s="115">
        <f>'Supporting Schedules'!H92</f>
        <v>5808.8148929149838</v>
      </c>
      <c r="K39" s="115">
        <f>'Supporting Schedules'!I92</f>
        <v>6232.4736734706385</v>
      </c>
      <c r="L39" s="115">
        <f>'Supporting Schedules'!J92</f>
        <v>6575.9765059204265</v>
      </c>
      <c r="M39" s="115">
        <f>'Supporting Schedules'!K92</f>
        <v>6971.0428199141388</v>
      </c>
      <c r="N39" s="115">
        <f>'Supporting Schedules'!L92</f>
        <v>7343.8112652614691</v>
      </c>
    </row>
    <row r="40" spans="2:14" x14ac:dyDescent="0.2">
      <c r="B40" s="1" t="s">
        <v>20</v>
      </c>
      <c r="F40" s="65">
        <v>844.1</v>
      </c>
      <c r="G40" s="65">
        <v>1005.5</v>
      </c>
      <c r="H40" s="65">
        <v>1056</v>
      </c>
      <c r="I40" s="65">
        <v>902.3</v>
      </c>
      <c r="J40" s="115">
        <f>'Master Assumptions'!F27*'Forecast Model'!J8</f>
        <v>954.74579845953247</v>
      </c>
      <c r="K40" s="115">
        <f>'Master Assumptions'!G27*'Forecast Model'!K8</f>
        <v>1014.0282855590431</v>
      </c>
      <c r="L40" s="115">
        <f>'Master Assumptions'!H27*'Forecast Model'!L8</f>
        <v>1075.3493366273733</v>
      </c>
      <c r="M40" s="115">
        <f>'Master Assumptions'!I27*'Forecast Model'!M8</f>
        <v>1137.0663973730466</v>
      </c>
      <c r="N40" s="115">
        <f>'Master Assumptions'!J27*'Forecast Model'!N8</f>
        <v>1199.3884292661046</v>
      </c>
    </row>
    <row r="41" spans="2:14" x14ac:dyDescent="0.2">
      <c r="B41" s="1" t="s">
        <v>21</v>
      </c>
      <c r="F41" s="65">
        <v>3166.9</v>
      </c>
      <c r="G41" s="65">
        <v>4079.4</v>
      </c>
      <c r="H41" s="65">
        <v>4482.3999999999996</v>
      </c>
      <c r="I41" s="65">
        <v>4630.1000000000004</v>
      </c>
      <c r="J41" s="115">
        <f>'Supporting Schedules'!H99</f>
        <v>4953.9674024768256</v>
      </c>
      <c r="K41" s="115">
        <f>'Supporting Schedules'!I99</f>
        <v>5269.0671766248906</v>
      </c>
      <c r="L41" s="115">
        <f>'Supporting Schedules'!J99</f>
        <v>5583.7274160430143</v>
      </c>
      <c r="M41" s="115">
        <f>'Supporting Schedules'!K99</f>
        <v>5906.2932306581379</v>
      </c>
      <c r="N41" s="115">
        <f>'Supporting Schedules'!L99</f>
        <v>6228.9058991331749</v>
      </c>
    </row>
    <row r="42" spans="2:14" x14ac:dyDescent="0.2">
      <c r="B42" s="1" t="s">
        <v>22</v>
      </c>
      <c r="F42" s="65">
        <v>1330</v>
      </c>
      <c r="G42" s="65">
        <v>1591.5</v>
      </c>
      <c r="H42" s="65">
        <v>1406.2</v>
      </c>
      <c r="I42" s="65">
        <v>1287</v>
      </c>
      <c r="J42" s="119">
        <f>J8*'Master Assumptions'!F28</f>
        <v>1361.8063200902343</v>
      </c>
      <c r="K42" s="119">
        <f>K8*'Master Assumptions'!G28</f>
        <v>1446.3641843228288</v>
      </c>
      <c r="L42" s="119">
        <f>L8*'Master Assumptions'!H28</f>
        <v>1533.8297642019609</v>
      </c>
      <c r="M42" s="119">
        <f>M8*'Master Assumptions'!I28</f>
        <v>1621.8601944132895</v>
      </c>
      <c r="N42" s="119">
        <f>N8*'Master Assumptions'!J28</f>
        <v>1710.7535281674352</v>
      </c>
    </row>
    <row r="43" spans="2:14" x14ac:dyDescent="0.2">
      <c r="B43" s="5" t="s">
        <v>23</v>
      </c>
      <c r="F43" s="66">
        <f>SUM(F38:F42)</f>
        <v>12075.800000000001</v>
      </c>
      <c r="G43" s="66">
        <f t="shared" ref="G43:I43" si="17">SUM(G38:G42)</f>
        <v>14049.6</v>
      </c>
      <c r="H43" s="66">
        <f t="shared" si="17"/>
        <v>16325.4</v>
      </c>
      <c r="I43" s="66">
        <f t="shared" si="17"/>
        <v>16473.5</v>
      </c>
      <c r="J43" s="116">
        <f>SUM(J38:J42)</f>
        <v>20330.921163661129</v>
      </c>
      <c r="K43" s="116">
        <f t="shared" ref="K43:N43" si="18">SUM(K38:K42)</f>
        <v>24316.319909993788</v>
      </c>
      <c r="L43" s="116">
        <f t="shared" si="18"/>
        <v>28570.435554765972</v>
      </c>
      <c r="M43" s="116">
        <f t="shared" si="18"/>
        <v>33073.894710430373</v>
      </c>
      <c r="N43" s="116">
        <f t="shared" si="18"/>
        <v>37822.992779361768</v>
      </c>
    </row>
    <row r="44" spans="2:14" x14ac:dyDescent="0.2">
      <c r="G44" s="65"/>
      <c r="H44" s="65"/>
      <c r="I44" s="65"/>
      <c r="J44" s="115"/>
      <c r="K44" s="115"/>
      <c r="L44" s="115"/>
      <c r="M44" s="115"/>
      <c r="N44" s="115"/>
    </row>
    <row r="45" spans="2:14" x14ac:dyDescent="0.2">
      <c r="B45" s="1" t="s">
        <v>24</v>
      </c>
      <c r="F45" s="65">
        <v>4773.8</v>
      </c>
      <c r="G45" s="65">
        <v>4964.3999999999996</v>
      </c>
      <c r="H45" s="65">
        <v>5560.1</v>
      </c>
      <c r="I45" s="65">
        <v>5965.2</v>
      </c>
      <c r="J45" s="115">
        <f>'Supporting Schedules'!H167</f>
        <v>6338.7481098324652</v>
      </c>
      <c r="K45" s="115">
        <f>'Supporting Schedules'!I167</f>
        <v>6734.7892412519886</v>
      </c>
      <c r="L45" s="115">
        <f>'Supporting Schedules'!J167</f>
        <v>7151.9513313782072</v>
      </c>
      <c r="M45" s="115">
        <f>'Supporting Schedules'!K167</f>
        <v>7586.2425140433743</v>
      </c>
      <c r="N45" s="115">
        <f>'Supporting Schedules'!L167</f>
        <v>8034.9307689933357</v>
      </c>
    </row>
    <row r="46" spans="2:14" x14ac:dyDescent="0.2">
      <c r="B46" s="1" t="s">
        <v>25</v>
      </c>
      <c r="F46" s="65">
        <v>11074.5</v>
      </c>
      <c r="G46" s="65">
        <v>11717.7</v>
      </c>
      <c r="H46" s="65">
        <v>13102.6</v>
      </c>
      <c r="I46" s="65">
        <v>13382</v>
      </c>
      <c r="J46" s="115">
        <f>I46</f>
        <v>13382</v>
      </c>
      <c r="K46" s="115">
        <f t="shared" ref="K46:N46" si="19">J46</f>
        <v>13382</v>
      </c>
      <c r="L46" s="115">
        <f t="shared" si="19"/>
        <v>13382</v>
      </c>
      <c r="M46" s="115">
        <f t="shared" si="19"/>
        <v>13382</v>
      </c>
      <c r="N46" s="115">
        <f t="shared" si="19"/>
        <v>13382</v>
      </c>
    </row>
    <row r="47" spans="2:14" x14ac:dyDescent="0.2">
      <c r="B47" s="1" t="s">
        <v>26</v>
      </c>
      <c r="F47" s="65">
        <v>3462.8</v>
      </c>
      <c r="G47" s="65">
        <v>3640.1</v>
      </c>
      <c r="H47" s="65">
        <v>4287.1000000000004</v>
      </c>
      <c r="I47" s="65">
        <v>4594.8</v>
      </c>
      <c r="J47" s="115">
        <f>I47</f>
        <v>4594.8</v>
      </c>
      <c r="K47" s="115">
        <f t="shared" ref="K47:N47" si="20">J47</f>
        <v>4594.8</v>
      </c>
      <c r="L47" s="115">
        <f t="shared" si="20"/>
        <v>4594.8</v>
      </c>
      <c r="M47" s="115">
        <f t="shared" si="20"/>
        <v>4594.8</v>
      </c>
      <c r="N47" s="115">
        <f t="shared" si="20"/>
        <v>4594.8</v>
      </c>
    </row>
    <row r="48" spans="2:14" x14ac:dyDescent="0.2">
      <c r="B48" s="1" t="s">
        <v>27</v>
      </c>
      <c r="F48" s="65">
        <v>10930</v>
      </c>
      <c r="G48" s="65">
        <v>11271.2</v>
      </c>
      <c r="H48" s="65">
        <v>11329.3</v>
      </c>
      <c r="I48" s="65">
        <v>14493.1</v>
      </c>
      <c r="J48" s="115">
        <f>I48</f>
        <v>14493.1</v>
      </c>
      <c r="K48" s="115">
        <f t="shared" ref="K48:N48" si="21">J48</f>
        <v>14493.1</v>
      </c>
      <c r="L48" s="115">
        <f t="shared" si="21"/>
        <v>14493.1</v>
      </c>
      <c r="M48" s="115">
        <f t="shared" si="21"/>
        <v>14493.1</v>
      </c>
      <c r="N48" s="115">
        <f t="shared" si="21"/>
        <v>14493.1</v>
      </c>
    </row>
    <row r="49" spans="2:14" x14ac:dyDescent="0.2">
      <c r="B49" s="1" t="s">
        <v>28</v>
      </c>
      <c r="F49" s="65">
        <v>696.5</v>
      </c>
      <c r="G49" s="65">
        <v>801.1</v>
      </c>
      <c r="H49" s="65">
        <v>921.2</v>
      </c>
      <c r="I49" s="65">
        <v>973.3</v>
      </c>
      <c r="J49" s="115">
        <f>J8*'Master Assumptions'!F32</f>
        <v>1029.8726428467949</v>
      </c>
      <c r="K49" s="115">
        <f>K8*'Master Assumptions'!G32</f>
        <v>1093.8199383072333</v>
      </c>
      <c r="L49" s="115">
        <f>L8*'Master Assumptions'!H32</f>
        <v>1159.9662078459739</v>
      </c>
      <c r="M49" s="115">
        <f>M8*'Master Assumptions'!I32</f>
        <v>1226.5396481914954</v>
      </c>
      <c r="N49" s="115">
        <f>N8*'Master Assumptions'!J32</f>
        <v>1293.7656635317519</v>
      </c>
    </row>
    <row r="50" spans="2:14" x14ac:dyDescent="0.2">
      <c r="B50" s="1" t="s">
        <v>29</v>
      </c>
      <c r="F50" s="65">
        <v>0</v>
      </c>
      <c r="G50" s="65">
        <v>400.1</v>
      </c>
      <c r="H50" s="65">
        <v>329.4</v>
      </c>
      <c r="I50" s="65">
        <v>471.5</v>
      </c>
      <c r="J50" s="115">
        <f>I50</f>
        <v>471.5</v>
      </c>
      <c r="K50" s="115">
        <f t="shared" ref="K50:N50" si="22">J50</f>
        <v>471.5</v>
      </c>
      <c r="L50" s="115">
        <f t="shared" si="22"/>
        <v>471.5</v>
      </c>
      <c r="M50" s="115">
        <f t="shared" si="22"/>
        <v>471.5</v>
      </c>
      <c r="N50" s="115">
        <f t="shared" si="22"/>
        <v>471.5</v>
      </c>
    </row>
    <row r="51" spans="2:14" x14ac:dyDescent="0.2">
      <c r="B51" s="5" t="s">
        <v>30</v>
      </c>
      <c r="F51" s="66">
        <f>SUM(F45:F50)</f>
        <v>30937.599999999999</v>
      </c>
      <c r="G51" s="66">
        <f t="shared" ref="G51:I51" si="23">SUM(G45:G50)</f>
        <v>32794.6</v>
      </c>
      <c r="H51" s="66">
        <f t="shared" si="23"/>
        <v>35529.700000000004</v>
      </c>
      <c r="I51" s="66">
        <f t="shared" si="23"/>
        <v>39879.9</v>
      </c>
      <c r="J51" s="116">
        <f>SUM(J45:J50)</f>
        <v>40310.020752679258</v>
      </c>
      <c r="K51" s="116">
        <f t="shared" ref="K51:N51" si="24">SUM(K45:K50)</f>
        <v>40770.009179559223</v>
      </c>
      <c r="L51" s="116">
        <f t="shared" si="24"/>
        <v>41253.317539224183</v>
      </c>
      <c r="M51" s="116">
        <f t="shared" si="24"/>
        <v>41754.182162234865</v>
      </c>
      <c r="N51" s="116">
        <f t="shared" si="24"/>
        <v>42270.09643252509</v>
      </c>
    </row>
    <row r="52" spans="2:14" x14ac:dyDescent="0.2">
      <c r="B52" s="5"/>
      <c r="F52" s="66"/>
      <c r="G52" s="66"/>
      <c r="H52" s="66"/>
      <c r="I52" s="66"/>
      <c r="J52" s="116"/>
      <c r="K52" s="116"/>
      <c r="L52" s="116"/>
      <c r="M52" s="116"/>
      <c r="N52" s="116"/>
    </row>
    <row r="53" spans="2:14" x14ac:dyDescent="0.2">
      <c r="B53" s="5" t="s">
        <v>31</v>
      </c>
      <c r="F53" s="66">
        <f>F43+F51</f>
        <v>43013.4</v>
      </c>
      <c r="G53" s="66">
        <f t="shared" ref="G53:I53" si="25">G43+G51</f>
        <v>46844.2</v>
      </c>
      <c r="H53" s="66">
        <f t="shared" si="25"/>
        <v>51855.100000000006</v>
      </c>
      <c r="I53" s="66">
        <f t="shared" si="25"/>
        <v>56353.4</v>
      </c>
      <c r="J53" s="116">
        <f>J43+J51</f>
        <v>60640.941916340387</v>
      </c>
      <c r="K53" s="116">
        <f t="shared" ref="K53:N53" si="26">K43+K51</f>
        <v>65086.329089553008</v>
      </c>
      <c r="L53" s="116">
        <f t="shared" si="26"/>
        <v>69823.753093990148</v>
      </c>
      <c r="M53" s="116">
        <f t="shared" si="26"/>
        <v>74828.076872665231</v>
      </c>
      <c r="N53" s="116">
        <f t="shared" si="26"/>
        <v>80093.089211886865</v>
      </c>
    </row>
    <row r="54" spans="2:14" x14ac:dyDescent="0.2">
      <c r="B54" s="6"/>
      <c r="G54" s="65"/>
      <c r="H54" s="65"/>
      <c r="I54" s="65"/>
      <c r="J54" s="115"/>
      <c r="K54" s="115"/>
      <c r="L54" s="115"/>
      <c r="M54" s="115"/>
      <c r="N54" s="115"/>
    </row>
    <row r="55" spans="2:14" x14ac:dyDescent="0.2">
      <c r="G55" s="65"/>
      <c r="H55" s="65"/>
      <c r="I55" s="65"/>
      <c r="J55" s="115"/>
      <c r="K55" s="115"/>
      <c r="L55" s="115"/>
      <c r="M55" s="115"/>
      <c r="N55" s="115"/>
    </row>
    <row r="56" spans="2:14" x14ac:dyDescent="0.2">
      <c r="B56" s="6" t="s">
        <v>32</v>
      </c>
      <c r="F56" s="64"/>
      <c r="G56" s="64"/>
      <c r="H56" s="64"/>
      <c r="I56" s="64"/>
      <c r="J56" s="115"/>
      <c r="K56" s="115"/>
      <c r="L56" s="115"/>
      <c r="M56" s="115"/>
      <c r="N56" s="115"/>
    </row>
    <row r="57" spans="2:14" x14ac:dyDescent="0.2">
      <c r="B57" s="1" t="s">
        <v>33</v>
      </c>
      <c r="F57" s="65">
        <v>6068.1</v>
      </c>
      <c r="G57" s="65">
        <v>6345.6</v>
      </c>
      <c r="H57" s="65">
        <v>6347</v>
      </c>
      <c r="I57" s="65">
        <v>6468.5</v>
      </c>
      <c r="J57" s="115">
        <f>'Supporting Schedules'!H106</f>
        <v>7049.9725725816697</v>
      </c>
      <c r="K57" s="115">
        <f>'Supporting Schedules'!I106</f>
        <v>7468.6393967528447</v>
      </c>
      <c r="L57" s="115">
        <f>'Supporting Schedules'!J106</f>
        <v>7907.4057565569756</v>
      </c>
      <c r="M57" s="115">
        <f>'Supporting Schedules'!K106</f>
        <v>8354.5222592950413</v>
      </c>
      <c r="N57" s="115">
        <f>'Supporting Schedules'!L106</f>
        <v>8800.7770324236117</v>
      </c>
    </row>
    <row r="58" spans="2:14" x14ac:dyDescent="0.2">
      <c r="B58" s="1" t="s">
        <v>433</v>
      </c>
      <c r="F58" s="65">
        <v>5042.2</v>
      </c>
      <c r="G58" s="65">
        <v>1419.8</v>
      </c>
      <c r="H58" s="65">
        <v>2551.3000000000002</v>
      </c>
      <c r="I58" s="65">
        <v>1849.9</v>
      </c>
      <c r="J58" s="115">
        <f>'Supporting Schedules'!D255</f>
        <v>1996.205042022819</v>
      </c>
      <c r="K58" s="115">
        <f>'Supporting Schedules'!E255</f>
        <v>2153.5059806382437</v>
      </c>
      <c r="L58" s="115">
        <f>'Supporting Schedules'!F255</f>
        <v>2322.1390317721562</v>
      </c>
      <c r="M58" s="115">
        <f>'Supporting Schedules'!G255</f>
        <v>2502.1003721685006</v>
      </c>
      <c r="N58" s="115">
        <f>'Supporting Schedules'!H255</f>
        <v>2693.4467866108207</v>
      </c>
    </row>
    <row r="59" spans="2:14" x14ac:dyDescent="0.2">
      <c r="B59" s="1" t="s">
        <v>35</v>
      </c>
      <c r="F59" s="65">
        <v>268.89999999999998</v>
      </c>
      <c r="G59" s="65">
        <v>264.2</v>
      </c>
      <c r="H59" s="65">
        <v>208.1</v>
      </c>
      <c r="I59" s="65">
        <v>275.10000000000002</v>
      </c>
      <c r="J59" s="119">
        <f>-'Master Assumptions'!F29*'Forecast Model'!J23</f>
        <v>273.1758687353294</v>
      </c>
      <c r="K59" s="119">
        <f>-'Master Assumptions'!G29*'Forecast Model'!K23</f>
        <v>290.82679322667565</v>
      </c>
      <c r="L59" s="119">
        <f>-'Master Assumptions'!H29*'Forecast Model'!L23</f>
        <v>309.01742104012629</v>
      </c>
      <c r="M59" s="119">
        <f>-'Master Assumptions'!I29*'Forecast Model'!M23</f>
        <v>327.20191165472414</v>
      </c>
      <c r="N59" s="119">
        <f>-'Master Assumptions'!J29*'Forecast Model'!N23</f>
        <v>345.47755481137654</v>
      </c>
    </row>
    <row r="60" spans="2:14" x14ac:dyDescent="0.2">
      <c r="B60" s="1" t="s">
        <v>36</v>
      </c>
      <c r="F60" s="65">
        <v>5204</v>
      </c>
      <c r="G60" s="65">
        <v>5690</v>
      </c>
      <c r="H60" s="65">
        <v>5793.3</v>
      </c>
      <c r="I60" s="65">
        <v>6042.5</v>
      </c>
      <c r="J60" s="115">
        <f>J8*'Master Assumptions'!F30</f>
        <v>6393.7177071835595</v>
      </c>
      <c r="K60" s="115">
        <f>K8*'Master Assumptions'!G30</f>
        <v>6790.7191793090087</v>
      </c>
      <c r="L60" s="115">
        <f>L8*'Master Assumptions'!H30</f>
        <v>7201.3724554703567</v>
      </c>
      <c r="M60" s="115">
        <f>M8*'Master Assumptions'!I30</f>
        <v>7614.6777193024873</v>
      </c>
      <c r="N60" s="115">
        <f>N8*'Master Assumptions'!J30</f>
        <v>8032.0343387348303</v>
      </c>
    </row>
    <row r="61" spans="2:14" x14ac:dyDescent="0.2">
      <c r="B61" s="5" t="s">
        <v>37</v>
      </c>
      <c r="F61" s="66">
        <f>SUM(F57:F60)</f>
        <v>16583.199999999997</v>
      </c>
      <c r="G61" s="66">
        <f t="shared" ref="G61:I61" si="27">SUM(G57:G60)</f>
        <v>13719.6</v>
      </c>
      <c r="H61" s="66">
        <f t="shared" si="27"/>
        <v>14899.7</v>
      </c>
      <c r="I61" s="66">
        <f t="shared" si="27"/>
        <v>14636</v>
      </c>
      <c r="J61" s="116">
        <f>SUM(J57:J60)</f>
        <v>15713.071190523377</v>
      </c>
      <c r="K61" s="116">
        <f t="shared" ref="K61:N61" si="28">SUM(K57:K60)</f>
        <v>16703.691349926772</v>
      </c>
      <c r="L61" s="116">
        <f t="shared" si="28"/>
        <v>17739.934664839613</v>
      </c>
      <c r="M61" s="116">
        <f t="shared" si="28"/>
        <v>18798.502262420752</v>
      </c>
      <c r="N61" s="116">
        <f t="shared" si="28"/>
        <v>19871.735712580637</v>
      </c>
    </row>
    <row r="62" spans="2:14" x14ac:dyDescent="0.2">
      <c r="G62" s="65"/>
      <c r="H62" s="65"/>
      <c r="I62" s="65"/>
      <c r="J62" s="115"/>
      <c r="K62" s="115"/>
      <c r="L62" s="115"/>
      <c r="M62" s="115"/>
      <c r="N62" s="115"/>
    </row>
    <row r="63" spans="2:14" x14ac:dyDescent="0.2">
      <c r="B63" s="1" t="s">
        <v>38</v>
      </c>
      <c r="F63" s="65">
        <v>1258.2</v>
      </c>
      <c r="G63" s="65">
        <v>4231.1000000000004</v>
      </c>
      <c r="H63" s="65">
        <v>6140.9</v>
      </c>
      <c r="I63" s="65">
        <v>6645.1</v>
      </c>
      <c r="J63" s="115">
        <f>'Supporting Schedules'!D256</f>
        <v>7170.6482105766991</v>
      </c>
      <c r="K63" s="115">
        <f>'Supporting Schedules'!E256</f>
        <v>7735.6952224115867</v>
      </c>
      <c r="L63" s="115">
        <f>'Supporting Schedules'!F256</f>
        <v>8341.4487702195547</v>
      </c>
      <c r="M63" s="115">
        <f>'Supporting Schedules'!G256</f>
        <v>8987.8951203291563</v>
      </c>
      <c r="N63" s="115">
        <f>'Supporting Schedules'!H256</f>
        <v>9675.2382516393136</v>
      </c>
    </row>
    <row r="64" spans="2:14" x14ac:dyDescent="0.2">
      <c r="B64" s="1" t="s">
        <v>39</v>
      </c>
      <c r="F64" s="65">
        <v>810.3</v>
      </c>
      <c r="G64" s="65">
        <v>905.6</v>
      </c>
      <c r="H64" s="65">
        <v>846.6</v>
      </c>
      <c r="I64" s="65">
        <v>964.5</v>
      </c>
      <c r="J64" s="115">
        <f>J8*'Master Assumptions'!F34</f>
        <v>1020.5611466410496</v>
      </c>
      <c r="K64" s="115">
        <f>K8*'Master Assumptions'!G34</f>
        <v>1083.9302686708379</v>
      </c>
      <c r="L64" s="115">
        <f>L8*'Master Assumptions'!H34</f>
        <v>1149.4784829625419</v>
      </c>
      <c r="M64" s="115">
        <f>M8*'Master Assumptions'!I34</f>
        <v>1215.4500058365327</v>
      </c>
      <c r="N64" s="115">
        <f>N8*'Master Assumptions'!J34</f>
        <v>1282.068203510094</v>
      </c>
    </row>
    <row r="65" spans="2:14" x14ac:dyDescent="0.2">
      <c r="B65" s="1" t="s">
        <v>40</v>
      </c>
      <c r="F65" s="65">
        <v>344.8</v>
      </c>
      <c r="G65" s="65">
        <v>275.60000000000002</v>
      </c>
      <c r="H65" s="65">
        <v>255.7</v>
      </c>
      <c r="I65" s="65">
        <v>224.3</v>
      </c>
      <c r="J65" s="119">
        <f>I65</f>
        <v>224.3</v>
      </c>
      <c r="K65" s="119">
        <f t="shared" ref="K65:N65" si="29">J65</f>
        <v>224.3</v>
      </c>
      <c r="L65" s="119">
        <f t="shared" si="29"/>
        <v>224.3</v>
      </c>
      <c r="M65" s="119">
        <f t="shared" si="29"/>
        <v>224.3</v>
      </c>
      <c r="N65" s="119">
        <f t="shared" si="29"/>
        <v>224.3</v>
      </c>
    </row>
    <row r="66" spans="2:14" x14ac:dyDescent="0.2">
      <c r="B66" s="1" t="s">
        <v>434</v>
      </c>
      <c r="F66" s="65">
        <v>424.3</v>
      </c>
      <c r="G66" s="65">
        <v>525.79999999999995</v>
      </c>
      <c r="H66" s="65">
        <v>630.6</v>
      </c>
      <c r="I66" s="65">
        <v>745.7</v>
      </c>
      <c r="J66" s="115">
        <f>I66</f>
        <v>745.7</v>
      </c>
      <c r="K66" s="115">
        <f t="shared" ref="K66:N66" si="30">J66</f>
        <v>745.7</v>
      </c>
      <c r="L66" s="115">
        <f t="shared" si="30"/>
        <v>745.7</v>
      </c>
      <c r="M66" s="115">
        <f t="shared" si="30"/>
        <v>745.7</v>
      </c>
      <c r="N66" s="115">
        <f t="shared" si="30"/>
        <v>745.7</v>
      </c>
    </row>
    <row r="67" spans="2:14" x14ac:dyDescent="0.2">
      <c r="B67" s="5" t="s">
        <v>41</v>
      </c>
      <c r="F67" s="66">
        <f>SUM(F63:F66)</f>
        <v>2837.6000000000004</v>
      </c>
      <c r="G67" s="66">
        <f t="shared" ref="G67:I67" si="31">SUM(G63:G66)</f>
        <v>5938.1000000000013</v>
      </c>
      <c r="H67" s="66">
        <f t="shared" si="31"/>
        <v>7873.8</v>
      </c>
      <c r="I67" s="66">
        <f t="shared" si="31"/>
        <v>8579.6</v>
      </c>
      <c r="J67" s="116">
        <f>SUM(J63:J66)</f>
        <v>9161.2093572177491</v>
      </c>
      <c r="K67" s="116">
        <f t="shared" ref="K67:N67" si="32">SUM(K63:K66)</f>
        <v>9789.6254910824246</v>
      </c>
      <c r="L67" s="116">
        <f t="shared" si="32"/>
        <v>10460.927253182097</v>
      </c>
      <c r="M67" s="116">
        <f t="shared" si="32"/>
        <v>11173.345126165688</v>
      </c>
      <c r="N67" s="116">
        <f t="shared" si="32"/>
        <v>11927.306455149408</v>
      </c>
    </row>
    <row r="68" spans="2:14" x14ac:dyDescent="0.2">
      <c r="B68" s="5"/>
      <c r="F68" s="66"/>
      <c r="G68" s="66"/>
      <c r="H68" s="66"/>
      <c r="I68" s="66"/>
      <c r="J68" s="115"/>
      <c r="K68" s="115"/>
      <c r="L68" s="115"/>
      <c r="M68" s="115"/>
      <c r="N68" s="115"/>
    </row>
    <row r="69" spans="2:14" x14ac:dyDescent="0.2">
      <c r="B69" s="5" t="s">
        <v>42</v>
      </c>
      <c r="F69" s="66">
        <f>F61+F67</f>
        <v>19420.799999999996</v>
      </c>
      <c r="G69" s="66">
        <f t="shared" ref="G69:I69" si="33">G61+G67</f>
        <v>19657.7</v>
      </c>
      <c r="H69" s="66">
        <f t="shared" si="33"/>
        <v>22773.5</v>
      </c>
      <c r="I69" s="66">
        <f t="shared" si="33"/>
        <v>23215.599999999999</v>
      </c>
      <c r="J69" s="116">
        <f>J61+J67</f>
        <v>24874.280547741124</v>
      </c>
      <c r="K69" s="116">
        <f t="shared" ref="K69:N69" si="34">K61+K67</f>
        <v>26493.316841009197</v>
      </c>
      <c r="L69" s="116">
        <f t="shared" si="34"/>
        <v>28200.86191802171</v>
      </c>
      <c r="M69" s="116">
        <f t="shared" si="34"/>
        <v>29971.847388586441</v>
      </c>
      <c r="N69" s="116">
        <f t="shared" si="34"/>
        <v>31799.042167730047</v>
      </c>
    </row>
    <row r="70" spans="2:14" x14ac:dyDescent="0.2">
      <c r="G70" s="65"/>
      <c r="H70" s="65"/>
      <c r="I70" s="65"/>
      <c r="J70" s="115"/>
      <c r="K70" s="115"/>
      <c r="L70" s="115"/>
      <c r="M70" s="115"/>
      <c r="N70" s="115"/>
    </row>
    <row r="71" spans="2:14" x14ac:dyDescent="0.2">
      <c r="B71" s="6" t="s">
        <v>43</v>
      </c>
      <c r="F71" s="64"/>
      <c r="G71" s="64"/>
      <c r="H71" s="64"/>
      <c r="I71" s="64"/>
      <c r="J71" s="115"/>
      <c r="K71" s="115"/>
      <c r="L71" s="115"/>
      <c r="M71" s="115"/>
      <c r="N71" s="115"/>
    </row>
    <row r="72" spans="2:14" x14ac:dyDescent="0.2">
      <c r="B72" s="1" t="s">
        <v>44</v>
      </c>
      <c r="F72" s="65">
        <v>3377.1</v>
      </c>
      <c r="G72" s="65">
        <v>3475.7</v>
      </c>
      <c r="H72" s="65">
        <v>3477.1</v>
      </c>
      <c r="I72" s="65">
        <v>3551.2000000000003</v>
      </c>
      <c r="J72" s="171"/>
      <c r="K72" s="171"/>
      <c r="L72" s="171"/>
      <c r="M72" s="171"/>
      <c r="N72" s="171"/>
    </row>
    <row r="73" spans="2:14" x14ac:dyDescent="0.2">
      <c r="B73" s="1" t="s">
        <v>45</v>
      </c>
      <c r="F73" s="65">
        <v>23689.3</v>
      </c>
      <c r="G73" s="65">
        <v>17382.2</v>
      </c>
      <c r="H73" s="65">
        <v>19983</v>
      </c>
      <c r="I73" s="65">
        <v>22553.5</v>
      </c>
      <c r="J73" s="171"/>
      <c r="K73" s="171"/>
      <c r="L73" s="171"/>
      <c r="M73" s="171"/>
      <c r="N73" s="171"/>
    </row>
    <row r="74" spans="2:14" x14ac:dyDescent="0.2">
      <c r="B74" s="1" t="s">
        <v>46</v>
      </c>
      <c r="F74" s="65">
        <v>-8940.2000000000007</v>
      </c>
      <c r="G74" s="65">
        <v>0</v>
      </c>
      <c r="H74" s="65">
        <v>0</v>
      </c>
      <c r="I74" s="65">
        <v>0</v>
      </c>
      <c r="J74" s="171"/>
      <c r="K74" s="171"/>
      <c r="L74" s="171"/>
      <c r="M74" s="171"/>
      <c r="N74" s="171"/>
    </row>
    <row r="75" spans="2:14" x14ac:dyDescent="0.2">
      <c r="B75" s="1" t="s">
        <v>323</v>
      </c>
      <c r="F75" s="65">
        <v>5738.6</v>
      </c>
      <c r="G75" s="65">
        <v>6404.4</v>
      </c>
      <c r="H75" s="65">
        <v>6123.8</v>
      </c>
      <c r="I75" s="65">
        <v>7277.8</v>
      </c>
      <c r="J75" s="171"/>
      <c r="K75" s="171"/>
      <c r="L75" s="171"/>
      <c r="M75" s="171"/>
      <c r="N75" s="171"/>
    </row>
    <row r="76" spans="2:14" x14ac:dyDescent="0.2">
      <c r="B76" s="1" t="s">
        <v>324</v>
      </c>
      <c r="F76" s="65">
        <v>-279.10000000000002</v>
      </c>
      <c r="G76" s="65">
        <v>-83.8</v>
      </c>
      <c r="H76" s="65">
        <v>-509.6</v>
      </c>
      <c r="I76" s="65">
        <v>-249.2</v>
      </c>
      <c r="J76" s="171"/>
      <c r="K76" s="171"/>
      <c r="L76" s="171"/>
      <c r="M76" s="171"/>
      <c r="N76" s="171"/>
    </row>
    <row r="77" spans="2:14" x14ac:dyDescent="0.2">
      <c r="B77" s="5" t="s">
        <v>47</v>
      </c>
      <c r="F77" s="66">
        <f>SUM(F72:F76)</f>
        <v>23585.699999999997</v>
      </c>
      <c r="G77" s="66">
        <f t="shared" ref="G77:I77" si="35">SUM(G72:G76)</f>
        <v>27178.500000000004</v>
      </c>
      <c r="H77" s="66">
        <f t="shared" si="35"/>
        <v>29074.3</v>
      </c>
      <c r="I77" s="66">
        <f t="shared" si="35"/>
        <v>33133.300000000003</v>
      </c>
      <c r="J77" s="116">
        <f>'Supporting Schedules'!E227</f>
        <v>35753.74913176641</v>
      </c>
      <c r="K77" s="116">
        <f>'Supporting Schedules'!F227</f>
        <v>38571.144228488636</v>
      </c>
      <c r="L77" s="116">
        <f>'Supporting Schedules'!G227</f>
        <v>41591.507206560564</v>
      </c>
      <c r="M77" s="116">
        <f>'Supporting Schedules'!H227</f>
        <v>44814.76958817806</v>
      </c>
      <c r="N77" s="116">
        <f>'Supporting Schedules'!I227</f>
        <v>48241.948437651932</v>
      </c>
    </row>
    <row r="78" spans="2:14" x14ac:dyDescent="0.2">
      <c r="B78" s="67" t="s">
        <v>325</v>
      </c>
      <c r="F78" s="68">
        <v>6.9</v>
      </c>
      <c r="G78" s="68">
        <v>8</v>
      </c>
      <c r="H78" s="68">
        <v>7.3</v>
      </c>
      <c r="I78" s="68">
        <v>4.5</v>
      </c>
      <c r="J78" s="119">
        <f>I78-J27</f>
        <v>12.91223683285477</v>
      </c>
      <c r="K78" s="119">
        <f t="shared" ref="K78:N78" si="36">J78-K27</f>
        <v>21.868020055174497</v>
      </c>
      <c r="L78" s="119">
        <f t="shared" si="36"/>
        <v>31.383969407883001</v>
      </c>
      <c r="M78" s="119">
        <f t="shared" si="36"/>
        <v>41.459895900750368</v>
      </c>
      <c r="N78" s="119">
        <f t="shared" si="36"/>
        <v>52.098606504887286</v>
      </c>
    </row>
    <row r="79" spans="2:14" x14ac:dyDescent="0.2">
      <c r="B79" s="3" t="s">
        <v>326</v>
      </c>
      <c r="F79" s="66">
        <f>SUM(F77:F78)</f>
        <v>23592.6</v>
      </c>
      <c r="G79" s="66">
        <f t="shared" ref="G79:I79" si="37">SUM(G77:G78)</f>
        <v>27186.500000000004</v>
      </c>
      <c r="H79" s="66">
        <f t="shared" si="37"/>
        <v>29081.599999999999</v>
      </c>
      <c r="I79" s="66">
        <f t="shared" si="37"/>
        <v>33137.800000000003</v>
      </c>
      <c r="J79" s="116">
        <f>SUM(J77:J78)</f>
        <v>35766.661368599263</v>
      </c>
      <c r="K79" s="116">
        <f t="shared" ref="K79:N79" si="38">SUM(K77:K78)</f>
        <v>38593.012248543811</v>
      </c>
      <c r="L79" s="116">
        <f t="shared" si="38"/>
        <v>41622.891175968449</v>
      </c>
      <c r="M79" s="116">
        <f t="shared" si="38"/>
        <v>44856.229484078809</v>
      </c>
      <c r="N79" s="116">
        <f t="shared" si="38"/>
        <v>48294.047044156818</v>
      </c>
    </row>
    <row r="80" spans="2:14" x14ac:dyDescent="0.2">
      <c r="B80" s="5" t="s">
        <v>48</v>
      </c>
      <c r="F80" s="66">
        <f>F79+F69</f>
        <v>43013.399999999994</v>
      </c>
      <c r="G80" s="66">
        <f t="shared" ref="G80:I80" si="39">G79+G69</f>
        <v>46844.200000000004</v>
      </c>
      <c r="H80" s="66">
        <f t="shared" si="39"/>
        <v>51855.1</v>
      </c>
      <c r="I80" s="66">
        <f t="shared" si="39"/>
        <v>56353.4</v>
      </c>
      <c r="J80" s="66">
        <f>J69+J79</f>
        <v>60640.941916340387</v>
      </c>
      <c r="K80" s="66">
        <f t="shared" ref="K80:N80" si="40">K69+K79</f>
        <v>65086.329089553008</v>
      </c>
      <c r="L80" s="66">
        <f t="shared" si="40"/>
        <v>69823.753093990163</v>
      </c>
      <c r="M80" s="66">
        <f t="shared" si="40"/>
        <v>74828.076872665246</v>
      </c>
      <c r="N80" s="66">
        <f t="shared" si="40"/>
        <v>80093.089211886865</v>
      </c>
    </row>
    <row r="81" spans="2:14" x14ac:dyDescent="0.2">
      <c r="B81" s="5"/>
      <c r="F81" s="66"/>
      <c r="G81" s="66"/>
      <c r="H81" s="66"/>
      <c r="I81" s="66"/>
      <c r="J81" s="116"/>
      <c r="K81" s="116"/>
      <c r="L81" s="116"/>
      <c r="M81" s="116"/>
      <c r="N81" s="116"/>
    </row>
    <row r="82" spans="2:14" x14ac:dyDescent="0.2">
      <c r="B82" s="84" t="s">
        <v>476</v>
      </c>
      <c r="F82" s="64">
        <f>F80-F53</f>
        <v>0</v>
      </c>
      <c r="G82" s="64">
        <f t="shared" ref="G82:I82" si="41">G80-G53</f>
        <v>0</v>
      </c>
      <c r="H82" s="64">
        <f t="shared" si="41"/>
        <v>0</v>
      </c>
      <c r="I82" s="64">
        <f t="shared" si="41"/>
        <v>0</v>
      </c>
      <c r="J82" s="64">
        <f>J80-J53</f>
        <v>0</v>
      </c>
      <c r="K82" s="64">
        <f t="shared" ref="K82:N82" si="42">K80-K53</f>
        <v>0</v>
      </c>
      <c r="L82" s="64">
        <f t="shared" si="42"/>
        <v>0</v>
      </c>
      <c r="M82" s="64">
        <f t="shared" si="42"/>
        <v>0</v>
      </c>
      <c r="N82" s="64">
        <f t="shared" si="42"/>
        <v>0</v>
      </c>
    </row>
    <row r="83" spans="2:14" x14ac:dyDescent="0.2">
      <c r="B83" s="5"/>
      <c r="F83" s="66"/>
      <c r="G83" s="66"/>
      <c r="H83" s="66"/>
      <c r="I83" s="66"/>
      <c r="J83" s="116"/>
      <c r="K83" s="116"/>
      <c r="L83" s="116"/>
      <c r="M83" s="116"/>
      <c r="N83" s="116"/>
    </row>
    <row r="85" spans="2:14" x14ac:dyDescent="0.2">
      <c r="J85" s="115"/>
      <c r="K85" s="115"/>
      <c r="L85" s="115"/>
      <c r="M85" s="115"/>
      <c r="N85" s="115"/>
    </row>
    <row r="87" spans="2:14" ht="19" x14ac:dyDescent="0.25">
      <c r="B87" s="174" t="s">
        <v>435</v>
      </c>
      <c r="C87" s="174"/>
      <c r="D87" s="174"/>
      <c r="E87" s="174"/>
      <c r="F87" s="174"/>
      <c r="G87" s="174"/>
      <c r="H87" s="174"/>
      <c r="I87" s="174"/>
      <c r="J87" s="174"/>
      <c r="K87" s="174"/>
      <c r="L87" s="174"/>
      <c r="M87" s="174"/>
      <c r="N87" s="174"/>
    </row>
    <row r="88" spans="2:14" x14ac:dyDescent="0.2">
      <c r="J88" s="112"/>
      <c r="K88" s="112"/>
      <c r="L88" s="112"/>
      <c r="M88" s="112"/>
      <c r="N88" s="112"/>
    </row>
    <row r="89" spans="2:14" x14ac:dyDescent="0.2">
      <c r="B89" s="85" t="s">
        <v>430</v>
      </c>
      <c r="F89" s="113" t="s">
        <v>1</v>
      </c>
      <c r="G89" s="114" t="s">
        <v>2</v>
      </c>
      <c r="H89" s="114" t="s">
        <v>3</v>
      </c>
      <c r="I89" s="114" t="s">
        <v>318</v>
      </c>
      <c r="J89" s="114" t="s">
        <v>405</v>
      </c>
      <c r="K89" s="114" t="s">
        <v>406</v>
      </c>
      <c r="L89" s="114" t="s">
        <v>407</v>
      </c>
      <c r="M89" s="114" t="s">
        <v>408</v>
      </c>
      <c r="N89" s="114" t="s">
        <v>409</v>
      </c>
    </row>
    <row r="90" spans="2:14" x14ac:dyDescent="0.2">
      <c r="B90" s="85" t="s">
        <v>431</v>
      </c>
    </row>
    <row r="92" spans="2:14" x14ac:dyDescent="0.2">
      <c r="B92" s="6"/>
    </row>
    <row r="93" spans="2:14" x14ac:dyDescent="0.2">
      <c r="B93" s="6" t="s">
        <v>51</v>
      </c>
      <c r="J93" s="90"/>
      <c r="K93" s="64"/>
      <c r="L93" s="64"/>
      <c r="M93" s="64"/>
      <c r="N93" s="64"/>
    </row>
    <row r="94" spans="2:14" x14ac:dyDescent="0.2">
      <c r="B94" s="1" t="s">
        <v>16</v>
      </c>
      <c r="F94" s="65">
        <v>4597.1000000000004</v>
      </c>
      <c r="G94" s="65">
        <v>5706.6</v>
      </c>
      <c r="H94" s="65">
        <v>6184</v>
      </c>
      <c r="I94" s="65">
        <v>6408.7</v>
      </c>
      <c r="J94" s="90">
        <f>J29</f>
        <v>6911.7310500918484</v>
      </c>
      <c r="K94" s="90">
        <f t="shared" ref="K94:N94" si="43">K29</f>
        <v>7358.3240944718564</v>
      </c>
      <c r="L94" s="90">
        <f t="shared" si="43"/>
        <v>7818.5723867568013</v>
      </c>
      <c r="M94" s="90">
        <f t="shared" si="43"/>
        <v>8278.6653993383516</v>
      </c>
      <c r="N94" s="90">
        <f t="shared" si="43"/>
        <v>8741.0646985554304</v>
      </c>
    </row>
    <row r="95" spans="2:14" x14ac:dyDescent="0.2">
      <c r="B95" s="1" t="s">
        <v>52</v>
      </c>
      <c r="F95" s="65">
        <v>1781</v>
      </c>
      <c r="G95" s="65">
        <v>1536.1</v>
      </c>
      <c r="H95" s="65">
        <v>1715</v>
      </c>
      <c r="I95" s="65">
        <v>1855.3</v>
      </c>
      <c r="J95" s="90">
        <f>-J13</f>
        <v>1326.5894138594638</v>
      </c>
      <c r="K95" s="90">
        <f t="shared" ref="K95:N95" si="44">-K13</f>
        <v>1409.6620632376844</v>
      </c>
      <c r="L95" s="90">
        <f t="shared" si="44"/>
        <v>1497.7368926472707</v>
      </c>
      <c r="M95" s="90">
        <f t="shared" si="44"/>
        <v>1590.5087716496391</v>
      </c>
      <c r="N95" s="90">
        <f t="shared" si="44"/>
        <v>1687.0899567660003</v>
      </c>
    </row>
    <row r="96" spans="2:14" x14ac:dyDescent="0.2">
      <c r="B96" s="1" t="s">
        <v>53</v>
      </c>
      <c r="F96" s="65">
        <v>83.6</v>
      </c>
      <c r="G96" s="65">
        <v>-96.5</v>
      </c>
      <c r="H96" s="65">
        <v>-95.3</v>
      </c>
      <c r="I96" s="65">
        <v>-37.4</v>
      </c>
      <c r="J96" s="90">
        <f>(J64-I64)-(J49-I49)</f>
        <v>-0.51149620574528853</v>
      </c>
      <c r="K96" s="90">
        <f>(K64-J64)-(K49-J49)</f>
        <v>-0.57817343065016757</v>
      </c>
      <c r="L96" s="90">
        <f t="shared" ref="L96:N96" si="45">(L64-K64)-(L49-K49)</f>
        <v>-0.59805524703665469</v>
      </c>
      <c r="M96" s="90">
        <f t="shared" si="45"/>
        <v>-0.60191747153066899</v>
      </c>
      <c r="N96" s="90">
        <f t="shared" si="45"/>
        <v>-0.60781766669515491</v>
      </c>
    </row>
    <row r="97" spans="2:14" x14ac:dyDescent="0.2">
      <c r="B97" s="1" t="s">
        <v>322</v>
      </c>
      <c r="F97" s="65"/>
      <c r="G97" s="65"/>
      <c r="H97" s="65"/>
      <c r="I97" s="65"/>
      <c r="J97" s="90">
        <f>-J27</f>
        <v>8.4122368328547701</v>
      </c>
      <c r="K97" s="90">
        <f t="shared" ref="K97:N97" si="46">-K27</f>
        <v>8.9557832223197256</v>
      </c>
      <c r="L97" s="90">
        <f t="shared" si="46"/>
        <v>9.5159493527085033</v>
      </c>
      <c r="M97" s="90">
        <f t="shared" si="46"/>
        <v>10.075926492867364</v>
      </c>
      <c r="N97" s="90">
        <f t="shared" si="46"/>
        <v>10.638710604136921</v>
      </c>
    </row>
    <row r="98" spans="2:14" x14ac:dyDescent="0.2">
      <c r="B98" s="1" t="s">
        <v>436</v>
      </c>
      <c r="F98" s="65">
        <v>178.7</v>
      </c>
      <c r="G98" s="65">
        <v>143.4</v>
      </c>
      <c r="H98" s="65">
        <v>195.8</v>
      </c>
      <c r="I98" s="65">
        <v>286</v>
      </c>
      <c r="J98" s="90">
        <f>0</f>
        <v>0</v>
      </c>
      <c r="K98" s="90">
        <f>0</f>
        <v>0</v>
      </c>
      <c r="L98" s="90">
        <f>0</f>
        <v>0</v>
      </c>
      <c r="M98" s="90">
        <f>0</f>
        <v>0</v>
      </c>
      <c r="N98" s="90">
        <f>0</f>
        <v>0</v>
      </c>
    </row>
    <row r="99" spans="2:14" x14ac:dyDescent="0.2">
      <c r="B99" s="1" t="s">
        <v>54</v>
      </c>
      <c r="F99" s="65"/>
      <c r="G99" s="65"/>
      <c r="H99" s="65"/>
      <c r="I99" s="65"/>
      <c r="J99" s="90"/>
      <c r="K99" s="64"/>
      <c r="L99" s="64"/>
      <c r="M99" s="64"/>
      <c r="N99" s="64"/>
    </row>
    <row r="100" spans="2:14" x14ac:dyDescent="0.2">
      <c r="B100" s="1" t="s">
        <v>55</v>
      </c>
      <c r="F100" s="65">
        <v>-407.1</v>
      </c>
      <c r="G100" s="65">
        <v>-717.6</v>
      </c>
      <c r="H100" s="65">
        <v>-427.3</v>
      </c>
      <c r="I100" s="65">
        <v>-506.7</v>
      </c>
      <c r="J100" s="90">
        <f>(I39-J39)</f>
        <v>-207.01489291498365</v>
      </c>
      <c r="K100" s="90">
        <f t="shared" ref="K100:N100" si="47">(J39-K39)</f>
        <v>-423.65878055565463</v>
      </c>
      <c r="L100" s="90">
        <f t="shared" si="47"/>
        <v>-343.502832449788</v>
      </c>
      <c r="M100" s="90">
        <f t="shared" si="47"/>
        <v>-395.06631399371236</v>
      </c>
      <c r="N100" s="90">
        <f t="shared" si="47"/>
        <v>-372.76844534733027</v>
      </c>
    </row>
    <row r="101" spans="2:14" x14ac:dyDescent="0.2">
      <c r="B101" s="1" t="s">
        <v>56</v>
      </c>
      <c r="F101" s="65">
        <v>-373.3</v>
      </c>
      <c r="G101" s="65">
        <v>-865.4</v>
      </c>
      <c r="H101" s="65">
        <v>-438.3</v>
      </c>
      <c r="I101" s="65">
        <v>-121.2</v>
      </c>
      <c r="J101" s="90">
        <f>(I41-J41)</f>
        <v>-323.86740247682519</v>
      </c>
      <c r="K101" s="90">
        <f t="shared" ref="K101:N101" si="48">(J41-K41)</f>
        <v>-315.09977414806508</v>
      </c>
      <c r="L101" s="90">
        <f t="shared" si="48"/>
        <v>-314.66023941812364</v>
      </c>
      <c r="M101" s="90">
        <f t="shared" si="48"/>
        <v>-322.5658146151236</v>
      </c>
      <c r="N101" s="90">
        <f t="shared" si="48"/>
        <v>-322.61266847503703</v>
      </c>
    </row>
    <row r="102" spans="2:14" x14ac:dyDescent="0.2">
      <c r="B102" s="1" t="s">
        <v>57</v>
      </c>
      <c r="F102" s="65">
        <v>1086.8</v>
      </c>
      <c r="G102" s="65">
        <v>247.9</v>
      </c>
      <c r="H102" s="65">
        <v>138.69999999999999</v>
      </c>
      <c r="I102" s="65">
        <v>78.8</v>
      </c>
      <c r="J102" s="90">
        <f>(J57-I57)</f>
        <v>581.47257258166974</v>
      </c>
      <c r="K102" s="90">
        <f t="shared" ref="K102:N102" si="49">(K57-J57)</f>
        <v>418.66682417117499</v>
      </c>
      <c r="L102" s="90">
        <f t="shared" si="49"/>
        <v>438.76635980413084</v>
      </c>
      <c r="M102" s="90">
        <f t="shared" si="49"/>
        <v>447.11650273806572</v>
      </c>
      <c r="N102" s="90">
        <f t="shared" si="49"/>
        <v>446.25477312857038</v>
      </c>
    </row>
    <row r="103" spans="2:14" x14ac:dyDescent="0.2">
      <c r="B103" s="1" t="s">
        <v>58</v>
      </c>
      <c r="F103" s="65">
        <v>-218.4</v>
      </c>
      <c r="G103" s="65">
        <v>323.8</v>
      </c>
      <c r="H103" s="65">
        <v>332</v>
      </c>
      <c r="I103" s="65">
        <v>322.5</v>
      </c>
      <c r="J103" s="90">
        <f>-(J40-I40)-(J42-I42)+(J59-I59)+(J60-I60)</f>
        <v>222.04145736912204</v>
      </c>
      <c r="K103" s="90">
        <f t="shared" ref="K103:N103" si="50">-(K40-J40)-(K42-J42)+(K59-J59)+(K60-J60)</f>
        <v>270.81204528469038</v>
      </c>
      <c r="L103" s="90">
        <f t="shared" si="50"/>
        <v>280.05727302733635</v>
      </c>
      <c r="M103" s="90">
        <f t="shared" si="50"/>
        <v>281.7422634897265</v>
      </c>
      <c r="N103" s="90">
        <f t="shared" si="50"/>
        <v>284.41689694179166</v>
      </c>
    </row>
    <row r="104" spans="2:14" x14ac:dyDescent="0.2">
      <c r="B104" s="5" t="s">
        <v>59</v>
      </c>
      <c r="F104" s="66">
        <f>SUM(F94:F103)</f>
        <v>6728.4000000000005</v>
      </c>
      <c r="G104" s="66">
        <f t="shared" ref="G104:I104" si="51">SUM(G94:G103)</f>
        <v>6278.3</v>
      </c>
      <c r="H104" s="66">
        <f t="shared" si="51"/>
        <v>7604.5999999999995</v>
      </c>
      <c r="I104" s="66">
        <f t="shared" si="51"/>
        <v>8286</v>
      </c>
      <c r="J104" s="120">
        <f>SUM(J94:J103)</f>
        <v>8518.852939137405</v>
      </c>
      <c r="K104" s="120">
        <f t="shared" ref="K104:N104" si="52">SUM(K94:K103)</f>
        <v>8727.0840822533555</v>
      </c>
      <c r="L104" s="120">
        <f t="shared" si="52"/>
        <v>9385.8877344732973</v>
      </c>
      <c r="M104" s="120">
        <f t="shared" si="52"/>
        <v>9889.8748176282825</v>
      </c>
      <c r="N104" s="120">
        <f t="shared" si="52"/>
        <v>10473.476104506866</v>
      </c>
    </row>
    <row r="105" spans="2:14" x14ac:dyDescent="0.2">
      <c r="F105" s="64"/>
      <c r="G105" s="64"/>
      <c r="H105" s="64"/>
      <c r="I105" s="64"/>
    </row>
    <row r="106" spans="2:14" x14ac:dyDescent="0.2">
      <c r="B106" s="6" t="s">
        <v>60</v>
      </c>
      <c r="F106" s="64"/>
      <c r="G106" s="64"/>
      <c r="H106" s="64"/>
      <c r="I106" s="64"/>
    </row>
    <row r="107" spans="2:14" x14ac:dyDescent="0.2">
      <c r="B107" s="1" t="s">
        <v>61</v>
      </c>
      <c r="F107" s="65">
        <v>-1075.2</v>
      </c>
      <c r="G107" s="65">
        <v>-1343.3</v>
      </c>
      <c r="H107" s="65">
        <v>-1488.6</v>
      </c>
      <c r="I107" s="65">
        <v>-1641.6</v>
      </c>
      <c r="J107" s="64">
        <f>-'Master Assumptions'!F31*'Forecast Model'!J8</f>
        <v>-1700.1375236919298</v>
      </c>
      <c r="K107" s="64">
        <f>-'Master Assumptions'!G31*'Forecast Model'!K8</f>
        <v>-1805.7031946572079</v>
      </c>
      <c r="L107" s="64">
        <f>-'Master Assumptions'!H31*'Forecast Model'!L8</f>
        <v>-1914.8989827734895</v>
      </c>
      <c r="M107" s="64">
        <f>-'Master Assumptions'!I31*'Forecast Model'!M8</f>
        <v>-2024.7999543148069</v>
      </c>
      <c r="N107" s="64">
        <f>-'Master Assumptions'!J31*'Forecast Model'!N8</f>
        <v>-2135.7782117159618</v>
      </c>
    </row>
    <row r="108" spans="2:14" x14ac:dyDescent="0.2">
      <c r="B108" s="1" t="s">
        <v>62</v>
      </c>
      <c r="F108" s="65">
        <v>-455.7</v>
      </c>
      <c r="G108" s="65">
        <v>-746.9</v>
      </c>
      <c r="H108" s="65">
        <v>-2497.1999999999998</v>
      </c>
      <c r="I108" s="65">
        <v>-162.80000000000001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</row>
    <row r="109" spans="2:14" x14ac:dyDescent="0.2">
      <c r="B109" s="1" t="s">
        <v>63</v>
      </c>
      <c r="F109" s="65">
        <v>-117.3</v>
      </c>
      <c r="G109" s="65">
        <v>-142.80000000000001</v>
      </c>
      <c r="H109" s="65">
        <v>-170.7</v>
      </c>
      <c r="I109" s="65">
        <v>-1927</v>
      </c>
      <c r="J109" s="64">
        <f>0</f>
        <v>0</v>
      </c>
      <c r="K109" s="64">
        <f>0</f>
        <v>0</v>
      </c>
      <c r="L109" s="64">
        <f>0</f>
        <v>0</v>
      </c>
      <c r="M109" s="64">
        <f>0</f>
        <v>0</v>
      </c>
      <c r="N109" s="64">
        <f>0</f>
        <v>0</v>
      </c>
    </row>
    <row r="110" spans="2:14" x14ac:dyDescent="0.2">
      <c r="B110" s="1" t="s">
        <v>437</v>
      </c>
      <c r="F110" s="65">
        <v>14.5</v>
      </c>
      <c r="G110" s="65">
        <v>9.1999999999999993</v>
      </c>
      <c r="H110" s="65">
        <v>12.8</v>
      </c>
      <c r="I110" s="65">
        <v>13.6</v>
      </c>
      <c r="J110" s="64">
        <f>0</f>
        <v>0</v>
      </c>
      <c r="K110" s="64">
        <f>0</f>
        <v>0</v>
      </c>
      <c r="L110" s="64">
        <f>0</f>
        <v>0</v>
      </c>
      <c r="M110" s="64">
        <f>0</f>
        <v>0</v>
      </c>
      <c r="N110" s="64">
        <f>0</f>
        <v>0</v>
      </c>
    </row>
    <row r="111" spans="2:14" x14ac:dyDescent="0.2">
      <c r="B111" s="5" t="s">
        <v>64</v>
      </c>
      <c r="F111" s="66">
        <f>SUM(F107:F110)</f>
        <v>-1633.7</v>
      </c>
      <c r="G111" s="66">
        <f>SUM(G107:G110)</f>
        <v>-2223.8000000000002</v>
      </c>
      <c r="H111" s="66">
        <f>SUM(H107:H110)</f>
        <v>-4143.7</v>
      </c>
      <c r="I111" s="66">
        <f>SUM(I107:I110)</f>
        <v>-3717.7999999999997</v>
      </c>
      <c r="J111" s="66">
        <f>SUM(J107:J110)</f>
        <v>-1700.1375236919298</v>
      </c>
      <c r="K111" s="66">
        <f t="shared" ref="K111:N111" si="53">SUM(K107:K110)</f>
        <v>-1805.7031946572079</v>
      </c>
      <c r="L111" s="66">
        <f t="shared" si="53"/>
        <v>-1914.8989827734895</v>
      </c>
      <c r="M111" s="66">
        <f t="shared" si="53"/>
        <v>-2024.7999543148069</v>
      </c>
      <c r="N111" s="66">
        <f t="shared" si="53"/>
        <v>-2135.7782117159618</v>
      </c>
    </row>
    <row r="112" spans="2:14" x14ac:dyDescent="0.2">
      <c r="F112" s="64"/>
      <c r="G112" s="64"/>
      <c r="H112" s="64"/>
      <c r="I112" s="64"/>
      <c r="J112" s="64"/>
      <c r="K112" s="64"/>
      <c r="L112" s="64"/>
      <c r="M112" s="64"/>
      <c r="N112" s="64"/>
    </row>
    <row r="113" spans="2:14" x14ac:dyDescent="0.2">
      <c r="B113" s="6" t="s">
        <v>65</v>
      </c>
      <c r="F113" s="64"/>
      <c r="G113" s="64"/>
      <c r="H113" s="64"/>
      <c r="I113" s="64"/>
      <c r="J113" s="64"/>
      <c r="K113" s="64"/>
      <c r="L113" s="64"/>
      <c r="M113" s="64"/>
      <c r="N113" s="64"/>
    </row>
    <row r="114" spans="2:14" x14ac:dyDescent="0.2">
      <c r="B114" s="1" t="s">
        <v>66</v>
      </c>
      <c r="F114" s="65">
        <v>-2352.1</v>
      </c>
      <c r="G114" s="65">
        <v>-2689.9</v>
      </c>
      <c r="H114" s="65">
        <v>-3425.6</v>
      </c>
      <c r="I114" s="65">
        <v>-3614.9</v>
      </c>
      <c r="J114" s="64">
        <f>-'Master Assumptions'!F38*'Forecast Model'!J29</f>
        <v>-3863.6819183254379</v>
      </c>
      <c r="K114" s="64">
        <f>-'Master Assumptions'!G38*'Forecast Model'!K29</f>
        <v>-4113.3289977496315</v>
      </c>
      <c r="L114" s="64">
        <f>-'Master Assumptions'!H38*'Forecast Model'!L29</f>
        <v>-4370.6094086848734</v>
      </c>
      <c r="M114" s="64">
        <f>-'Master Assumptions'!I38*'Forecast Model'!M29</f>
        <v>-4627.8030177208602</v>
      </c>
      <c r="N114" s="64">
        <f>-'Master Assumptions'!J38*'Forecast Model'!N29</f>
        <v>-4886.285849081557</v>
      </c>
    </row>
    <row r="115" spans="2:14" x14ac:dyDescent="0.2">
      <c r="B115" s="1" t="s">
        <v>438</v>
      </c>
      <c r="F115" s="65">
        <v>-10055.1</v>
      </c>
      <c r="G115" s="65">
        <v>-399.1</v>
      </c>
      <c r="H115" s="65">
        <v>-501.8</v>
      </c>
      <c r="I115" s="65">
        <v>-427.6</v>
      </c>
      <c r="J115" s="64">
        <f>I115</f>
        <v>-427.6</v>
      </c>
      <c r="K115" s="64">
        <f t="shared" ref="K115:N115" si="54">J115</f>
        <v>-427.6</v>
      </c>
      <c r="L115" s="64">
        <f t="shared" si="54"/>
        <v>-427.6</v>
      </c>
      <c r="M115" s="64">
        <f t="shared" si="54"/>
        <v>-427.6</v>
      </c>
      <c r="N115" s="64">
        <f t="shared" si="54"/>
        <v>-427.6</v>
      </c>
    </row>
    <row r="116" spans="2:14" x14ac:dyDescent="0.2">
      <c r="B116" s="1" t="s">
        <v>439</v>
      </c>
      <c r="F116" s="65">
        <v>-396.4</v>
      </c>
      <c r="G116" s="65">
        <v>-446.9</v>
      </c>
      <c r="H116" s="65">
        <v>-430.6</v>
      </c>
      <c r="I116" s="65">
        <v>-474.3</v>
      </c>
      <c r="J116" s="64"/>
      <c r="K116" s="64"/>
      <c r="L116" s="64"/>
      <c r="M116" s="64"/>
      <c r="N116" s="64"/>
    </row>
    <row r="117" spans="2:14" x14ac:dyDescent="0.2">
      <c r="B117" s="1" t="s">
        <v>67</v>
      </c>
      <c r="F117" s="65">
        <v>3939.4</v>
      </c>
      <c r="G117" s="65">
        <v>-544</v>
      </c>
      <c r="H117" s="65">
        <v>2743.4</v>
      </c>
      <c r="I117" s="65">
        <v>-254.4</v>
      </c>
      <c r="J117" s="64">
        <f>(J58+J63)-(I58+I63)</f>
        <v>671.85325259951787</v>
      </c>
      <c r="K117" s="64">
        <f t="shared" ref="K117:N117" si="55">(K58+K63)-(J58+J63)</f>
        <v>722.34795045031206</v>
      </c>
      <c r="L117" s="64">
        <f t="shared" si="55"/>
        <v>774.38659894188095</v>
      </c>
      <c r="M117" s="64">
        <f t="shared" si="55"/>
        <v>826.40769050594645</v>
      </c>
      <c r="N117" s="64">
        <f t="shared" si="55"/>
        <v>878.68954575247699</v>
      </c>
    </row>
    <row r="118" spans="2:14" x14ac:dyDescent="0.2">
      <c r="B118" s="3" t="s">
        <v>68</v>
      </c>
      <c r="F118" s="66">
        <f>SUM(F114:F117)</f>
        <v>-8864.2000000000007</v>
      </c>
      <c r="G118" s="66">
        <f t="shared" ref="G118:I118" si="56">SUM(G114:G117)</f>
        <v>-4079.9</v>
      </c>
      <c r="H118" s="66">
        <f t="shared" si="56"/>
        <v>-1614.6</v>
      </c>
      <c r="I118" s="66">
        <f t="shared" si="56"/>
        <v>-4771.2</v>
      </c>
      <c r="J118" s="66">
        <f>SUM(J114:J117)</f>
        <v>-3619.4286657259199</v>
      </c>
      <c r="K118" s="66">
        <f t="shared" ref="K118:N118" si="57">SUM(K114:K117)</f>
        <v>-3818.5810472993198</v>
      </c>
      <c r="L118" s="66">
        <f t="shared" si="57"/>
        <v>-4023.8228097429928</v>
      </c>
      <c r="M118" s="66">
        <f t="shared" si="57"/>
        <v>-4228.9953272149141</v>
      </c>
      <c r="N118" s="66">
        <f t="shared" si="57"/>
        <v>-4435.1963033290804</v>
      </c>
    </row>
    <row r="119" spans="2:14" x14ac:dyDescent="0.2">
      <c r="B119" s="5"/>
      <c r="F119" s="66"/>
      <c r="G119" s="66"/>
      <c r="H119" s="66"/>
      <c r="I119" s="66"/>
      <c r="J119" s="66"/>
      <c r="K119" s="66"/>
      <c r="L119" s="66"/>
      <c r="M119" s="66"/>
      <c r="N119" s="66"/>
    </row>
    <row r="120" spans="2:14" x14ac:dyDescent="0.2">
      <c r="F120" s="64"/>
      <c r="G120" s="64"/>
      <c r="H120" s="64"/>
      <c r="I120" s="64"/>
      <c r="J120" s="64"/>
      <c r="K120" s="64"/>
      <c r="L120" s="64"/>
      <c r="M120" s="64"/>
      <c r="N120" s="64"/>
    </row>
    <row r="121" spans="2:14" x14ac:dyDescent="0.2">
      <c r="B121" s="1" t="s">
        <v>69</v>
      </c>
      <c r="F121" s="64">
        <v>77.400000000000006</v>
      </c>
      <c r="G121" s="64">
        <v>-70.7</v>
      </c>
      <c r="H121" s="64">
        <v>-175.9</v>
      </c>
      <c r="I121" s="64">
        <v>-32.799999999999997</v>
      </c>
      <c r="J121" s="64">
        <v>0</v>
      </c>
      <c r="K121" s="64">
        <v>0</v>
      </c>
      <c r="L121" s="64">
        <v>0</v>
      </c>
      <c r="M121" s="64">
        <v>0</v>
      </c>
      <c r="N121" s="64">
        <v>0</v>
      </c>
    </row>
    <row r="122" spans="2:14" x14ac:dyDescent="0.2">
      <c r="B122" s="5" t="s">
        <v>70</v>
      </c>
      <c r="F122" s="66">
        <f>F104+F111+F118+F121</f>
        <v>-3692.1</v>
      </c>
      <c r="G122" s="66">
        <f t="shared" ref="G122:I122" si="58">G104+G111+G118+G121</f>
        <v>-96.100000000000094</v>
      </c>
      <c r="H122" s="66">
        <f t="shared" si="58"/>
        <v>1670.3999999999996</v>
      </c>
      <c r="I122" s="66">
        <f t="shared" si="58"/>
        <v>-235.7999999999991</v>
      </c>
      <c r="J122" s="66">
        <f>J104+J111+J118</f>
        <v>3199.2867497195548</v>
      </c>
      <c r="K122" s="66">
        <f t="shared" ref="K122:N122" si="59">K104+K111+K118</f>
        <v>3102.7998402968278</v>
      </c>
      <c r="L122" s="66">
        <f t="shared" si="59"/>
        <v>3447.165941956815</v>
      </c>
      <c r="M122" s="66">
        <f t="shared" si="59"/>
        <v>3636.0795360985612</v>
      </c>
      <c r="N122" s="66">
        <f t="shared" si="59"/>
        <v>3902.5015894618236</v>
      </c>
    </row>
  </sheetData>
  <mergeCells count="3">
    <mergeCell ref="B3:N3"/>
    <mergeCell ref="B32:N32"/>
    <mergeCell ref="B87:N87"/>
  </mergeCells>
  <pageMargins left="0.7" right="0.7" top="0.75" bottom="0.75" header="0.3" footer="0.3"/>
  <ignoredErrors>
    <ignoredError sqref="J20" formulaRange="1"/>
    <ignoredError sqref="J49 K49:N49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45C65-BB10-DD43-A244-F5AB8AB0A247}">
  <sheetPr>
    <tabColor rgb="FFBF8F00"/>
  </sheetPr>
  <dimension ref="A1"/>
  <sheetViews>
    <sheetView workbookViewId="0">
      <selection activeCell="P33" sqref="P33"/>
    </sheetView>
  </sheetViews>
  <sheetFormatPr baseColWidth="10" defaultRowHeight="16" x14ac:dyDescent="0.2"/>
  <cols>
    <col min="1" max="16384" width="10.83203125" style="1"/>
  </cols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A0706-D37F-CA43-A6F0-EB69BEB4EAEF}">
  <sheetPr>
    <tabColor rgb="FFC00000"/>
  </sheetPr>
  <dimension ref="B2:J73"/>
  <sheetViews>
    <sheetView workbookViewId="0">
      <selection activeCell="D17" sqref="D17"/>
    </sheetView>
  </sheetViews>
  <sheetFormatPr baseColWidth="10" defaultRowHeight="16" x14ac:dyDescent="0.2"/>
  <cols>
    <col min="1" max="1" width="10.83203125" style="1"/>
    <col min="2" max="2" width="41.6640625" style="1" customWidth="1"/>
    <col min="3" max="4" width="3.33203125" style="1" customWidth="1"/>
    <col min="5" max="5" width="20" style="1" customWidth="1"/>
    <col min="6" max="10" width="15" style="1" customWidth="1"/>
    <col min="11" max="16384" width="10.83203125" style="1"/>
  </cols>
  <sheetData>
    <row r="2" spans="2:9" ht="19" x14ac:dyDescent="0.25">
      <c r="B2" s="175" t="s">
        <v>561</v>
      </c>
    </row>
    <row r="3" spans="2:9" x14ac:dyDescent="0.2">
      <c r="B3" s="176" t="s">
        <v>562</v>
      </c>
    </row>
    <row r="4" spans="2:9" x14ac:dyDescent="0.2">
      <c r="B4" s="177" t="s">
        <v>563</v>
      </c>
    </row>
    <row r="6" spans="2:9" x14ac:dyDescent="0.2">
      <c r="B6" s="179" t="s">
        <v>564</v>
      </c>
      <c r="C6" s="180"/>
      <c r="D6" s="180"/>
      <c r="E6" s="180"/>
      <c r="F6" s="180"/>
      <c r="G6" s="180"/>
      <c r="H6" s="180"/>
      <c r="I6" s="180"/>
    </row>
    <row r="8" spans="2:9" x14ac:dyDescent="0.2">
      <c r="B8" s="5" t="s">
        <v>565</v>
      </c>
    </row>
    <row r="9" spans="2:9" x14ac:dyDescent="0.2">
      <c r="B9" s="1" t="s">
        <v>566</v>
      </c>
      <c r="E9" s="140">
        <v>3.5499999999999997E-2</v>
      </c>
    </row>
    <row r="10" spans="2:9" x14ac:dyDescent="0.2">
      <c r="B10" s="1" t="s">
        <v>567</v>
      </c>
      <c r="E10" s="140">
        <v>4.4999999999999998E-2</v>
      </c>
    </row>
    <row r="11" spans="2:9" x14ac:dyDescent="0.2">
      <c r="B11" s="1" t="s">
        <v>568</v>
      </c>
      <c r="E11" s="181">
        <v>0.95</v>
      </c>
    </row>
    <row r="12" spans="2:9" x14ac:dyDescent="0.2">
      <c r="B12" s="1" t="s">
        <v>569</v>
      </c>
      <c r="E12" s="182">
        <f>E9+E11*E10</f>
        <v>7.8249999999999986E-2</v>
      </c>
    </row>
    <row r="14" spans="2:9" x14ac:dyDescent="0.2">
      <c r="B14" s="5" t="s">
        <v>570</v>
      </c>
    </row>
    <row r="15" spans="2:9" x14ac:dyDescent="0.2">
      <c r="B15" s="1" t="s">
        <v>571</v>
      </c>
      <c r="E15" s="183">
        <f>'Master Assumptions'!F18</f>
        <v>4.3955267804590935E-2</v>
      </c>
    </row>
    <row r="16" spans="2:9" x14ac:dyDescent="0.2">
      <c r="B16" s="1" t="s">
        <v>572</v>
      </c>
      <c r="E16" s="183">
        <f>'Master Assumptions'!F24</f>
        <v>0.23895694245158822</v>
      </c>
    </row>
    <row r="17" spans="2:10" x14ac:dyDescent="0.2">
      <c r="B17" s="1" t="s">
        <v>573</v>
      </c>
      <c r="E17" s="91">
        <f>E15*(1-E16)</f>
        <v>3.3451851405365149E-2</v>
      </c>
    </row>
    <row r="19" spans="2:10" x14ac:dyDescent="0.2">
      <c r="B19" s="5" t="s">
        <v>574</v>
      </c>
    </row>
    <row r="20" spans="2:10" x14ac:dyDescent="0.2">
      <c r="B20" s="1" t="s">
        <v>575</v>
      </c>
      <c r="E20" s="185">
        <v>184315</v>
      </c>
    </row>
    <row r="21" spans="2:10" x14ac:dyDescent="0.2">
      <c r="B21" s="1" t="s">
        <v>576</v>
      </c>
      <c r="E21" s="186">
        <f>'Historical Financials'!I58+'Historical Financials'!I63</f>
        <v>8495</v>
      </c>
    </row>
    <row r="22" spans="2:10" x14ac:dyDescent="0.2">
      <c r="B22" s="1" t="s">
        <v>577</v>
      </c>
      <c r="E22" s="184">
        <f>E20+E21</f>
        <v>192810</v>
      </c>
    </row>
    <row r="23" spans="2:10" x14ac:dyDescent="0.2">
      <c r="B23" s="1" t="s">
        <v>578</v>
      </c>
      <c r="E23" s="91">
        <f>E20/E22</f>
        <v>0.95594108189409266</v>
      </c>
    </row>
    <row r="24" spans="2:10" x14ac:dyDescent="0.2">
      <c r="B24" s="1" t="s">
        <v>579</v>
      </c>
      <c r="E24" s="91">
        <f>E21/E22</f>
        <v>4.4058918105907369E-2</v>
      </c>
    </row>
    <row r="26" spans="2:10" x14ac:dyDescent="0.2">
      <c r="B26" s="5" t="s">
        <v>580</v>
      </c>
      <c r="E26" s="187">
        <f>E23*E12+E24*E17</f>
        <v>7.6276242039772693E-2</v>
      </c>
    </row>
    <row r="29" spans="2:10" x14ac:dyDescent="0.2">
      <c r="B29" s="179" t="s">
        <v>581</v>
      </c>
      <c r="C29" s="180"/>
      <c r="D29" s="180"/>
      <c r="E29" s="180"/>
      <c r="F29" s="180"/>
      <c r="G29" s="180"/>
      <c r="H29" s="180"/>
      <c r="I29" s="180"/>
    </row>
    <row r="30" spans="2:10" x14ac:dyDescent="0.2">
      <c r="B30" s="189"/>
      <c r="C30" s="189"/>
      <c r="D30" s="189"/>
      <c r="E30" s="189"/>
      <c r="F30" s="190" t="s">
        <v>405</v>
      </c>
      <c r="G30" s="190" t="s">
        <v>406</v>
      </c>
      <c r="H30" s="190" t="s">
        <v>407</v>
      </c>
      <c r="I30" s="190" t="s">
        <v>408</v>
      </c>
      <c r="J30" s="190" t="s">
        <v>409</v>
      </c>
    </row>
    <row r="31" spans="2:10" x14ac:dyDescent="0.2">
      <c r="B31" s="1" t="s">
        <v>9</v>
      </c>
      <c r="F31" s="192">
        <f>'Forecast Model'!J15</f>
        <v>9411.8046224031277</v>
      </c>
      <c r="G31" s="192">
        <f>'Forecast Model'!K15</f>
        <v>9995.5049579925653</v>
      </c>
      <c r="H31" s="192">
        <f>'Forecast Model'!L15</f>
        <v>10597.131628345509</v>
      </c>
      <c r="I31" s="192">
        <f>'Forecast Model'!M15</f>
        <v>11198.515322602867</v>
      </c>
      <c r="J31" s="192">
        <f>'Forecast Model'!N15</f>
        <v>11802.894054448685</v>
      </c>
    </row>
    <row r="32" spans="2:10" x14ac:dyDescent="0.2">
      <c r="B32" s="1" t="s">
        <v>582</v>
      </c>
      <c r="F32" s="191">
        <f>-F31*$E$16</f>
        <v>-2249.016055521176</v>
      </c>
      <c r="G32" s="191">
        <f>-G31*$E$16</f>
        <v>-2388.4953030215943</v>
      </c>
      <c r="H32" s="191">
        <f>-H31*$E$16</f>
        <v>-2532.258172666463</v>
      </c>
      <c r="I32" s="191">
        <f>-I31*$E$16</f>
        <v>-2675.962981486442</v>
      </c>
      <c r="J32" s="191">
        <f>-J31*$E$16</f>
        <v>-2820.3834753310871</v>
      </c>
    </row>
    <row r="33" spans="2:10" x14ac:dyDescent="0.2">
      <c r="B33" s="5" t="s">
        <v>583</v>
      </c>
      <c r="F33" s="193">
        <f>F31+F32</f>
        <v>7162.7885668819517</v>
      </c>
      <c r="G33" s="193">
        <f>G31+G32</f>
        <v>7607.0096549709706</v>
      </c>
      <c r="H33" s="193">
        <f>H31+H32</f>
        <v>8064.8734556790459</v>
      </c>
      <c r="I33" s="193">
        <f>I31+I32</f>
        <v>8522.5523411164249</v>
      </c>
      <c r="J33" s="193">
        <f>J31+J32</f>
        <v>8982.5105791175974</v>
      </c>
    </row>
    <row r="34" spans="2:10" x14ac:dyDescent="0.2">
      <c r="B34" s="1" t="s">
        <v>584</v>
      </c>
      <c r="F34" s="192">
        <f>-'Forecast Model'!J13</f>
        <v>1326.5894138594638</v>
      </c>
      <c r="G34" s="192">
        <f>-'Forecast Model'!K13</f>
        <v>1409.6620632376844</v>
      </c>
      <c r="H34" s="192">
        <f>-'Forecast Model'!L13</f>
        <v>1497.7368926472707</v>
      </c>
      <c r="I34" s="192">
        <f>-'Forecast Model'!M13</f>
        <v>1590.5087716496391</v>
      </c>
      <c r="J34" s="192">
        <f>-'Forecast Model'!N13</f>
        <v>1687.0899567660003</v>
      </c>
    </row>
    <row r="35" spans="2:10" x14ac:dyDescent="0.2">
      <c r="B35" s="1" t="s">
        <v>585</v>
      </c>
      <c r="F35" s="194">
        <f>'Forecast Model'!J107</f>
        <v>-1700.1375236919298</v>
      </c>
      <c r="G35" s="194">
        <f>'Forecast Model'!K107</f>
        <v>-1805.7031946572079</v>
      </c>
      <c r="H35" s="194">
        <f>'Forecast Model'!L107</f>
        <v>-1914.8989827734895</v>
      </c>
      <c r="I35" s="194">
        <f>'Forecast Model'!M107</f>
        <v>-2024.7999543148069</v>
      </c>
      <c r="J35" s="194">
        <f>'Forecast Model'!N107</f>
        <v>-2135.7782117159618</v>
      </c>
    </row>
    <row r="36" spans="2:10" x14ac:dyDescent="0.2">
      <c r="B36" s="1" t="s">
        <v>586</v>
      </c>
      <c r="F36" s="194">
        <f>'Forecast Model'!J100+'Forecast Model'!J101+'Forecast Model'!J102+'Forecast Model'!J103</f>
        <v>272.63173455898294</v>
      </c>
      <c r="G36" s="194">
        <f>'Forecast Model'!K100+'Forecast Model'!K101+'Forecast Model'!K102+'Forecast Model'!K103</f>
        <v>-49.279685247854331</v>
      </c>
      <c r="H36" s="194">
        <f>'Forecast Model'!L100+'Forecast Model'!L101+'Forecast Model'!L102+'Forecast Model'!L103</f>
        <v>60.660560963555554</v>
      </c>
      <c r="I36" s="194">
        <f>'Forecast Model'!M100+'Forecast Model'!M101+'Forecast Model'!M102+'Forecast Model'!M103</f>
        <v>11.226637618956261</v>
      </c>
      <c r="J36" s="194">
        <f>'Forecast Model'!N100+'Forecast Model'!N101+'Forecast Model'!N102+'Forecast Model'!N103</f>
        <v>35.290556247994743</v>
      </c>
    </row>
    <row r="37" spans="2:10" ht="17" thickBot="1" x14ac:dyDescent="0.25">
      <c r="B37" s="195" t="s">
        <v>587</v>
      </c>
      <c r="C37" s="196"/>
      <c r="D37" s="196"/>
      <c r="E37" s="196"/>
      <c r="F37" s="197">
        <f>F33+F34+F35+F36</f>
        <v>7061.8721916084687</v>
      </c>
      <c r="G37" s="197">
        <f>G33+G34+G35+G36</f>
        <v>7161.6888383035921</v>
      </c>
      <c r="H37" s="197">
        <f>H33+H34+H35+H36</f>
        <v>7708.3719265163818</v>
      </c>
      <c r="I37" s="197">
        <f>I33+I34+I35+I36</f>
        <v>8099.4877960702124</v>
      </c>
      <c r="J37" s="197">
        <f>J33+J34+J35+J36</f>
        <v>8569.1128804156306</v>
      </c>
    </row>
    <row r="38" spans="2:10" ht="17" thickTop="1" x14ac:dyDescent="0.2"/>
    <row r="39" spans="2:10" x14ac:dyDescent="0.2">
      <c r="B39" s="179" t="s">
        <v>588</v>
      </c>
      <c r="C39" s="180"/>
      <c r="D39" s="180"/>
      <c r="E39" s="180"/>
      <c r="F39" s="180"/>
      <c r="G39" s="180"/>
      <c r="H39" s="180"/>
      <c r="I39" s="180"/>
    </row>
    <row r="40" spans="2:10" x14ac:dyDescent="0.2">
      <c r="B40" s="1" t="s">
        <v>148</v>
      </c>
      <c r="E40" s="198">
        <v>2.5000000000000001E-2</v>
      </c>
    </row>
    <row r="41" spans="2:10" x14ac:dyDescent="0.2">
      <c r="B41" s="1" t="s">
        <v>589</v>
      </c>
      <c r="E41" s="200">
        <v>18</v>
      </c>
    </row>
    <row r="43" spans="2:10" x14ac:dyDescent="0.2">
      <c r="B43" s="5" t="s">
        <v>590</v>
      </c>
    </row>
    <row r="44" spans="2:10" x14ac:dyDescent="0.2">
      <c r="B44" s="1" t="s">
        <v>591</v>
      </c>
      <c r="E44" s="191">
        <f>J37</f>
        <v>8569.1128804156306</v>
      </c>
    </row>
    <row r="45" spans="2:10" x14ac:dyDescent="0.2">
      <c r="B45" s="1" t="s">
        <v>592</v>
      </c>
      <c r="E45" s="193">
        <f>E44*(1+E40)/(E26-E40)</f>
        <v>171294.54798214691</v>
      </c>
    </row>
    <row r="47" spans="2:10" x14ac:dyDescent="0.2">
      <c r="B47" s="5" t="s">
        <v>593</v>
      </c>
    </row>
    <row r="48" spans="2:10" x14ac:dyDescent="0.2">
      <c r="B48" s="1" t="s">
        <v>594</v>
      </c>
      <c r="E48" s="192">
        <f>J31+J34</f>
        <v>13489.984011214685</v>
      </c>
    </row>
    <row r="49" spans="2:10" x14ac:dyDescent="0.2">
      <c r="B49" s="1" t="s">
        <v>595</v>
      </c>
      <c r="E49" s="193">
        <f>E48*E41</f>
        <v>242819.71220186434</v>
      </c>
    </row>
    <row r="51" spans="2:10" x14ac:dyDescent="0.2">
      <c r="B51" s="1" t="s">
        <v>596</v>
      </c>
      <c r="E51" s="201">
        <f>(E45+E49)/2</f>
        <v>207057.13009200562</v>
      </c>
    </row>
    <row r="53" spans="2:10" x14ac:dyDescent="0.2">
      <c r="B53" s="179" t="s">
        <v>597</v>
      </c>
      <c r="C53" s="180"/>
      <c r="D53" s="180"/>
      <c r="E53" s="180"/>
      <c r="F53" s="204" t="s">
        <v>405</v>
      </c>
      <c r="G53" s="204" t="s">
        <v>406</v>
      </c>
      <c r="H53" s="204" t="s">
        <v>407</v>
      </c>
      <c r="I53" s="204" t="s">
        <v>408</v>
      </c>
      <c r="J53" s="188" t="s">
        <v>409</v>
      </c>
    </row>
    <row r="54" spans="2:10" x14ac:dyDescent="0.2">
      <c r="B54" s="1" t="s">
        <v>598</v>
      </c>
      <c r="F54" s="202">
        <v>0.5</v>
      </c>
      <c r="G54" s="202">
        <v>1.5</v>
      </c>
      <c r="H54" s="202">
        <v>2.5</v>
      </c>
      <c r="I54" s="202">
        <v>3.5</v>
      </c>
      <c r="J54" s="202">
        <v>4.5</v>
      </c>
    </row>
    <row r="55" spans="2:10" x14ac:dyDescent="0.2">
      <c r="B55" s="1" t="s">
        <v>599</v>
      </c>
      <c r="F55" s="203">
        <f>1/(1+$E$26)^F54</f>
        <v>0.96391363401575425</v>
      </c>
      <c r="G55" s="203">
        <f>1/(1+$E$26)^G54</f>
        <v>0.8956005868799376</v>
      </c>
      <c r="H55" s="203">
        <f>1/(1+$E$26)^H54</f>
        <v>0.83212891997186877</v>
      </c>
      <c r="I55" s="203">
        <f>1/(1+$E$26)^I54</f>
        <v>0.77315552222430117</v>
      </c>
      <c r="J55" s="203">
        <f>1/(1+$E$26)^J54</f>
        <v>0.71836159902499264</v>
      </c>
    </row>
    <row r="57" spans="2:10" x14ac:dyDescent="0.2">
      <c r="B57" s="1" t="s">
        <v>600</v>
      </c>
      <c r="F57" s="191">
        <f>F37*F55</f>
        <v>6807.0348871681181</v>
      </c>
      <c r="G57" s="191">
        <f>G37*G55</f>
        <v>6414.012726636196</v>
      </c>
      <c r="H57" s="191">
        <f>H37*H55</f>
        <v>6414.3592059535504</v>
      </c>
      <c r="I57" s="191">
        <f>I37*I55</f>
        <v>6262.1637167200197</v>
      </c>
      <c r="J57" s="191">
        <f>J37*J55</f>
        <v>6155.7216310010326</v>
      </c>
    </row>
    <row r="59" spans="2:10" x14ac:dyDescent="0.2">
      <c r="B59" s="1" t="s">
        <v>601</v>
      </c>
      <c r="E59" s="193">
        <f>SUM(F57:J57)</f>
        <v>32053.292167478918</v>
      </c>
    </row>
    <row r="60" spans="2:10" x14ac:dyDescent="0.2">
      <c r="B60" s="1" t="s">
        <v>602</v>
      </c>
      <c r="E60" s="193">
        <f>E51*J55</f>
        <v>148741.89106241908</v>
      </c>
    </row>
    <row r="61" spans="2:10" ht="17" thickBot="1" x14ac:dyDescent="0.25">
      <c r="B61" s="195" t="s">
        <v>603</v>
      </c>
      <c r="C61" s="196"/>
      <c r="D61" s="196"/>
      <c r="E61" s="205">
        <f>E59+E60</f>
        <v>180795.18322989799</v>
      </c>
    </row>
    <row r="62" spans="2:10" ht="17" thickTop="1" x14ac:dyDescent="0.2"/>
    <row r="63" spans="2:10" x14ac:dyDescent="0.2">
      <c r="B63" s="5" t="s">
        <v>604</v>
      </c>
    </row>
    <row r="64" spans="2:10" x14ac:dyDescent="0.2">
      <c r="B64" s="1" t="s">
        <v>605</v>
      </c>
      <c r="E64" s="194">
        <f>-('Historical Financials'!I58+'Historical Financials'!I63)</f>
        <v>-8495</v>
      </c>
    </row>
    <row r="65" spans="2:5" x14ac:dyDescent="0.2">
      <c r="B65" s="1" t="s">
        <v>606</v>
      </c>
      <c r="E65" s="192">
        <f>'Historical Financials'!I40</f>
        <v>4052.3</v>
      </c>
    </row>
    <row r="66" spans="2:5" x14ac:dyDescent="0.2">
      <c r="B66" s="1" t="s">
        <v>607</v>
      </c>
      <c r="E66" s="194">
        <f>-'Historical Financials'!I77</f>
        <v>-4.5</v>
      </c>
    </row>
    <row r="67" spans="2:5" ht="17" thickBot="1" x14ac:dyDescent="0.25">
      <c r="B67" s="195" t="s">
        <v>608</v>
      </c>
      <c r="C67" s="196"/>
      <c r="D67" s="196"/>
      <c r="E67" s="205">
        <f>E61+E64+E65+E66</f>
        <v>176347.98322989797</v>
      </c>
    </row>
    <row r="68" spans="2:5" ht="17" thickTop="1" x14ac:dyDescent="0.2"/>
    <row r="69" spans="2:5" x14ac:dyDescent="0.2">
      <c r="B69" s="1" t="s">
        <v>609</v>
      </c>
      <c r="E69" s="206">
        <v>534.29999999999995</v>
      </c>
    </row>
    <row r="70" spans="2:5" ht="19" x14ac:dyDescent="0.25">
      <c r="B70" s="5" t="s">
        <v>610</v>
      </c>
      <c r="E70" s="207">
        <f>E67/E69</f>
        <v>330.05424523656745</v>
      </c>
    </row>
    <row r="72" spans="2:5" x14ac:dyDescent="0.2">
      <c r="B72" s="1" t="s">
        <v>611</v>
      </c>
      <c r="E72" s="208">
        <v>345.3</v>
      </c>
    </row>
    <row r="73" spans="2:5" x14ac:dyDescent="0.2">
      <c r="B73" s="5" t="s">
        <v>612</v>
      </c>
      <c r="E73" s="209">
        <f>E70/E72-1</f>
        <v>-4.4152200299544031E-2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D2FC3-075A-2844-A387-1BFB3F87E1D5}">
  <sheetPr>
    <tabColor rgb="FFC00000"/>
  </sheetPr>
  <dimension ref="B2:P28"/>
  <sheetViews>
    <sheetView workbookViewId="0">
      <selection activeCell="F17" sqref="F17"/>
    </sheetView>
  </sheetViews>
  <sheetFormatPr baseColWidth="10" defaultRowHeight="16" x14ac:dyDescent="0.2"/>
  <cols>
    <col min="1" max="1" width="10.83203125" style="1"/>
    <col min="2" max="2" width="23.33203125" style="1" customWidth="1"/>
    <col min="3" max="3" width="11.6640625" style="1" customWidth="1"/>
    <col min="4" max="16" width="14.1640625" style="1" customWidth="1"/>
    <col min="17" max="16384" width="10.83203125" style="1"/>
  </cols>
  <sheetData>
    <row r="2" spans="2:16" ht="19" x14ac:dyDescent="0.25">
      <c r="B2" s="175" t="s">
        <v>620</v>
      </c>
    </row>
    <row r="3" spans="2:16" x14ac:dyDescent="0.2">
      <c r="B3" s="221" t="s">
        <v>621</v>
      </c>
    </row>
    <row r="4" spans="2:16" x14ac:dyDescent="0.2">
      <c r="B4" s="177" t="s">
        <v>622</v>
      </c>
    </row>
    <row r="6" spans="2:16" x14ac:dyDescent="0.2">
      <c r="B6" s="223" t="s">
        <v>623</v>
      </c>
      <c r="C6" s="223" t="s">
        <v>624</v>
      </c>
      <c r="D6" s="223" t="s">
        <v>625</v>
      </c>
      <c r="E6" s="223" t="s">
        <v>626</v>
      </c>
      <c r="F6" s="223" t="s">
        <v>627</v>
      </c>
      <c r="G6" s="223" t="s">
        <v>628</v>
      </c>
      <c r="H6" s="223" t="s">
        <v>629</v>
      </c>
      <c r="I6" s="223" t="s">
        <v>630</v>
      </c>
      <c r="J6" s="223" t="s">
        <v>631</v>
      </c>
      <c r="K6" s="223" t="s">
        <v>632</v>
      </c>
      <c r="L6" s="223" t="s">
        <v>633</v>
      </c>
      <c r="M6" s="223" t="s">
        <v>634</v>
      </c>
      <c r="N6" s="223" t="s">
        <v>635</v>
      </c>
      <c r="O6" s="223" t="s">
        <v>636</v>
      </c>
      <c r="P6" s="223" t="s">
        <v>637</v>
      </c>
    </row>
    <row r="7" spans="2:16" x14ac:dyDescent="0.2">
      <c r="B7" s="224" t="s">
        <v>638</v>
      </c>
      <c r="C7" s="224" t="s">
        <v>639</v>
      </c>
      <c r="D7" s="224" t="s">
        <v>640</v>
      </c>
      <c r="E7" s="225">
        <v>184315</v>
      </c>
      <c r="F7" s="225">
        <v>188980</v>
      </c>
      <c r="G7" s="225">
        <v>44052</v>
      </c>
      <c r="H7" s="225">
        <v>10486</v>
      </c>
      <c r="I7" s="225">
        <v>6128</v>
      </c>
      <c r="J7" s="226">
        <v>0.74319999999999997</v>
      </c>
      <c r="K7" s="226">
        <v>0.23810000000000001</v>
      </c>
      <c r="L7" s="226">
        <v>0.1391</v>
      </c>
      <c r="M7" s="227">
        <f>F7/G7</f>
        <v>4.2899300826296196</v>
      </c>
      <c r="N7" s="227">
        <f>F7/H7</f>
        <v>18.022124737745564</v>
      </c>
      <c r="O7" s="227">
        <f>E7/I7</f>
        <v>30.077513054830288</v>
      </c>
      <c r="P7" s="224"/>
    </row>
    <row r="8" spans="2:16" x14ac:dyDescent="0.2">
      <c r="B8" s="1" t="s">
        <v>641</v>
      </c>
      <c r="C8" s="1" t="s">
        <v>642</v>
      </c>
      <c r="D8" s="1" t="s">
        <v>643</v>
      </c>
      <c r="E8" s="184">
        <v>35200</v>
      </c>
      <c r="F8" s="184">
        <v>42600</v>
      </c>
      <c r="G8" s="184">
        <v>13500</v>
      </c>
      <c r="H8" s="184">
        <v>1890</v>
      </c>
      <c r="I8" s="184">
        <v>430</v>
      </c>
      <c r="J8" s="138">
        <v>0.73</v>
      </c>
      <c r="K8" s="138">
        <v>0.14000000000000001</v>
      </c>
      <c r="L8" s="138">
        <v>3.1899999999999998E-2</v>
      </c>
      <c r="M8" s="199">
        <f>F8/G8</f>
        <v>3.1555555555555554</v>
      </c>
      <c r="N8" s="199">
        <f>F8/H8</f>
        <v>22.539682539682541</v>
      </c>
      <c r="O8" s="199">
        <f>E8/I8</f>
        <v>81.860465116279073</v>
      </c>
    </row>
    <row r="9" spans="2:16" x14ac:dyDescent="0.2">
      <c r="B9" s="1" t="s">
        <v>644</v>
      </c>
      <c r="C9" s="1" t="s">
        <v>645</v>
      </c>
      <c r="D9" s="1" t="s">
        <v>643</v>
      </c>
      <c r="E9" s="184">
        <v>355000</v>
      </c>
      <c r="F9" s="184">
        <v>380000</v>
      </c>
      <c r="G9" s="184">
        <v>79800</v>
      </c>
      <c r="H9" s="184">
        <v>22300</v>
      </c>
      <c r="I9" s="184">
        <v>14400</v>
      </c>
      <c r="J9" s="138">
        <v>0.51200000000000001</v>
      </c>
      <c r="K9" s="138">
        <v>0.27939999999999998</v>
      </c>
      <c r="L9" s="138">
        <v>0.18049999999999999</v>
      </c>
      <c r="M9" s="199">
        <f>F9/G9</f>
        <v>4.7619047619047619</v>
      </c>
      <c r="N9" s="199">
        <f>F9/H9</f>
        <v>17.04035874439462</v>
      </c>
      <c r="O9" s="199">
        <f>E9/I9</f>
        <v>24.652777777777779</v>
      </c>
    </row>
    <row r="10" spans="2:16" x14ac:dyDescent="0.2">
      <c r="B10" s="1" t="s">
        <v>646</v>
      </c>
      <c r="C10" s="1" t="s">
        <v>647</v>
      </c>
      <c r="D10" s="1" t="s">
        <v>640</v>
      </c>
      <c r="E10" s="184">
        <v>135000</v>
      </c>
      <c r="F10" s="184">
        <v>155000</v>
      </c>
      <c r="G10" s="184">
        <v>59600</v>
      </c>
      <c r="H10" s="184">
        <v>12800</v>
      </c>
      <c r="I10" s="184">
        <v>7300</v>
      </c>
      <c r="J10" s="138">
        <v>0.435</v>
      </c>
      <c r="K10" s="138">
        <v>0.21479999999999999</v>
      </c>
      <c r="L10" s="138">
        <v>0.1225</v>
      </c>
      <c r="M10" s="199">
        <f>F10/G10</f>
        <v>2.6006711409395975</v>
      </c>
      <c r="N10" s="199">
        <f>F10/H10</f>
        <v>12.109375</v>
      </c>
      <c r="O10" s="199">
        <f>E10/I10</f>
        <v>18.493150684931507</v>
      </c>
    </row>
    <row r="11" spans="2:16" x14ac:dyDescent="0.2">
      <c r="B11" s="1" t="s">
        <v>648</v>
      </c>
      <c r="C11" s="1" t="s">
        <v>649</v>
      </c>
      <c r="D11" s="1" t="s">
        <v>640</v>
      </c>
      <c r="E11" s="184">
        <v>15900</v>
      </c>
      <c r="F11" s="184">
        <v>13500</v>
      </c>
      <c r="G11" s="184">
        <v>9360</v>
      </c>
      <c r="H11" s="184">
        <v>1630</v>
      </c>
      <c r="I11" s="184">
        <v>900</v>
      </c>
      <c r="J11" s="138">
        <v>0.60199999999999998</v>
      </c>
      <c r="K11" s="138">
        <v>0.1741</v>
      </c>
      <c r="L11" s="138">
        <v>9.6199999999999994E-2</v>
      </c>
      <c r="M11" s="199">
        <f>F11/G11</f>
        <v>1.4423076923076923</v>
      </c>
      <c r="N11" s="199">
        <f>F11/H11</f>
        <v>8.2822085889570545</v>
      </c>
      <c r="O11" s="199">
        <f>E11/I11</f>
        <v>17.666666666666668</v>
      </c>
    </row>
    <row r="12" spans="2:16" x14ac:dyDescent="0.2">
      <c r="B12" s="1" t="s">
        <v>650</v>
      </c>
      <c r="C12" s="1" t="s">
        <v>651</v>
      </c>
      <c r="D12" s="1" t="s">
        <v>652</v>
      </c>
      <c r="E12" s="184">
        <v>16800</v>
      </c>
      <c r="F12" s="184">
        <v>19200</v>
      </c>
      <c r="G12" s="184">
        <v>9100</v>
      </c>
      <c r="H12" s="184">
        <v>1050</v>
      </c>
      <c r="I12" s="184">
        <v>290</v>
      </c>
      <c r="J12" s="138">
        <v>0.75</v>
      </c>
      <c r="K12" s="138">
        <v>0.1154</v>
      </c>
      <c r="L12" s="138">
        <v>3.1899999999999998E-2</v>
      </c>
      <c r="M12" s="199">
        <f>F12/G12</f>
        <v>2.1098901098901099</v>
      </c>
      <c r="N12" s="199">
        <f>F12/H12</f>
        <v>18.285714285714285</v>
      </c>
      <c r="O12" s="199">
        <f>E12/I12</f>
        <v>57.931034482758619</v>
      </c>
    </row>
    <row r="13" spans="2:16" x14ac:dyDescent="0.2">
      <c r="B13" s="1" t="s">
        <v>653</v>
      </c>
      <c r="C13" s="1" t="s">
        <v>654</v>
      </c>
      <c r="D13" s="1" t="s">
        <v>640</v>
      </c>
      <c r="E13" s="184">
        <v>31500</v>
      </c>
      <c r="F13" s="184">
        <v>36800</v>
      </c>
      <c r="G13" s="184">
        <v>21500</v>
      </c>
      <c r="H13" s="184">
        <v>3600</v>
      </c>
      <c r="I13" s="184">
        <v>1750</v>
      </c>
      <c r="J13" s="138">
        <v>0.47499999999999998</v>
      </c>
      <c r="K13" s="138">
        <v>0.16739999999999999</v>
      </c>
      <c r="L13" s="138">
        <v>8.14E-2</v>
      </c>
      <c r="M13" s="199">
        <f>F13/G13</f>
        <v>1.7116279069767442</v>
      </c>
      <c r="N13" s="199">
        <f>F13/H13</f>
        <v>10.222222222222221</v>
      </c>
      <c r="O13" s="199">
        <f>E13/I13</f>
        <v>18</v>
      </c>
    </row>
    <row r="14" spans="2:16" x14ac:dyDescent="0.2">
      <c r="B14" s="1" t="s">
        <v>655</v>
      </c>
      <c r="C14" s="1" t="s">
        <v>656</v>
      </c>
      <c r="D14" s="1" t="s">
        <v>643</v>
      </c>
      <c r="E14" s="184">
        <v>64500</v>
      </c>
      <c r="F14" s="184">
        <v>79000</v>
      </c>
      <c r="G14" s="184">
        <v>18200</v>
      </c>
      <c r="H14" s="184">
        <v>4700</v>
      </c>
      <c r="I14" s="184">
        <v>2700</v>
      </c>
      <c r="J14" s="138">
        <v>0.60499999999999998</v>
      </c>
      <c r="K14" s="138">
        <v>0.25819999999999999</v>
      </c>
      <c r="L14" s="138">
        <v>0.1484</v>
      </c>
      <c r="M14" s="199">
        <f>F14/G14</f>
        <v>4.3406593406593403</v>
      </c>
      <c r="N14" s="199">
        <f>F14/H14</f>
        <v>16.808510638297872</v>
      </c>
      <c r="O14" s="199">
        <f>E14/I14</f>
        <v>23.888888888888889</v>
      </c>
    </row>
    <row r="15" spans="2:16" x14ac:dyDescent="0.2">
      <c r="B15" s="1" t="s">
        <v>657</v>
      </c>
      <c r="C15" s="1" t="s">
        <v>658</v>
      </c>
      <c r="D15" s="1" t="s">
        <v>643</v>
      </c>
      <c r="E15" s="184">
        <v>23000</v>
      </c>
      <c r="F15" s="184">
        <v>26500</v>
      </c>
      <c r="G15" s="184">
        <v>5700</v>
      </c>
      <c r="H15" s="184">
        <v>1320</v>
      </c>
      <c r="I15" s="184">
        <v>730</v>
      </c>
      <c r="J15" s="138">
        <v>0.45</v>
      </c>
      <c r="K15" s="138">
        <v>0.2316</v>
      </c>
      <c r="L15" s="138">
        <v>0.12809999999999999</v>
      </c>
      <c r="M15" s="199">
        <f>F15/G15</f>
        <v>4.6491228070175437</v>
      </c>
      <c r="N15" s="199">
        <f>F15/H15</f>
        <v>20.075757575757574</v>
      </c>
      <c r="O15" s="199">
        <f>E15/I15</f>
        <v>31.506849315068493</v>
      </c>
    </row>
    <row r="17" spans="2:16" x14ac:dyDescent="0.2">
      <c r="B17" s="178" t="s">
        <v>659</v>
      </c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</row>
    <row r="18" spans="2:16" x14ac:dyDescent="0.2">
      <c r="B18" s="5" t="s">
        <v>660</v>
      </c>
      <c r="J18" s="138">
        <f>AVERAGE(J8:J15)</f>
        <v>0.56987500000000002</v>
      </c>
      <c r="K18" s="138">
        <f>AVERAGE(K8:K15)</f>
        <v>0.1976125</v>
      </c>
      <c r="L18" s="138">
        <f>AVERAGE(L8:L15)</f>
        <v>0.1026125</v>
      </c>
      <c r="M18" s="199">
        <f>AVERAGE(M8:M15)</f>
        <v>3.0964674144064182</v>
      </c>
      <c r="N18" s="199">
        <f>AVERAGE(N8:N15)</f>
        <v>15.670478699378272</v>
      </c>
      <c r="O18" s="199">
        <f>AVERAGE(O8:O15)</f>
        <v>34.249979116546378</v>
      </c>
    </row>
    <row r="19" spans="2:16" x14ac:dyDescent="0.2">
      <c r="B19" s="5" t="s">
        <v>661</v>
      </c>
      <c r="J19" s="138">
        <f>MEDIAN(J8:J15)</f>
        <v>0.55699999999999994</v>
      </c>
      <c r="K19" s="138">
        <f>MEDIAN(K8:K15)</f>
        <v>0.19445000000000001</v>
      </c>
      <c r="L19" s="138">
        <f>MEDIAN(L8:L15)</f>
        <v>0.10935</v>
      </c>
      <c r="M19" s="199">
        <f>MEDIAN(M8:M15)</f>
        <v>2.8781133482475765</v>
      </c>
      <c r="N19" s="199">
        <f>MEDIAN(N8:N15)</f>
        <v>16.924434691346246</v>
      </c>
      <c r="O19" s="199">
        <f>MEDIAN(O8:O15)</f>
        <v>24.270833333333336</v>
      </c>
    </row>
    <row r="20" spans="2:16" x14ac:dyDescent="0.2">
      <c r="B20" s="5" t="s">
        <v>662</v>
      </c>
      <c r="J20" s="138">
        <f>MAX(J8:J15)</f>
        <v>0.75</v>
      </c>
      <c r="K20" s="138">
        <f>MAX(K8:K15)</f>
        <v>0.27939999999999998</v>
      </c>
      <c r="L20" s="138">
        <f>MAX(L8:L15)</f>
        <v>0.18049999999999999</v>
      </c>
      <c r="M20" s="199">
        <f>MAX(M8:M15)</f>
        <v>4.7619047619047619</v>
      </c>
      <c r="N20" s="199">
        <f>MAX(N8:N15)</f>
        <v>22.539682539682541</v>
      </c>
      <c r="O20" s="199">
        <f>MAX(O8:O15)</f>
        <v>81.860465116279073</v>
      </c>
    </row>
    <row r="21" spans="2:16" ht="17" thickBot="1" x14ac:dyDescent="0.25">
      <c r="B21" s="228" t="s">
        <v>663</v>
      </c>
      <c r="C21" s="229"/>
      <c r="D21" s="229"/>
      <c r="E21" s="229"/>
      <c r="F21" s="229"/>
      <c r="G21" s="229"/>
      <c r="H21" s="229"/>
      <c r="I21" s="229"/>
      <c r="J21" s="230">
        <f>MIN(J8:J15)</f>
        <v>0.435</v>
      </c>
      <c r="K21" s="230">
        <f>MIN(K8:K15)</f>
        <v>0.1154</v>
      </c>
      <c r="L21" s="230">
        <f>MIN(L8:L15)</f>
        <v>3.1899999999999998E-2</v>
      </c>
      <c r="M21" s="231">
        <f>MIN(M8:M15)</f>
        <v>1.4423076923076923</v>
      </c>
      <c r="N21" s="231">
        <f>MIN(N8:N15)</f>
        <v>8.2822085889570545</v>
      </c>
      <c r="O21" s="231">
        <f>MIN(O8:O15)</f>
        <v>17.666666666666668</v>
      </c>
      <c r="P21" s="229"/>
    </row>
    <row r="22" spans="2:16" ht="17" thickTop="1" x14ac:dyDescent="0.2"/>
    <row r="23" spans="2:16" x14ac:dyDescent="0.2">
      <c r="B23" s="178" t="s">
        <v>664</v>
      </c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</row>
    <row r="24" spans="2:16" x14ac:dyDescent="0.2">
      <c r="B24" s="222"/>
      <c r="C24" s="222" t="s">
        <v>665</v>
      </c>
      <c r="D24" s="222" t="s">
        <v>666</v>
      </c>
      <c r="E24" s="222" t="s">
        <v>667</v>
      </c>
      <c r="F24" s="222" t="s">
        <v>668</v>
      </c>
      <c r="G24" s="222" t="s">
        <v>669</v>
      </c>
      <c r="H24" s="222" t="s">
        <v>670</v>
      </c>
      <c r="I24" s="222" t="s">
        <v>671</v>
      </c>
      <c r="J24" s="222" t="s">
        <v>672</v>
      </c>
      <c r="K24" s="222" t="s">
        <v>673</v>
      </c>
    </row>
    <row r="25" spans="2:16" x14ac:dyDescent="0.2">
      <c r="B25" s="5" t="s">
        <v>675</v>
      </c>
      <c r="C25" s="184">
        <f>G7</f>
        <v>44052</v>
      </c>
      <c r="D25" s="199">
        <f>M18</f>
        <v>3.0964674144064182</v>
      </c>
      <c r="E25" s="199">
        <f>M19</f>
        <v>2.8781133482475765</v>
      </c>
      <c r="F25" s="184">
        <f>C25*D25</f>
        <v>136405.58253943152</v>
      </c>
      <c r="G25" s="184">
        <f>C25*E25</f>
        <v>126786.64921700224</v>
      </c>
      <c r="H25" s="184">
        <f>F25+C28</f>
        <v>131958.38253943151</v>
      </c>
      <c r="I25" s="184">
        <f>G25+C28</f>
        <v>122339.44921700224</v>
      </c>
      <c r="J25" s="232">
        <f>H25/'DCF Valuation'!E69</f>
        <v>246.97432629502435</v>
      </c>
      <c r="K25" s="232">
        <f>I25/'DCF Valuation'!E69</f>
        <v>228.97145651694225</v>
      </c>
    </row>
    <row r="26" spans="2:16" x14ac:dyDescent="0.2">
      <c r="B26" s="5" t="s">
        <v>676</v>
      </c>
      <c r="C26" s="184">
        <f>H7</f>
        <v>10486</v>
      </c>
      <c r="D26" s="199">
        <f>N18</f>
        <v>15.670478699378272</v>
      </c>
      <c r="E26" s="199">
        <f>N19</f>
        <v>16.924434691346246</v>
      </c>
      <c r="F26" s="184">
        <f>C26*D26</f>
        <v>164320.63964168055</v>
      </c>
      <c r="G26" s="184">
        <f>C26*E26</f>
        <v>177469.62217345674</v>
      </c>
      <c r="H26" s="184">
        <f>F26+C28</f>
        <v>159873.43964168054</v>
      </c>
      <c r="I26" s="184">
        <f>G26+C28</f>
        <v>173022.42217345673</v>
      </c>
      <c r="J26" s="232">
        <f>H26/'DCF Valuation'!E69</f>
        <v>299.22036242126251</v>
      </c>
      <c r="K26" s="232">
        <f>I26/'DCF Valuation'!E69</f>
        <v>323.83009951985167</v>
      </c>
    </row>
    <row r="27" spans="2:16" x14ac:dyDescent="0.2">
      <c r="B27" s="5" t="s">
        <v>677</v>
      </c>
      <c r="C27" s="184">
        <f>I7</f>
        <v>6128</v>
      </c>
      <c r="D27" s="199">
        <f>O18</f>
        <v>34.249979116546378</v>
      </c>
      <c r="E27" s="199">
        <f>O19</f>
        <v>24.270833333333336</v>
      </c>
      <c r="F27" s="1" t="s">
        <v>678</v>
      </c>
      <c r="G27" s="1" t="s">
        <v>678</v>
      </c>
      <c r="H27" s="184">
        <f>C27*D27</f>
        <v>209883.87202619622</v>
      </c>
      <c r="I27" s="184">
        <f>C27*E27</f>
        <v>148731.66666666669</v>
      </c>
      <c r="J27" s="232">
        <f>H27/'DCF Valuation'!E69</f>
        <v>392.8202733037549</v>
      </c>
      <c r="K27" s="232">
        <f>I27/'DCF Valuation'!E69</f>
        <v>278.36733420675034</v>
      </c>
    </row>
    <row r="28" spans="2:16" x14ac:dyDescent="0.2">
      <c r="B28" s="1" t="s">
        <v>674</v>
      </c>
      <c r="C28" s="184">
        <f>'DCF Valuation'!E64+'DCF Valuation'!E65+'DCF Valuation'!E66</f>
        <v>-4447.2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AFF43-C04B-6C46-BF7D-5851848FF270}">
  <sheetPr>
    <tabColor rgb="FFC000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7EF0-1099-6A4D-B1BC-E61E93C8F669}">
  <sheetPr>
    <tabColor rgb="FFC000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E4B6A-E00C-EF4B-9B35-66203C831086}">
  <sheetPr>
    <tabColor rgb="FF7030A0"/>
  </sheetPr>
  <dimension ref="B2:J26"/>
  <sheetViews>
    <sheetView workbookViewId="0"/>
  </sheetViews>
  <sheetFormatPr baseColWidth="10" defaultRowHeight="16" x14ac:dyDescent="0.2"/>
  <cols>
    <col min="2" max="2" width="10" customWidth="1"/>
    <col min="3" max="3" width="21.6640625" customWidth="1"/>
    <col min="4" max="10" width="12.5" customWidth="1"/>
  </cols>
  <sheetData>
    <row r="2" spans="2:10" ht="19" x14ac:dyDescent="0.25">
      <c r="B2" s="210" t="s">
        <v>613</v>
      </c>
    </row>
    <row r="3" spans="2:10" x14ac:dyDescent="0.2">
      <c r="B3" s="211" t="s">
        <v>614</v>
      </c>
    </row>
    <row r="5" spans="2:10" x14ac:dyDescent="0.2">
      <c r="B5" s="212" t="s">
        <v>615</v>
      </c>
    </row>
    <row r="7" spans="2:10" x14ac:dyDescent="0.2">
      <c r="B7" s="218" t="s">
        <v>617</v>
      </c>
      <c r="C7" s="216" t="s">
        <v>616</v>
      </c>
      <c r="D7" s="217">
        <v>0.01</v>
      </c>
      <c r="E7" s="217">
        <v>1.4999999999999999E-2</v>
      </c>
      <c r="F7" s="217">
        <v>0.02</v>
      </c>
      <c r="G7" s="217">
        <v>2.5000000000000001E-2</v>
      </c>
      <c r="H7" s="217">
        <v>0.03</v>
      </c>
      <c r="I7" s="217">
        <v>3.5000000000000003E-2</v>
      </c>
      <c r="J7" s="217">
        <v>0.04</v>
      </c>
    </row>
    <row r="8" spans="2:10" x14ac:dyDescent="0.2">
      <c r="B8" s="219">
        <v>6.5000000000000002E-2</v>
      </c>
      <c r="C8" s="213"/>
      <c r="D8" s="214">
        <f>('DCF Valuation'!F37/(1+$B$8)^0.5+'DCF Valuation'!G37/(1+$B$8)^1.5+'DCF Valuation'!H37/(1+$B$8)^2.5+'DCF Valuation'!I37/(1+$B$8)^3.5+'DCF Valuation'!J37/(1+$B$8)^4.5+('DCF Valuation'!J37*(1+D$7)/($B$8-D$7))/(1+$B$8)^4.5+'DCF Valuation'!E65+'DCF Valuation'!E64+'DCF Valuation'!E66)/'DCF Valuation'!E69</f>
        <v>275.08391738937007</v>
      </c>
      <c r="E8" s="214">
        <f>('DCF Valuation'!F37/(1+$B$8)^0.5+'DCF Valuation'!G37/(1+$B$8)^1.5+'DCF Valuation'!H37/(1+$B$8)^2.5+'DCF Valuation'!I37/(1+$B$8)^3.5+'DCF Valuation'!J37/(1+$B$8)^4.5+('DCF Valuation'!J37*(1+E$7)/($B$8-E$7))/(1+$B$8)^4.5+'DCF Valuation'!E65+'DCF Valuation'!E64+'DCF Valuation'!E66)/'DCF Valuation'!E69</f>
        <v>298.47575675369455</v>
      </c>
      <c r="F8" s="214">
        <f>('DCF Valuation'!F37/(1+$B$8)^0.5+'DCF Valuation'!G37/(1+$B$8)^1.5+'DCF Valuation'!H37/(1+$B$8)^2.5+'DCF Valuation'!I37/(1+$B$8)^3.5+'DCF Valuation'!J37/(1+$B$8)^4.5+('DCF Valuation'!J37*(1+F$7)/($B$8-F$7))/(1+$B$8)^4.5+'DCF Valuation'!E65+'DCF Valuation'!E64+'DCF Valuation'!E66)/'DCF Valuation'!E69</f>
        <v>327.06578264342443</v>
      </c>
      <c r="G8" s="214">
        <f>('DCF Valuation'!F37/(1+$B$8)^0.5+'DCF Valuation'!G37/(1+$B$8)^1.5+'DCF Valuation'!H37/(1+$B$8)^2.5+'DCF Valuation'!I37/(1+$B$8)^3.5+'DCF Valuation'!J37/(1+$B$8)^4.5+('DCF Valuation'!J37*(1+G$7)/($B$8-G$7))/(1+$B$8)^4.5+'DCF Valuation'!E65+'DCF Valuation'!E64+'DCF Valuation'!E66)/'DCF Valuation'!E69</f>
        <v>362.80331500558674</v>
      </c>
      <c r="H8" s="214">
        <f>('DCF Valuation'!F37/(1+$B$8)^0.5+'DCF Valuation'!G37/(1+$B$8)^1.5+'DCF Valuation'!H37/(1+$B$8)^2.5+'DCF Valuation'!I37/(1+$B$8)^3.5+'DCF Valuation'!J37/(1+$B$8)^4.5+('DCF Valuation'!J37*(1+H$7)/($B$8-H$7))/(1+$B$8)^4.5+'DCF Valuation'!E65+'DCF Valuation'!E64+'DCF Valuation'!E66)/'DCF Valuation'!E69</f>
        <v>408.75157089979535</v>
      </c>
      <c r="I8" s="214">
        <f>('DCF Valuation'!F37/(1+$B$8)^0.5+'DCF Valuation'!G37/(1+$B$8)^1.5+'DCF Valuation'!H37/(1+$B$8)^2.5+'DCF Valuation'!I37/(1+$B$8)^3.5+'DCF Valuation'!J37/(1+$B$8)^4.5+('DCF Valuation'!J37*(1+I$7)/($B$8-I$7))/(1+$B$8)^4.5+'DCF Valuation'!E65+'DCF Valuation'!E64+'DCF Valuation'!E66)/'DCF Valuation'!E69</f>
        <v>470.01591209207373</v>
      </c>
      <c r="J8" s="214">
        <f>('DCF Valuation'!F37/(1+$B$8)^0.5+'DCF Valuation'!G37/(1+$B$8)^1.5+'DCF Valuation'!H37/(1+$B$8)^2.5+'DCF Valuation'!I37/(1+$B$8)^3.5+'DCF Valuation'!J37/(1+$B$8)^4.5+('DCF Valuation'!J37*(1+J$7)/($B$8-J$7))/(1+$B$8)^4.5+'DCF Valuation'!E65+'DCF Valuation'!E64+'DCF Valuation'!E66)/'DCF Valuation'!E69</f>
        <v>555.78598976126329</v>
      </c>
    </row>
    <row r="9" spans="2:10" x14ac:dyDescent="0.2">
      <c r="B9" s="219">
        <v>7.0000000000000007E-2</v>
      </c>
      <c r="C9" s="213"/>
      <c r="D9" s="214">
        <f>('DCF Valuation'!F37/(1+$B$9)^0.5+'DCF Valuation'!G37/(1+$B$9)^1.5+'DCF Valuation'!H37/(1+$B$9)^2.5+'DCF Valuation'!I37/(1+$B$9)^3.5+'DCF Valuation'!J37/(1+$B$9)^4.5+('DCF Valuation'!J37*(1+D$7)/($B$9-D$7))/(1+$B$9)^4.5+'DCF Valuation'!E65+'DCF Valuation'!E64+'DCF Valuation'!E66)/'DCF Valuation'!E69</f>
        <v>251.64764661875799</v>
      </c>
      <c r="E9" s="214">
        <f>('DCF Valuation'!F37/(1+$B$9)^0.5+'DCF Valuation'!G37/(1+$B$9)^1.5+'DCF Valuation'!H37/(1+$B$9)^2.5+'DCF Valuation'!I37/(1+$B$9)^3.5+'DCF Valuation'!J37/(1+$B$9)^4.5+('DCF Valuation'!J37*(1+E$7)/($B$9-E$7))/(1+$B$9)^4.5+'DCF Valuation'!E65+'DCF Valuation'!E64+'DCF Valuation'!E66)/'DCF Valuation'!E69</f>
        <v>270.8238899619023</v>
      </c>
      <c r="F9" s="214">
        <f>('DCF Valuation'!F37/(1+$B$9)^0.5+'DCF Valuation'!G37/(1+$B$9)^1.5+'DCF Valuation'!H37/(1+$B$9)^2.5+'DCF Valuation'!I37/(1+$B$9)^3.5+'DCF Valuation'!J37/(1+$B$9)^4.5+('DCF Valuation'!J37*(1+F$7)/($B$9-F$7))/(1+$B$9)^4.5+'DCF Valuation'!E65+'DCF Valuation'!E64+'DCF Valuation'!E66)/'DCF Valuation'!E69</f>
        <v>293.83538197367562</v>
      </c>
      <c r="G9" s="214">
        <f>('DCF Valuation'!F37/(1+$B$9)^0.5+'DCF Valuation'!G37/(1+$B$9)^1.5+'DCF Valuation'!H37/(1+$B$9)^2.5+'DCF Valuation'!I37/(1+$B$9)^3.5+'DCF Valuation'!J37/(1+$B$9)^4.5+('DCF Valuation'!J37*(1+G$7)/($B$9-G$7))/(1+$B$9)^4.5+'DCF Valuation'!E65+'DCF Valuation'!E64+'DCF Valuation'!E66)/'DCF Valuation'!E69</f>
        <v>321.96053887695399</v>
      </c>
      <c r="H9" s="214">
        <f>('DCF Valuation'!F37/(1+$B$9)^0.5+'DCF Valuation'!G37/(1+$B$9)^1.5+'DCF Valuation'!H37/(1+$B$9)^2.5+'DCF Valuation'!I37/(1+$B$9)^3.5+'DCF Valuation'!J37/(1+$B$9)^4.5+('DCF Valuation'!J37*(1+H$7)/($B$9-H$7))/(1+$B$9)^4.5+'DCF Valuation'!E65+'DCF Valuation'!E64+'DCF Valuation'!E66)/'DCF Valuation'!E69</f>
        <v>357.11698500605189</v>
      </c>
      <c r="I9" s="214">
        <f>('DCF Valuation'!F37/(1+$B$9)^0.5+'DCF Valuation'!G37/(1+$B$9)^1.5+'DCF Valuation'!H37/(1+$B$9)^2.5+'DCF Valuation'!I37/(1+$B$9)^3.5+'DCF Valuation'!J37/(1+$B$9)^4.5+('DCF Valuation'!J37*(1+I$7)/($B$9-I$7))/(1+$B$9)^4.5+'DCF Valuation'!E65+'DCF Valuation'!E64+'DCF Valuation'!E66)/'DCF Valuation'!E69</f>
        <v>402.31813002917789</v>
      </c>
      <c r="J9" s="214">
        <f>('DCF Valuation'!F37/(1+$B$9)^0.5+'DCF Valuation'!G37/(1+$B$9)^1.5+'DCF Valuation'!H37/(1+$B$9)^2.5+'DCF Valuation'!I37/(1+$B$9)^3.5+'DCF Valuation'!J37/(1+$B$9)^4.5+('DCF Valuation'!J37*(1+J$7)/($B$9-J$7))/(1+$B$9)^4.5+'DCF Valuation'!E65+'DCF Valuation'!E64+'DCF Valuation'!E66)/'DCF Valuation'!E69</f>
        <v>462.58632339334588</v>
      </c>
    </row>
    <row r="10" spans="2:10" x14ac:dyDescent="0.2">
      <c r="B10" s="219">
        <v>7.4999999999999997E-2</v>
      </c>
      <c r="C10" s="213"/>
      <c r="D10" s="214">
        <f>('DCF Valuation'!F37/(1+$B$10)^0.5+'DCF Valuation'!G37/(1+$B$10)^1.5+'DCF Valuation'!H37/(1+$B$10)^2.5+'DCF Valuation'!I37/(1+$B$10)^3.5+'DCF Valuation'!J37/(1+$B$10)^4.5+('DCF Valuation'!J37*(1+D$7)/($B$10-D$7))/(1+$B$10)^4.5+'DCF Valuation'!E65+'DCF Valuation'!E64+'DCF Valuation'!E66)/'DCF Valuation'!E69</f>
        <v>231.821329171825</v>
      </c>
      <c r="E10" s="214">
        <f>('DCF Valuation'!F37/(1+$B$10)^0.5+'DCF Valuation'!G37/(1+$B$10)^1.5+'DCF Valuation'!H37/(1+$B$10)^2.5+'DCF Valuation'!I37/(1+$B$10)^3.5+'DCF Valuation'!J37/(1+$B$10)^4.5+('DCF Valuation'!J37*(1+E$7)/($B$10-E$7))/(1+$B$10)^4.5+'DCF Valuation'!E65+'DCF Valuation'!E64+'DCF Valuation'!E66)/'DCF Valuation'!E69</f>
        <v>247.78476835543901</v>
      </c>
      <c r="F10" s="214">
        <f>('DCF Valuation'!F37/(1+$B$10)^0.5+'DCF Valuation'!G37/(1+$B$10)^1.5+'DCF Valuation'!H37/(1+$B$10)^2.5+'DCF Valuation'!I37/(1+$B$10)^3.5+'DCF Valuation'!J37/(1+$B$10)^4.5+('DCF Valuation'!J37*(1+F$7)/($B$10-F$7))/(1+$B$10)^4.5+'DCF Valuation'!E65+'DCF Valuation'!E64+'DCF Valuation'!E66)/'DCF Valuation'!E69</f>
        <v>266.65065102698304</v>
      </c>
      <c r="G10" s="214">
        <f>('DCF Valuation'!F37/(1+$B$10)^0.5+'DCF Valuation'!G37/(1+$B$10)^1.5+'DCF Valuation'!H37/(1+$B$10)^2.5+'DCF Valuation'!I37/(1+$B$10)^3.5+'DCF Valuation'!J37/(1+$B$10)^4.5+('DCF Valuation'!J37*(1+G$7)/($B$10-G$7))/(1+$B$10)^4.5+'DCF Valuation'!E65+'DCF Valuation'!E64+'DCF Valuation'!E66)/'DCF Valuation'!E69</f>
        <v>289.28971023283572</v>
      </c>
      <c r="H10" s="214">
        <f>('DCF Valuation'!F37/(1+$B$10)^0.5+'DCF Valuation'!G37/(1+$B$10)^1.5+'DCF Valuation'!H37/(1+$B$10)^2.5+'DCF Valuation'!I37/(1+$B$10)^3.5+'DCF Valuation'!J37/(1+$B$10)^4.5+('DCF Valuation'!J37*(1+H$7)/($B$10-H$7))/(1+$B$10)^4.5+'DCF Valuation'!E65+'DCF Valuation'!E64+'DCF Valuation'!E66)/'DCF Valuation'!E69</f>
        <v>316.9596714844335</v>
      </c>
      <c r="I10" s="214">
        <f>('DCF Valuation'!F37/(1+$B$10)^0.5+'DCF Valuation'!G37/(1+$B$10)^1.5+'DCF Valuation'!H37/(1+$B$10)^2.5+'DCF Valuation'!I37/(1+$B$10)^3.5+'DCF Valuation'!J37/(1+$B$10)^4.5+('DCF Valuation'!J37*(1+I$7)/($B$10-I$7))/(1+$B$10)^4.5+'DCF Valuation'!E65+'DCF Valuation'!E64+'DCF Valuation'!E66)/'DCF Valuation'!E69</f>
        <v>351.5471230489307</v>
      </c>
      <c r="J10" s="214">
        <f>('DCF Valuation'!F37/(1+$B$10)^0.5+'DCF Valuation'!G37/(1+$B$10)^1.5+'DCF Valuation'!H37/(1+$B$10)^2.5+'DCF Valuation'!I37/(1+$B$10)^3.5+'DCF Valuation'!J37/(1+$B$10)^4.5+('DCF Valuation'!J37*(1+J$7)/($B$10-J$7))/(1+$B$10)^4.5+'DCF Valuation'!E65+'DCF Valuation'!E64+'DCF Valuation'!E66)/'DCF Valuation'!E69</f>
        <v>396.01670363185571</v>
      </c>
    </row>
    <row r="11" spans="2:10" x14ac:dyDescent="0.2">
      <c r="B11" s="219">
        <v>7.6999999999999999E-2</v>
      </c>
      <c r="C11" s="213"/>
      <c r="D11" s="214">
        <f>('DCF Valuation'!F37/(1+$B$11)^0.5+'DCF Valuation'!G37/(1+$B$11)^1.5+'DCF Valuation'!H37/(1+$B$11)^2.5+'DCF Valuation'!I37/(1+$B$11)^3.5+'DCF Valuation'!J37/(1+$B$11)^4.5+('DCF Valuation'!J37*(1+D$7)/($B$11-D$7))/(1+$B$11)^4.5+'DCF Valuation'!E65+'DCF Valuation'!E64+'DCF Valuation'!E66)/'DCF Valuation'!E69</f>
        <v>224.72052740448771</v>
      </c>
      <c r="E11" s="214">
        <f>('DCF Valuation'!F37/(1+$B$11)^0.5+'DCF Valuation'!G37/(1+$B$11)^1.5+'DCF Valuation'!H37/(1+$B$11)^2.5+'DCF Valuation'!I37/(1+$B$11)^3.5+'DCF Valuation'!J37/(1+$B$11)^4.5+('DCF Valuation'!J37*(1+E$7)/($B$11-E$7))/(1+$B$11)^4.5+'DCF Valuation'!E65+'DCF Valuation'!E64+'DCF Valuation'!E66)/'DCF Valuation'!E69</f>
        <v>239.61068314587564</v>
      </c>
      <c r="F11" s="214">
        <f>('DCF Valuation'!F37/(1+$B$11)^0.5+'DCF Valuation'!G37/(1+$B$11)^1.5+'DCF Valuation'!H37/(1+$B$11)^2.5+'DCF Valuation'!I37/(1+$B$11)^3.5+'DCF Valuation'!J37/(1+$B$11)^4.5+('DCF Valuation'!J37*(1+F$7)/($B$11-F$7))/(1+$B$11)^4.5+'DCF Valuation'!E65+'DCF Valuation'!E64+'DCF Valuation'!E66)/'DCF Valuation'!E69</f>
        <v>257.11314691206849</v>
      </c>
      <c r="G11" s="215">
        <f>('DCF Valuation'!F37/(1+$B$11)^0.5+'DCF Valuation'!G37/(1+$B$11)^1.5+'DCF Valuation'!H37/(1+$B$11)^2.5+'DCF Valuation'!I37/(1+$B$11)^3.5+'DCF Valuation'!J37/(1+$B$11)^4.5+('DCF Valuation'!J37*(1+G$7)/($B$11-G$7))/(1+$B$11)^4.5+'DCF Valuation'!E65+'DCF Valuation'!E64+'DCF Valuation'!E66)/'DCF Valuation'!E69</f>
        <v>277.98146909483688</v>
      </c>
      <c r="H11" s="214">
        <f>('DCF Valuation'!F37/(1+$B$11)^0.5+'DCF Valuation'!G37/(1+$B$11)^1.5+'DCF Valuation'!H37/(1+$B$11)^2.5+'DCF Valuation'!I37/(1+$B$11)^3.5+'DCF Valuation'!J37/(1+$B$11)^4.5+('DCF Valuation'!J37*(1+H$7)/($B$11-H$7))/(1+$B$11)^4.5+'DCF Valuation'!E65+'DCF Valuation'!E64+'DCF Valuation'!E66)/'DCF Valuation'!E69</f>
        <v>303.28985982713039</v>
      </c>
      <c r="I11" s="214">
        <f>('DCF Valuation'!F37/(1+$B$11)^0.5+'DCF Valuation'!G37/(1+$B$11)^1.5+'DCF Valuation'!H37/(1+$B$11)^2.5+'DCF Valuation'!I37/(1+$B$11)^3.5+'DCF Valuation'!J37/(1+$B$11)^4.5+('DCF Valuation'!J37*(1+I$7)/($B$11-I$7))/(1+$B$11)^4.5+'DCF Valuation'!E65+'DCF Valuation'!E64+'DCF Valuation'!E66)/'DCF Valuation'!E69</f>
        <v>334.62405787663675</v>
      </c>
      <c r="J11" s="214">
        <f>('DCF Valuation'!F37/(1+$B$11)^0.5+'DCF Valuation'!G37/(1+$B$11)^1.5+'DCF Valuation'!H37/(1+$B$11)^2.5+'DCF Valuation'!I37/(1+$B$11)^3.5+'DCF Valuation'!J37/(1+$B$11)^4.5+('DCF Valuation'!J37*(1+J$7)/($B$11-J$7))/(1+$B$11)^4.5+'DCF Valuation'!E65+'DCF Valuation'!E64+'DCF Valuation'!E66)/'DCF Valuation'!E69</f>
        <v>374.42695810168533</v>
      </c>
    </row>
    <row r="12" spans="2:10" x14ac:dyDescent="0.2">
      <c r="B12" s="219">
        <v>0.08</v>
      </c>
      <c r="C12" s="213"/>
      <c r="D12" s="214">
        <f>('DCF Valuation'!F37/(1+$B$12)^0.5+'DCF Valuation'!G37/(1+$B$12)^1.5+'DCF Valuation'!H37/(1+$B$12)^2.5+'DCF Valuation'!I37/(1+$B$12)^3.5+'DCF Valuation'!J37/(1+$B$12)^4.5+('DCF Valuation'!J37*(1+D$7)/($B$12-D$7))/(1+$B$12)^4.5+'DCF Valuation'!E65+'DCF Valuation'!E64+'DCF Valuation'!E66)/'DCF Valuation'!E69</f>
        <v>214.83129617784758</v>
      </c>
      <c r="E12" s="214">
        <f>('DCF Valuation'!F37/(1+$B$12)^0.5+'DCF Valuation'!G37/(1+$B$12)^1.5+'DCF Valuation'!H37/(1+$B$12)^2.5+'DCF Valuation'!I37/(1+$B$12)^3.5+'DCF Valuation'!J37/(1+$B$12)^4.5+('DCF Valuation'!J37*(1+E$7)/($B$12-E$7))/(1+$B$12)^4.5+'DCF Valuation'!E65+'DCF Valuation'!E64+'DCF Valuation'!E66)/'DCF Valuation'!E69</f>
        <v>228.29380971769814</v>
      </c>
      <c r="F12" s="214">
        <f>('DCF Valuation'!F37/(1+$B$12)^0.5+'DCF Valuation'!G37/(1+$B$12)^1.5+'DCF Valuation'!H37/(1+$B$12)^2.5+'DCF Valuation'!I37/(1+$B$12)^3.5+'DCF Valuation'!J37/(1+$B$12)^4.5+('DCF Valuation'!J37*(1+F$7)/($B$12-F$7))/(1+$B$12)^4.5+'DCF Valuation'!E65+'DCF Valuation'!E64+'DCF Valuation'!E66)/'DCF Valuation'!E69</f>
        <v>244.00007551419034</v>
      </c>
      <c r="G12" s="214">
        <f>('DCF Valuation'!F37/(1+$B$12)^0.5+'DCF Valuation'!G37/(1+$B$12)^1.5+'DCF Valuation'!H37/(1+$B$12)^2.5+'DCF Valuation'!I37/(1+$B$12)^3.5+'DCF Valuation'!J37/(1+$B$12)^4.5+('DCF Valuation'!J37*(1+G$7)/($B$12-G$7))/(1+$B$12)^4.5+'DCF Valuation'!E65+'DCF Valuation'!E64+'DCF Valuation'!E66)/'DCF Valuation'!E69</f>
        <v>262.56202600095389</v>
      </c>
      <c r="H12" s="214">
        <f>('DCF Valuation'!F37/(1+$B$12)^0.5+'DCF Valuation'!G37/(1+$B$12)^1.5+'DCF Valuation'!H37/(1+$B$12)^2.5+'DCF Valuation'!I37/(1+$B$12)^3.5+'DCF Valuation'!J37/(1+$B$12)^4.5+('DCF Valuation'!J37*(1+H$7)/($B$12-H$7))/(1+$B$12)^4.5+'DCF Valuation'!E65+'DCF Valuation'!E64+'DCF Valuation'!E66)/'DCF Valuation'!E69</f>
        <v>284.8363665850701</v>
      </c>
      <c r="I12" s="214">
        <f>('DCF Valuation'!F37/(1+$B$12)^0.5+'DCF Valuation'!G37/(1+$B$12)^1.5+'DCF Valuation'!H37/(1+$B$12)^2.5+'DCF Valuation'!I37/(1+$B$12)^3.5+'DCF Valuation'!J37/(1+$B$12)^4.5+('DCF Valuation'!J37*(1+I$7)/($B$12-I$7))/(1+$B$12)^4.5+'DCF Valuation'!E65+'DCF Valuation'!E64+'DCF Valuation'!E66)/'DCF Valuation'!E69</f>
        <v>312.06056063232325</v>
      </c>
      <c r="J12" s="214">
        <f>('DCF Valuation'!F37/(1+$B$12)^0.5+'DCF Valuation'!G37/(1+$B$12)^1.5+'DCF Valuation'!H37/(1+$B$12)^2.5+'DCF Valuation'!I37/(1+$B$12)^3.5+'DCF Valuation'!J37/(1+$B$12)^4.5+('DCF Valuation'!J37*(1+J$7)/($B$12-J$7))/(1+$B$12)^4.5+'DCF Valuation'!E65+'DCF Valuation'!E64+'DCF Valuation'!E66)/'DCF Valuation'!E69</f>
        <v>346.0908031913898</v>
      </c>
    </row>
    <row r="13" spans="2:10" x14ac:dyDescent="0.2">
      <c r="B13" s="219">
        <v>8.5000000000000006E-2</v>
      </c>
      <c r="C13" s="213"/>
      <c r="D13" s="214">
        <f>('DCF Valuation'!F37/(1+$B$13)^0.5+'DCF Valuation'!G37/(1+$B$13)^1.5+'DCF Valuation'!H37/(1+$B$13)^2.5+'DCF Valuation'!I37/(1+$B$13)^3.5+'DCF Valuation'!J37/(1+$B$13)^4.5+('DCF Valuation'!J37*(1+D$7)/($B$13-D$7))/(1+$B$13)^4.5+'DCF Valuation'!E65+'DCF Valuation'!E64+'DCF Valuation'!E66)/'DCF Valuation'!E69</f>
        <v>200.11019332854448</v>
      </c>
      <c r="E13" s="214">
        <f>('DCF Valuation'!F37/(1+$B$13)^0.5+'DCF Valuation'!G37/(1+$B$13)^1.5+'DCF Valuation'!H37/(1+$B$13)^2.5+'DCF Valuation'!I37/(1+$B$13)^3.5+'DCF Valuation'!J37/(1+$B$13)^4.5+('DCF Valuation'!J37*(1+E$7)/($B$13-E$7))/(1+$B$13)^4.5+'DCF Valuation'!E65+'DCF Valuation'!E64+'DCF Valuation'!E66)/'DCF Valuation'!E69</f>
        <v>211.5906009124985</v>
      </c>
      <c r="F13" s="214">
        <f>('DCF Valuation'!F37/(1+$B$13)^0.5+'DCF Valuation'!G37/(1+$B$13)^1.5+'DCF Valuation'!H37/(1+$B$13)^2.5+'DCF Valuation'!I37/(1+$B$13)^3.5+'DCF Valuation'!J37/(1+$B$13)^4.5+('DCF Valuation'!J37*(1+F$7)/($B$13-F$7))/(1+$B$13)^4.5+'DCF Valuation'!E65+'DCF Valuation'!E64+'DCF Valuation'!E66)/'DCF Valuation'!E69</f>
        <v>224.83722504783012</v>
      </c>
      <c r="G13" s="214">
        <f>('DCF Valuation'!F37/(1+$B$13)^0.5+'DCF Valuation'!G37/(1+$B$13)^1.5+'DCF Valuation'!H37/(1+$B$13)^2.5+'DCF Valuation'!I37/(1+$B$13)^3.5+'DCF Valuation'!J37/(1+$B$13)^4.5+('DCF Valuation'!J37*(1+G$7)/($B$13-G$7))/(1+$B$13)^4.5+'DCF Valuation'!E65+'DCF Valuation'!E64+'DCF Valuation'!E66)/'DCF Valuation'!E69</f>
        <v>240.29161987238359</v>
      </c>
      <c r="H13" s="214">
        <f>('DCF Valuation'!F37/(1+$B$13)^0.5+'DCF Valuation'!G37/(1+$B$13)^1.5+'DCF Valuation'!H37/(1+$B$13)^2.5+'DCF Valuation'!I37/(1+$B$13)^3.5+'DCF Valuation'!J37/(1+$B$13)^4.5+('DCF Valuation'!J37*(1+H$7)/($B$13-H$7))/(1+$B$13)^4.5+'DCF Valuation'!E65+'DCF Valuation'!E64+'DCF Valuation'!E66)/'DCF Valuation'!E69</f>
        <v>258.55590466503764</v>
      </c>
      <c r="I13" s="214">
        <f>('DCF Valuation'!F37/(1+$B$13)^0.5+'DCF Valuation'!G37/(1+$B$13)^1.5+'DCF Valuation'!H37/(1+$B$13)^2.5+'DCF Valuation'!I37/(1+$B$13)^3.5+'DCF Valuation'!J37/(1+$B$13)^4.5+('DCF Valuation'!J37*(1+I$7)/($B$13-I$7))/(1+$B$13)^4.5+'DCF Valuation'!E65+'DCF Valuation'!E64+'DCF Valuation'!E66)/'DCF Valuation'!E69</f>
        <v>280.47304641622264</v>
      </c>
      <c r="J13" s="214">
        <f>('DCF Valuation'!F37/(1+$B$13)^0.5+'DCF Valuation'!G37/(1+$B$13)^1.5+'DCF Valuation'!H37/(1+$B$13)^2.5+'DCF Valuation'!I37/(1+$B$13)^3.5+'DCF Valuation'!J37/(1+$B$13)^4.5+('DCF Valuation'!J37*(1+J$7)/($B$13-J$7))/(1+$B$13)^4.5+'DCF Valuation'!E65+'DCF Valuation'!E64+'DCF Valuation'!E66)/'DCF Valuation'!E69</f>
        <v>307.26066411211548</v>
      </c>
    </row>
    <row r="14" spans="2:10" x14ac:dyDescent="0.2">
      <c r="B14" s="219">
        <v>0.09</v>
      </c>
      <c r="C14" s="213"/>
      <c r="D14" s="214">
        <f>('DCF Valuation'!F37/(1+$B$14)^0.5+'DCF Valuation'!G37/(1+$B$14)^1.5+'DCF Valuation'!H37/(1+$B$14)^2.5+'DCF Valuation'!I37/(1+$B$14)^3.5+'DCF Valuation'!J37/(1+$B$14)^4.5+('DCF Valuation'!J37*(1+D$7)/($B$14-D$7))/(1+$B$14)^4.5+'DCF Valuation'!E65+'DCF Valuation'!E64+'DCF Valuation'!E66)/'DCF Valuation'!E69</f>
        <v>187.23250748942365</v>
      </c>
      <c r="E14" s="214">
        <f>('DCF Valuation'!F37/(1+$B$14)^0.5+'DCF Valuation'!G37/(1+$B$14)^1.5+'DCF Valuation'!H37/(1+$B$14)^2.5+'DCF Valuation'!I37/(1+$B$14)^3.5+'DCF Valuation'!J37/(1+$B$14)^4.5+('DCF Valuation'!J37*(1+E$7)/($B$14-E$7))/(1+$B$14)^4.5+'DCF Valuation'!E65+'DCF Valuation'!E64+'DCF Valuation'!E66)/'DCF Valuation'!E69</f>
        <v>197.11750810696552</v>
      </c>
      <c r="F14" s="214">
        <f>('DCF Valuation'!F37/(1+$B$14)^0.5+'DCF Valuation'!G37/(1+$B$14)^1.5+'DCF Valuation'!H37/(1+$B$14)^2.5+'DCF Valuation'!I37/(1+$B$14)^3.5+'DCF Valuation'!J37/(1+$B$14)^4.5+('DCF Valuation'!J37*(1+F$7)/($B$14-F$7))/(1+$B$14)^4.5+'DCF Valuation'!E65+'DCF Valuation'!E64+'DCF Valuation'!E66)/'DCF Valuation'!E69</f>
        <v>208.41465166987047</v>
      </c>
      <c r="G14" s="214">
        <f>('DCF Valuation'!F37/(1+$B$14)^0.5+'DCF Valuation'!G37/(1+$B$14)^1.5+'DCF Valuation'!H37/(1+$B$14)^2.5+'DCF Valuation'!I37/(1+$B$14)^3.5+'DCF Valuation'!J37/(1+$B$14)^4.5+('DCF Valuation'!J37*(1+G$7)/($B$14-G$7))/(1+$B$14)^4.5+'DCF Valuation'!E65+'DCF Valuation'!E64+'DCF Valuation'!E66)/'DCF Valuation'!E69</f>
        <v>221.44981731937617</v>
      </c>
      <c r="H14" s="214">
        <f>('DCF Valuation'!F37/(1+$B$14)^0.5+'DCF Valuation'!G37/(1+$B$14)^1.5+'DCF Valuation'!H37/(1+$B$14)^2.5+'DCF Valuation'!I37/(1+$B$14)^3.5+'DCF Valuation'!J37/(1+$B$14)^4.5+('DCF Valuation'!J37*(1+H$7)/($B$14-H$7))/(1+$B$14)^4.5+'DCF Valuation'!E65+'DCF Valuation'!E64+'DCF Valuation'!E66)/'DCF Valuation'!E69</f>
        <v>236.65751057713283</v>
      </c>
      <c r="I14" s="214">
        <f>('DCF Valuation'!F37/(1+$B$14)^0.5+'DCF Valuation'!G37/(1+$B$14)^1.5+'DCF Valuation'!H37/(1+$B$14)^2.5+'DCF Valuation'!I37/(1+$B$14)^3.5+'DCF Valuation'!J37/(1+$B$14)^4.5+('DCF Valuation'!J37*(1+I$7)/($B$14-I$7))/(1+$B$14)^4.5+'DCF Valuation'!E65+'DCF Valuation'!E64+'DCF Valuation'!E66)/'DCF Valuation'!E69</f>
        <v>254.63023897266339</v>
      </c>
      <c r="J14" s="214">
        <f>('DCF Valuation'!F37/(1+$B$14)^0.5+'DCF Valuation'!G37/(1+$B$14)^1.5+'DCF Valuation'!H37/(1+$B$14)^2.5+'DCF Valuation'!I37/(1+$B$14)^3.5+'DCF Valuation'!J37/(1+$B$14)^4.5+('DCF Valuation'!J37*(1+J$7)/($B$14-J$7))/(1+$B$14)^4.5+'DCF Valuation'!E65+'DCF Valuation'!E64+'DCF Valuation'!E66)/'DCF Valuation'!E69</f>
        <v>276.19751304730016</v>
      </c>
    </row>
    <row r="17" spans="2:10" x14ac:dyDescent="0.2">
      <c r="B17" s="212" t="s">
        <v>618</v>
      </c>
    </row>
    <row r="19" spans="2:10" x14ac:dyDescent="0.2">
      <c r="B19" s="218" t="s">
        <v>617</v>
      </c>
      <c r="C19" s="216" t="s">
        <v>619</v>
      </c>
      <c r="D19" s="220">
        <v>14</v>
      </c>
      <c r="E19" s="220">
        <v>15</v>
      </c>
      <c r="F19" s="220">
        <v>16</v>
      </c>
      <c r="G19" s="220">
        <v>18</v>
      </c>
      <c r="H19" s="220">
        <v>20</v>
      </c>
      <c r="I19" s="220">
        <v>22</v>
      </c>
      <c r="J19" s="220">
        <v>24</v>
      </c>
    </row>
    <row r="20" spans="2:10" x14ac:dyDescent="0.2">
      <c r="B20" s="219">
        <v>6.5000000000000002E-2</v>
      </c>
      <c r="C20" s="213"/>
      <c r="D20" s="214">
        <f>('DCF Valuation'!F37/(1+$B$20)^0.5+'DCF Valuation'!G37/(1+$B$20)^1.5+'DCF Valuation'!H37/(1+$B$20)^2.5+'DCF Valuation'!I37/(1+$B$20)^3.5+'DCF Valuation'!J37/(1+$B$20)^4.5+('DCF Valuation'!E48*D$19)/(1+$B$20)^4.5+'DCF Valuation'!E65+'DCF Valuation'!E64+'DCF Valuation'!E66)/'DCF Valuation'!E69</f>
        <v>319.49057166709696</v>
      </c>
      <c r="E20" s="214">
        <f>('DCF Valuation'!F37/(1+$B$20)^0.5+'DCF Valuation'!G37/(1+$B$20)^1.5+'DCF Valuation'!H37/(1+$B$20)^2.5+'DCF Valuation'!I37/(1+$B$20)^3.5+'DCF Valuation'!J37/(1+$B$20)^4.5+('DCF Valuation'!E48*E$19)/(1+$B$20)^4.5+'DCF Valuation'!E65+'DCF Valuation'!E64+'DCF Valuation'!E66)/'DCF Valuation'!E69</f>
        <v>338.50805418791896</v>
      </c>
      <c r="F20" s="214">
        <f>('DCF Valuation'!F37/(1+$B$20)^0.5+'DCF Valuation'!G37/(1+$B$20)^1.5+'DCF Valuation'!H37/(1+$B$20)^2.5+'DCF Valuation'!I37/(1+$B$20)^3.5+'DCF Valuation'!J37/(1+$B$20)^4.5+('DCF Valuation'!E48*F$19)/(1+$B$20)^4.5+'DCF Valuation'!E65+'DCF Valuation'!E64+'DCF Valuation'!E66)/'DCF Valuation'!E69</f>
        <v>357.52553670874096</v>
      </c>
      <c r="G20" s="214">
        <f>('DCF Valuation'!F37/(1+$B$20)^0.5+'DCF Valuation'!G37/(1+$B$20)^1.5+'DCF Valuation'!H37/(1+$B$20)^2.5+'DCF Valuation'!I37/(1+$B$20)^3.5+'DCF Valuation'!J37/(1+$B$20)^4.5+('DCF Valuation'!E48*G$19)/(1+$B$20)^4.5+'DCF Valuation'!E65+'DCF Valuation'!E64+'DCF Valuation'!E66)/'DCF Valuation'!E69</f>
        <v>395.5605017503849</v>
      </c>
      <c r="H20" s="214">
        <f>('DCF Valuation'!F37/(1+$B$20)^0.5+'DCF Valuation'!G37/(1+$B$20)^1.5+'DCF Valuation'!H37/(1+$B$20)^2.5+'DCF Valuation'!I37/(1+$B$20)^3.5+'DCF Valuation'!J37/(1+$B$20)^4.5+('DCF Valuation'!E48*H$19)/(1+$B$20)^4.5+'DCF Valuation'!E65+'DCF Valuation'!E64+'DCF Valuation'!E66)/'DCF Valuation'!E69</f>
        <v>433.5954667920289</v>
      </c>
      <c r="I20" s="214">
        <f>('DCF Valuation'!F37/(1+$B$20)^0.5+'DCF Valuation'!G37/(1+$B$20)^1.5+'DCF Valuation'!H37/(1+$B$20)^2.5+'DCF Valuation'!I37/(1+$B$20)^3.5+'DCF Valuation'!J37/(1+$B$20)^4.5+('DCF Valuation'!E48*I$19)/(1+$B$20)^4.5+'DCF Valuation'!E65+'DCF Valuation'!E64+'DCF Valuation'!E66)/'DCF Valuation'!E69</f>
        <v>471.63043183367279</v>
      </c>
      <c r="J20" s="214">
        <f>('DCF Valuation'!F37/(1+$B$20)^0.5+'DCF Valuation'!G37/(1+$B$20)^1.5+'DCF Valuation'!H37/(1+$B$20)^2.5+'DCF Valuation'!I37/(1+$B$20)^3.5+'DCF Valuation'!J37/(1+$B$20)^4.5+('DCF Valuation'!E48*J$19)/(1+$B$20)^4.5+'DCF Valuation'!E65+'DCF Valuation'!E64+'DCF Valuation'!E66)/'DCF Valuation'!E69</f>
        <v>509.66539687531679</v>
      </c>
    </row>
    <row r="21" spans="2:10" x14ac:dyDescent="0.2">
      <c r="B21" s="219">
        <v>7.0000000000000007E-2</v>
      </c>
      <c r="C21" s="213"/>
      <c r="D21" s="214">
        <f>('DCF Valuation'!F37/(1+$B$21)^0.5+'DCF Valuation'!G37/(1+$B$21)^1.5+'DCF Valuation'!H37/(1+$B$21)^2.5+'DCF Valuation'!I37/(1+$B$21)^3.5+'DCF Valuation'!J37/(1+$B$21)^4.5+('DCF Valuation'!E48*D$19)/(1+$B$21)^4.5+'DCF Valuation'!E65+'DCF Valuation'!E64+'DCF Valuation'!E66)/'DCF Valuation'!E69</f>
        <v>313.22906249544792</v>
      </c>
      <c r="E21" s="214">
        <f>('DCF Valuation'!F37/(1+$B$21)^0.5+'DCF Valuation'!G37/(1+$B$21)^1.5+'DCF Valuation'!H37/(1+$B$21)^2.5+'DCF Valuation'!I37/(1+$B$21)^3.5+'DCF Valuation'!J37/(1+$B$21)^4.5+('DCF Valuation'!E48*E$19)/(1+$B$21)^4.5+'DCF Valuation'!E65+'DCF Valuation'!E64+'DCF Valuation'!E66)/'DCF Valuation'!E69</f>
        <v>331.84990218372513</v>
      </c>
      <c r="F21" s="214">
        <f>('DCF Valuation'!F37/(1+$B$21)^0.5+'DCF Valuation'!G37/(1+$B$21)^1.5+'DCF Valuation'!H37/(1+$B$21)^2.5+'DCF Valuation'!I37/(1+$B$21)^3.5+'DCF Valuation'!J37/(1+$B$21)^4.5+('DCF Valuation'!E48*F$19)/(1+$B$21)^4.5+'DCF Valuation'!E65+'DCF Valuation'!E64+'DCF Valuation'!E66)/'DCF Valuation'!E69</f>
        <v>350.47074187200224</v>
      </c>
      <c r="G21" s="214">
        <f>('DCF Valuation'!F37/(1+$B$21)^0.5+'DCF Valuation'!G37/(1+$B$21)^1.5+'DCF Valuation'!H37/(1+$B$21)^2.5+'DCF Valuation'!I37/(1+$B$21)^3.5+'DCF Valuation'!J37/(1+$B$21)^4.5+('DCF Valuation'!E48*G$19)/(1+$B$21)^4.5+'DCF Valuation'!E65+'DCF Valuation'!E64+'DCF Valuation'!E66)/'DCF Valuation'!E69</f>
        <v>387.71242124855661</v>
      </c>
      <c r="H21" s="214">
        <f>('DCF Valuation'!F37/(1+$B$21)^0.5+'DCF Valuation'!G37/(1+$B$21)^1.5+'DCF Valuation'!H37/(1+$B$21)^2.5+'DCF Valuation'!I37/(1+$B$21)^3.5+'DCF Valuation'!J37/(1+$B$21)^4.5+('DCF Valuation'!E48*H$19)/(1+$B$21)^4.5+'DCF Valuation'!E65+'DCF Valuation'!E64+'DCF Valuation'!E66)/'DCF Valuation'!E69</f>
        <v>424.95410062511093</v>
      </c>
      <c r="I21" s="214">
        <f>('DCF Valuation'!F37/(1+$B$21)^0.5+'DCF Valuation'!G37/(1+$B$21)^1.5+'DCF Valuation'!H37/(1+$B$21)^2.5+'DCF Valuation'!I37/(1+$B$21)^3.5+'DCF Valuation'!J37/(1+$B$21)^4.5+('DCF Valuation'!E48*I$19)/(1+$B$21)^4.5+'DCF Valuation'!E65+'DCF Valuation'!E64+'DCF Valuation'!E66)/'DCF Valuation'!E69</f>
        <v>462.19578000166524</v>
      </c>
      <c r="J21" s="214">
        <f>('DCF Valuation'!F37/(1+$B$21)^0.5+'DCF Valuation'!G37/(1+$B$21)^1.5+'DCF Valuation'!H37/(1+$B$21)^2.5+'DCF Valuation'!I37/(1+$B$21)^3.5+'DCF Valuation'!J37/(1+$B$21)^4.5+('DCF Valuation'!E48*J$19)/(1+$B$21)^4.5+'DCF Valuation'!E65+'DCF Valuation'!E64+'DCF Valuation'!E66)/'DCF Valuation'!E69</f>
        <v>499.43745937821956</v>
      </c>
    </row>
    <row r="22" spans="2:10" x14ac:dyDescent="0.2">
      <c r="B22" s="219">
        <v>7.4999999999999997E-2</v>
      </c>
      <c r="C22" s="213"/>
      <c r="D22" s="214">
        <f>('DCF Valuation'!F37/(1+$B$22)^0.5+'DCF Valuation'!G37/(1+$B$22)^1.5+'DCF Valuation'!H37/(1+$B$22)^2.5+'DCF Valuation'!I37/(1+$B$22)^3.5+'DCF Valuation'!J37/(1+$B$22)^4.5+('DCF Valuation'!E48*D$19)/(1+$B$22)^4.5+'DCF Valuation'!E65+'DCF Valuation'!E64+'DCF Valuation'!E66)/'DCF Valuation'!E69</f>
        <v>307.12249023283812</v>
      </c>
      <c r="E22" s="214">
        <f>('DCF Valuation'!F37/(1+$B$22)^0.5+'DCF Valuation'!G37/(1+$B$22)^1.5+'DCF Valuation'!H37/(1+$B$22)^2.5+'DCF Valuation'!I37/(1+$B$22)^3.5+'DCF Valuation'!J37/(1+$B$22)^4.5+('DCF Valuation'!E48*E$19)/(1+$B$22)^4.5+'DCF Valuation'!E65+'DCF Valuation'!E64+'DCF Valuation'!E66)/'DCF Valuation'!E69</f>
        <v>325.35675143190736</v>
      </c>
      <c r="F22" s="214">
        <f>('DCF Valuation'!F37/(1+$B$22)^0.5+'DCF Valuation'!G37/(1+$B$22)^1.5+'DCF Valuation'!H37/(1+$B$22)^2.5+'DCF Valuation'!I37/(1+$B$22)^3.5+'DCF Valuation'!J37/(1+$B$22)^4.5+('DCF Valuation'!E48*F$19)/(1+$B$22)^4.5+'DCF Valuation'!E65+'DCF Valuation'!E64+'DCF Valuation'!E66)/'DCF Valuation'!E69</f>
        <v>343.59101263097659</v>
      </c>
      <c r="G22" s="214">
        <f>('DCF Valuation'!F37/(1+$B$22)^0.5+'DCF Valuation'!G37/(1+$B$22)^1.5+'DCF Valuation'!H37/(1+$B$22)^2.5+'DCF Valuation'!I37/(1+$B$22)^3.5+'DCF Valuation'!J37/(1+$B$22)^4.5+('DCF Valuation'!E48*G$19)/(1+$B$22)^4.5+'DCF Valuation'!E65+'DCF Valuation'!E64+'DCF Valuation'!E66)/'DCF Valuation'!E69</f>
        <v>380.05953502911512</v>
      </c>
      <c r="H22" s="214">
        <f>('DCF Valuation'!F37/(1+$B$22)^0.5+'DCF Valuation'!G37/(1+$B$22)^1.5+'DCF Valuation'!H37/(1+$B$22)^2.5+'DCF Valuation'!I37/(1+$B$22)^3.5+'DCF Valuation'!J37/(1+$B$22)^4.5+('DCF Valuation'!E48*H$19)/(1+$B$22)^4.5+'DCF Valuation'!E65+'DCF Valuation'!E64+'DCF Valuation'!E66)/'DCF Valuation'!E69</f>
        <v>416.52805742725354</v>
      </c>
      <c r="I22" s="214">
        <f>('DCF Valuation'!F37/(1+$B$22)^0.5+'DCF Valuation'!G37/(1+$B$22)^1.5+'DCF Valuation'!H37/(1+$B$22)^2.5+'DCF Valuation'!I37/(1+$B$22)^3.5+'DCF Valuation'!J37/(1+$B$22)^4.5+('DCF Valuation'!E48*I$19)/(1+$B$22)^4.5+'DCF Valuation'!E65+'DCF Valuation'!E64+'DCF Valuation'!E66)/'DCF Valuation'!E69</f>
        <v>452.99657982539196</v>
      </c>
      <c r="J22" s="214">
        <f>('DCF Valuation'!F37/(1+$B$22)^0.5+'DCF Valuation'!G37/(1+$B$22)^1.5+'DCF Valuation'!H37/(1+$B$22)^2.5+'DCF Valuation'!I37/(1+$B$22)^3.5+'DCF Valuation'!J37/(1+$B$22)^4.5+('DCF Valuation'!E48*J$19)/(1+$B$22)^4.5+'DCF Valuation'!E65+'DCF Valuation'!E64+'DCF Valuation'!E66)/'DCF Valuation'!E69</f>
        <v>489.46510222353044</v>
      </c>
    </row>
    <row r="23" spans="2:10" x14ac:dyDescent="0.2">
      <c r="B23" s="219">
        <v>7.6999999999999999E-2</v>
      </c>
      <c r="C23" s="213"/>
      <c r="D23" s="214">
        <f>('DCF Valuation'!F37/(1+$B$23)^0.5+'DCF Valuation'!G37/(1+$B$23)^1.5+'DCF Valuation'!H37/(1+$B$23)^2.5+'DCF Valuation'!I37/(1+$B$23)^3.5+'DCF Valuation'!J37/(1+$B$23)^4.5+('DCF Valuation'!E48*D$19)/(1+$B$23)^4.5+'DCF Valuation'!E65+'DCF Valuation'!E64+'DCF Valuation'!E66)/'DCF Valuation'!E69</f>
        <v>304.72221523523979</v>
      </c>
      <c r="E23" s="214">
        <f>('DCF Valuation'!F37/(1+$B$23)^0.5+'DCF Valuation'!G37/(1+$B$23)^1.5+'DCF Valuation'!H37/(1+$B$23)^2.5+'DCF Valuation'!I37/(1+$B$23)^3.5+'DCF Valuation'!J37/(1+$B$23)^4.5+('DCF Valuation'!E48*E$19)/(1+$B$23)^4.5+'DCF Valuation'!E65+'DCF Valuation'!E64+'DCF Valuation'!E66)/'DCF Valuation'!E69</f>
        <v>322.80459541158029</v>
      </c>
      <c r="F23" s="214">
        <f>('DCF Valuation'!F37/(1+$B$23)^0.5+'DCF Valuation'!G37/(1+$B$23)^1.5+'DCF Valuation'!H37/(1+$B$23)^2.5+'DCF Valuation'!I37/(1+$B$23)^3.5+'DCF Valuation'!J37/(1+$B$23)^4.5+('DCF Valuation'!E48*F$19)/(1+$B$23)^4.5+'DCF Valuation'!E65+'DCF Valuation'!E64+'DCF Valuation'!E66)/'DCF Valuation'!E69</f>
        <v>340.88697558792086</v>
      </c>
      <c r="G23" s="215">
        <f>('DCF Valuation'!F37/(1+$B$23)^0.5+'DCF Valuation'!G37/(1+$B$23)^1.5+'DCF Valuation'!H37/(1+$B$23)^2.5+'DCF Valuation'!I37/(1+$B$23)^3.5+'DCF Valuation'!J37/(1+$B$23)^4.5+('DCF Valuation'!E48*G$19)/(1+$B$23)^4.5+'DCF Valuation'!E65+'DCF Valuation'!E64+'DCF Valuation'!E66)/'DCF Valuation'!E69</f>
        <v>377.05173594060187</v>
      </c>
      <c r="H23" s="214">
        <f>('DCF Valuation'!F37/(1+$B$23)^0.5+'DCF Valuation'!G37/(1+$B$23)^1.5+'DCF Valuation'!H37/(1+$B$23)^2.5+'DCF Valuation'!I37/(1+$B$23)^3.5+'DCF Valuation'!J37/(1+$B$23)^4.5+('DCF Valuation'!E48*H$19)/(1+$B$23)^4.5+'DCF Valuation'!E65+'DCF Valuation'!E64+'DCF Valuation'!E66)/'DCF Valuation'!E69</f>
        <v>413.21649629328294</v>
      </c>
      <c r="I23" s="214">
        <f>('DCF Valuation'!F37/(1+$B$23)^0.5+'DCF Valuation'!G37/(1+$B$23)^1.5+'DCF Valuation'!H37/(1+$B$23)^2.5+'DCF Valuation'!I37/(1+$B$23)^3.5+'DCF Valuation'!J37/(1+$B$23)^4.5+('DCF Valuation'!E48*I$19)/(1+$B$23)^4.5+'DCF Valuation'!E65+'DCF Valuation'!E64+'DCF Valuation'!E66)/'DCF Valuation'!E69</f>
        <v>449.38125664596402</v>
      </c>
      <c r="J23" s="214">
        <f>('DCF Valuation'!F37/(1+$B$23)^0.5+'DCF Valuation'!G37/(1+$B$23)^1.5+'DCF Valuation'!H37/(1+$B$23)^2.5+'DCF Valuation'!I37/(1+$B$23)^3.5+'DCF Valuation'!J37/(1+$B$23)^4.5+('DCF Valuation'!E48*J$19)/(1+$B$23)^4.5+'DCF Valuation'!E65+'DCF Valuation'!E64+'DCF Valuation'!E66)/'DCF Valuation'!E69</f>
        <v>485.54601699864503</v>
      </c>
    </row>
    <row r="24" spans="2:10" x14ac:dyDescent="0.2">
      <c r="B24" s="219">
        <v>0.08</v>
      </c>
      <c r="C24" s="213"/>
      <c r="D24" s="214">
        <f>('DCF Valuation'!F37/(1+$B$24)^0.5+'DCF Valuation'!G37/(1+$B$24)^1.5+'DCF Valuation'!H37/(1+$B$24)^2.5+'DCF Valuation'!I37/(1+$B$24)^3.5+'DCF Valuation'!J37/(1+$B$24)^4.5+('DCF Valuation'!E48*D$19)/(1+$B$24)^4.5+'DCF Valuation'!E65+'DCF Valuation'!E64+'DCF Valuation'!E66)/'DCF Valuation'!E69</f>
        <v>301.16628729366914</v>
      </c>
      <c r="E24" s="214">
        <f>('DCF Valuation'!F37/(1+$B$24)^0.5+'DCF Valuation'!G37/(1+$B$24)^1.5+'DCF Valuation'!H37/(1+$B$24)^2.5+'DCF Valuation'!I37/(1+$B$24)^3.5+'DCF Valuation'!J37/(1+$B$24)^4.5+('DCF Valuation'!E48*E$19)/(1+$B$24)^4.5+'DCF Valuation'!E65+'DCF Valuation'!E64+'DCF Valuation'!E66)/'DCF Valuation'!E69</f>
        <v>319.02373393277787</v>
      </c>
      <c r="F24" s="214">
        <f>('DCF Valuation'!F37/(1+$B$24)^0.5+'DCF Valuation'!G37/(1+$B$24)^1.5+'DCF Valuation'!H37/(1+$B$24)^2.5+'DCF Valuation'!I37/(1+$B$24)^3.5+'DCF Valuation'!J37/(1+$B$24)^4.5+('DCF Valuation'!E48*F$19)/(1+$B$24)^4.5+'DCF Valuation'!E65+'DCF Valuation'!E64+'DCF Valuation'!E66)/'DCF Valuation'!E69</f>
        <v>336.88118057188666</v>
      </c>
      <c r="G24" s="214">
        <f>('DCF Valuation'!F37/(1+$B$24)^0.5+'DCF Valuation'!G37/(1+$B$24)^1.5+'DCF Valuation'!H37/(1+$B$24)^2.5+'DCF Valuation'!I37/(1+$B$24)^3.5+'DCF Valuation'!J37/(1+$B$24)^4.5+('DCF Valuation'!E48*G$19)/(1+$B$24)^4.5+'DCF Valuation'!E65+'DCF Valuation'!E64+'DCF Valuation'!E66)/'DCF Valuation'!E69</f>
        <v>372.59607385010418</v>
      </c>
      <c r="H24" s="214">
        <f>('DCF Valuation'!F37/(1+$B$24)^0.5+'DCF Valuation'!G37/(1+$B$24)^1.5+'DCF Valuation'!H37/(1+$B$24)^2.5+'DCF Valuation'!I37/(1+$B$24)^3.5+'DCF Valuation'!J37/(1+$B$24)^4.5+('DCF Valuation'!E48*H$19)/(1+$B$24)^4.5+'DCF Valuation'!E65+'DCF Valuation'!E64+'DCF Valuation'!E66)/'DCF Valuation'!E69</f>
        <v>408.31096712832164</v>
      </c>
      <c r="I24" s="214">
        <f>('DCF Valuation'!F37/(1+$B$24)^0.5+'DCF Valuation'!G37/(1+$B$24)^1.5+'DCF Valuation'!H37/(1+$B$24)^2.5+'DCF Valuation'!I37/(1+$B$24)^3.5+'DCF Valuation'!J37/(1+$B$24)^4.5+('DCF Valuation'!E48*I$19)/(1+$B$24)^4.5+'DCF Valuation'!E65+'DCF Valuation'!E64+'DCF Valuation'!E66)/'DCF Valuation'!E69</f>
        <v>444.02586040653904</v>
      </c>
      <c r="J24" s="214">
        <f>('DCF Valuation'!F37/(1+$B$24)^0.5+'DCF Valuation'!G37/(1+$B$24)^1.5+'DCF Valuation'!H37/(1+$B$24)^2.5+'DCF Valuation'!I37/(1+$B$24)^3.5+'DCF Valuation'!J37/(1+$B$24)^4.5+('DCF Valuation'!E48*J$19)/(1+$B$24)^4.5+'DCF Valuation'!E65+'DCF Valuation'!E64+'DCF Valuation'!E66)/'DCF Valuation'!E69</f>
        <v>479.74075368475656</v>
      </c>
    </row>
    <row r="25" spans="2:10" x14ac:dyDescent="0.2">
      <c r="B25" s="219">
        <v>8.5000000000000006E-2</v>
      </c>
      <c r="C25" s="213"/>
      <c r="D25" s="214">
        <f>('DCF Valuation'!F37/(1+$B$25)^0.5+'DCF Valuation'!G37/(1+$B$25)^1.5+'DCF Valuation'!H37/(1+$B$25)^2.5+'DCF Valuation'!I37/(1+$B$25)^3.5+'DCF Valuation'!J37/(1+$B$25)^4.5+('DCF Valuation'!E48*D$19)/(1+$B$25)^4.5+'DCF Valuation'!E65+'DCF Valuation'!E64+'DCF Valuation'!E66)/'DCF Valuation'!E69</f>
        <v>295.35604152007704</v>
      </c>
      <c r="E25" s="214">
        <f>('DCF Valuation'!F37/(1+$B$25)^0.5+'DCF Valuation'!G37/(1+$B$25)^1.5+'DCF Valuation'!H37/(1+$B$25)^2.5+'DCF Valuation'!I37/(1+$B$25)^3.5+'DCF Valuation'!J37/(1+$B$25)^4.5+('DCF Valuation'!E48*E$19)/(1+$B$25)^4.5+'DCF Valuation'!E65+'DCF Valuation'!E64+'DCF Valuation'!E66)/'DCF Valuation'!E69</f>
        <v>312.84614741375202</v>
      </c>
      <c r="F25" s="214">
        <f>('DCF Valuation'!F37/(1+$B$25)^0.5+'DCF Valuation'!G37/(1+$B$25)^1.5+'DCF Valuation'!H37/(1+$B$25)^2.5+'DCF Valuation'!I37/(1+$B$25)^3.5+'DCF Valuation'!J37/(1+$B$25)^4.5+('DCF Valuation'!E48*F$19)/(1+$B$25)^4.5+'DCF Valuation'!E65+'DCF Valuation'!E64+'DCF Valuation'!E66)/'DCF Valuation'!E69</f>
        <v>330.336253307427</v>
      </c>
      <c r="G25" s="214">
        <f>('DCF Valuation'!F37/(1+$B$25)^0.5+'DCF Valuation'!G37/(1+$B$25)^1.5+'DCF Valuation'!H37/(1+$B$25)^2.5+'DCF Valuation'!I37/(1+$B$25)^3.5+'DCF Valuation'!J37/(1+$B$25)^4.5+('DCF Valuation'!E48*G$19)/(1+$B$25)^4.5+'DCF Valuation'!E65+'DCF Valuation'!E64+'DCF Valuation'!E66)/'DCF Valuation'!E69</f>
        <v>365.31646509477702</v>
      </c>
      <c r="H25" s="214">
        <f>('DCF Valuation'!F37/(1+$B$25)^0.5+'DCF Valuation'!G37/(1+$B$25)^1.5+'DCF Valuation'!H37/(1+$B$25)^2.5+'DCF Valuation'!I37/(1+$B$25)^3.5+'DCF Valuation'!J37/(1+$B$25)^4.5+('DCF Valuation'!E48*H$19)/(1+$B$25)^4.5+'DCF Valuation'!E65+'DCF Valuation'!E64+'DCF Valuation'!E66)/'DCF Valuation'!E69</f>
        <v>400.29667688212697</v>
      </c>
      <c r="I25" s="214">
        <f>('DCF Valuation'!F37/(1+$B$25)^0.5+'DCF Valuation'!G37/(1+$B$25)^1.5+'DCF Valuation'!H37/(1+$B$25)^2.5+'DCF Valuation'!I37/(1+$B$25)^3.5+'DCF Valuation'!J37/(1+$B$25)^4.5+('DCF Valuation'!E48*I$19)/(1+$B$25)^4.5+'DCF Valuation'!E65+'DCF Valuation'!E64+'DCF Valuation'!E66)/'DCF Valuation'!E69</f>
        <v>435.27688866947682</v>
      </c>
      <c r="J25" s="214">
        <f>('DCF Valuation'!F37/(1+$B$25)^0.5+'DCF Valuation'!G37/(1+$B$25)^1.5+'DCF Valuation'!H37/(1+$B$25)^2.5+'DCF Valuation'!I37/(1+$B$25)^3.5+'DCF Valuation'!J37/(1+$B$25)^4.5+('DCF Valuation'!E48*J$19)/(1+$B$25)^4.5+'DCF Valuation'!E65+'DCF Valuation'!E64+'DCF Valuation'!E66)/'DCF Valuation'!E69</f>
        <v>470.25710045682683</v>
      </c>
    </row>
    <row r="26" spans="2:10" x14ac:dyDescent="0.2">
      <c r="B26" s="219">
        <v>0.09</v>
      </c>
      <c r="C26" s="213"/>
      <c r="D26" s="214">
        <f>('DCF Valuation'!F37/(1+$B$26)^0.5+'DCF Valuation'!G37/(1+$B$26)^1.5+'DCF Valuation'!H37/(1+$B$26)^2.5+'DCF Valuation'!I37/(1+$B$26)^3.5+'DCF Valuation'!J37/(1+$B$26)^4.5+('DCF Valuation'!E48*D$19)/(1+$B$26)^4.5+'DCF Valuation'!E65+'DCF Valuation'!E64+'DCF Valuation'!E66)/'DCF Valuation'!E69</f>
        <v>289.68749020028702</v>
      </c>
      <c r="E26" s="214">
        <f>('DCF Valuation'!F37/(1+$B$26)^0.5+'DCF Valuation'!G37/(1+$B$26)^1.5+'DCF Valuation'!H37/(1+$B$26)^2.5+'DCF Valuation'!I37/(1+$B$26)^3.5+'DCF Valuation'!J37/(1+$B$26)^4.5+('DCF Valuation'!E48*E$19)/(1+$B$26)^4.5+'DCF Valuation'!E65+'DCF Valuation'!E64+'DCF Valuation'!E66)/'DCF Valuation'!E69</f>
        <v>306.81944894934333</v>
      </c>
      <c r="F26" s="214">
        <f>('DCF Valuation'!F37/(1+$B$26)^0.5+'DCF Valuation'!G37/(1+$B$26)^1.5+'DCF Valuation'!H37/(1+$B$26)^2.5+'DCF Valuation'!I37/(1+$B$26)^3.5+'DCF Valuation'!J37/(1+$B$26)^4.5+('DCF Valuation'!E48*F$19)/(1+$B$26)^4.5+'DCF Valuation'!E65+'DCF Valuation'!E64+'DCF Valuation'!E66)/'DCF Valuation'!E69</f>
        <v>323.95140769839969</v>
      </c>
      <c r="G26" s="214">
        <f>('DCF Valuation'!F37/(1+$B$26)^0.5+'DCF Valuation'!G37/(1+$B$26)^1.5+'DCF Valuation'!H37/(1+$B$26)^2.5+'DCF Valuation'!I37/(1+$B$26)^3.5+'DCF Valuation'!J37/(1+$B$26)^4.5+('DCF Valuation'!E48*G$19)/(1+$B$26)^4.5+'DCF Valuation'!E65+'DCF Valuation'!E64+'DCF Valuation'!E66)/'DCF Valuation'!E69</f>
        <v>358.21532519651242</v>
      </c>
      <c r="H26" s="214">
        <f>('DCF Valuation'!F37/(1+$B$26)^0.5+'DCF Valuation'!G37/(1+$B$26)^1.5+'DCF Valuation'!H37/(1+$B$26)^2.5+'DCF Valuation'!I37/(1+$B$26)^3.5+'DCF Valuation'!J37/(1+$B$26)^4.5+('DCF Valuation'!E48*H$19)/(1+$B$26)^4.5+'DCF Valuation'!E65+'DCF Valuation'!E64+'DCF Valuation'!E66)/'DCF Valuation'!E69</f>
        <v>392.4792426946251</v>
      </c>
      <c r="I26" s="214">
        <f>('DCF Valuation'!F37/(1+$B$26)^0.5+'DCF Valuation'!G37/(1+$B$26)^1.5+'DCF Valuation'!H37/(1+$B$26)^2.5+'DCF Valuation'!I37/(1+$B$26)^3.5+'DCF Valuation'!J37/(1+$B$26)^4.5+('DCF Valuation'!E48*I$19)/(1+$B$26)^4.5+'DCF Valuation'!E65+'DCF Valuation'!E64+'DCF Valuation'!E66)/'DCF Valuation'!E69</f>
        <v>426.74316019273772</v>
      </c>
      <c r="J26" s="214">
        <f>('DCF Valuation'!F37/(1+$B$26)^0.5+'DCF Valuation'!G37/(1+$B$26)^1.5+'DCF Valuation'!H37/(1+$B$26)^2.5+'DCF Valuation'!I37/(1+$B$26)^3.5+'DCF Valuation'!J37/(1+$B$26)^4.5+('DCF Valuation'!E48*J$19)/(1+$B$26)^4.5+'DCF Valuation'!E65+'DCF Valuation'!E64+'DCF Valuation'!E66)/'DCF Valuation'!E69</f>
        <v>461.00707769085039</v>
      </c>
    </row>
  </sheetData>
  <conditionalFormatting sqref="D8:J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J2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EB077-15F0-B94F-A8CA-8DB0C25A385E}">
  <sheetPr>
    <tabColor rgb="FF7030A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B010E-C39A-3340-AA1E-4ACDFB05122F}">
  <sheetPr>
    <tabColor rgb="FF7030A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D9171-25AC-AE48-9C5F-50D00317E963}">
  <sheetPr>
    <tabColor rgb="FF40404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6E4D-8F9D-BF49-BCC5-81F2904B09DC}">
  <sheetPr>
    <tabColor rgb="FF404040"/>
  </sheetPr>
  <dimension ref="A1:K100"/>
  <sheetViews>
    <sheetView workbookViewId="0">
      <selection sqref="A1:XFD1048576"/>
    </sheetView>
  </sheetViews>
  <sheetFormatPr baseColWidth="10" defaultRowHeight="16" x14ac:dyDescent="0.2"/>
  <cols>
    <col min="1" max="1" width="2.5" style="1" customWidth="1"/>
    <col min="2" max="3" width="31.6640625" style="1" customWidth="1"/>
    <col min="4" max="4" width="15.83203125" style="1" customWidth="1"/>
    <col min="5" max="5" width="50" style="1" customWidth="1"/>
    <col min="6" max="6" width="26.6640625" style="1" customWidth="1"/>
    <col min="7" max="7" width="15.83203125" style="1" customWidth="1"/>
    <col min="8" max="8" width="35" style="1" customWidth="1"/>
    <col min="9" max="16384" width="10.83203125" style="1"/>
  </cols>
  <sheetData>
    <row r="1" spans="1:11" x14ac:dyDescent="0.2">
      <c r="A1" s="7"/>
      <c r="B1" s="7"/>
      <c r="C1" s="7"/>
      <c r="D1" s="7"/>
      <c r="E1" s="7"/>
      <c r="F1" s="7"/>
      <c r="G1" s="7"/>
      <c r="H1" s="7"/>
      <c r="I1" s="7"/>
      <c r="J1" s="7"/>
      <c r="K1"/>
    </row>
    <row r="2" spans="1:11" ht="19" x14ac:dyDescent="0.25">
      <c r="A2" s="7"/>
      <c r="B2" s="8" t="s">
        <v>71</v>
      </c>
      <c r="C2" s="9"/>
      <c r="D2" s="9"/>
      <c r="E2" s="9"/>
      <c r="F2" s="9"/>
      <c r="G2" s="9"/>
      <c r="H2" s="9"/>
      <c r="I2" s="7"/>
      <c r="J2" s="7"/>
      <c r="K2"/>
    </row>
    <row r="3" spans="1:11" x14ac:dyDescent="0.2">
      <c r="A3" s="7"/>
      <c r="B3" s="10" t="s">
        <v>72</v>
      </c>
      <c r="C3" s="11"/>
      <c r="D3" s="11"/>
      <c r="E3" s="11"/>
      <c r="F3" s="11"/>
      <c r="G3" s="11"/>
      <c r="H3" s="11"/>
      <c r="I3" s="7"/>
      <c r="J3" s="7"/>
      <c r="K3"/>
    </row>
    <row r="4" spans="1:11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/>
    </row>
    <row r="5" spans="1:11" x14ac:dyDescent="0.2">
      <c r="A5" s="7"/>
      <c r="B5" s="12" t="s">
        <v>73</v>
      </c>
      <c r="C5" s="13"/>
      <c r="D5" s="13"/>
      <c r="E5" s="13"/>
      <c r="F5" s="13"/>
      <c r="G5" s="13"/>
      <c r="H5" s="13"/>
      <c r="I5" s="7"/>
      <c r="J5" s="7"/>
      <c r="K5"/>
    </row>
    <row r="6" spans="1:11" x14ac:dyDescent="0.2">
      <c r="A6" s="7"/>
      <c r="B6" s="14" t="s">
        <v>74</v>
      </c>
      <c r="C6" s="15" t="s">
        <v>75</v>
      </c>
      <c r="D6" s="14" t="s">
        <v>76</v>
      </c>
      <c r="E6" s="15" t="s">
        <v>77</v>
      </c>
      <c r="F6" s="15" t="s">
        <v>78</v>
      </c>
      <c r="G6" s="14" t="s">
        <v>79</v>
      </c>
      <c r="H6" s="15" t="s">
        <v>80</v>
      </c>
      <c r="I6" s="7"/>
      <c r="J6" s="7"/>
      <c r="K6"/>
    </row>
    <row r="7" spans="1:11" x14ac:dyDescent="0.2">
      <c r="A7" s="7"/>
      <c r="B7" s="16" t="s">
        <v>81</v>
      </c>
      <c r="C7" s="17" t="s">
        <v>82</v>
      </c>
      <c r="D7" s="18" t="s">
        <v>83</v>
      </c>
      <c r="E7" s="17" t="s">
        <v>84</v>
      </c>
      <c r="F7" s="17" t="s">
        <v>85</v>
      </c>
      <c r="G7" s="18" t="s">
        <v>86</v>
      </c>
      <c r="H7" s="17" t="s">
        <v>87</v>
      </c>
      <c r="I7" s="7"/>
      <c r="J7" s="7"/>
      <c r="K7"/>
    </row>
    <row r="8" spans="1:11" x14ac:dyDescent="0.2">
      <c r="A8" s="7"/>
      <c r="B8" s="16" t="s">
        <v>88</v>
      </c>
      <c r="C8" s="17" t="s">
        <v>89</v>
      </c>
      <c r="D8" s="18" t="s">
        <v>83</v>
      </c>
      <c r="E8" s="17" t="s">
        <v>90</v>
      </c>
      <c r="F8" s="17" t="s">
        <v>85</v>
      </c>
      <c r="G8" s="18" t="s">
        <v>86</v>
      </c>
      <c r="H8" s="17" t="s">
        <v>87</v>
      </c>
      <c r="I8" s="7"/>
      <c r="J8" s="7"/>
      <c r="K8"/>
    </row>
    <row r="9" spans="1:11" x14ac:dyDescent="0.2">
      <c r="A9" s="7"/>
      <c r="B9" s="16" t="s">
        <v>91</v>
      </c>
      <c r="C9" s="17" t="s">
        <v>92</v>
      </c>
      <c r="D9" s="18" t="s">
        <v>93</v>
      </c>
      <c r="E9" s="17" t="s">
        <v>94</v>
      </c>
      <c r="F9" s="17" t="s">
        <v>95</v>
      </c>
      <c r="G9" s="18" t="s">
        <v>86</v>
      </c>
      <c r="H9" s="17" t="s">
        <v>96</v>
      </c>
      <c r="I9" s="7"/>
      <c r="J9" s="7"/>
      <c r="K9"/>
    </row>
    <row r="10" spans="1:11" x14ac:dyDescent="0.2">
      <c r="A10" s="7"/>
      <c r="B10" s="16" t="s">
        <v>97</v>
      </c>
      <c r="C10" s="17" t="s">
        <v>98</v>
      </c>
      <c r="D10" s="18" t="s">
        <v>99</v>
      </c>
      <c r="E10" s="17" t="s">
        <v>100</v>
      </c>
      <c r="F10" s="17" t="s">
        <v>101</v>
      </c>
      <c r="G10" s="18" t="s">
        <v>86</v>
      </c>
      <c r="H10" s="17" t="s">
        <v>102</v>
      </c>
      <c r="I10" s="7"/>
      <c r="J10" s="7"/>
      <c r="K10"/>
    </row>
    <row r="11" spans="1:11" x14ac:dyDescent="0.2">
      <c r="A11" s="7"/>
      <c r="B11" s="16" t="s">
        <v>103</v>
      </c>
      <c r="C11" s="17" t="s">
        <v>104</v>
      </c>
      <c r="D11" s="18" t="s">
        <v>105</v>
      </c>
      <c r="E11" s="17" t="s">
        <v>106</v>
      </c>
      <c r="F11" s="17" t="s">
        <v>101</v>
      </c>
      <c r="G11" s="18" t="s">
        <v>86</v>
      </c>
      <c r="H11" s="17" t="s">
        <v>107</v>
      </c>
      <c r="I11" s="7"/>
      <c r="J11" s="7"/>
      <c r="K11"/>
    </row>
    <row r="12" spans="1:11" x14ac:dyDescent="0.2">
      <c r="A12" s="7"/>
      <c r="B12" s="16" t="s">
        <v>108</v>
      </c>
      <c r="C12" s="17" t="s">
        <v>109</v>
      </c>
      <c r="D12" s="18" t="s">
        <v>110</v>
      </c>
      <c r="E12" s="17" t="s">
        <v>111</v>
      </c>
      <c r="F12" s="17" t="s">
        <v>101</v>
      </c>
      <c r="G12" s="18" t="s">
        <v>86</v>
      </c>
      <c r="H12" s="17" t="s">
        <v>112</v>
      </c>
      <c r="I12" s="7"/>
      <c r="J12" s="7"/>
      <c r="K12"/>
    </row>
    <row r="13" spans="1:11" x14ac:dyDescent="0.2">
      <c r="A13" s="7"/>
      <c r="B13" s="16" t="s">
        <v>113</v>
      </c>
      <c r="C13" s="17" t="s">
        <v>114</v>
      </c>
      <c r="D13" s="18" t="s">
        <v>115</v>
      </c>
      <c r="E13" s="17" t="s">
        <v>116</v>
      </c>
      <c r="F13" s="17" t="s">
        <v>117</v>
      </c>
      <c r="G13" s="18" t="s">
        <v>86</v>
      </c>
      <c r="H13" s="17" t="s">
        <v>118</v>
      </c>
      <c r="I13" s="7"/>
      <c r="J13" s="7"/>
      <c r="K13"/>
    </row>
    <row r="14" spans="1:11" x14ac:dyDescent="0.2">
      <c r="A14" s="7"/>
      <c r="B14" s="16" t="s">
        <v>119</v>
      </c>
      <c r="C14" s="17" t="s">
        <v>120</v>
      </c>
      <c r="D14" s="18" t="s">
        <v>99</v>
      </c>
      <c r="E14" s="17" t="s">
        <v>121</v>
      </c>
      <c r="F14" s="17" t="s">
        <v>122</v>
      </c>
      <c r="G14" s="18" t="s">
        <v>86</v>
      </c>
      <c r="H14" s="17" t="s">
        <v>123</v>
      </c>
      <c r="I14" s="7"/>
      <c r="J14" s="7"/>
      <c r="K14"/>
    </row>
    <row r="15" spans="1:11" x14ac:dyDescent="0.2">
      <c r="A15" s="7"/>
      <c r="B15" s="16" t="s">
        <v>124</v>
      </c>
      <c r="C15" s="17" t="s">
        <v>125</v>
      </c>
      <c r="D15" s="18" t="s">
        <v>105</v>
      </c>
      <c r="E15" s="17" t="s">
        <v>126</v>
      </c>
      <c r="F15" s="17" t="s">
        <v>101</v>
      </c>
      <c r="G15" s="18" t="s">
        <v>86</v>
      </c>
      <c r="H15" s="17" t="s">
        <v>127</v>
      </c>
      <c r="I15" s="7"/>
      <c r="J15" s="7"/>
      <c r="K15"/>
    </row>
    <row r="16" spans="1:11" x14ac:dyDescent="0.2">
      <c r="A16" s="7"/>
      <c r="B16" s="16" t="s">
        <v>128</v>
      </c>
      <c r="C16" s="17" t="s">
        <v>129</v>
      </c>
      <c r="D16" s="7"/>
      <c r="E16" s="7"/>
      <c r="F16" s="7"/>
      <c r="G16" s="7"/>
      <c r="H16" s="7"/>
      <c r="I16" s="7"/>
      <c r="J16" s="7"/>
      <c r="K16"/>
    </row>
    <row r="17" spans="1:11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/>
    </row>
    <row r="18" spans="1:11" x14ac:dyDescent="0.2">
      <c r="A18" s="7"/>
      <c r="B18" s="12" t="s">
        <v>130</v>
      </c>
      <c r="C18" s="13"/>
      <c r="D18" s="13"/>
      <c r="E18" s="13"/>
      <c r="F18" s="13"/>
      <c r="G18" s="13"/>
      <c r="H18" s="13"/>
      <c r="I18" s="7"/>
      <c r="J18" s="7"/>
      <c r="K18"/>
    </row>
    <row r="19" spans="1:11" x14ac:dyDescent="0.2">
      <c r="A19" s="7"/>
      <c r="B19" s="15" t="s">
        <v>131</v>
      </c>
      <c r="C19" s="7"/>
      <c r="D19" s="14" t="s">
        <v>132</v>
      </c>
      <c r="E19" s="15" t="s">
        <v>133</v>
      </c>
      <c r="F19" s="15" t="s">
        <v>134</v>
      </c>
      <c r="G19" s="14" t="s">
        <v>135</v>
      </c>
      <c r="H19" s="14" t="s">
        <v>136</v>
      </c>
      <c r="I19" s="7"/>
      <c r="J19" s="7"/>
      <c r="K19"/>
    </row>
    <row r="20" spans="1:11" x14ac:dyDescent="0.2">
      <c r="A20" s="7"/>
      <c r="B20" s="19" t="s">
        <v>137</v>
      </c>
      <c r="C20" s="7"/>
      <c r="D20" s="20" t="s">
        <v>138</v>
      </c>
      <c r="E20" s="17" t="s">
        <v>139</v>
      </c>
      <c r="F20" s="17" t="s">
        <v>140</v>
      </c>
      <c r="G20" s="18" t="s">
        <v>86</v>
      </c>
      <c r="H20" s="18" t="s">
        <v>141</v>
      </c>
      <c r="I20" s="7"/>
      <c r="J20" s="7"/>
      <c r="K20"/>
    </row>
    <row r="21" spans="1:11" x14ac:dyDescent="0.2">
      <c r="A21" s="7"/>
      <c r="B21" s="19" t="s">
        <v>142</v>
      </c>
      <c r="C21" s="7"/>
      <c r="D21" s="20" t="s">
        <v>138</v>
      </c>
      <c r="E21" s="17" t="s">
        <v>143</v>
      </c>
      <c r="F21" s="17" t="s">
        <v>140</v>
      </c>
      <c r="G21" s="18" t="s">
        <v>86</v>
      </c>
      <c r="H21" s="18" t="s">
        <v>144</v>
      </c>
      <c r="I21" s="7"/>
      <c r="J21" s="7"/>
    </row>
    <row r="22" spans="1:11" x14ac:dyDescent="0.2">
      <c r="A22" s="7"/>
      <c r="B22" s="19" t="s">
        <v>145</v>
      </c>
      <c r="C22" s="7"/>
      <c r="D22" s="20" t="s">
        <v>138</v>
      </c>
      <c r="E22" s="17" t="s">
        <v>146</v>
      </c>
      <c r="F22" s="17" t="s">
        <v>140</v>
      </c>
      <c r="G22" s="18" t="s">
        <v>86</v>
      </c>
      <c r="H22" s="18" t="s">
        <v>147</v>
      </c>
      <c r="I22" s="7"/>
      <c r="J22" s="7"/>
    </row>
    <row r="23" spans="1:11" x14ac:dyDescent="0.2">
      <c r="A23" s="7"/>
      <c r="B23" s="19" t="s">
        <v>148</v>
      </c>
      <c r="C23" s="7"/>
      <c r="D23" s="20" t="s">
        <v>138</v>
      </c>
      <c r="E23" s="17" t="s">
        <v>149</v>
      </c>
      <c r="F23" s="17" t="s">
        <v>150</v>
      </c>
      <c r="G23" s="18" t="s">
        <v>86</v>
      </c>
      <c r="H23" s="18" t="s">
        <v>141</v>
      </c>
      <c r="I23" s="7"/>
      <c r="J23" s="7"/>
    </row>
    <row r="24" spans="1:11" x14ac:dyDescent="0.2">
      <c r="A24" s="7"/>
      <c r="B24" s="19" t="s">
        <v>151</v>
      </c>
      <c r="C24" s="7"/>
      <c r="D24" s="20" t="s">
        <v>138</v>
      </c>
      <c r="E24" s="17" t="s">
        <v>152</v>
      </c>
      <c r="F24" s="17" t="s">
        <v>153</v>
      </c>
      <c r="G24" s="7"/>
      <c r="H24" s="18" t="s">
        <v>154</v>
      </c>
      <c r="I24" s="7"/>
      <c r="J24" s="7"/>
    </row>
    <row r="25" spans="1:11" x14ac:dyDescent="0.2">
      <c r="A25" s="7"/>
      <c r="B25" s="19" t="s">
        <v>155</v>
      </c>
      <c r="C25" s="7"/>
      <c r="D25" s="20" t="s">
        <v>138</v>
      </c>
      <c r="E25" s="17" t="s">
        <v>156</v>
      </c>
      <c r="F25" s="17" t="s">
        <v>157</v>
      </c>
      <c r="G25" s="18" t="s">
        <v>86</v>
      </c>
      <c r="H25" s="18" t="s">
        <v>158</v>
      </c>
      <c r="I25" s="7"/>
      <c r="J25" s="7"/>
    </row>
    <row r="26" spans="1:11" x14ac:dyDescent="0.2">
      <c r="A26" s="7"/>
      <c r="B26" s="19" t="s">
        <v>159</v>
      </c>
      <c r="C26" s="7"/>
      <c r="D26" s="20" t="s">
        <v>138</v>
      </c>
      <c r="E26" s="17" t="s">
        <v>160</v>
      </c>
      <c r="F26" s="17" t="s">
        <v>161</v>
      </c>
      <c r="G26" s="18" t="s">
        <v>86</v>
      </c>
      <c r="H26" s="18" t="s">
        <v>162</v>
      </c>
      <c r="I26" s="7"/>
      <c r="J26" s="7"/>
    </row>
    <row r="27" spans="1:11" x14ac:dyDescent="0.2">
      <c r="A27" s="7"/>
      <c r="B27" s="19" t="s">
        <v>163</v>
      </c>
      <c r="C27" s="7"/>
      <c r="D27" s="20" t="s">
        <v>138</v>
      </c>
      <c r="E27" s="17" t="s">
        <v>160</v>
      </c>
      <c r="F27" s="17" t="s">
        <v>161</v>
      </c>
      <c r="G27" s="18" t="s">
        <v>86</v>
      </c>
      <c r="H27" s="18" t="s">
        <v>162</v>
      </c>
      <c r="I27" s="7"/>
      <c r="J27" s="7"/>
    </row>
    <row r="28" spans="1:11" x14ac:dyDescent="0.2">
      <c r="A28" s="7"/>
      <c r="B28" s="17" t="s">
        <v>164</v>
      </c>
      <c r="C28" s="7"/>
      <c r="D28" s="7"/>
      <c r="E28" s="7"/>
      <c r="F28" s="7"/>
      <c r="G28" s="7"/>
      <c r="H28" s="7"/>
      <c r="I28" s="7"/>
      <c r="J28" s="7"/>
    </row>
    <row r="29" spans="1:11" x14ac:dyDescent="0.2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spans="1:11" x14ac:dyDescent="0.2">
      <c r="A30" s="7"/>
      <c r="B30" s="12" t="s">
        <v>165</v>
      </c>
      <c r="C30" s="13"/>
      <c r="D30" s="13"/>
      <c r="E30" s="13"/>
      <c r="F30" s="13"/>
      <c r="G30" s="13"/>
      <c r="H30" s="13"/>
      <c r="I30" s="7"/>
      <c r="J30" s="7"/>
    </row>
    <row r="31" spans="1:11" x14ac:dyDescent="0.2">
      <c r="A31" s="7"/>
      <c r="B31" s="14" t="s">
        <v>166</v>
      </c>
      <c r="C31" s="15" t="s">
        <v>167</v>
      </c>
      <c r="D31" s="15" t="s">
        <v>168</v>
      </c>
      <c r="E31" s="14" t="s">
        <v>136</v>
      </c>
      <c r="F31" s="15" t="s">
        <v>169</v>
      </c>
      <c r="G31" s="7"/>
      <c r="H31" s="7"/>
      <c r="I31" s="7"/>
      <c r="J31" s="7"/>
    </row>
    <row r="32" spans="1:11" x14ac:dyDescent="0.2">
      <c r="A32" s="7"/>
      <c r="B32" s="16" t="s">
        <v>170</v>
      </c>
      <c r="C32" s="17" t="s">
        <v>171</v>
      </c>
      <c r="D32" s="17" t="s">
        <v>172</v>
      </c>
      <c r="E32" s="18" t="s">
        <v>154</v>
      </c>
      <c r="F32" s="17" t="s">
        <v>173</v>
      </c>
      <c r="G32" s="7"/>
      <c r="H32" s="7"/>
      <c r="I32" s="7"/>
      <c r="J32" s="7"/>
    </row>
    <row r="33" spans="1:10" x14ac:dyDescent="0.2">
      <c r="A33" s="7"/>
      <c r="B33" s="16" t="s">
        <v>174</v>
      </c>
      <c r="C33" s="17" t="s">
        <v>175</v>
      </c>
      <c r="D33" s="17" t="s">
        <v>176</v>
      </c>
      <c r="E33" s="18" t="s">
        <v>147</v>
      </c>
      <c r="F33" s="17" t="s">
        <v>177</v>
      </c>
      <c r="G33" s="7"/>
      <c r="H33" s="7"/>
      <c r="I33" s="7"/>
      <c r="J33" s="7"/>
    </row>
    <row r="34" spans="1:10" x14ac:dyDescent="0.2">
      <c r="A34" s="7"/>
      <c r="B34" s="16" t="s">
        <v>178</v>
      </c>
      <c r="C34" s="17" t="s">
        <v>179</v>
      </c>
      <c r="D34" s="17" t="s">
        <v>180</v>
      </c>
      <c r="E34" s="18" t="s">
        <v>154</v>
      </c>
      <c r="F34" s="17" t="s">
        <v>181</v>
      </c>
      <c r="G34" s="7"/>
      <c r="H34" s="7"/>
      <c r="I34" s="7"/>
      <c r="J34" s="7"/>
    </row>
    <row r="35" spans="1:10" x14ac:dyDescent="0.2">
      <c r="A35" s="7"/>
      <c r="B35" s="16" t="s">
        <v>182</v>
      </c>
      <c r="C35" s="17" t="s">
        <v>183</v>
      </c>
      <c r="D35" s="17" t="s">
        <v>184</v>
      </c>
      <c r="E35" s="18" t="s">
        <v>154</v>
      </c>
      <c r="F35" s="17" t="s">
        <v>185</v>
      </c>
      <c r="G35" s="7"/>
      <c r="H35" s="7"/>
      <c r="I35" s="7"/>
      <c r="J35" s="7"/>
    </row>
    <row r="36" spans="1:10" x14ac:dyDescent="0.2">
      <c r="A36" s="7"/>
      <c r="B36" s="16" t="s">
        <v>186</v>
      </c>
      <c r="C36" s="17" t="s">
        <v>187</v>
      </c>
      <c r="D36" s="17" t="s">
        <v>188</v>
      </c>
      <c r="E36" s="18" t="s">
        <v>189</v>
      </c>
      <c r="F36" s="17" t="s">
        <v>190</v>
      </c>
      <c r="G36" s="7"/>
      <c r="H36" s="7"/>
      <c r="I36" s="7"/>
      <c r="J36" s="7"/>
    </row>
    <row r="37" spans="1:10" x14ac:dyDescent="0.2">
      <c r="A37" s="7"/>
      <c r="B37" s="16" t="s">
        <v>191</v>
      </c>
      <c r="C37" s="17" t="s">
        <v>192</v>
      </c>
      <c r="D37" s="17" t="s">
        <v>193</v>
      </c>
      <c r="E37" s="18" t="s">
        <v>194</v>
      </c>
      <c r="F37" s="17" t="s">
        <v>195</v>
      </c>
      <c r="G37" s="7"/>
      <c r="H37" s="7"/>
      <c r="I37" s="7"/>
      <c r="J37" s="7"/>
    </row>
    <row r="38" spans="1:10" x14ac:dyDescent="0.2">
      <c r="A38" s="7"/>
      <c r="B38" s="16" t="s">
        <v>196</v>
      </c>
      <c r="C38" s="17" t="s">
        <v>192</v>
      </c>
      <c r="D38" s="17" t="s">
        <v>193</v>
      </c>
      <c r="E38" s="18" t="s">
        <v>194</v>
      </c>
      <c r="F38" s="17" t="s">
        <v>195</v>
      </c>
      <c r="G38" s="7"/>
      <c r="H38" s="7"/>
      <c r="I38" s="7"/>
      <c r="J38" s="7"/>
    </row>
    <row r="39" spans="1:10" x14ac:dyDescent="0.2">
      <c r="A39" s="7"/>
      <c r="B39" s="16" t="s">
        <v>197</v>
      </c>
      <c r="C39" s="17" t="s">
        <v>192</v>
      </c>
      <c r="D39" s="17" t="s">
        <v>193</v>
      </c>
      <c r="E39" s="18" t="s">
        <v>194</v>
      </c>
      <c r="F39" s="17" t="s">
        <v>195</v>
      </c>
      <c r="G39" s="7"/>
      <c r="H39" s="7"/>
      <c r="I39" s="7"/>
      <c r="J39" s="7"/>
    </row>
    <row r="40" spans="1:10" x14ac:dyDescent="0.2">
      <c r="A40" s="7"/>
      <c r="B40" s="16" t="s">
        <v>198</v>
      </c>
      <c r="C40" s="17" t="s">
        <v>192</v>
      </c>
      <c r="D40" s="17" t="s">
        <v>193</v>
      </c>
      <c r="E40" s="18" t="s">
        <v>194</v>
      </c>
      <c r="F40" s="17" t="s">
        <v>195</v>
      </c>
      <c r="G40" s="7"/>
      <c r="H40" s="7"/>
      <c r="I40" s="7"/>
      <c r="J40" s="7"/>
    </row>
    <row r="41" spans="1:10" x14ac:dyDescent="0.2">
      <c r="A41" s="7"/>
      <c r="B41" s="16" t="s">
        <v>199</v>
      </c>
      <c r="C41" s="17" t="s">
        <v>164</v>
      </c>
      <c r="D41" s="7"/>
      <c r="E41" s="7"/>
      <c r="F41" s="7"/>
      <c r="G41" s="7"/>
      <c r="H41" s="7"/>
      <c r="I41" s="7"/>
      <c r="J41" s="7"/>
    </row>
    <row r="42" spans="1:10" x14ac:dyDescent="0.2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spans="1:10" x14ac:dyDescent="0.2">
      <c r="A43" s="7"/>
      <c r="B43" s="12" t="s">
        <v>200</v>
      </c>
      <c r="C43" s="13"/>
      <c r="D43" s="13"/>
      <c r="E43" s="13"/>
      <c r="F43" s="13"/>
      <c r="G43" s="13"/>
      <c r="H43" s="13"/>
      <c r="I43" s="7"/>
      <c r="J43" s="7"/>
    </row>
    <row r="44" spans="1:10" x14ac:dyDescent="0.2">
      <c r="A44" s="7"/>
      <c r="B44" s="15" t="s">
        <v>201</v>
      </c>
      <c r="C44" s="15" t="s">
        <v>202</v>
      </c>
      <c r="D44" s="15" t="s">
        <v>203</v>
      </c>
      <c r="E44" s="7"/>
      <c r="F44" s="7"/>
      <c r="G44" s="7"/>
      <c r="H44" s="7"/>
      <c r="I44" s="7"/>
      <c r="J44" s="7"/>
    </row>
    <row r="45" spans="1:10" x14ac:dyDescent="0.2">
      <c r="A45" s="7"/>
      <c r="B45" s="21" t="s">
        <v>204</v>
      </c>
      <c r="C45" s="17" t="s">
        <v>205</v>
      </c>
      <c r="D45" s="17" t="s">
        <v>101</v>
      </c>
      <c r="E45" s="7"/>
      <c r="F45" s="7"/>
      <c r="G45" s="7"/>
      <c r="H45" s="7"/>
      <c r="I45" s="7"/>
      <c r="J45" s="7"/>
    </row>
    <row r="46" spans="1:10" x14ac:dyDescent="0.2">
      <c r="A46" s="7"/>
      <c r="B46" s="21" t="s">
        <v>206</v>
      </c>
      <c r="C46" s="17" t="s">
        <v>207</v>
      </c>
      <c r="D46" s="17" t="s">
        <v>101</v>
      </c>
      <c r="E46" s="7"/>
      <c r="F46" s="7"/>
      <c r="G46" s="7"/>
      <c r="H46" s="7"/>
      <c r="I46" s="7"/>
      <c r="J46" s="7"/>
    </row>
    <row r="47" spans="1:10" x14ac:dyDescent="0.2">
      <c r="A47" s="7"/>
      <c r="B47" s="21" t="s">
        <v>208</v>
      </c>
      <c r="C47" s="17" t="s">
        <v>209</v>
      </c>
      <c r="D47" s="17" t="s">
        <v>210</v>
      </c>
      <c r="E47" s="7"/>
      <c r="F47" s="7"/>
      <c r="G47" s="7"/>
      <c r="H47" s="7"/>
      <c r="I47" s="7"/>
      <c r="J47" s="7"/>
    </row>
    <row r="48" spans="1:10" x14ac:dyDescent="0.2">
      <c r="A48" s="7"/>
      <c r="B48" s="21" t="s">
        <v>211</v>
      </c>
      <c r="C48" s="17" t="s">
        <v>212</v>
      </c>
      <c r="D48" s="17" t="s">
        <v>213</v>
      </c>
      <c r="E48" s="7"/>
      <c r="F48" s="7"/>
      <c r="G48" s="7"/>
      <c r="H48" s="7"/>
      <c r="I48" s="7"/>
      <c r="J48" s="7"/>
    </row>
    <row r="49" spans="1:10" x14ac:dyDescent="0.2">
      <c r="A49" s="7"/>
      <c r="B49" s="21" t="s">
        <v>214</v>
      </c>
      <c r="C49" s="17" t="s">
        <v>215</v>
      </c>
      <c r="D49" s="17" t="s">
        <v>216</v>
      </c>
      <c r="E49" s="7"/>
      <c r="F49" s="7"/>
      <c r="G49" s="7"/>
      <c r="H49" s="7"/>
      <c r="I49" s="7"/>
      <c r="J49" s="7"/>
    </row>
    <row r="50" spans="1:10" x14ac:dyDescent="0.2">
      <c r="A50" s="7"/>
      <c r="B50" s="21" t="s">
        <v>217</v>
      </c>
      <c r="C50" s="17" t="s">
        <v>218</v>
      </c>
      <c r="D50" s="17" t="s">
        <v>216</v>
      </c>
      <c r="E50" s="7"/>
      <c r="F50" s="7"/>
      <c r="G50" s="7"/>
      <c r="H50" s="7"/>
      <c r="I50" s="7"/>
      <c r="J50" s="7"/>
    </row>
    <row r="51" spans="1:10" x14ac:dyDescent="0.2">
      <c r="A51" s="7"/>
      <c r="B51" s="21" t="s">
        <v>219</v>
      </c>
      <c r="C51" s="17" t="s">
        <v>220</v>
      </c>
      <c r="D51" s="17" t="s">
        <v>101</v>
      </c>
      <c r="E51" s="7"/>
      <c r="F51" s="7"/>
      <c r="G51" s="7"/>
      <c r="H51" s="7"/>
      <c r="I51" s="7"/>
      <c r="J51" s="7"/>
    </row>
    <row r="52" spans="1:10" x14ac:dyDescent="0.2">
      <c r="A52" s="7"/>
      <c r="B52" s="21" t="s">
        <v>221</v>
      </c>
      <c r="C52" s="17" t="s">
        <v>222</v>
      </c>
      <c r="D52" s="17" t="s">
        <v>213</v>
      </c>
      <c r="E52" s="7"/>
      <c r="F52" s="7"/>
      <c r="G52" s="7"/>
      <c r="H52" s="7"/>
      <c r="I52" s="7"/>
      <c r="J52" s="7"/>
    </row>
    <row r="53" spans="1:10" x14ac:dyDescent="0.2">
      <c r="A53" s="7"/>
      <c r="B53" s="21" t="s">
        <v>223</v>
      </c>
      <c r="C53" s="17" t="s">
        <v>224</v>
      </c>
      <c r="D53" s="17" t="s">
        <v>225</v>
      </c>
      <c r="E53" s="7"/>
      <c r="F53" s="7"/>
      <c r="G53" s="7"/>
      <c r="H53" s="7"/>
      <c r="I53" s="7"/>
      <c r="J53" s="7"/>
    </row>
    <row r="54" spans="1:10" x14ac:dyDescent="0.2">
      <c r="A54" s="7"/>
      <c r="B54" s="21" t="s">
        <v>226</v>
      </c>
      <c r="C54" s="17" t="s">
        <v>227</v>
      </c>
      <c r="D54" s="17" t="s">
        <v>228</v>
      </c>
      <c r="E54" s="7"/>
      <c r="F54" s="7"/>
      <c r="G54" s="7"/>
      <c r="H54" s="7"/>
      <c r="I54" s="7"/>
      <c r="J54" s="7"/>
    </row>
    <row r="55" spans="1:10" x14ac:dyDescent="0.2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spans="1:10" x14ac:dyDescent="0.2">
      <c r="A56" s="7"/>
      <c r="B56" s="12" t="s">
        <v>229</v>
      </c>
      <c r="C56" s="13"/>
      <c r="D56" s="13"/>
      <c r="E56" s="13"/>
      <c r="F56" s="13"/>
      <c r="G56" s="13"/>
      <c r="H56" s="13"/>
      <c r="I56" s="7"/>
      <c r="J56" s="7"/>
    </row>
    <row r="57" spans="1:10" x14ac:dyDescent="0.2">
      <c r="A57" s="7"/>
      <c r="B57" s="14" t="s">
        <v>230</v>
      </c>
      <c r="C57" s="14" t="s">
        <v>231</v>
      </c>
      <c r="D57" s="14" t="s">
        <v>232</v>
      </c>
      <c r="E57" s="15" t="s">
        <v>233</v>
      </c>
      <c r="F57" s="15" t="s">
        <v>234</v>
      </c>
      <c r="G57" s="7"/>
      <c r="H57" s="7"/>
      <c r="I57" s="7"/>
      <c r="J57" s="7"/>
    </row>
    <row r="58" spans="1:10" x14ac:dyDescent="0.2">
      <c r="A58" s="7"/>
      <c r="B58" s="16" t="s">
        <v>235</v>
      </c>
      <c r="C58" s="18" t="s">
        <v>86</v>
      </c>
      <c r="D58" s="18" t="s">
        <v>236</v>
      </c>
      <c r="E58" s="17" t="s">
        <v>237</v>
      </c>
      <c r="F58" s="17" t="s">
        <v>238</v>
      </c>
      <c r="G58" s="7"/>
      <c r="H58" s="7"/>
      <c r="I58" s="7"/>
      <c r="J58" s="7"/>
    </row>
    <row r="59" spans="1:10" x14ac:dyDescent="0.2">
      <c r="A59" s="7"/>
      <c r="B59" s="16" t="s">
        <v>239</v>
      </c>
      <c r="C59" s="18" t="s">
        <v>86</v>
      </c>
      <c r="D59" s="18" t="s">
        <v>236</v>
      </c>
      <c r="E59" s="17" t="s">
        <v>240</v>
      </c>
      <c r="F59" s="17" t="s">
        <v>225</v>
      </c>
      <c r="G59" s="7"/>
      <c r="H59" s="7"/>
      <c r="I59" s="7"/>
      <c r="J59" s="7"/>
    </row>
    <row r="60" spans="1:10" x14ac:dyDescent="0.2">
      <c r="A60" s="7"/>
      <c r="B60" s="16" t="s">
        <v>241</v>
      </c>
      <c r="C60" s="18" t="s">
        <v>86</v>
      </c>
      <c r="D60" s="18" t="s">
        <v>236</v>
      </c>
      <c r="E60" s="17" t="s">
        <v>242</v>
      </c>
      <c r="F60" s="17" t="s">
        <v>243</v>
      </c>
      <c r="G60" s="7"/>
      <c r="H60" s="7"/>
      <c r="I60" s="7"/>
      <c r="J60" s="7"/>
    </row>
    <row r="61" spans="1:10" x14ac:dyDescent="0.2">
      <c r="A61" s="7"/>
      <c r="B61" s="16" t="s">
        <v>244</v>
      </c>
      <c r="C61" s="18" t="s">
        <v>86</v>
      </c>
      <c r="D61" s="18" t="s">
        <v>236</v>
      </c>
      <c r="E61" s="17" t="s">
        <v>245</v>
      </c>
      <c r="F61" s="17" t="s">
        <v>246</v>
      </c>
      <c r="G61" s="7"/>
      <c r="H61" s="7"/>
      <c r="I61" s="7"/>
      <c r="J61" s="7"/>
    </row>
    <row r="62" spans="1:10" x14ac:dyDescent="0.2">
      <c r="A62" s="7"/>
      <c r="B62" s="16" t="s">
        <v>247</v>
      </c>
      <c r="C62" s="18" t="s">
        <v>86</v>
      </c>
      <c r="D62" s="18" t="s">
        <v>236</v>
      </c>
      <c r="E62" s="17" t="s">
        <v>248</v>
      </c>
      <c r="F62" s="17" t="s">
        <v>249</v>
      </c>
      <c r="G62" s="7"/>
      <c r="H62" s="7"/>
      <c r="I62" s="7"/>
      <c r="J62" s="7"/>
    </row>
    <row r="63" spans="1:10" x14ac:dyDescent="0.2">
      <c r="A63" s="7"/>
      <c r="B63" s="16" t="s">
        <v>250</v>
      </c>
      <c r="C63" s="18" t="s">
        <v>86</v>
      </c>
      <c r="D63" s="18" t="s">
        <v>236</v>
      </c>
      <c r="E63" s="17" t="s">
        <v>248</v>
      </c>
      <c r="F63" s="17" t="s">
        <v>249</v>
      </c>
      <c r="G63" s="7"/>
      <c r="H63" s="7"/>
      <c r="I63" s="7"/>
      <c r="J63" s="7"/>
    </row>
    <row r="64" spans="1:10" x14ac:dyDescent="0.2">
      <c r="A64" s="7"/>
      <c r="B64" s="18" t="s">
        <v>251</v>
      </c>
      <c r="C64" s="7"/>
      <c r="D64" s="7"/>
      <c r="E64" s="7"/>
      <c r="F64" s="7"/>
      <c r="G64" s="7"/>
      <c r="H64" s="7"/>
      <c r="I64" s="7"/>
      <c r="J64" s="7"/>
    </row>
    <row r="65" spans="1:10" x14ac:dyDescent="0.2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spans="1:10" x14ac:dyDescent="0.2">
      <c r="A66" s="7"/>
      <c r="B66" s="12" t="s">
        <v>252</v>
      </c>
      <c r="C66" s="13"/>
      <c r="D66" s="13"/>
      <c r="E66" s="13"/>
      <c r="F66" s="13"/>
      <c r="G66" s="13"/>
      <c r="H66" s="13"/>
      <c r="I66" s="7"/>
      <c r="J66" s="7"/>
    </row>
    <row r="67" spans="1:10" x14ac:dyDescent="0.2">
      <c r="A67" s="7"/>
      <c r="B67" s="22" t="s">
        <v>253</v>
      </c>
      <c r="C67" s="7"/>
      <c r="D67" s="7"/>
      <c r="E67" s="7"/>
      <c r="F67" s="7"/>
      <c r="G67" s="7"/>
      <c r="H67" s="7"/>
      <c r="I67" s="7"/>
      <c r="J67" s="7"/>
    </row>
    <row r="68" spans="1:10" x14ac:dyDescent="0.2">
      <c r="A68" s="7"/>
      <c r="B68" s="23" t="s">
        <v>254</v>
      </c>
      <c r="C68" s="7"/>
      <c r="D68" s="7"/>
      <c r="E68" s="7"/>
      <c r="F68" s="7"/>
      <c r="G68" s="7"/>
      <c r="H68" s="7"/>
      <c r="I68" s="7"/>
      <c r="J68" s="7"/>
    </row>
    <row r="69" spans="1:10" x14ac:dyDescent="0.2">
      <c r="A69" s="7"/>
      <c r="B69" s="23" t="s">
        <v>255</v>
      </c>
      <c r="C69" s="7"/>
      <c r="D69" s="7"/>
      <c r="E69" s="7"/>
      <c r="F69" s="7"/>
      <c r="G69" s="7"/>
      <c r="H69" s="7"/>
      <c r="I69" s="7"/>
      <c r="J69" s="7"/>
    </row>
    <row r="70" spans="1:10" x14ac:dyDescent="0.2">
      <c r="A70" s="7"/>
      <c r="B70" s="23" t="s">
        <v>256</v>
      </c>
      <c r="C70" s="7"/>
      <c r="D70" s="7"/>
      <c r="E70" s="7"/>
      <c r="F70" s="7"/>
      <c r="G70" s="7"/>
      <c r="H70" s="7"/>
      <c r="I70" s="7"/>
      <c r="J70" s="7"/>
    </row>
    <row r="71" spans="1:10" x14ac:dyDescent="0.2">
      <c r="A71" s="7"/>
      <c r="B71" s="23" t="s">
        <v>257</v>
      </c>
      <c r="C71" s="7"/>
      <c r="D71" s="7"/>
      <c r="E71" s="7"/>
      <c r="F71" s="7"/>
      <c r="G71" s="7"/>
      <c r="H71" s="7"/>
      <c r="I71" s="7"/>
      <c r="J71" s="7"/>
    </row>
    <row r="72" spans="1:10" x14ac:dyDescent="0.2">
      <c r="A72" s="7"/>
      <c r="B72" s="23" t="s">
        <v>258</v>
      </c>
      <c r="C72" s="7"/>
      <c r="D72" s="7"/>
      <c r="E72" s="7"/>
      <c r="F72" s="7"/>
      <c r="G72" s="7"/>
      <c r="H72" s="7"/>
      <c r="I72" s="7"/>
      <c r="J72" s="7"/>
    </row>
    <row r="73" spans="1:10" x14ac:dyDescent="0.2">
      <c r="A73" s="7"/>
      <c r="B73" s="23" t="s">
        <v>259</v>
      </c>
      <c r="C73" s="7"/>
      <c r="D73" s="7"/>
      <c r="E73" s="7"/>
      <c r="F73" s="7"/>
      <c r="G73" s="7"/>
      <c r="H73" s="7"/>
      <c r="I73" s="7"/>
      <c r="J73" s="7"/>
    </row>
    <row r="74" spans="1:10" x14ac:dyDescent="0.2">
      <c r="A74" s="7"/>
      <c r="B74" s="23" t="s">
        <v>260</v>
      </c>
      <c r="C74" s="7"/>
      <c r="D74" s="7"/>
      <c r="E74" s="7"/>
      <c r="F74" s="7"/>
      <c r="G74" s="7"/>
      <c r="H74" s="7"/>
      <c r="I74" s="7"/>
      <c r="J74" s="7"/>
    </row>
    <row r="75" spans="1:10" x14ac:dyDescent="0.2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spans="1:10" x14ac:dyDescent="0.2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spans="1:10" x14ac:dyDescent="0.2">
      <c r="A77" s="7"/>
      <c r="B77" s="7"/>
      <c r="C77" s="7"/>
      <c r="D77" s="7"/>
      <c r="E77" s="7"/>
      <c r="F77" s="7"/>
      <c r="G77" s="7"/>
      <c r="H77" s="7"/>
      <c r="I77" s="7"/>
      <c r="J77" s="7"/>
    </row>
    <row r="78" spans="1:10" x14ac:dyDescent="0.2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spans="1:10" x14ac:dyDescent="0.2">
      <c r="A79" s="7"/>
      <c r="B79" s="7"/>
      <c r="C79" s="7"/>
      <c r="D79" s="7"/>
      <c r="E79" s="7"/>
      <c r="F79" s="7"/>
      <c r="G79" s="7"/>
      <c r="H79" s="7"/>
      <c r="I79" s="7"/>
      <c r="J79" s="7"/>
    </row>
    <row r="80" spans="1:10" x14ac:dyDescent="0.2">
      <c r="A80" s="7"/>
      <c r="B80" s="7"/>
      <c r="C80" s="7"/>
      <c r="D80" s="7"/>
      <c r="E80" s="7"/>
      <c r="F80" s="7"/>
      <c r="G80" s="7"/>
      <c r="H80" s="7"/>
      <c r="I80" s="7"/>
      <c r="J80" s="7"/>
    </row>
    <row r="81" spans="1:10" x14ac:dyDescent="0.2">
      <c r="A81" s="7"/>
      <c r="B81" s="7"/>
      <c r="C81" s="7"/>
      <c r="D81" s="7"/>
      <c r="E81" s="7"/>
      <c r="F81" s="7"/>
      <c r="G81" s="7"/>
      <c r="H81" s="7"/>
      <c r="I81" s="7"/>
      <c r="J81" s="7"/>
    </row>
    <row r="82" spans="1:10" x14ac:dyDescent="0.2">
      <c r="A82" s="7"/>
      <c r="B82" s="7"/>
      <c r="C82" s="7"/>
      <c r="D82" s="7"/>
      <c r="E82" s="7"/>
      <c r="F82" s="7"/>
      <c r="G82" s="7"/>
      <c r="H82" s="7"/>
      <c r="I82" s="7"/>
      <c r="J82" s="7"/>
    </row>
    <row r="83" spans="1:10" x14ac:dyDescent="0.2">
      <c r="A83" s="7"/>
      <c r="B83" s="7"/>
      <c r="C83" s="7"/>
      <c r="D83" s="7"/>
      <c r="E83" s="7"/>
      <c r="F83" s="7"/>
      <c r="G83" s="7"/>
      <c r="H83" s="7"/>
      <c r="I83" s="7"/>
      <c r="J83" s="7"/>
    </row>
    <row r="84" spans="1:10" x14ac:dyDescent="0.2">
      <c r="A84" s="7"/>
      <c r="B84" s="7"/>
      <c r="C84" s="7"/>
      <c r="D84" s="7"/>
      <c r="E84" s="7"/>
      <c r="F84" s="7"/>
      <c r="G84" s="7"/>
      <c r="H84" s="7"/>
      <c r="I84" s="7"/>
      <c r="J84" s="7"/>
    </row>
    <row r="85" spans="1:10" x14ac:dyDescent="0.2">
      <c r="A85" s="7"/>
      <c r="B85" s="7"/>
      <c r="C85" s="7"/>
      <c r="D85" s="7"/>
      <c r="E85" s="7"/>
      <c r="F85" s="7"/>
      <c r="G85" s="7"/>
      <c r="H85" s="7"/>
      <c r="I85" s="7"/>
      <c r="J85" s="7"/>
    </row>
    <row r="86" spans="1:10" x14ac:dyDescent="0.2">
      <c r="A86" s="7"/>
      <c r="B86" s="7"/>
      <c r="C86" s="7"/>
      <c r="D86" s="7"/>
      <c r="E86" s="7"/>
      <c r="F86" s="7"/>
      <c r="G86" s="7"/>
      <c r="H86" s="7"/>
      <c r="I86" s="7"/>
      <c r="J86" s="7"/>
    </row>
    <row r="87" spans="1:10" x14ac:dyDescent="0.2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spans="1:10" x14ac:dyDescent="0.2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spans="1:10" x14ac:dyDescent="0.2">
      <c r="A89" s="7"/>
      <c r="B89" s="7"/>
      <c r="C89" s="7"/>
      <c r="D89" s="7"/>
      <c r="E89" s="7"/>
      <c r="F89" s="7"/>
      <c r="G89" s="7"/>
      <c r="H89" s="7"/>
      <c r="I89" s="7"/>
      <c r="J89" s="7"/>
    </row>
    <row r="90" spans="1:10" x14ac:dyDescent="0.2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0" x14ac:dyDescent="0.2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spans="1:10" x14ac:dyDescent="0.2">
      <c r="A92" s="7"/>
      <c r="B92" s="7"/>
      <c r="C92" s="7"/>
      <c r="D92" s="7"/>
      <c r="E92" s="7"/>
      <c r="F92" s="7"/>
      <c r="G92" s="7"/>
      <c r="H92" s="7"/>
      <c r="I92" s="7"/>
      <c r="J92" s="7"/>
    </row>
    <row r="93" spans="1:10" x14ac:dyDescent="0.2">
      <c r="A93" s="7"/>
      <c r="B93" s="7"/>
      <c r="C93" s="7"/>
      <c r="D93" s="7"/>
      <c r="E93" s="7"/>
      <c r="F93" s="7"/>
      <c r="G93" s="7"/>
      <c r="H93" s="7"/>
      <c r="I93" s="7"/>
      <c r="J93" s="7"/>
    </row>
    <row r="94" spans="1:10" x14ac:dyDescent="0.2">
      <c r="A94" s="7"/>
      <c r="B94" s="7"/>
      <c r="C94" s="7"/>
      <c r="D94" s="7"/>
      <c r="E94" s="7"/>
      <c r="F94" s="7"/>
      <c r="G94" s="7"/>
      <c r="H94" s="7"/>
      <c r="I94" s="7"/>
      <c r="J94" s="7"/>
    </row>
    <row r="95" spans="1:10" x14ac:dyDescent="0.2">
      <c r="A95" s="7"/>
      <c r="B95" s="7"/>
      <c r="C95" s="7"/>
      <c r="D95" s="7"/>
      <c r="E95" s="7"/>
      <c r="F95" s="7"/>
      <c r="G95" s="7"/>
      <c r="H95" s="7"/>
      <c r="I95" s="7"/>
      <c r="J95" s="7"/>
    </row>
    <row r="96" spans="1:10" x14ac:dyDescent="0.2">
      <c r="A96" s="7"/>
      <c r="B96" s="7"/>
      <c r="C96" s="7"/>
      <c r="D96" s="7"/>
      <c r="E96" s="7"/>
      <c r="F96" s="7"/>
      <c r="G96" s="7"/>
      <c r="H96" s="7"/>
      <c r="I96" s="7"/>
      <c r="J96" s="7"/>
    </row>
    <row r="97" spans="1:10" x14ac:dyDescent="0.2">
      <c r="A97" s="7"/>
      <c r="B97" s="7"/>
      <c r="C97" s="7"/>
      <c r="D97" s="7"/>
      <c r="E97" s="7"/>
      <c r="F97" s="7"/>
      <c r="G97" s="7"/>
      <c r="H97" s="7"/>
      <c r="I97" s="7"/>
      <c r="J97" s="7"/>
    </row>
    <row r="98" spans="1:10" x14ac:dyDescent="0.2">
      <c r="A98" s="7"/>
      <c r="B98" s="7"/>
      <c r="C98" s="7"/>
      <c r="D98" s="7"/>
      <c r="E98" s="7"/>
      <c r="F98" s="7"/>
      <c r="G98" s="7"/>
      <c r="H98" s="7"/>
      <c r="I98" s="7"/>
      <c r="J98" s="7"/>
    </row>
    <row r="99" spans="1:10" x14ac:dyDescent="0.2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 spans="1:10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Cover</vt:lpstr>
      <vt:lpstr>TOC</vt:lpstr>
      <vt:lpstr>Executive Summary</vt:lpstr>
      <vt:lpstr>Historical Financials</vt:lpstr>
      <vt:lpstr>Historical Analysis</vt:lpstr>
      <vt:lpstr>Master Assumptions</vt:lpstr>
      <vt:lpstr>Supporting Schedules</vt:lpstr>
      <vt:lpstr>Forecast Model</vt:lpstr>
      <vt:lpstr>Integration Check</vt:lpstr>
      <vt:lpstr>DCF Valuation</vt:lpstr>
      <vt:lpstr>Trading Comps</vt:lpstr>
      <vt:lpstr>Precedent Txns</vt:lpstr>
      <vt:lpstr>Valuation Summary</vt:lpstr>
      <vt:lpstr>Sensitivity Tables</vt:lpstr>
      <vt:lpstr>Scenario Analysis</vt:lpstr>
      <vt:lpstr>Football Field</vt:lpstr>
      <vt:lpstr>Market Data</vt:lpstr>
      <vt:lpstr>Sources &amp; Footnotes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Divij Budhiraja</dc:creator>
  <cp:lastModifiedBy>Divij Budhiraja</cp:lastModifiedBy>
  <dcterms:created xsi:type="dcterms:W3CDTF">2026-02-07T14:08:17Z</dcterms:created>
  <dcterms:modified xsi:type="dcterms:W3CDTF">2026-03-20T21:34:58Z</dcterms:modified>
</cp:coreProperties>
</file>