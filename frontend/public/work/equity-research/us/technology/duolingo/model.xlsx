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Equity Research/Public company research /United States/Technology/Duolingo/"/>
    </mc:Choice>
  </mc:AlternateContent>
  <xr:revisionPtr revIDLastSave="0" documentId="13_ncr:1_{A86637F5-8FA7-9B4C-8D0F-78D104C9164B}" xr6:coauthVersionLast="47" xr6:coauthVersionMax="47" xr10:uidLastSave="{00000000-0000-0000-0000-000000000000}"/>
  <bookViews>
    <workbookView xWindow="34200" yWindow="-4640" windowWidth="25760" windowHeight="18320" firstSheet="5" activeTab="10" xr2:uid="{D6D46415-4F71-764C-A0A6-B9336AF9D47C}"/>
  </bookViews>
  <sheets>
    <sheet name="Cover" sheetId="1" r:id="rId1"/>
    <sheet name="TOC" sheetId="2" r:id="rId2"/>
    <sheet name="Executive Summary" sheetId="35" r:id="rId3"/>
    <sheet name="Historical Financials" sheetId="9" r:id="rId4"/>
    <sheet name="Historical Analysis" sheetId="12" r:id="rId5"/>
    <sheet name="Master Assumptions" sheetId="32" r:id="rId6"/>
    <sheet name="Supporting Schedules" sheetId="18" r:id="rId7"/>
    <sheet name="Forecast Model" sheetId="14" r:id="rId8"/>
    <sheet name="Integration Check" sheetId="17" r:id="rId9"/>
    <sheet name="DCF Valuation" sheetId="22" r:id="rId10"/>
    <sheet name="Sensitivity Analysis" sheetId="26" r:id="rId11"/>
    <sheet name="Scenario Analysis" sheetId="33" r:id="rId12"/>
    <sheet name="Sources &amp; Footnotes" sheetId="30" r:id="rId13"/>
    <sheet name="_ChartData" sheetId="34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2" l="1"/>
  <c r="E56" i="22"/>
  <c r="H79" i="33"/>
  <c r="J79" i="33"/>
  <c r="J77" i="33"/>
  <c r="J76" i="33"/>
  <c r="J75" i="33"/>
  <c r="D83" i="18"/>
  <c r="E83" i="18"/>
  <c r="F83" i="18"/>
  <c r="G83" i="18"/>
  <c r="C83" i="18"/>
  <c r="C71" i="18"/>
  <c r="E57" i="22" l="1"/>
  <c r="E58" i="22" s="1"/>
  <c r="E12" i="22"/>
  <c r="E78" i="22" l="1"/>
  <c r="E71" i="22"/>
  <c r="E70" i="22"/>
  <c r="E69" i="22"/>
  <c r="F45" i="22" l="1"/>
  <c r="H45" i="22"/>
  <c r="E45" i="22"/>
  <c r="E47" i="22" s="1"/>
  <c r="G45" i="22"/>
  <c r="I45" i="22"/>
  <c r="L105" i="14" l="1"/>
  <c r="K105" i="14"/>
  <c r="J105" i="14"/>
  <c r="I105" i="14"/>
  <c r="H105" i="14"/>
  <c r="L102" i="14"/>
  <c r="K102" i="14"/>
  <c r="J102" i="14"/>
  <c r="I102" i="14"/>
  <c r="H102" i="14"/>
  <c r="I149" i="18"/>
  <c r="K149" i="18" s="1"/>
  <c r="J149" i="18"/>
  <c r="H149" i="18"/>
  <c r="I147" i="18"/>
  <c r="K147" i="18" s="1"/>
  <c r="L147" i="18" s="1"/>
  <c r="J147" i="18"/>
  <c r="H147" i="18"/>
  <c r="D146" i="18"/>
  <c r="E146" i="18"/>
  <c r="F146" i="18"/>
  <c r="G146" i="18"/>
  <c r="G147" i="18" s="1"/>
  <c r="D147" i="18"/>
  <c r="E147" i="18"/>
  <c r="F147" i="18"/>
  <c r="D148" i="18"/>
  <c r="E148" i="18"/>
  <c r="F148" i="18"/>
  <c r="G148" i="18"/>
  <c r="D149" i="18"/>
  <c r="E149" i="18"/>
  <c r="F149" i="18"/>
  <c r="G149" i="18"/>
  <c r="C149" i="18"/>
  <c r="C146" i="18"/>
  <c r="C148" i="18"/>
  <c r="C147" i="18"/>
  <c r="D274" i="18"/>
  <c r="E274" i="18"/>
  <c r="F274" i="18"/>
  <c r="G274" i="18"/>
  <c r="C274" i="18"/>
  <c r="C273" i="18"/>
  <c r="C263" i="18"/>
  <c r="I109" i="14"/>
  <c r="J109" i="14" s="1"/>
  <c r="K109" i="14" s="1"/>
  <c r="L109" i="14" s="1"/>
  <c r="H109" i="14"/>
  <c r="I103" i="14"/>
  <c r="I107" i="14" s="1"/>
  <c r="I104" i="14"/>
  <c r="J104" i="14" s="1"/>
  <c r="K104" i="14" s="1"/>
  <c r="L104" i="14" s="1"/>
  <c r="H107" i="14"/>
  <c r="I98" i="14"/>
  <c r="J98" i="14"/>
  <c r="K98" i="14"/>
  <c r="L98" i="14"/>
  <c r="H104" i="14"/>
  <c r="H98" i="14"/>
  <c r="I84" i="14"/>
  <c r="J84" i="14" s="1"/>
  <c r="K84" i="14" s="1"/>
  <c r="L84" i="14" s="1"/>
  <c r="I88" i="14"/>
  <c r="J88" i="14"/>
  <c r="K88" i="14"/>
  <c r="L88" i="14"/>
  <c r="H88" i="14"/>
  <c r="H103" i="14"/>
  <c r="H84" i="14"/>
  <c r="E256" i="18"/>
  <c r="F256" i="18"/>
  <c r="G256" i="18"/>
  <c r="D256" i="18"/>
  <c r="C254" i="18"/>
  <c r="D254" i="18" s="1"/>
  <c r="E254" i="18" s="1"/>
  <c r="F254" i="18" s="1"/>
  <c r="G254" i="18" s="1"/>
  <c r="C253" i="18"/>
  <c r="E247" i="18"/>
  <c r="D245" i="18"/>
  <c r="E245" i="18"/>
  <c r="F245" i="18"/>
  <c r="G245" i="18"/>
  <c r="D246" i="18"/>
  <c r="D247" i="18" s="1"/>
  <c r="E246" i="18"/>
  <c r="F246" i="18"/>
  <c r="F247" i="18" s="1"/>
  <c r="G246" i="18"/>
  <c r="G247" i="18" s="1"/>
  <c r="C246" i="18"/>
  <c r="C247" i="18" s="1"/>
  <c r="G29" i="32" s="1"/>
  <c r="C245" i="18"/>
  <c r="D235" i="18"/>
  <c r="E235" i="18"/>
  <c r="F235" i="18"/>
  <c r="G235" i="18"/>
  <c r="D236" i="18"/>
  <c r="D237" i="18" s="1"/>
  <c r="E236" i="18"/>
  <c r="F236" i="18"/>
  <c r="G236" i="18"/>
  <c r="C236" i="18"/>
  <c r="C235" i="18"/>
  <c r="D220" i="18"/>
  <c r="E220" i="18"/>
  <c r="F220" i="18"/>
  <c r="F222" i="18" s="1"/>
  <c r="G220" i="18"/>
  <c r="D221" i="18"/>
  <c r="E221" i="18"/>
  <c r="F221" i="18"/>
  <c r="G221" i="18"/>
  <c r="C221" i="18"/>
  <c r="C220" i="18"/>
  <c r="C222" i="18" s="1"/>
  <c r="I67" i="14"/>
  <c r="J67" i="14"/>
  <c r="K67" i="14"/>
  <c r="L67" i="14"/>
  <c r="I68" i="14"/>
  <c r="J68" i="14"/>
  <c r="K68" i="14"/>
  <c r="L68" i="14"/>
  <c r="I69" i="14"/>
  <c r="J69" i="14"/>
  <c r="K69" i="14"/>
  <c r="L69" i="14"/>
  <c r="H69" i="14"/>
  <c r="H68" i="14"/>
  <c r="H67" i="14"/>
  <c r="I59" i="14"/>
  <c r="J59" i="14" s="1"/>
  <c r="K59" i="14" s="1"/>
  <c r="L59" i="14" s="1"/>
  <c r="H59" i="14"/>
  <c r="C208" i="18"/>
  <c r="D205" i="18" s="1"/>
  <c r="D197" i="18"/>
  <c r="E197" i="18"/>
  <c r="F197" i="18"/>
  <c r="G197" i="18"/>
  <c r="D198" i="18"/>
  <c r="E198" i="18"/>
  <c r="F198" i="18"/>
  <c r="G198" i="18"/>
  <c r="C198" i="18"/>
  <c r="C197" i="18"/>
  <c r="I60" i="14"/>
  <c r="J60" i="14" s="1"/>
  <c r="H60" i="14"/>
  <c r="I45" i="14"/>
  <c r="J45" i="14" s="1"/>
  <c r="K45" i="14" s="1"/>
  <c r="L45" i="14" s="1"/>
  <c r="H45" i="14"/>
  <c r="I44" i="14"/>
  <c r="J44" i="14" s="1"/>
  <c r="K44" i="14" s="1"/>
  <c r="L44" i="14" s="1"/>
  <c r="H44" i="14"/>
  <c r="I43" i="14"/>
  <c r="J43" i="14"/>
  <c r="K43" i="14"/>
  <c r="L43" i="14" s="1"/>
  <c r="H43" i="14"/>
  <c r="I42" i="14"/>
  <c r="J42" i="14" s="1"/>
  <c r="K42" i="14" s="1"/>
  <c r="L42" i="14" s="1"/>
  <c r="H42" i="14"/>
  <c r="C188" i="18"/>
  <c r="D185" i="18" s="1"/>
  <c r="D180" i="18"/>
  <c r="E180" i="18"/>
  <c r="F180" i="18"/>
  <c r="G180" i="18"/>
  <c r="C180" i="18"/>
  <c r="D179" i="18"/>
  <c r="E179" i="18"/>
  <c r="F179" i="18"/>
  <c r="G179" i="18"/>
  <c r="C179" i="18"/>
  <c r="D178" i="18"/>
  <c r="E178" i="18"/>
  <c r="F178" i="18"/>
  <c r="G178" i="18"/>
  <c r="C178" i="18"/>
  <c r="I46" i="14"/>
  <c r="J46" i="14" s="1"/>
  <c r="H46" i="14"/>
  <c r="D165" i="18"/>
  <c r="E165" i="18"/>
  <c r="F165" i="18"/>
  <c r="G165" i="18"/>
  <c r="C165" i="18"/>
  <c r="D164" i="18"/>
  <c r="E164" i="18"/>
  <c r="F164" i="18"/>
  <c r="G164" i="18"/>
  <c r="C164" i="18"/>
  <c r="D163" i="18"/>
  <c r="E163" i="18"/>
  <c r="F163" i="18"/>
  <c r="G163" i="18"/>
  <c r="C163" i="18"/>
  <c r="F20" i="32"/>
  <c r="D139" i="18"/>
  <c r="E139" i="18"/>
  <c r="F139" i="18"/>
  <c r="G139" i="18"/>
  <c r="D140" i="18"/>
  <c r="D141" i="18" s="1"/>
  <c r="E140" i="18"/>
  <c r="E141" i="18" s="1"/>
  <c r="F140" i="18"/>
  <c r="F141" i="18" s="1"/>
  <c r="G140" i="18"/>
  <c r="G141" i="18" s="1"/>
  <c r="C140" i="18"/>
  <c r="C141" i="18" s="1"/>
  <c r="C139" i="18"/>
  <c r="G131" i="18"/>
  <c r="D131" i="18"/>
  <c r="E131" i="18"/>
  <c r="F131" i="18"/>
  <c r="D132" i="18"/>
  <c r="D133" i="18" s="1"/>
  <c r="E132" i="18"/>
  <c r="E133" i="18" s="1"/>
  <c r="F132" i="18"/>
  <c r="F133" i="18" s="1"/>
  <c r="G132" i="18"/>
  <c r="G133" i="18" s="1"/>
  <c r="C132" i="18"/>
  <c r="C133" i="18" s="1"/>
  <c r="C131" i="18"/>
  <c r="C275" i="18" l="1"/>
  <c r="H17" i="14" s="1"/>
  <c r="L149" i="18"/>
  <c r="C237" i="18"/>
  <c r="E222" i="18"/>
  <c r="G222" i="18"/>
  <c r="C215" i="18" s="1"/>
  <c r="G215" i="18" s="1"/>
  <c r="J27" i="32" s="1"/>
  <c r="E237" i="18"/>
  <c r="D222" i="18"/>
  <c r="C199" i="18"/>
  <c r="F27" i="32"/>
  <c r="E215" i="18"/>
  <c r="H27" i="32" s="1"/>
  <c r="F237" i="18"/>
  <c r="F29" i="32"/>
  <c r="J29" i="32"/>
  <c r="I29" i="32"/>
  <c r="H29" i="32"/>
  <c r="F199" i="18"/>
  <c r="G237" i="18"/>
  <c r="C230" i="18" s="1"/>
  <c r="J103" i="14"/>
  <c r="K103" i="14" s="1"/>
  <c r="L103" i="14" s="1"/>
  <c r="C134" i="18"/>
  <c r="D199" i="18"/>
  <c r="H165" i="18"/>
  <c r="G158" i="18" s="1"/>
  <c r="J26" i="32" s="1"/>
  <c r="H180" i="18"/>
  <c r="G174" i="18" s="1"/>
  <c r="G199" i="18"/>
  <c r="D134" i="18"/>
  <c r="C142" i="18"/>
  <c r="E142" i="18"/>
  <c r="H179" i="18"/>
  <c r="G173" i="18" s="1"/>
  <c r="H164" i="18"/>
  <c r="D157" i="18" s="1"/>
  <c r="G25" i="32" s="1"/>
  <c r="E199" i="18"/>
  <c r="D142" i="18"/>
  <c r="F134" i="18"/>
  <c r="C203" i="18"/>
  <c r="E134" i="18"/>
  <c r="K60" i="14"/>
  <c r="K46" i="14"/>
  <c r="F142" i="18"/>
  <c r="G142" i="18"/>
  <c r="H142" i="18" s="1"/>
  <c r="G134" i="18"/>
  <c r="D215" i="18" l="1"/>
  <c r="G27" i="32" s="1"/>
  <c r="F215" i="18"/>
  <c r="I27" i="32" s="1"/>
  <c r="C174" i="18"/>
  <c r="E158" i="18"/>
  <c r="H26" i="32" s="1"/>
  <c r="F174" i="18"/>
  <c r="F158" i="18"/>
  <c r="I26" i="32" s="1"/>
  <c r="D158" i="18"/>
  <c r="G26" i="32" s="1"/>
  <c r="C158" i="18"/>
  <c r="F26" i="32" s="1"/>
  <c r="F173" i="18"/>
  <c r="C157" i="18"/>
  <c r="F25" i="32" s="1"/>
  <c r="F28" i="32"/>
  <c r="E230" i="18"/>
  <c r="H28" i="32" s="1"/>
  <c r="G230" i="18"/>
  <c r="J28" i="32" s="1"/>
  <c r="F230" i="18"/>
  <c r="I28" i="32" s="1"/>
  <c r="D230" i="18"/>
  <c r="G28" i="32" s="1"/>
  <c r="E173" i="18"/>
  <c r="C173" i="18"/>
  <c r="K107" i="14"/>
  <c r="L107" i="14"/>
  <c r="J107" i="14"/>
  <c r="D174" i="18"/>
  <c r="E157" i="18"/>
  <c r="H25" i="32" s="1"/>
  <c r="E174" i="18"/>
  <c r="G157" i="18"/>
  <c r="J25" i="32" s="1"/>
  <c r="D173" i="18"/>
  <c r="F157" i="18"/>
  <c r="I25" i="32" s="1"/>
  <c r="H134" i="18"/>
  <c r="I134" i="18" s="1"/>
  <c r="D122" i="18" s="1"/>
  <c r="G23" i="32" s="1"/>
  <c r="C123" i="18"/>
  <c r="F24" i="32" s="1"/>
  <c r="I142" i="18"/>
  <c r="D203" i="18"/>
  <c r="E203" i="18"/>
  <c r="F203" i="18"/>
  <c r="G203" i="18"/>
  <c r="H203" i="18"/>
  <c r="L60" i="14"/>
  <c r="L46" i="14"/>
  <c r="H37" i="14"/>
  <c r="I37" i="14" s="1"/>
  <c r="J37" i="14" s="1"/>
  <c r="K37" i="14" s="1"/>
  <c r="L37" i="14" s="1"/>
  <c r="D11" i="17"/>
  <c r="D15" i="17"/>
  <c r="D13" i="17"/>
  <c r="G107" i="14"/>
  <c r="F107" i="14"/>
  <c r="E107" i="14"/>
  <c r="G99" i="14"/>
  <c r="F99" i="14"/>
  <c r="E99" i="14"/>
  <c r="G92" i="14"/>
  <c r="G110" i="14" s="1"/>
  <c r="F92" i="14"/>
  <c r="F110" i="14" s="1"/>
  <c r="E92" i="14"/>
  <c r="E110" i="14" s="1"/>
  <c r="G70" i="14"/>
  <c r="F70" i="14"/>
  <c r="E70" i="14"/>
  <c r="G61" i="14"/>
  <c r="G62" i="14" s="1"/>
  <c r="G72" i="14" s="1"/>
  <c r="F61" i="14"/>
  <c r="F62" i="14" s="1"/>
  <c r="F72" i="14" s="1"/>
  <c r="E61" i="14"/>
  <c r="E62" i="14" s="1"/>
  <c r="E72" i="14" s="1"/>
  <c r="G56" i="14"/>
  <c r="F56" i="14"/>
  <c r="E56" i="14"/>
  <c r="G47" i="14"/>
  <c r="F47" i="14"/>
  <c r="E47" i="14"/>
  <c r="G39" i="14"/>
  <c r="G49" i="14" s="1"/>
  <c r="F39" i="14"/>
  <c r="F49" i="14" s="1"/>
  <c r="E39" i="14"/>
  <c r="E49" i="14" s="1"/>
  <c r="J20" i="32"/>
  <c r="I20" i="32"/>
  <c r="H20" i="32"/>
  <c r="G20" i="32"/>
  <c r="G109" i="18"/>
  <c r="F109" i="18"/>
  <c r="E109" i="18"/>
  <c r="D109" i="18"/>
  <c r="H107" i="18"/>
  <c r="I23" i="14"/>
  <c r="J23" i="14" s="1"/>
  <c r="K23" i="14" s="1"/>
  <c r="L23" i="14" s="1"/>
  <c r="H23" i="14"/>
  <c r="H19" i="14"/>
  <c r="I19" i="14" s="1"/>
  <c r="J19" i="14" s="1"/>
  <c r="K19" i="14" s="1"/>
  <c r="L19" i="14" s="1"/>
  <c r="H18" i="14"/>
  <c r="I18" i="14"/>
  <c r="J18" i="14" s="1"/>
  <c r="G15" i="14"/>
  <c r="G20" i="14" s="1"/>
  <c r="G24" i="14" s="1"/>
  <c r="F15" i="14"/>
  <c r="F20" i="14" s="1"/>
  <c r="F24" i="14" s="1"/>
  <c r="G10" i="14"/>
  <c r="F10" i="14"/>
  <c r="E10" i="14"/>
  <c r="E15" i="14" s="1"/>
  <c r="E20" i="14" s="1"/>
  <c r="E24" i="14" s="1"/>
  <c r="C79" i="18"/>
  <c r="D79" i="18" s="1"/>
  <c r="H88" i="18"/>
  <c r="D81" i="18"/>
  <c r="E81" i="18"/>
  <c r="F81" i="18"/>
  <c r="G81" i="18"/>
  <c r="C81" i="18"/>
  <c r="H75" i="18"/>
  <c r="D71" i="18" s="1"/>
  <c r="C69" i="18"/>
  <c r="D69" i="18" s="1"/>
  <c r="C67" i="18"/>
  <c r="D67" i="18" s="1"/>
  <c r="J17" i="32"/>
  <c r="I17" i="32"/>
  <c r="H17" i="32"/>
  <c r="G17" i="32"/>
  <c r="F17" i="32"/>
  <c r="H93" i="18"/>
  <c r="H52" i="18"/>
  <c r="G57" i="18"/>
  <c r="F57" i="18"/>
  <c r="E57" i="18"/>
  <c r="D57" i="18"/>
  <c r="H56" i="18"/>
  <c r="G55" i="18"/>
  <c r="F55" i="18"/>
  <c r="E55" i="18"/>
  <c r="D55" i="18"/>
  <c r="H54" i="18"/>
  <c r="G53" i="18"/>
  <c r="F53" i="18"/>
  <c r="E53" i="18"/>
  <c r="D53" i="18"/>
  <c r="G14" i="18"/>
  <c r="F14" i="18"/>
  <c r="E14" i="18"/>
  <c r="D14" i="18"/>
  <c r="H13" i="18"/>
  <c r="G12" i="18"/>
  <c r="F12" i="18"/>
  <c r="E12" i="18"/>
  <c r="D12" i="18"/>
  <c r="H11" i="18"/>
  <c r="G10" i="18"/>
  <c r="F10" i="18"/>
  <c r="E10" i="18"/>
  <c r="D10" i="18"/>
  <c r="H9" i="18"/>
  <c r="G33" i="18"/>
  <c r="F33" i="18"/>
  <c r="E33" i="18"/>
  <c r="D33" i="18"/>
  <c r="C33" i="18"/>
  <c r="G32" i="18"/>
  <c r="F32" i="18"/>
  <c r="E32" i="18"/>
  <c r="D32" i="18"/>
  <c r="C32" i="18"/>
  <c r="H31" i="18"/>
  <c r="G30" i="18"/>
  <c r="F30" i="18"/>
  <c r="E30" i="18"/>
  <c r="D30" i="18"/>
  <c r="C30" i="18"/>
  <c r="H29" i="18"/>
  <c r="G28" i="18"/>
  <c r="F28" i="18"/>
  <c r="E28" i="18"/>
  <c r="D28" i="18"/>
  <c r="H27" i="18"/>
  <c r="G19" i="18"/>
  <c r="C10" i="18" s="1"/>
  <c r="F19" i="18"/>
  <c r="E19" i="18"/>
  <c r="D19" i="18"/>
  <c r="H18" i="18"/>
  <c r="J134" i="18" l="1"/>
  <c r="C122" i="18"/>
  <c r="F23" i="32" s="1"/>
  <c r="J53" i="14"/>
  <c r="F206" i="18"/>
  <c r="D206" i="18"/>
  <c r="D208" i="18" s="1"/>
  <c r="H53" i="14"/>
  <c r="J142" i="18"/>
  <c r="D123" i="18"/>
  <c r="G24" i="32" s="1"/>
  <c r="L53" i="14"/>
  <c r="H206" i="18"/>
  <c r="K134" i="18"/>
  <c r="F122" i="18" s="1"/>
  <c r="I23" i="32" s="1"/>
  <c r="E122" i="18"/>
  <c r="H23" i="32" s="1"/>
  <c r="I53" i="14"/>
  <c r="E206" i="18"/>
  <c r="K53" i="14"/>
  <c r="G206" i="18"/>
  <c r="E82" i="18"/>
  <c r="F82" i="18"/>
  <c r="K18" i="14"/>
  <c r="L18" i="14" s="1"/>
  <c r="D82" i="18"/>
  <c r="D84" i="18"/>
  <c r="G82" i="18"/>
  <c r="D80" i="18"/>
  <c r="E79" i="18"/>
  <c r="H81" i="18"/>
  <c r="H30" i="18"/>
  <c r="D70" i="18"/>
  <c r="E69" i="18"/>
  <c r="E71" i="18"/>
  <c r="D72" i="18"/>
  <c r="D68" i="18"/>
  <c r="E67" i="18"/>
  <c r="H55" i="18"/>
  <c r="H53" i="18"/>
  <c r="H57" i="18"/>
  <c r="F20" i="18"/>
  <c r="E20" i="18"/>
  <c r="H32" i="18"/>
  <c r="H14" i="18"/>
  <c r="C14" i="18"/>
  <c r="H12" i="18"/>
  <c r="G20" i="18"/>
  <c r="H10" i="18"/>
  <c r="H33" i="18"/>
  <c r="C12" i="18"/>
  <c r="G84" i="18" l="1"/>
  <c r="L134" i="18"/>
  <c r="G122" i="18" s="1"/>
  <c r="J23" i="32" s="1"/>
  <c r="K142" i="18"/>
  <c r="E123" i="18"/>
  <c r="H24" i="32" s="1"/>
  <c r="H58" i="14"/>
  <c r="H61" i="14" s="1"/>
  <c r="E205" i="18"/>
  <c r="E208" i="18" s="1"/>
  <c r="H82" i="18"/>
  <c r="E84" i="18"/>
  <c r="F84" i="18"/>
  <c r="F71" i="18"/>
  <c r="H83" i="18"/>
  <c r="F79" i="18"/>
  <c r="E80" i="18"/>
  <c r="E72" i="18"/>
  <c r="F69" i="18"/>
  <c r="E70" i="18"/>
  <c r="F67" i="18"/>
  <c r="E68" i="18"/>
  <c r="H20" i="18"/>
  <c r="C7" i="32"/>
  <c r="H16" i="32" s="1"/>
  <c r="G107" i="12"/>
  <c r="H107" i="12"/>
  <c r="I107" i="12"/>
  <c r="J107" i="12"/>
  <c r="F107" i="12"/>
  <c r="G106" i="12"/>
  <c r="H106" i="12"/>
  <c r="I106" i="12"/>
  <c r="J106" i="12"/>
  <c r="F106" i="12"/>
  <c r="G85" i="12"/>
  <c r="H85" i="12"/>
  <c r="I85" i="12"/>
  <c r="J85" i="12"/>
  <c r="F85" i="12"/>
  <c r="G59" i="12"/>
  <c r="G60" i="12" s="1"/>
  <c r="H59" i="12"/>
  <c r="H60" i="12" s="1"/>
  <c r="I59" i="12"/>
  <c r="I60" i="12" s="1"/>
  <c r="J59" i="12"/>
  <c r="J60" i="12" s="1"/>
  <c r="F59" i="12"/>
  <c r="F60" i="12" s="1"/>
  <c r="G47" i="12"/>
  <c r="H47" i="12"/>
  <c r="I47" i="12"/>
  <c r="J47" i="12"/>
  <c r="F47" i="12"/>
  <c r="F46" i="12" a="1"/>
  <c r="F46" i="12" s="1"/>
  <c r="G45" i="12"/>
  <c r="H45" i="12"/>
  <c r="I45" i="12"/>
  <c r="J45" i="12"/>
  <c r="F45" i="12"/>
  <c r="G44" i="12"/>
  <c r="H44" i="12"/>
  <c r="I44" i="12"/>
  <c r="J44" i="12"/>
  <c r="F44" i="12"/>
  <c r="G52" i="12"/>
  <c r="H52" i="12"/>
  <c r="I52" i="12"/>
  <c r="J52" i="12"/>
  <c r="F52" i="12"/>
  <c r="G51" i="12"/>
  <c r="H51" i="12"/>
  <c r="I51" i="12"/>
  <c r="J51" i="12"/>
  <c r="F51" i="12"/>
  <c r="G22" i="12"/>
  <c r="H22" i="12"/>
  <c r="I22" i="12"/>
  <c r="J22" i="12"/>
  <c r="F22" i="12"/>
  <c r="G21" i="12"/>
  <c r="H21" i="12"/>
  <c r="I21" i="12"/>
  <c r="J21" i="12"/>
  <c r="F21" i="12"/>
  <c r="G20" i="12"/>
  <c r="H20" i="12"/>
  <c r="I20" i="12"/>
  <c r="J20" i="12"/>
  <c r="F20" i="12"/>
  <c r="G19" i="12"/>
  <c r="H19" i="12"/>
  <c r="I19" i="12"/>
  <c r="J19" i="12"/>
  <c r="F19" i="12"/>
  <c r="J9" i="12"/>
  <c r="J8" i="12"/>
  <c r="H8" i="12"/>
  <c r="I8" i="12"/>
  <c r="G8" i="12"/>
  <c r="H84" i="18" l="1"/>
  <c r="F205" i="18"/>
  <c r="F208" i="18" s="1"/>
  <c r="I58" i="14"/>
  <c r="I61" i="14" s="1"/>
  <c r="L142" i="18"/>
  <c r="G123" i="18" s="1"/>
  <c r="J24" i="32" s="1"/>
  <c r="F123" i="18"/>
  <c r="I24" i="32" s="1"/>
  <c r="H11" i="32"/>
  <c r="J12" i="32"/>
  <c r="J11" i="32"/>
  <c r="F16" i="32"/>
  <c r="G11" i="32"/>
  <c r="H12" i="32"/>
  <c r="I11" i="32"/>
  <c r="F11" i="32"/>
  <c r="H8" i="14" s="1"/>
  <c r="D186" i="18" s="1"/>
  <c r="H95" i="14" s="1"/>
  <c r="E33" i="22" s="1"/>
  <c r="I12" i="32"/>
  <c r="G12" i="32"/>
  <c r="F12" i="32"/>
  <c r="G16" i="32"/>
  <c r="F15" i="32"/>
  <c r="G15" i="32"/>
  <c r="H15" i="32"/>
  <c r="G79" i="18"/>
  <c r="H79" i="18" s="1"/>
  <c r="F80" i="18"/>
  <c r="I16" i="32"/>
  <c r="G71" i="18"/>
  <c r="F72" i="18"/>
  <c r="F70" i="18"/>
  <c r="G69" i="18"/>
  <c r="G70" i="18" s="1"/>
  <c r="F68" i="18"/>
  <c r="I15" i="32"/>
  <c r="G67" i="18"/>
  <c r="H67" i="18" s="1"/>
  <c r="J62" i="12"/>
  <c r="F62" i="12"/>
  <c r="I62" i="12"/>
  <c r="H62" i="12"/>
  <c r="H54" i="12"/>
  <c r="G62" i="12"/>
  <c r="I49" i="12"/>
  <c r="F49" i="12"/>
  <c r="H49" i="12"/>
  <c r="J49" i="12"/>
  <c r="G49" i="12"/>
  <c r="I54" i="12"/>
  <c r="G54" i="12"/>
  <c r="F54" i="12"/>
  <c r="J54" i="12"/>
  <c r="G111" i="9"/>
  <c r="H111" i="9"/>
  <c r="I111" i="9"/>
  <c r="J111" i="9"/>
  <c r="J114" i="9" s="1"/>
  <c r="F111" i="9"/>
  <c r="G103" i="9"/>
  <c r="H103" i="9"/>
  <c r="I103" i="9"/>
  <c r="I114" i="9" s="1"/>
  <c r="J103" i="9"/>
  <c r="F103" i="9"/>
  <c r="G96" i="9"/>
  <c r="H96" i="9"/>
  <c r="I96" i="9"/>
  <c r="J96" i="9"/>
  <c r="F96" i="9"/>
  <c r="G73" i="9"/>
  <c r="H73" i="9"/>
  <c r="I73" i="9"/>
  <c r="J73" i="9"/>
  <c r="F73" i="9"/>
  <c r="G64" i="9"/>
  <c r="H64" i="9"/>
  <c r="I64" i="9"/>
  <c r="J64" i="9"/>
  <c r="F64" i="9"/>
  <c r="G59" i="9"/>
  <c r="G71" i="12" s="1"/>
  <c r="H59" i="9"/>
  <c r="H71" i="12" s="1"/>
  <c r="I59" i="9"/>
  <c r="I71" i="12" s="1"/>
  <c r="J59" i="9"/>
  <c r="J71" i="12" s="1"/>
  <c r="F59" i="9"/>
  <c r="F71" i="12" s="1"/>
  <c r="G50" i="9"/>
  <c r="H50" i="9"/>
  <c r="I50" i="9"/>
  <c r="J50" i="9"/>
  <c r="F50" i="9"/>
  <c r="G42" i="9"/>
  <c r="H42" i="9"/>
  <c r="I42" i="9"/>
  <c r="J42" i="9"/>
  <c r="J70" i="12" s="1"/>
  <c r="F42" i="9"/>
  <c r="F70" i="12" s="1"/>
  <c r="G12" i="9"/>
  <c r="H12" i="9"/>
  <c r="I12" i="9"/>
  <c r="J12" i="9"/>
  <c r="F12" i="9"/>
  <c r="F13" i="12" s="1"/>
  <c r="F14" i="12" s="1"/>
  <c r="H99" i="14" l="1"/>
  <c r="H85" i="14"/>
  <c r="E35" i="22" s="1"/>
  <c r="C255" i="18"/>
  <c r="C257" i="18" s="1"/>
  <c r="H55" i="14"/>
  <c r="H91" i="14" s="1"/>
  <c r="G205" i="18"/>
  <c r="G208" i="18" s="1"/>
  <c r="J58" i="14"/>
  <c r="J61" i="14" s="1"/>
  <c r="H132" i="18"/>
  <c r="H133" i="18" s="1"/>
  <c r="H131" i="18" s="1"/>
  <c r="H35" i="14" s="1"/>
  <c r="H38" i="14"/>
  <c r="H36" i="14"/>
  <c r="H13" i="14"/>
  <c r="H14" i="14"/>
  <c r="E32" i="22" s="1"/>
  <c r="H12" i="14"/>
  <c r="I8" i="14"/>
  <c r="H10" i="14"/>
  <c r="G72" i="18"/>
  <c r="H71" i="18"/>
  <c r="J16" i="32"/>
  <c r="G80" i="18"/>
  <c r="H80" i="18" s="1"/>
  <c r="H69" i="18"/>
  <c r="J15" i="32"/>
  <c r="G68" i="18"/>
  <c r="F114" i="9"/>
  <c r="F17" i="9"/>
  <c r="F65" i="9"/>
  <c r="G114" i="9"/>
  <c r="G17" i="9"/>
  <c r="G13" i="12"/>
  <c r="G14" i="12" s="1"/>
  <c r="I105" i="12"/>
  <c r="I108" i="12" s="1"/>
  <c r="I84" i="12"/>
  <c r="I77" i="12"/>
  <c r="I79" i="12" s="1"/>
  <c r="I17" i="9"/>
  <c r="I13" i="12"/>
  <c r="I14" i="12" s="1"/>
  <c r="G70" i="12"/>
  <c r="F77" i="12"/>
  <c r="F79" i="12" s="1"/>
  <c r="F105" i="12"/>
  <c r="F108" i="12" s="1"/>
  <c r="F84" i="12"/>
  <c r="H38" i="12"/>
  <c r="H37" i="12"/>
  <c r="H17" i="9"/>
  <c r="H13" i="12"/>
  <c r="H14" i="12" s="1"/>
  <c r="J77" i="12"/>
  <c r="J79" i="12" s="1"/>
  <c r="J84" i="12"/>
  <c r="J105" i="12"/>
  <c r="J108" i="12" s="1"/>
  <c r="G37" i="12"/>
  <c r="G38" i="12"/>
  <c r="G77" i="12"/>
  <c r="G79" i="12" s="1"/>
  <c r="G84" i="12"/>
  <c r="G105" i="12"/>
  <c r="G108" i="12" s="1"/>
  <c r="F37" i="12"/>
  <c r="F38" i="12"/>
  <c r="I70" i="12"/>
  <c r="J37" i="12"/>
  <c r="J38" i="12"/>
  <c r="F22" i="9"/>
  <c r="F27" i="12"/>
  <c r="F28" i="12"/>
  <c r="F100" i="12"/>
  <c r="H84" i="12"/>
  <c r="H87" i="12" s="1"/>
  <c r="H105" i="12"/>
  <c r="H108" i="12" s="1"/>
  <c r="H77" i="12"/>
  <c r="H79" i="12" s="1"/>
  <c r="J17" i="9"/>
  <c r="J13" i="12"/>
  <c r="J14" i="12" s="1"/>
  <c r="H70" i="12"/>
  <c r="I37" i="12"/>
  <c r="I38" i="12"/>
  <c r="H114" i="9"/>
  <c r="G65" i="9"/>
  <c r="G75" i="9" s="1"/>
  <c r="J65" i="9"/>
  <c r="J75" i="9" s="1"/>
  <c r="H52" i="9"/>
  <c r="F75" i="9"/>
  <c r="I65" i="9"/>
  <c r="I75" i="9" s="1"/>
  <c r="I52" i="9"/>
  <c r="H65" i="9"/>
  <c r="H75" i="9" s="1"/>
  <c r="F52" i="9"/>
  <c r="J52" i="9"/>
  <c r="G52" i="9"/>
  <c r="H83" i="14" l="1"/>
  <c r="D187" i="18"/>
  <c r="I85" i="14"/>
  <c r="F35" i="22" s="1"/>
  <c r="H87" i="14"/>
  <c r="D255" i="18"/>
  <c r="I55" i="14"/>
  <c r="I91" i="14" s="1"/>
  <c r="D253" i="18"/>
  <c r="H65" i="14"/>
  <c r="H205" i="18"/>
  <c r="H208" i="18" s="1"/>
  <c r="L58" i="14" s="1"/>
  <c r="L61" i="14" s="1"/>
  <c r="K58" i="14"/>
  <c r="K61" i="14" s="1"/>
  <c r="E186" i="18"/>
  <c r="I95" i="14" s="1"/>
  <c r="D188" i="18"/>
  <c r="I132" i="18"/>
  <c r="I133" i="18" s="1"/>
  <c r="I131" i="18" s="1"/>
  <c r="I35" i="14" s="1"/>
  <c r="I87" i="14" s="1"/>
  <c r="I38" i="14"/>
  <c r="I36" i="14"/>
  <c r="H9" i="14"/>
  <c r="H140" i="18" s="1"/>
  <c r="H141" i="18" s="1"/>
  <c r="H139" i="18" s="1"/>
  <c r="H52" i="14" s="1"/>
  <c r="H89" i="14" s="1"/>
  <c r="H15" i="14"/>
  <c r="I14" i="14"/>
  <c r="F32" i="22" s="1"/>
  <c r="I12" i="14"/>
  <c r="I13" i="14"/>
  <c r="J8" i="14"/>
  <c r="I10" i="14"/>
  <c r="G87" i="12"/>
  <c r="J22" i="9"/>
  <c r="J100" i="12"/>
  <c r="J27" i="12"/>
  <c r="J28" i="12"/>
  <c r="H22" i="9"/>
  <c r="H27" i="12"/>
  <c r="H28" i="12"/>
  <c r="H100" i="12"/>
  <c r="I22" i="9"/>
  <c r="I100" i="12"/>
  <c r="I28" i="12"/>
  <c r="I27" i="12"/>
  <c r="F26" i="9"/>
  <c r="F101" i="12"/>
  <c r="F102" i="12" s="1"/>
  <c r="F110" i="12" s="1"/>
  <c r="I87" i="12"/>
  <c r="J87" i="12"/>
  <c r="G22" i="9"/>
  <c r="G28" i="12"/>
  <c r="G100" i="12"/>
  <c r="G27" i="12"/>
  <c r="I99" i="14" l="1"/>
  <c r="F33" i="22"/>
  <c r="H20" i="14"/>
  <c r="H22" i="14" s="1"/>
  <c r="E26" i="22"/>
  <c r="I83" i="14"/>
  <c r="E187" i="18"/>
  <c r="D257" i="18"/>
  <c r="I65" i="14" s="1"/>
  <c r="J85" i="14"/>
  <c r="G35" i="22" s="1"/>
  <c r="E255" i="18"/>
  <c r="J55" i="14"/>
  <c r="J91" i="14" s="1"/>
  <c r="F186" i="18"/>
  <c r="J95" i="14" s="1"/>
  <c r="G33" i="22" s="1"/>
  <c r="H41" i="14"/>
  <c r="H47" i="14" s="1"/>
  <c r="E185" i="18"/>
  <c r="J132" i="18"/>
  <c r="J133" i="18" s="1"/>
  <c r="J131" i="18" s="1"/>
  <c r="J35" i="14" s="1"/>
  <c r="J87" i="14" s="1"/>
  <c r="J36" i="14"/>
  <c r="J38" i="14"/>
  <c r="I9" i="14"/>
  <c r="I140" i="18" s="1"/>
  <c r="I141" i="18" s="1"/>
  <c r="I139" i="18" s="1"/>
  <c r="I52" i="14" s="1"/>
  <c r="I89" i="14" s="1"/>
  <c r="I15" i="14"/>
  <c r="F26" i="22" s="1"/>
  <c r="J14" i="14"/>
  <c r="G32" i="22" s="1"/>
  <c r="J12" i="14"/>
  <c r="J13" i="14"/>
  <c r="K8" i="14"/>
  <c r="J10" i="14"/>
  <c r="F29" i="12"/>
  <c r="F94" i="12"/>
  <c r="F97" i="12"/>
  <c r="H26" i="9"/>
  <c r="H101" i="12"/>
  <c r="H102" i="12" s="1"/>
  <c r="H110" i="12" s="1"/>
  <c r="G102" i="12"/>
  <c r="G110" i="12" s="1"/>
  <c r="I102" i="12"/>
  <c r="I110" i="12" s="1"/>
  <c r="G26" i="9"/>
  <c r="G101" i="12"/>
  <c r="I26" i="9"/>
  <c r="I101" i="12"/>
  <c r="J26" i="9"/>
  <c r="J101" i="12"/>
  <c r="J102" i="12" s="1"/>
  <c r="J110" i="12" s="1"/>
  <c r="E253" i="18" l="1"/>
  <c r="F27" i="22"/>
  <c r="F28" i="22"/>
  <c r="F29" i="22" s="1"/>
  <c r="E27" i="22"/>
  <c r="E28" i="22"/>
  <c r="E29" i="22" s="1"/>
  <c r="J99" i="14"/>
  <c r="E188" i="18"/>
  <c r="F185" i="18" s="1"/>
  <c r="J83" i="14"/>
  <c r="F187" i="18"/>
  <c r="K85" i="14"/>
  <c r="H35" i="22" s="1"/>
  <c r="F255" i="18"/>
  <c r="K55" i="14"/>
  <c r="K91" i="14" s="1"/>
  <c r="E257" i="18"/>
  <c r="H24" i="14"/>
  <c r="H54" i="14"/>
  <c r="H90" i="14" s="1"/>
  <c r="E34" i="22" s="1"/>
  <c r="G186" i="18"/>
  <c r="K95" i="14" s="1"/>
  <c r="K132" i="18"/>
  <c r="K133" i="18" s="1"/>
  <c r="K131" i="18" s="1"/>
  <c r="K35" i="14" s="1"/>
  <c r="K87" i="14" s="1"/>
  <c r="K36" i="14"/>
  <c r="K38" i="14"/>
  <c r="J9" i="14"/>
  <c r="J140" i="18" s="1"/>
  <c r="J141" i="18" s="1"/>
  <c r="J139" i="18" s="1"/>
  <c r="J52" i="14" s="1"/>
  <c r="J89" i="14" s="1"/>
  <c r="J15" i="14"/>
  <c r="G26" i="22" s="1"/>
  <c r="K14" i="14"/>
  <c r="H32" i="22" s="1"/>
  <c r="K12" i="14"/>
  <c r="K13" i="14"/>
  <c r="L8" i="14"/>
  <c r="K10" i="14"/>
  <c r="H94" i="12"/>
  <c r="H97" i="12"/>
  <c r="H29" i="12"/>
  <c r="G94" i="12"/>
  <c r="G97" i="12"/>
  <c r="G29" i="12"/>
  <c r="J97" i="12"/>
  <c r="J29" i="12"/>
  <c r="J94" i="12"/>
  <c r="I97" i="12"/>
  <c r="I29" i="12"/>
  <c r="I94" i="12"/>
  <c r="E37" i="22" l="1"/>
  <c r="I41" i="14"/>
  <c r="I47" i="14" s="1"/>
  <c r="K99" i="14"/>
  <c r="H33" i="22"/>
  <c r="F188" i="18"/>
  <c r="G185" i="18" s="1"/>
  <c r="G188" i="18" s="1"/>
  <c r="G27" i="22"/>
  <c r="G28" i="22"/>
  <c r="G29" i="22" s="1"/>
  <c r="K83" i="14"/>
  <c r="G187" i="18"/>
  <c r="L85" i="14"/>
  <c r="I35" i="22" s="1"/>
  <c r="H56" i="14"/>
  <c r="H62" i="14" s="1"/>
  <c r="G255" i="18"/>
  <c r="L55" i="14"/>
  <c r="L91" i="14" s="1"/>
  <c r="C264" i="18"/>
  <c r="C266" i="18" s="1"/>
  <c r="H82" i="14"/>
  <c r="F253" i="18"/>
  <c r="F257" i="18" s="1"/>
  <c r="J65" i="14"/>
  <c r="H186" i="18"/>
  <c r="L95" i="14" s="1"/>
  <c r="L132" i="18"/>
  <c r="L133" i="18" s="1"/>
  <c r="L131" i="18" s="1"/>
  <c r="L35" i="14" s="1"/>
  <c r="L87" i="14" s="1"/>
  <c r="L36" i="14"/>
  <c r="L38" i="14"/>
  <c r="K9" i="14"/>
  <c r="K140" i="18" s="1"/>
  <c r="K141" i="18" s="1"/>
  <c r="K139" i="18" s="1"/>
  <c r="K52" i="14" s="1"/>
  <c r="K89" i="14" s="1"/>
  <c r="K15" i="14"/>
  <c r="H26" i="22" s="1"/>
  <c r="L10" i="14"/>
  <c r="L13" i="14"/>
  <c r="L14" i="14"/>
  <c r="I32" i="22" s="1"/>
  <c r="L12" i="14"/>
  <c r="J41" i="14" l="1"/>
  <c r="J47" i="14" s="1"/>
  <c r="E38" i="22"/>
  <c r="H27" i="22"/>
  <c r="H28" i="22"/>
  <c r="H29" i="22" s="1"/>
  <c r="L99" i="14"/>
  <c r="I33" i="22"/>
  <c r="D263" i="18"/>
  <c r="H66" i="14"/>
  <c r="H70" i="14" s="1"/>
  <c r="H72" i="14" s="1"/>
  <c r="L83" i="14"/>
  <c r="H187" i="18"/>
  <c r="H92" i="14"/>
  <c r="H110" i="14" s="1"/>
  <c r="G253" i="18"/>
  <c r="G257" i="18" s="1"/>
  <c r="L65" i="14" s="1"/>
  <c r="K65" i="14"/>
  <c r="H185" i="18"/>
  <c r="K41" i="14"/>
  <c r="K47" i="14" s="1"/>
  <c r="L9" i="14"/>
  <c r="L140" i="18" s="1"/>
  <c r="L141" i="18" s="1"/>
  <c r="L139" i="18" s="1"/>
  <c r="L52" i="14" s="1"/>
  <c r="L89" i="14" s="1"/>
  <c r="L15" i="14"/>
  <c r="I26" i="22" s="1"/>
  <c r="I27" i="22" l="1"/>
  <c r="I28" i="22"/>
  <c r="I29" i="22" s="1"/>
  <c r="H188" i="18"/>
  <c r="L41" i="14" s="1"/>
  <c r="L47" i="14" s="1"/>
  <c r="H34" i="14"/>
  <c r="H39" i="14" s="1"/>
  <c r="H49" i="14" s="1"/>
  <c r="E9" i="17" s="1"/>
  <c r="D273" i="18" l="1"/>
  <c r="D275" i="18" s="1"/>
  <c r="I17" i="14" s="1"/>
  <c r="I20" i="14" s="1"/>
  <c r="I22" i="14" s="1"/>
  <c r="I54" i="14" s="1"/>
  <c r="I90" i="14" s="1"/>
  <c r="F34" i="22" s="1"/>
  <c r="F37" i="22" s="1"/>
  <c r="F38" i="22" l="1"/>
  <c r="F47" i="22"/>
  <c r="I56" i="14"/>
  <c r="I62" i="14" s="1"/>
  <c r="I24" i="14"/>
  <c r="I82" i="14" l="1"/>
  <c r="I92" i="14" s="1"/>
  <c r="I110" i="14" s="1"/>
  <c r="I34" i="14" s="1"/>
  <c r="E273" i="18" s="1"/>
  <c r="E275" i="18" s="1"/>
  <c r="J17" i="14" s="1"/>
  <c r="J20" i="14" s="1"/>
  <c r="D264" i="18"/>
  <c r="D266" i="18" s="1"/>
  <c r="I39" i="14" l="1"/>
  <c r="I49" i="14" s="1"/>
  <c r="I66" i="14"/>
  <c r="I70" i="14" s="1"/>
  <c r="I72" i="14" s="1"/>
  <c r="F9" i="17" s="1"/>
  <c r="E263" i="18"/>
  <c r="J22" i="14"/>
  <c r="J54" i="14" s="1"/>
  <c r="J90" i="14" s="1"/>
  <c r="G34" i="22" s="1"/>
  <c r="G37" i="22" s="1"/>
  <c r="G47" i="22" l="1"/>
  <c r="G38" i="22"/>
  <c r="J24" i="14"/>
  <c r="J82" i="14" s="1"/>
  <c r="J56" i="14"/>
  <c r="J62" i="14" s="1"/>
  <c r="E264" i="18" l="1"/>
  <c r="E266" i="18" s="1"/>
  <c r="J66" i="14" s="1"/>
  <c r="J70" i="14" s="1"/>
  <c r="J72" i="14" s="1"/>
  <c r="J92" i="14"/>
  <c r="J110" i="14" s="1"/>
  <c r="J34" i="14" s="1"/>
  <c r="F263" i="18" l="1"/>
  <c r="F273" i="18"/>
  <c r="F275" i="18" s="1"/>
  <c r="K17" i="14" s="1"/>
  <c r="K20" i="14" s="1"/>
  <c r="J39" i="14"/>
  <c r="J49" i="14" s="1"/>
  <c r="G9" i="17" s="1"/>
  <c r="K22" i="14" l="1"/>
  <c r="K54" i="14" s="1"/>
  <c r="K90" i="14" s="1"/>
  <c r="H34" i="22" s="1"/>
  <c r="H37" i="22" s="1"/>
  <c r="H47" i="22" l="1"/>
  <c r="H38" i="22"/>
  <c r="K24" i="14"/>
  <c r="F264" i="18" s="1"/>
  <c r="F266" i="18" s="1"/>
  <c r="K66" i="14" s="1"/>
  <c r="K56" i="14"/>
  <c r="K62" i="14" s="1"/>
  <c r="K82" i="14" l="1"/>
  <c r="K92" i="14" s="1"/>
  <c r="K110" i="14" s="1"/>
  <c r="K34" i="14" s="1"/>
  <c r="G263" i="18"/>
  <c r="K70" i="14"/>
  <c r="K72" i="14" s="1"/>
  <c r="G273" i="18" l="1"/>
  <c r="G275" i="18" s="1"/>
  <c r="L17" i="14" s="1"/>
  <c r="L20" i="14" s="1"/>
  <c r="K39" i="14"/>
  <c r="K49" i="14" s="1"/>
  <c r="H9" i="17" s="1"/>
  <c r="L22" i="14" l="1"/>
  <c r="L54" i="14" s="1"/>
  <c r="L90" i="14" s="1"/>
  <c r="I34" i="22" s="1"/>
  <c r="I37" i="22" s="1"/>
  <c r="E55" i="22" l="1"/>
  <c r="I47" i="22"/>
  <c r="E49" i="22" s="1"/>
  <c r="I38" i="22"/>
  <c r="L24" i="14"/>
  <c r="L82" i="14" s="1"/>
  <c r="L56" i="14"/>
  <c r="L62" i="14" s="1"/>
  <c r="E65" i="22" l="1"/>
  <c r="G264" i="18"/>
  <c r="G266" i="18" s="1"/>
  <c r="E64" i="22"/>
  <c r="E66" i="22" s="1"/>
  <c r="F26" i="26"/>
  <c r="I27" i="26"/>
  <c r="F25" i="26"/>
  <c r="H25" i="26"/>
  <c r="E26" i="26"/>
  <c r="E24" i="26"/>
  <c r="G24" i="26"/>
  <c r="G28" i="26"/>
  <c r="F28" i="26"/>
  <c r="F29" i="26"/>
  <c r="I25" i="26"/>
  <c r="E25" i="26"/>
  <c r="I24" i="26"/>
  <c r="G25" i="26"/>
  <c r="E29" i="26"/>
  <c r="G26" i="26"/>
  <c r="G30" i="26" s="1"/>
  <c r="H24" i="26"/>
  <c r="H23" i="26"/>
  <c r="H27" i="26"/>
  <c r="I26" i="26"/>
  <c r="F24" i="26"/>
  <c r="G23" i="26"/>
  <c r="F23" i="26"/>
  <c r="I23" i="26"/>
  <c r="E28" i="26"/>
  <c r="G27" i="26"/>
  <c r="I29" i="26"/>
  <c r="E23" i="26"/>
  <c r="I28" i="26"/>
  <c r="H28" i="26"/>
  <c r="H26" i="26"/>
  <c r="F27" i="26"/>
  <c r="H29" i="26"/>
  <c r="E27" i="26"/>
  <c r="G29" i="26"/>
  <c r="L66" i="14"/>
  <c r="L70" i="14" s="1"/>
  <c r="L72" i="14" s="1"/>
  <c r="L92" i="14"/>
  <c r="L110" i="14" s="1"/>
  <c r="L34" i="14" s="1"/>
  <c r="L39" i="14" s="1"/>
  <c r="L49" i="14" s="1"/>
  <c r="I30" i="26" l="1"/>
  <c r="E30" i="26"/>
  <c r="I9" i="17"/>
  <c r="D9" i="17" s="1"/>
  <c r="C5" i="17" s="1"/>
  <c r="E73" i="22" l="1"/>
  <c r="E79" i="22" s="1"/>
  <c r="E76" i="22" l="1"/>
  <c r="D8" i="26"/>
  <c r="D22" i="2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<sst xmlns="http://schemas.openxmlformats.org/spreadsheetml/2006/main" count="1390" uniqueCount="798">
  <si>
    <t>Comprehensive Valuation Model — Table of Contents</t>
  </si>
  <si>
    <t>Tab #</t>
  </si>
  <si>
    <t>Tab Name</t>
  </si>
  <si>
    <t>Description</t>
  </si>
  <si>
    <t>Status</t>
  </si>
  <si>
    <t>SECTION 1: EXECUTIVE SUMMARY &amp; OVERVIEW</t>
  </si>
  <si>
    <t>Cover</t>
  </si>
  <si>
    <t>Title page, version control, confidentiality notice</t>
  </si>
  <si>
    <t>Complete</t>
  </si>
  <si>
    <t>TOC</t>
  </si>
  <si>
    <t>Executive Summary</t>
  </si>
  <si>
    <t>Pending</t>
  </si>
  <si>
    <t>Key Metrics</t>
  </si>
  <si>
    <t>Investment Highlights</t>
  </si>
  <si>
    <t>Bull/bear case, catalysts, risks</t>
  </si>
  <si>
    <t>Historical Analysis</t>
  </si>
  <si>
    <t>Margins, growth rates, ratio analysis, trends</t>
  </si>
  <si>
    <t>SECTION 4: FORECASTS &amp; PROJECTIONS</t>
  </si>
  <si>
    <t>Integration Check</t>
  </si>
  <si>
    <t>BS balances, CF reconciliation, error checks</t>
  </si>
  <si>
    <t>DCF Valuation</t>
  </si>
  <si>
    <t>Discounted Cash Flow analysis (WACC, terminal value)</t>
  </si>
  <si>
    <t>Scenario Analysis</t>
  </si>
  <si>
    <t>Bull / Base / Bear case outputs</t>
  </si>
  <si>
    <t>Sources &amp; Footnotes</t>
  </si>
  <si>
    <t>COLOR CODING LEGEND</t>
  </si>
  <si>
    <t>🔵</t>
  </si>
  <si>
    <t>BLUE cells</t>
  </si>
  <si>
    <t>Hardcoded inputs / assumptions (user changes these)</t>
  </si>
  <si>
    <t>⬛</t>
  </si>
  <si>
    <t>BLACK cells</t>
  </si>
  <si>
    <t>Formulas &amp; calculations (model calculates these)</t>
  </si>
  <si>
    <t>🟢</t>
  </si>
  <si>
    <t>GREEN cells</t>
  </si>
  <si>
    <t>Links from other worksheets within workbook</t>
  </si>
  <si>
    <t>🟡</t>
  </si>
  <si>
    <t>YELLOW cells</t>
  </si>
  <si>
    <t>Flags / checks / key assumptions needing attention</t>
  </si>
  <si>
    <t>🔴</t>
  </si>
  <si>
    <t>RED cells</t>
  </si>
  <si>
    <t>External links to other files</t>
  </si>
  <si>
    <t>Table of contents &amp; model map</t>
  </si>
  <si>
    <t>KPI dashboard, operating metrics, key ratios</t>
  </si>
  <si>
    <t>Master Assumptions</t>
  </si>
  <si>
    <t>Key drivers: revenue growth, margins, CapEx, tax, WACC</t>
  </si>
  <si>
    <t>Historical Financials</t>
  </si>
  <si>
    <t>Forecast Model</t>
  </si>
  <si>
    <t>Projected IS + BS + CF (vertical 3-statement model)</t>
  </si>
  <si>
    <t>Supporting Schedules</t>
  </si>
  <si>
    <t>WACC vs. growth, revenue vs. margin data tables</t>
  </si>
  <si>
    <t>MASTER ASSUMPTIONS</t>
  </si>
  <si>
    <t>Gross Margin %</t>
  </si>
  <si>
    <t>SG&amp;A % of Revenue</t>
  </si>
  <si>
    <t>D&amp;A % of Revenue</t>
  </si>
  <si>
    <t>SECTION 2: HISTORICAL FINANCIALS &amp; ANALYSIS</t>
  </si>
  <si>
    <t>Historical IS + BS + CF (vertical 3-statement)</t>
  </si>
  <si>
    <t>[DUOLINGO] ([DUOL-US])</t>
  </si>
  <si>
    <t xml:space="preserve">INCOME STATEMENT </t>
  </si>
  <si>
    <t>2020A</t>
  </si>
  <si>
    <t>2021A</t>
  </si>
  <si>
    <t>2022A</t>
  </si>
  <si>
    <t>2023A</t>
  </si>
  <si>
    <t>Revenue</t>
  </si>
  <si>
    <t>COGS (excl. D&amp;A)</t>
  </si>
  <si>
    <t>Gross Profit (excl. D&amp;A)</t>
  </si>
  <si>
    <t>R&amp;D Expense</t>
  </si>
  <si>
    <t>SG&amp;A Expense</t>
  </si>
  <si>
    <t>D&amp;A Expense</t>
  </si>
  <si>
    <t>EBIT</t>
  </si>
  <si>
    <t>Interest Income</t>
  </si>
  <si>
    <t>EBT</t>
  </si>
  <si>
    <t>Income Taxes</t>
  </si>
  <si>
    <t>Equity in Affiliates</t>
  </si>
  <si>
    <t>Net Income</t>
  </si>
  <si>
    <t>BALANCE STATEMENT</t>
  </si>
  <si>
    <t>Assets</t>
  </si>
  <si>
    <t>Cash &amp; Short-Term Investments</t>
  </si>
  <si>
    <t>Accounts Receivable</t>
  </si>
  <si>
    <t>Other Receivables</t>
  </si>
  <si>
    <t>Inventories</t>
  </si>
  <si>
    <t>Other Current Assets</t>
  </si>
  <si>
    <t>Total Current Assets</t>
  </si>
  <si>
    <t>Net PP&amp;E</t>
  </si>
  <si>
    <t>Goodwill</t>
  </si>
  <si>
    <t>Other Intangible Assets</t>
  </si>
  <si>
    <t>Long-Term Investments</t>
  </si>
  <si>
    <t>Deferred Tax Assets</t>
  </si>
  <si>
    <t>Other Non-Current Assets</t>
  </si>
  <si>
    <t>Total Non-Current Assets</t>
  </si>
  <si>
    <t>Total Assets</t>
  </si>
  <si>
    <t>Liabilities</t>
  </si>
  <si>
    <t>Accounts Payable</t>
  </si>
  <si>
    <t>Income Tax Payable</t>
  </si>
  <si>
    <t>Other Current Liabilities</t>
  </si>
  <si>
    <t>Total 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</si>
  <si>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</si>
  <si>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</si>
  <si>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</si>
  <si>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</si>
  <si>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</si>
  <si>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>Shareholders' Equity</t>
  </si>
  <si>
    <t>Common Stock &amp; APIC</t>
  </si>
  <si>
    <t>Retained Earnings</t>
  </si>
  <si>
    <t>Treasury Stock</t>
  </si>
  <si>
    <t>Other Comprehensive Income</t>
  </si>
  <si>
    <t>Total Shareholders' Equity</t>
  </si>
  <si>
    <t>Total Liabilities &amp; Equity</t>
  </si>
  <si>
    <t xml:space="preserve">CASH FLOW STATEMENT  </t>
  </si>
  <si>
    <t>Operating Activities</t>
  </si>
  <si>
    <t>D&amp;A</t>
  </si>
  <si>
    <t>Deferred Taxes</t>
  </si>
  <si>
    <t>Stock-Based Compensation &amp; Other</t>
  </si>
  <si>
    <t>Changes in Working Capital:</t>
  </si>
  <si>
    <t xml:space="preserve">  (Increase) / Decrease in Receivables</t>
  </si>
  <si>
    <t xml:space="preserve">  (Increase) / Decrease in Inventories</t>
  </si>
  <si>
    <t xml:space="preserve">  Increase / (Decrease) in Accounts Payable</t>
  </si>
  <si>
    <t xml:space="preserve">  Other Working Capital Changes</t>
  </si>
  <si>
    <t>Cash Flow from Operations</t>
  </si>
  <si>
    <t>Investing Activities</t>
  </si>
  <si>
    <t>Capital Expenditures</t>
  </si>
  <si>
    <t>Acquisitions</t>
  </si>
  <si>
    <t>Purchase / Sale of Investments</t>
  </si>
  <si>
    <t>Other Investing Activities</t>
  </si>
  <si>
    <t>Cash Flow from Investing</t>
  </si>
  <si>
    <t>Financing Activities</t>
  </si>
  <si>
    <t>Dividends Paid</t>
  </si>
  <si>
    <t>Share Repurchases</t>
  </si>
  <si>
    <t>Stock Issuances</t>
  </si>
  <si>
    <t>Debt Issuance / (Repayment)</t>
  </si>
  <si>
    <t>Cash Flow from Financing</t>
  </si>
  <si>
    <t>Effect of Exchange Rate</t>
  </si>
  <si>
    <t>Net Change in Cash</t>
  </si>
  <si>
    <t>2024A</t>
  </si>
  <si>
    <t xml:space="preserve">All figures in millions of </t>
  </si>
  <si>
    <t>U.S. Dollars unless stated</t>
  </si>
  <si>
    <t>Unusual Expense</t>
  </si>
  <si>
    <t xml:space="preserve">Other Income </t>
  </si>
  <si>
    <t>Short-Term Debt &amp; Curr. LT Portion</t>
  </si>
  <si>
    <t>Preferred Stock</t>
  </si>
  <si>
    <t xml:space="preserve">  Other Accurals</t>
  </si>
  <si>
    <t xml:space="preserve">Others </t>
  </si>
  <si>
    <t xml:space="preserve">REVENUE GROWTH: </t>
  </si>
  <si>
    <t>Total Revenue ($M)</t>
  </si>
  <si>
    <t xml:space="preserve">YoY Growth % </t>
  </si>
  <si>
    <t>5Y CAGR</t>
  </si>
  <si>
    <t xml:space="preserve">SECTION A: GROWTH AND MARGIN ANALYSIS </t>
  </si>
  <si>
    <t>Trend</t>
  </si>
  <si>
    <t xml:space="preserve">GROSS MARGIN: </t>
  </si>
  <si>
    <t>Gross Profit ($M)</t>
  </si>
  <si>
    <t>Gross Profit %</t>
  </si>
  <si>
    <t xml:space="preserve">OPEX ANALYSIS: </t>
  </si>
  <si>
    <t xml:space="preserve">R&amp;D % of Revenue </t>
  </si>
  <si>
    <t>Total Opex % of Revenue</t>
  </si>
  <si>
    <t>PROFITABILITY:</t>
  </si>
  <si>
    <t xml:space="preserve">Operating Margin % </t>
  </si>
  <si>
    <t>Net Margin %</t>
  </si>
  <si>
    <t>EBITDA Margin %</t>
  </si>
  <si>
    <t>SECTION B: CASH GENERATION AND CAPITAL EFFICIENCY</t>
  </si>
  <si>
    <t>CASH FLOW QUALITY:</t>
  </si>
  <si>
    <t>OCF</t>
  </si>
  <si>
    <t>FCF</t>
  </si>
  <si>
    <t xml:space="preserve">Trend </t>
  </si>
  <si>
    <t>Changes in WC ($M):</t>
  </si>
  <si>
    <t xml:space="preserve">Net WC Impact </t>
  </si>
  <si>
    <t>DSO</t>
  </si>
  <si>
    <t>DPO</t>
  </si>
  <si>
    <t>CCC</t>
  </si>
  <si>
    <t xml:space="preserve">       Changes in AP</t>
  </si>
  <si>
    <t xml:space="preserve">       Changes in Accurals</t>
  </si>
  <si>
    <t xml:space="preserve">       Other WC changes </t>
  </si>
  <si>
    <t>WC DYNAMICS:</t>
  </si>
  <si>
    <t>CAPEX REQUIREMENTS:</t>
  </si>
  <si>
    <r>
      <t xml:space="preserve">     </t>
    </r>
    <r>
      <rPr>
        <i/>
        <sz val="12"/>
        <color theme="1"/>
        <rFont val="Aptos Narrow"/>
        <scheme val="minor"/>
      </rPr>
      <t xml:space="preserve">  Changes in AR</t>
    </r>
  </si>
  <si>
    <t xml:space="preserve">CapEx ($M) </t>
  </si>
  <si>
    <t xml:space="preserve">      as % of Revenue </t>
  </si>
  <si>
    <t>CapEx / Depreciation</t>
  </si>
  <si>
    <t>SECTION C: BALANCE SHEET HEALTH AND RETURN METRICS</t>
  </si>
  <si>
    <t xml:space="preserve">LIQUIDITY: </t>
  </si>
  <si>
    <t xml:space="preserve">Current Ratio </t>
  </si>
  <si>
    <t>Quick Ratio</t>
  </si>
  <si>
    <t>LEVERAGE:</t>
  </si>
  <si>
    <t xml:space="preserve">Total Debt </t>
  </si>
  <si>
    <t>Equity</t>
  </si>
  <si>
    <t>Debt / Equity</t>
  </si>
  <si>
    <t>ICR</t>
  </si>
  <si>
    <t>N/A</t>
  </si>
  <si>
    <t>EQUITY  &amp; RETAINED EARNINGS:</t>
  </si>
  <si>
    <t>Total Shareholder's Equity</t>
  </si>
  <si>
    <t xml:space="preserve">YoY equity Growth </t>
  </si>
  <si>
    <t>RETURN METRICS:</t>
  </si>
  <si>
    <t>RoE(%)</t>
  </si>
  <si>
    <t xml:space="preserve">       =NI/Shareholder's Equity</t>
  </si>
  <si>
    <t>RoA(%)</t>
  </si>
  <si>
    <t xml:space="preserve">       =Net Income/Avg Assets</t>
  </si>
  <si>
    <t>ROIC(%)</t>
  </si>
  <si>
    <t xml:space="preserve">          EBIT</t>
  </si>
  <si>
    <t xml:space="preserve">          x (1-Tax rate)</t>
  </si>
  <si>
    <t xml:space="preserve">         =NOPAT</t>
  </si>
  <si>
    <t xml:space="preserve">         Invested Capital</t>
  </si>
  <si>
    <t xml:space="preserve">        Total Equity </t>
  </si>
  <si>
    <t xml:space="preserve">              +Total Debt </t>
  </si>
  <si>
    <t xml:space="preserve">              -Excess Cash</t>
  </si>
  <si>
    <t xml:space="preserve">        = Invested Capital</t>
  </si>
  <si>
    <t xml:space="preserve">        = NOPAT/Invested Capital</t>
  </si>
  <si>
    <t>Duolingo, Inc. (DUOL)  |  Scenario-Driven Forecast Assumptions</t>
  </si>
  <si>
    <t>SCENARIO SELECTOR</t>
  </si>
  <si>
    <t>Active Scenario:</t>
  </si>
  <si>
    <t>Scenario Code:</t>
  </si>
  <si>
    <t>(1=Bull, 2=Base, 3=Bear)</t>
  </si>
  <si>
    <t>ACTIVE ASSUMPTIONS</t>
  </si>
  <si>
    <t>2025E</t>
  </si>
  <si>
    <t>2026E</t>
  </si>
  <si>
    <t>2027E</t>
  </si>
  <si>
    <t>2028E</t>
  </si>
  <si>
    <t>2029E</t>
  </si>
  <si>
    <t>REVENUE &amp; MARGINS</t>
  </si>
  <si>
    <t>Revenue Growth %</t>
  </si>
  <si>
    <t>OPERATING EXPENSES (% of Revenue)</t>
  </si>
  <si>
    <t>R&amp;D %</t>
  </si>
  <si>
    <t>SG&amp;A %</t>
  </si>
  <si>
    <t>D&amp;A %</t>
  </si>
  <si>
    <t>TAX &amp; OTHER</t>
  </si>
  <si>
    <t>Effective Tax Rate %</t>
  </si>
  <si>
    <t>BALANCE SHEET &amp; CAPEX</t>
  </si>
  <si>
    <t>DSO (Days)</t>
  </si>
  <si>
    <t>DPO (Days)</t>
  </si>
  <si>
    <t>VALUATION PARAMETERS</t>
  </si>
  <si>
    <t>Terminal Growth Rate</t>
  </si>
  <si>
    <t>Bear Case</t>
  </si>
  <si>
    <t>Revenue ($M)</t>
  </si>
  <si>
    <t>Bull Case</t>
  </si>
  <si>
    <t>Bull</t>
  </si>
  <si>
    <t>Base Case</t>
  </si>
  <si>
    <t>YoY Growth %</t>
  </si>
  <si>
    <t>MAU (M)</t>
  </si>
  <si>
    <t>DAU (M)</t>
  </si>
  <si>
    <t>DAU/MAU Ratio</t>
  </si>
  <si>
    <t>Paid Subscribers (M)</t>
  </si>
  <si>
    <t>Paid Conversion %</t>
  </si>
  <si>
    <t>ARPPU ($/yr)</t>
  </si>
  <si>
    <t>INCOME STATEMENT</t>
  </si>
  <si>
    <t>All figures in millions of euros</t>
  </si>
  <si>
    <t>unless stated otherwise</t>
  </si>
  <si>
    <t>SECTION 3: ASSUMPTIONS &amp; SUPPORTING SCHEDULES</t>
  </si>
  <si>
    <t>Supporting analysis, Bull/Bear cases</t>
  </si>
  <si>
    <t>SECTION 5: VALUATION</t>
  </si>
  <si>
    <t>SECTION 6: OUTPUTS &amp; ANALYSIS</t>
  </si>
  <si>
    <t>REVENUE SCHEDULE</t>
  </si>
  <si>
    <t>SUPPORTING SCHEDULES</t>
  </si>
  <si>
    <t xml:space="preserve">Duolingo, Inc. (DUOL) </t>
  </si>
  <si>
    <t>Growth Deceleration (ppt)</t>
  </si>
  <si>
    <t>avg</t>
  </si>
  <si>
    <t>Observation: Revenue growth decelerating ~5-8 ppt/year from 55% to 41%. Classic high-growth SaaS deceleration pattern as base grows.</t>
  </si>
  <si>
    <t>Driver-Based Revenue Build-Up</t>
  </si>
  <si>
    <t>Revenue = MAU × Paid Conversion % × ARPPU</t>
  </si>
  <si>
    <t>4Y CAGR</t>
  </si>
  <si>
    <t>Slowing (33%→33%)</t>
  </si>
  <si>
    <t xml:space="preserve">  YoY Growth %</t>
  </si>
  <si>
    <t>Faster than MAU</t>
  </si>
  <si>
    <t>Improving engagement</t>
  </si>
  <si>
    <t>Strong sub growth</t>
  </si>
  <si>
    <t>Key driver: conversion ↑</t>
  </si>
  <si>
    <t>Declining (mix shift)</t>
  </si>
  <si>
    <t>Scenario Assumptions — Revenue Growth Rates</t>
  </si>
  <si>
    <t>Avg</t>
  </si>
  <si>
    <t>Logic</t>
  </si>
  <si>
    <t>~5 ppt/yr decel</t>
  </si>
  <si>
    <t xml:space="preserve">  Deceleration (ppt)</t>
  </si>
  <si>
    <t>~6-7 ppt/yr decel</t>
  </si>
  <si>
    <t>~8-10 ppt/yr decel</t>
  </si>
  <si>
    <t>Scenario Rationale</t>
  </si>
  <si>
    <t>Bull Case (27.6% avg growth)</t>
  </si>
  <si>
    <t>• Duolingo Max (AI tier) drives 2-3 ppt conversion uplift annually</t>
  </si>
  <si>
    <t>• New verticals (Math, Music) expand TAM by 20-30%</t>
  </si>
  <si>
    <t>• International expansion in Asia-Pacific accelerates MAU growth</t>
  </si>
  <si>
    <t>• Gamification moat sustains engagement vs competitors</t>
  </si>
  <si>
    <t>Base Case (21.4% avg growth)</t>
  </si>
  <si>
    <t>• ARPPU stable as geographic mix stabilizes</t>
  </si>
  <si>
    <t>Bear Case (14.6% avg growth)</t>
  </si>
  <si>
    <t>• Competitive pressure from free alternatives (ChatGPT, YouTube)</t>
  </si>
  <si>
    <t>• Macro headwinds reduce discretionary ed-tech spend</t>
  </si>
  <si>
    <t>• Conversion rate plateaus as casual users dominate growth</t>
  </si>
  <si>
    <t>• New verticals underperform vs core language learning</t>
  </si>
  <si>
    <t>Key Sensitivity: Each 1 ppt change in growth rate = ~$15M revenue impact in Year 1, compounding to ~$100M by Year 5</t>
  </si>
  <si>
    <t xml:space="preserve">• Paid subscriber growth moderates </t>
  </si>
  <si>
    <t xml:space="preserve">• Continues historical deceleration </t>
  </si>
  <si>
    <t xml:space="preserve">Key Insight: Revenue growth driven by MAU growth + conversion improvement, partially offset by ARPPU decline (international mix shift). </t>
  </si>
  <si>
    <t xml:space="preserve">Scenario Assumptions — Gross Margin </t>
  </si>
  <si>
    <t>Gross Proft($M)</t>
  </si>
  <si>
    <t>Gross Margin%</t>
  </si>
  <si>
    <t>Scale leverage on AI/hosting</t>
  </si>
  <si>
    <t>~50bps/yr expansion</t>
  </si>
  <si>
    <t>Flat w/ slight improvement</t>
  </si>
  <si>
    <t>~20bps/yr expansion</t>
  </si>
  <si>
    <t>AI costs + new verticals</t>
  </si>
  <si>
    <t>~50bps/yr compression</t>
  </si>
  <si>
    <t>GROSS MARGIN  ASSUMPTIONS</t>
  </si>
  <si>
    <t xml:space="preserve">OPERATING EXPENSES ASSUMPTIONS </t>
  </si>
  <si>
    <t>Scenario Assumptions — R&amp;D % of Revenue</t>
  </si>
  <si>
    <t>Strong leverage on eng costs</t>
  </si>
  <si>
    <t>~100bps/yr decline</t>
  </si>
  <si>
    <t>Moderate leverage</t>
  </si>
  <si>
    <t>~50bps/yr decline</t>
  </si>
  <si>
    <t>R&amp;D % of Revenue</t>
  </si>
  <si>
    <t>Scenario Assumptions — SG&amp;A % of Revenue</t>
  </si>
  <si>
    <t>Marketing efficiency at scale</t>
  </si>
  <si>
    <t>Scenario Assumptions — D&amp;A % of Revenue</t>
  </si>
  <si>
    <t>All Scenarios</t>
  </si>
  <si>
    <t>Follows CapEx policy</t>
  </si>
  <si>
    <t>Note: D&amp;A is constant across scenarios as it follows CapEx policy, not revenue scenario</t>
  </si>
  <si>
    <t>Higher Historical Cyclicality</t>
  </si>
  <si>
    <t>Can maintain current mix</t>
  </si>
  <si>
    <t>Higher Historical average</t>
  </si>
  <si>
    <t xml:space="preserve">TAX SCHEDULE </t>
  </si>
  <si>
    <t>(Constant across all scenarios - tax policy driven)</t>
  </si>
  <si>
    <t>2023A ETR: 9.6% | 2024A ETR: 13.4% | US Statutory: 21%</t>
  </si>
  <si>
    <t>Year</t>
  </si>
  <si>
    <t>Rationale / Logic</t>
  </si>
  <si>
    <t>Effective Tax Rate</t>
  </si>
  <si>
    <t>NOL phase-out; R&amp;D credits persist</t>
  </si>
  <si>
    <t>Year-over-Year Change</t>
  </si>
  <si>
    <t>Key Assumptions:</t>
  </si>
  <si>
    <t>• NOL carryforwards from 2020-2022 losses provide near-term benefit</t>
  </si>
  <si>
    <t>• R&amp;D tax credits (~3-4% benefit) expected to persist through forecast</t>
  </si>
  <si>
    <t>Historical Context</t>
  </si>
  <si>
    <t>BALANCE SHEET</t>
  </si>
  <si>
    <t>CASH FLOW STATEMENT</t>
  </si>
  <si>
    <t>INTEGRATION CHECK</t>
  </si>
  <si>
    <t>STATUS</t>
  </si>
  <si>
    <t>CHECK</t>
  </si>
  <si>
    <t>DESCRIPTION</t>
  </si>
  <si>
    <t>Balance Sheet Balances</t>
  </si>
  <si>
    <t>Assets = Liabilities + Equity</t>
  </si>
  <si>
    <t>NI (IS) = NI (CF Statement)</t>
  </si>
  <si>
    <t>D&amp;A Consistency</t>
  </si>
  <si>
    <t>D&amp;A (IS) = D&amp;A (CF add-back)</t>
  </si>
  <si>
    <t>Note:</t>
  </si>
  <si>
    <t>Duolingo, Inc. (DUOL)</t>
  </si>
  <si>
    <t>Net Income → Cash Flow</t>
  </si>
  <si>
    <t>Cash Flow Foots</t>
  </si>
  <si>
    <t>CFO + CFI + CFF = Net Δ Cash</t>
  </si>
  <si>
    <t>Differences should be 0.000 (small rounding OK). Non-zero = broken link.</t>
  </si>
  <si>
    <t>WORKING CAPITAL SCHEDULE</t>
  </si>
  <si>
    <t>Assuming they remain same for all scenarios</t>
  </si>
  <si>
    <t>Scenario Assumptions - DSO, DIO, DPO</t>
  </si>
  <si>
    <t>Days in Period</t>
  </si>
  <si>
    <t>WC Schedule</t>
  </si>
  <si>
    <t xml:space="preserve">                         Revenue </t>
  </si>
  <si>
    <t xml:space="preserve">                         Receivables</t>
  </si>
  <si>
    <t xml:space="preserve">                         Revenue/(Days in Period)</t>
  </si>
  <si>
    <r>
      <t xml:space="preserve">                         </t>
    </r>
    <r>
      <rPr>
        <b/>
        <sz val="12"/>
        <color theme="1"/>
        <rFont val="Aptos Narrow"/>
        <scheme val="minor"/>
      </rPr>
      <t>DSO</t>
    </r>
  </si>
  <si>
    <t>Accounts Receivables:</t>
  </si>
  <si>
    <t xml:space="preserve">                         * taking avg of last 2 years assuming it has stabilized</t>
  </si>
  <si>
    <t>Accounts Payables:</t>
  </si>
  <si>
    <t xml:space="preserve">                         Payables</t>
  </si>
  <si>
    <t xml:space="preserve">                         COGS</t>
  </si>
  <si>
    <r>
      <t xml:space="preserve">                         </t>
    </r>
    <r>
      <rPr>
        <b/>
        <sz val="12"/>
        <color theme="1"/>
        <rFont val="Aptos Narrow"/>
        <scheme val="minor"/>
      </rPr>
      <t>DPO</t>
    </r>
  </si>
  <si>
    <t xml:space="preserve">                         COGS/(Days in Period)</t>
  </si>
  <si>
    <t>OTHER CURRENT ASSETS ASSUMPTIONS</t>
  </si>
  <si>
    <t xml:space="preserve">Scenario Assumptions - Other Receivables &amp; Other Current Assets </t>
  </si>
  <si>
    <t xml:space="preserve">Other Current Assets </t>
  </si>
  <si>
    <t xml:space="preserve">Revenue </t>
  </si>
  <si>
    <t>Other Receivables as % of Revenue</t>
  </si>
  <si>
    <t xml:space="preserve">Other Current Assets as % of Revenue </t>
  </si>
  <si>
    <t xml:space="preserve">Avg </t>
  </si>
  <si>
    <t>As % of Revenues</t>
  </si>
  <si>
    <t>Other Receivables % of Revenue</t>
  </si>
  <si>
    <t>Other Current Assets % of Revenue</t>
  </si>
  <si>
    <t xml:space="preserve">PP&amp;E SCHEDULE </t>
  </si>
  <si>
    <t xml:space="preserve">Scenario Assumptions - PP&amp;E </t>
  </si>
  <si>
    <t xml:space="preserve">CapEx as % of Revenues </t>
  </si>
  <si>
    <t>Depreciation as % of Revenues</t>
  </si>
  <si>
    <t>CapEx as % of Revenue</t>
  </si>
  <si>
    <t>Depreciation as % of Revenue</t>
  </si>
  <si>
    <t>PP&amp;E Calculations</t>
  </si>
  <si>
    <t>Beginning Net PP&amp;E</t>
  </si>
  <si>
    <t xml:space="preserve">     (+) Capex</t>
  </si>
  <si>
    <t xml:space="preserve">     (-) Depreciation</t>
  </si>
  <si>
    <t>Ending Net PP&amp;E</t>
  </si>
  <si>
    <t xml:space="preserve"> </t>
  </si>
  <si>
    <t>Historical Debt</t>
  </si>
  <si>
    <t>ST Debt</t>
  </si>
  <si>
    <t>LT Debt</t>
  </si>
  <si>
    <t>Total Debt</t>
  </si>
  <si>
    <t>DEBT SCHEDULE - GRADUAL PAYDOWN METHOD</t>
  </si>
  <si>
    <t>Debt Calculations</t>
  </si>
  <si>
    <t xml:space="preserve">Beginning LT Debt </t>
  </si>
  <si>
    <t xml:space="preserve">               (-) Repayments</t>
  </si>
  <si>
    <t xml:space="preserve">               (+) Issuances</t>
  </si>
  <si>
    <t>Ending LT Debt</t>
  </si>
  <si>
    <t>INCOME TAX PAYABLE CALCULATIONS</t>
  </si>
  <si>
    <t>Forecast Assumptions</t>
  </si>
  <si>
    <t>Income Tax Payable (% of Tax Expense)</t>
  </si>
  <si>
    <t xml:space="preserve">Income Tax Payable </t>
  </si>
  <si>
    <t>Income Tax Expense</t>
  </si>
  <si>
    <t>Tax Payable/Tax Expense</t>
  </si>
  <si>
    <t>Income Tax Payable % of Tax Expense</t>
  </si>
  <si>
    <t>OTHER CURRENT LIABILITIES</t>
  </si>
  <si>
    <t>Other CL (% of Revenue)</t>
  </si>
  <si>
    <t>Other CL</t>
  </si>
  <si>
    <t xml:space="preserve">     as % of CL </t>
  </si>
  <si>
    <t>Other CL % of Revenue</t>
  </si>
  <si>
    <t>EQUITY SCHEDULE</t>
  </si>
  <si>
    <t>Historical Analysis -SBC &amp; Stock Issuances</t>
  </si>
  <si>
    <t>SBC</t>
  </si>
  <si>
    <t xml:space="preserve">        as % of Revenue</t>
  </si>
  <si>
    <t>Common Stock &amp; APIC Schedule</t>
  </si>
  <si>
    <t xml:space="preserve">Beginning of Period </t>
  </si>
  <si>
    <t xml:space="preserve">                (+) Stock Issuances</t>
  </si>
  <si>
    <t xml:space="preserve">                (+) SBC</t>
  </si>
  <si>
    <t xml:space="preserve">                (-) Repurchases</t>
  </si>
  <si>
    <t>Ending of Period</t>
  </si>
  <si>
    <t>RE Schedule</t>
  </si>
  <si>
    <t>BoP - Retained Earnings</t>
  </si>
  <si>
    <t xml:space="preserve">           (+) Net Income</t>
  </si>
  <si>
    <t xml:space="preserve">           (-) Dividends</t>
  </si>
  <si>
    <t>EoP - Retained Earnings</t>
  </si>
  <si>
    <t>SBC % of Revenue</t>
  </si>
  <si>
    <t>INTEREST INCOME</t>
  </si>
  <si>
    <t>INTEREST INCOME SCHEDULE</t>
  </si>
  <si>
    <t>Beginning Cash</t>
  </si>
  <si>
    <t>Interest Rate</t>
  </si>
  <si>
    <t xml:space="preserve">                        Other WC Changes </t>
  </si>
  <si>
    <t xml:space="preserve">                                   as % of Revenue</t>
  </si>
  <si>
    <t>Other WC Changes and Other Accurals:</t>
  </si>
  <si>
    <t xml:space="preserve">                        Other Accurals</t>
  </si>
  <si>
    <t xml:space="preserve">DCF VALUATION </t>
  </si>
  <si>
    <t>Risk-Free Rate (Rf)</t>
  </si>
  <si>
    <t>Equity risk premium (ERP)</t>
  </si>
  <si>
    <t>Beta (Levered)</t>
  </si>
  <si>
    <t xml:space="preserve">Cost of Equity(Ke) </t>
  </si>
  <si>
    <t>Cost of Equity (CAPM):</t>
  </si>
  <si>
    <t>Cost of Debt:</t>
  </si>
  <si>
    <t>Pre-tax Cost of Debt (Kd)</t>
  </si>
  <si>
    <t>Tax rate</t>
  </si>
  <si>
    <t>After-Tax Cost of Debt</t>
  </si>
  <si>
    <t xml:space="preserve">Weight of Equity </t>
  </si>
  <si>
    <t xml:space="preserve">Weight of Debt </t>
  </si>
  <si>
    <t xml:space="preserve">Weighted Average Cost of Capital </t>
  </si>
  <si>
    <t>SECTION 1: CAPITAL STRUCTURE</t>
  </si>
  <si>
    <t xml:space="preserve">SECTION 2: FREE CASH FLOW SCHEDULE </t>
  </si>
  <si>
    <t xml:space="preserve">EBIT </t>
  </si>
  <si>
    <t xml:space="preserve">    % Margin</t>
  </si>
  <si>
    <t>Less: Taxes on EBIT</t>
  </si>
  <si>
    <t>NOPAT (EBIT x (1-Tax rate)</t>
  </si>
  <si>
    <t>Plus: D&amp;A</t>
  </si>
  <si>
    <t>Less: CapEx</t>
  </si>
  <si>
    <t xml:space="preserve">Less: Change in NWC </t>
  </si>
  <si>
    <t xml:space="preserve">Unlevered Free Cash Flow </t>
  </si>
  <si>
    <t xml:space="preserve">          % Conversion (UCF/NOPAT)</t>
  </si>
  <si>
    <t>Plus: SBC</t>
  </si>
  <si>
    <t xml:space="preserve">SECTION 3: DISCOUNTING &amp; PRESENT VALUE  </t>
  </si>
  <si>
    <t xml:space="preserve">Discount Period (Mid Year Convention) </t>
  </si>
  <si>
    <t>Discount Factor</t>
  </si>
  <si>
    <t>PV of FCF</t>
  </si>
  <si>
    <t>Sum of FCF</t>
  </si>
  <si>
    <t>SECTION 4: TERMINAL VALUE CALCULATION</t>
  </si>
  <si>
    <t xml:space="preserve">Perpetual Growth Method </t>
  </si>
  <si>
    <t>Terminal Year FCF (2029E)</t>
  </si>
  <si>
    <t>Perpetual Growth Rate</t>
  </si>
  <si>
    <t>Terminal Value (Perpetuity)</t>
  </si>
  <si>
    <t>PV of Terminal Value</t>
  </si>
  <si>
    <t>SECTION 5: ENTERPRISE VALUE TO EQUITY VALUE</t>
  </si>
  <si>
    <t>Sum of PV of FCF</t>
  </si>
  <si>
    <t>Enterprise Value</t>
  </si>
  <si>
    <t>Less: Total Debt</t>
  </si>
  <si>
    <t>Plus: Cash &amp; Equivalents</t>
  </si>
  <si>
    <t>Less: Minority Interest</t>
  </si>
  <si>
    <t>Less: Preferred Stock</t>
  </si>
  <si>
    <t>Plus: Equity Investments</t>
  </si>
  <si>
    <t>Equity Value</t>
  </si>
  <si>
    <t>Shares Outstanding (mm)</t>
  </si>
  <si>
    <t>Implied Share Price ($)</t>
  </si>
  <si>
    <t>Fully Diluted Shares Outstanding(mm)</t>
  </si>
  <si>
    <t>Implied Share Price -Diluted ($)</t>
  </si>
  <si>
    <t xml:space="preserve">SENSITIVITY ANALYSIS </t>
  </si>
  <si>
    <t>Sensitivity Analysis</t>
  </si>
  <si>
    <t>WACC</t>
  </si>
  <si>
    <t>GROWTH RATE</t>
  </si>
  <si>
    <t>WACC vs. PERPETUAL GROWTH RATE</t>
  </si>
  <si>
    <t>Implied Price (Diluted)</t>
  </si>
  <si>
    <t>Implied Diluted Share Price across WACC and Perpetual Growth Rate assumptions</t>
  </si>
  <si>
    <t>BASE</t>
  </si>
  <si>
    <t>TERMINAL EBIT MARGIN vs. REVENUE CAGR</t>
  </si>
  <si>
    <t>Implied Diluted Share Price across Terminal EBIT Margin and Revenue CAGR (2024-2029E)</t>
  </si>
  <si>
    <t>EBIT Margin</t>
  </si>
  <si>
    <t>Summary</t>
  </si>
  <si>
    <t>MIN / BASE / MAX</t>
  </si>
  <si>
    <t>MIN</t>
  </si>
  <si>
    <t>MAX</t>
  </si>
  <si>
    <t xml:space="preserve">REVENUE CAGR </t>
  </si>
  <si>
    <t>SECTION 7: REFERENCE &amp; DATA</t>
  </si>
  <si>
    <t>Base</t>
  </si>
  <si>
    <t>Bear</t>
  </si>
  <si>
    <t>Enterprise Value ($M)</t>
  </si>
  <si>
    <t>2029E Revenue ($M)</t>
  </si>
  <si>
    <t>2029E EBIT Margin</t>
  </si>
  <si>
    <t>Low</t>
  </si>
  <si>
    <t>High</t>
  </si>
  <si>
    <t>Component</t>
  </si>
  <si>
    <t>PV of FCFs</t>
  </si>
  <si>
    <t>Scenario</t>
  </si>
  <si>
    <t>SCENARIO ANALYSIS</t>
  </si>
  <si>
    <t>Range</t>
  </si>
  <si>
    <t>This analysis compares Bull, Base, and Bear scenarios for Duolingo's DCF valuation.</t>
  </si>
  <si>
    <t>SCENARIO VALUATION SUMMARY</t>
  </si>
  <si>
    <t>Implied Share Price</t>
  </si>
  <si>
    <t>Terminal Value</t>
  </si>
  <si>
    <t>2029E Revenue</t>
  </si>
  <si>
    <t>🐂 Bull Case</t>
  </si>
  <si>
    <t>$7,286M</t>
  </si>
  <si>
    <t>$8,164M</t>
  </si>
  <si>
    <t>$5,500M</t>
  </si>
  <si>
    <t>$1,786M</t>
  </si>
  <si>
    <t>$2,522M</t>
  </si>
  <si>
    <t>📊 Base Case</t>
  </si>
  <si>
    <t>$3,935M</t>
  </si>
  <si>
    <t>$4,813M</t>
  </si>
  <si>
    <t>$2,702M</t>
  </si>
  <si>
    <t>$1,234M</t>
  </si>
  <si>
    <t>$1,899M</t>
  </si>
  <si>
    <t>🐻 Bear Case</t>
  </si>
  <si>
    <t>$2,103M</t>
  </si>
  <si>
    <t>$2,981M</t>
  </si>
  <si>
    <t>$1,426M</t>
  </si>
  <si>
    <t>$677M</t>
  </si>
  <si>
    <t>$1,475M</t>
  </si>
  <si>
    <t>CHART DATA - SHARE PRICE BY SCENARIO</t>
  </si>
  <si>
    <t>Share Price ($)</t>
  </si>
  <si>
    <t>CHART DATA - REVENUE TRAJECTORY ($M)</t>
  </si>
  <si>
    <t>CHART DATA - EBIT MARGIN TRAJECTORY (%)</t>
  </si>
  <si>
    <t>CHART DATA - VALUE BRIDGE ($M)</t>
  </si>
  <si>
    <t>KEY ASSUMPTIONS COMPARISON</t>
  </si>
  <si>
    <t>Assumption</t>
  </si>
  <si>
    <t>PROBABILITY-WEIGHTED VALUATION</t>
  </si>
  <si>
    <t>5-Year Revenue CAGR</t>
  </si>
  <si>
    <t>Terminal EBIT Margin</t>
  </si>
  <si>
    <t>Probability</t>
  </si>
  <si>
    <t>Share Price</t>
  </si>
  <si>
    <t>Weighted</t>
  </si>
  <si>
    <t>R&amp;D % (2029E)</t>
  </si>
  <si>
    <t>SG&amp;A % (2029E)</t>
  </si>
  <si>
    <t>Gross Margin (2029E)</t>
  </si>
  <si>
    <t>Expected Value</t>
  </si>
  <si>
    <t>SCENARIO RANGE CHART DATA</t>
  </si>
  <si>
    <t>Metric</t>
  </si>
  <si>
    <t>FOOTBALL FIELD - VALUATION RANGE</t>
  </si>
  <si>
    <t>Valuation Range</t>
  </si>
  <si>
    <t>VALUATION AT A GLANCE</t>
  </si>
  <si>
    <t>Current Stock:</t>
  </si>
  <si>
    <t>~$112</t>
  </si>
  <si>
    <t>Bull Upside:</t>
  </si>
  <si>
    <t>Bear Downside:</t>
  </si>
  <si>
    <t>Base vs Current:</t>
  </si>
  <si>
    <t>SOURCES &amp; FOOTNOTES</t>
  </si>
  <si>
    <t>Input</t>
  </si>
  <si>
    <t>Source / Basis</t>
  </si>
  <si>
    <t>As-Of Date</t>
  </si>
  <si>
    <t>Equity Risk Premium (ERP)</t>
  </si>
  <si>
    <t>Levered Beta</t>
  </si>
  <si>
    <t>Marginal Tax Rate</t>
  </si>
  <si>
    <t>Type</t>
  </si>
  <si>
    <t>[Add rows as needed]</t>
  </si>
  <si>
    <t>SECTION 1: PRIMARY DATA SOURCES</t>
  </si>
  <si>
    <t>#</t>
  </si>
  <si>
    <t>Source Name</t>
  </si>
  <si>
    <t>Access Date</t>
  </si>
  <si>
    <t>URL / Reference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</si>
  <si>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</si>
  <si>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</si>
  <si>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</si>
  <si>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</si>
  <si>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</si>
  <si>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</si>
  <si>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</si>
  <si>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</si>
  <si>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</si>
  <si>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</si>
  <si>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Ref #</t>
  </si>
  <si>
    <t>Tab / Cell</t>
  </si>
  <si>
    <t>Footnote Description</t>
  </si>
  <si>
    <t>Source Ref</t>
  </si>
  <si>
    <t>Impact on Model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</si>
  <si>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</si>
  <si>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</si>
  <si>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</si>
  <si>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</si>
  <si>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</si>
  <si>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</si>
  <si>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</si>
  <si>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</si>
  <si>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</si>
  <si>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</si>
  <si>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Area</t>
  </si>
  <si>
    <t>Methodology Description</t>
  </si>
  <si>
    <t>Applicable Tab(s)</t>
  </si>
  <si>
    <t>Valuation Approach</t>
  </si>
  <si>
    <t>WACC Derivation</t>
  </si>
  <si>
    <t>Revenue Forecast</t>
  </si>
  <si>
    <t>Margin Expansion</t>
  </si>
  <si>
    <t>Working Capital</t>
  </si>
  <si>
    <t>CapEx Treatment</t>
  </si>
  <si>
    <t>SBC Treatment</t>
  </si>
  <si>
    <t>Tax Assumptions</t>
  </si>
  <si>
    <t>Scenario Framework</t>
  </si>
  <si>
    <t>Terminal Growth Rate (g)</t>
  </si>
  <si>
    <t>SECTION 5: REVISION LOG</t>
  </si>
  <si>
    <t>Version</t>
  </si>
  <si>
    <t>Date</t>
  </si>
  <si>
    <t>Author</t>
  </si>
  <si>
    <t>Change Description</t>
  </si>
  <si>
    <t>Tabs Affected</t>
  </si>
  <si>
    <t>v1.0</t>
  </si>
  <si>
    <t>v1.1</t>
  </si>
  <si>
    <t>[e.g., Updated beta + ERP; re-ran sensitivity tables]</t>
  </si>
  <si>
    <t>v1.2</t>
  </si>
  <si>
    <t>v2.0</t>
  </si>
  <si>
    <t>v2.1</t>
  </si>
  <si>
    <t>[Change description]</t>
  </si>
  <si>
    <t>v3.0</t>
  </si>
  <si>
    <t>SECTION 6: DISCLAIMER &amp; LIMITATIONS</t>
  </si>
  <si>
    <t>IMPORTANT: This financial model is prepared for informational and analytical purposes only.</t>
  </si>
  <si>
    <t>[1] This model does not constitute investment advice, a recommendation, or a solicitation to buy or sell securities.</t>
  </si>
  <si>
    <t>[2] All projections are based on assumptions that may not reflect actual future performance.</t>
  </si>
  <si>
    <t>[3] Historical financial data is sourced from public SEC filings and may be subject to restatement.</t>
  </si>
  <si>
    <t>[4] Market data (prices, rates, betas) is point-in-time and subject to change.</t>
  </si>
  <si>
    <t>[5] Model outputs are highly sensitive to input assumptions; users should review the Sensitivity Analysis tab.</t>
  </si>
  <si>
    <t>[6] The author(s) make no warranty as to accuracy or completeness of data or projections.</t>
  </si>
  <si>
    <t>[7] Users should conduct independent due diligence before making any investment decisions.</t>
  </si>
  <si>
    <t>Duolingo, Inc. (DUOL)  |  Data Sources, Market Inputs, Methodology &amp; Audit Trail</t>
  </si>
  <si>
    <t>Data Used For</t>
  </si>
  <si>
    <t>Tabs Referenced</t>
  </si>
  <si>
    <t>SECTION 2: EXTERNAL MARKET INPUTS USED</t>
  </si>
  <si>
    <t>Value Used</t>
  </si>
  <si>
    <t>Feeds Into</t>
  </si>
  <si>
    <t>EdTech TAM ($bn)</t>
  </si>
  <si>
    <t>Consensus Revenue FY25E ($mm)</t>
  </si>
  <si>
    <t>Consensus EPS FY25E</t>
  </si>
  <si>
    <t>SECTION 3: FOOTNOTES &amp; ADJUSTMENTS</t>
  </si>
  <si>
    <t>SECTION 4: METHODOLOGY NOTES</t>
  </si>
  <si>
    <t>[Add]</t>
  </si>
  <si>
    <t>Data sources, market inputs, methodology, revision log, disclaimers</t>
  </si>
  <si>
    <t>SEC EDGAR — DUOL 10-K (FY2024)</t>
  </si>
  <si>
    <t>SEC Filing</t>
  </si>
  <si>
    <t>Full-year audited financial statements (IS, BS, CF); MD&amp;A; risk factors</t>
  </si>
  <si>
    <t>https://www.sec.gov/cgi-bin/browse-edgar?action=getcompany&amp;CIK=DUOL&amp;type=10-K</t>
  </si>
  <si>
    <t>SEC EDGAR — DUOL 10-K (FY2023)</t>
  </si>
  <si>
    <t>Prior-year audited financials; year-over-year growth derivation</t>
  </si>
  <si>
    <t>SEC EDGAR — DUOL 10-K (FY2020–2022)</t>
  </si>
  <si>
    <t>Historical trend analysis; 5-year CAGR computation; margin trajectory</t>
  </si>
  <si>
    <t>Various</t>
  </si>
  <si>
    <t>FactSet — CAPM Market Data</t>
  </si>
  <si>
    <t>Terminal / Data Provider</t>
  </si>
  <si>
    <t>Risk-free rate, equity risk premium, levered beta (5Y monthly regression)</t>
  </si>
  <si>
    <t>FactSet Research Systems (subscription terminal)</t>
  </si>
  <si>
    <t>FactSet — Consensus Estimates</t>
  </si>
  <si>
    <t>Sell-side consensus revenue &amp; EPS for FY25E; used as benchmark only</t>
  </si>
  <si>
    <t>Benchmark / Validation</t>
  </si>
  <si>
    <t>Supporting Schedules (Internal)</t>
  </si>
  <si>
    <t>Model Calculation</t>
  </si>
  <si>
    <t>Scenario assumptions for revenue growth, margins, DSO/DPO, SBC, tax rate ramp</t>
  </si>
  <si>
    <t>Master Assumptions, Forecast Model</t>
  </si>
  <si>
    <t>See Supporting Schedules tab within this workbook</t>
  </si>
  <si>
    <t>U.S. Treasury / FRED</t>
  </si>
  <si>
    <t>Government</t>
  </si>
  <si>
    <t>10-Year UST yield cross-reference for Rf validation</t>
  </si>
  <si>
    <t>https://fred.stlouisfed.org/series/DGS10</t>
  </si>
  <si>
    <t>Duolingo Investor Relations</t>
  </si>
  <si>
    <t>Company IR</t>
  </si>
  <si>
    <t>Earnings releases, investor presentations, KPI disclosures (MAU, DAU, ARPU)</t>
  </si>
  <si>
    <t>Key Metrics, Forecast Model</t>
  </si>
  <si>
    <t>https://investors.duolingo.com/</t>
  </si>
  <si>
    <t>S&amp;P Capital IQ / Peer Comps</t>
  </si>
  <si>
    <t>Comparable company trading multiples for valuation cross-check</t>
  </si>
  <si>
    <t>Valuation (if applicable)</t>
  </si>
  <si>
    <t>Capital IQ (subscription terminal)</t>
  </si>
  <si>
    <t>—</t>
  </si>
  <si>
    <t>Reserved for additional sources as model evolves</t>
  </si>
  <si>
    <t>10-Year U.S. Treasury yield at market close; sourced from FactSet</t>
  </si>
  <si>
    <t>DCF Valuation → WACC (E9)</t>
  </si>
  <si>
    <t>S4, S7</t>
  </si>
  <si>
    <t>Historical implied equity risk premium; FactSet (consistent with Damodaran methodology)</t>
  </si>
  <si>
    <t>DCF Valuation → WACC (E10)</t>
  </si>
  <si>
    <t>1.59x</t>
  </si>
  <si>
    <t>5-year monthly regression vs. S&amp;P 500; FactSet terminal</t>
  </si>
  <si>
    <t>DCF Valuation → WACC (E11)</t>
  </si>
  <si>
    <t>Long-run U.S. nominal GDP growth proxy (~2.0% real + ~0.5% inflation buffer)</t>
  </si>
  <si>
    <t>DCF Valuation → Terminal Value (E56)</t>
  </si>
  <si>
    <t>Analyst Assumption</t>
  </si>
  <si>
    <t>15.0% – 20.0%</t>
  </si>
  <si>
    <t>Effective tax rate ramping over forecast horizon; per SEC filings &amp; analyst judgment</t>
  </si>
  <si>
    <t>Master Assumptions → NOPAT (F20:J20)</t>
  </si>
  <si>
    <t>FY25E–FY29E</t>
  </si>
  <si>
    <t>S1, S6</t>
  </si>
  <si>
    <t>Not independently sourced; internal revenue build-up in Supporting Schedules</t>
  </si>
  <si>
    <t>Sell-side consensus used as benchmark only; not a direct model input</t>
  </si>
  <si>
    <t>Sell-side consensus EPS used as benchmark only; not a direct model input</t>
  </si>
  <si>
    <t>DCF Valuation, E11</t>
  </si>
  <si>
    <t>Beta (1.59x) sourced from FactSet 5-year monthly regression vs. S&amp;P 500 index; represents levered beta for DUOL. No Blume or Vasicek adjustment applied.</t>
  </si>
  <si>
    <t>Directly affects Ke (11.14%) and WACC</t>
  </si>
  <si>
    <t>DCF Valuation, E15</t>
  </si>
  <si>
    <t>Capital structure assumed 100% equity / 0% debt; consistent with DUOL's zero-debt balance sheet as of FY2024. Weight of Debt = 0%.</t>
  </si>
  <si>
    <t>WACC = Ke (no debt cost component)</t>
  </si>
  <si>
    <t>Master Assumptions, F20:J20</t>
  </si>
  <si>
    <t>Effective tax rate ramped from 15% (FY25E) to 20% (FY29E); reflects increasing profitability, international tax normalization, and expiring R&amp;D credits.</t>
  </si>
  <si>
    <t>Reduces FCF as profitability scales</t>
  </si>
  <si>
    <t>DCF Valuation, E56</t>
  </si>
  <si>
    <t>Terminal growth rate of 2.5% selected as proxy for long-run nominal GDP growth (~2.0% real GDP + ~0.5% inflation).</t>
  </si>
  <si>
    <t>Analyst</t>
  </si>
  <si>
    <t>Terminal value is ~67% of enterprise value</t>
  </si>
  <si>
    <t>Supporting Schedules, SBC</t>
  </si>
  <si>
    <t>SBC added back to FCF as a non-cash expense; dilution impact captured through fully diluted share count (49.62mm shares) in equity bridge.</t>
  </si>
  <si>
    <t>Increases UFCFs; offset by diluted shares</t>
  </si>
  <si>
    <t>Historical Financials, J37</t>
  </si>
  <si>
    <t>Cash &amp; equivalents of $877.6mm used in equity bridge; sourced from DUOL 10-K (FY2024) balance sheet.</t>
  </si>
  <si>
    <t>Increases equity value by $877.6mm</t>
  </si>
  <si>
    <t>Supporting Schedules, Revenue</t>
  </si>
  <si>
    <t>Revenue growth rates derived via three scenario paths (Bull/Base/Bear) with annual deceleration logic; not consensus-dependent.</t>
  </si>
  <si>
    <t>Core driver of all financial projections</t>
  </si>
  <si>
    <t>Master Assumptions, F29</t>
  </si>
  <si>
    <t>SBC % of revenue held constant at FY2020 rate (10.5%) for forecast years; conservative assumption pending further disclosure.</t>
  </si>
  <si>
    <t>Impacts operating margins and FCF</t>
  </si>
  <si>
    <t>DCF Valuation, E9</t>
  </si>
  <si>
    <t>Risk-free rate of 4.05% based on 10-Year U.S. Treasury yield; cross-referenced against FRED (DGS10 series) for validation.</t>
  </si>
  <si>
    <t>Anchor for CAPM cost of equity</t>
  </si>
  <si>
    <t>Reserved for additional footnotes as model evolves.</t>
  </si>
  <si>
    <t>Unlevered DCF to firm; perpetuity growth terminal value method; mid-year discounting convention applied to all projected cash flows.</t>
  </si>
  <si>
    <t>CAPM-based Cost of Equity: Ke = Rf (4.05%) + Beta (1.59) x ERP (4.46%) = 11.14%. 100% equity weight; no debt cost component. No size or country risk premium.</t>
  </si>
  <si>
    <t>Top-line driven by historical revenue growth deceleration framework; three scenarios (Bull: 35%→22%, Base: 28%→16%, Bear: 20%→10%) with ~3–6 ppt annual deceleration.</t>
  </si>
  <si>
    <t>Forecast Model, Supporting Schedules</t>
  </si>
  <si>
    <t>Gross margin expansion from 74.5% (FY25E) to 76.0% (FY29E); operating leverage via declining R&amp;D % and SG&amp;A % as revenue scales.</t>
  </si>
  <si>
    <t>Master Assumptions, Supporting Schedules</t>
  </si>
  <si>
    <t>DSO (62 days) and DPO (12 days) held constant at historical averages; NWC changes derived from period-over-period revenue deltas.</t>
  </si>
  <si>
    <t>D&amp;A held constant at 1.5% of revenue across forecast; CapEx assumed equal to D&amp;A (maintenance capex assumption for asset-light model).</t>
  </si>
  <si>
    <t>SBC treated as non-cash: added back in FCF derivation. Dilution captured via fully diluted share count (49.62mm) in equity bridge to per-share price.</t>
  </si>
  <si>
    <t>Effective tax rate ramped from 15% (FY25E) to 20% (FY29E); reflects path toward normalized profitability. No NOL carryforward or deferred tax modeled.</t>
  </si>
  <si>
    <t>Gordon Growth Model: TV = FCF(2029E) x (1+g) / (WACC – g); g = 2.5%, WACC = 11.14%. Terminal value discounted back 5 years to present value.</t>
  </si>
  <si>
    <t>DCF Valuation, Sensitivity Analysis</t>
  </si>
  <si>
    <t>Bull/Base/Bear scenarios controlled via CHOOSE() function referencing scenario code in Master Assumptions; all assumptions flow from Supporting Schedules.</t>
  </si>
  <si>
    <t>Scenario Analysis, Master Assumptions</t>
  </si>
  <si>
    <t>Initial model build: Historical financials (FY2020–2024A), DCF valuation, CAPM/WACC, 5-year forecast, scenario framework.</t>
  </si>
  <si>
    <t>All</t>
  </si>
  <si>
    <t>[e.g., Incorporated Q1 2025 actuals; revised near-term growth]</t>
  </si>
  <si>
    <t>[e.g., Major revision: new fiscal year data; reforecast all assumptions]</t>
  </si>
  <si>
    <t>Feb 2025</t>
  </si>
  <si>
    <t>BUY</t>
  </si>
  <si>
    <t>DCF (5-Year)</t>
  </si>
  <si>
    <t>(+) Net Cash</t>
  </si>
  <si>
    <t>Gross Margin</t>
  </si>
  <si>
    <t>Net Margin</t>
  </si>
  <si>
    <t>FCF Margin</t>
  </si>
  <si>
    <t>Net Cash</t>
  </si>
  <si>
    <t>DUOLINGO, INC. (NASDAQ: DUOL)  |  EQUITY RESEARCH  |  INITIATING COVERAGE</t>
  </si>
  <si>
    <t>RATING</t>
  </si>
  <si>
    <t>PRICE TARGET</t>
  </si>
  <si>
    <t>METHODOLOGY</t>
  </si>
  <si>
    <t>TGR</t>
  </si>
  <si>
    <t>EV ($mm)</t>
  </si>
  <si>
    <t>EQUITY ($mm)</t>
  </si>
  <si>
    <t>$60 – $165</t>
  </si>
  <si>
    <t>49.62mm</t>
  </si>
  <si>
    <t>Valuation, key metrics, scenario analysis, sensitivity, charts</t>
  </si>
  <si>
    <t>Technology — Education Software  |  February 2025</t>
  </si>
  <si>
    <t>TV / EV</t>
  </si>
  <si>
    <t>SHARES (FD)</t>
  </si>
  <si>
    <t>SCENARIO</t>
  </si>
  <si>
    <t>DCF (5-Yr)</t>
  </si>
  <si>
    <t>🐂 BULL</t>
  </si>
  <si>
    <t>25% Prob</t>
  </si>
  <si>
    <t>📊 BASE</t>
  </si>
  <si>
    <t>50% Prob</t>
  </si>
  <si>
    <t>🐻 BEAR</t>
  </si>
  <si>
    <t>PROB-WTD</t>
  </si>
  <si>
    <t>EV: $7.3B</t>
  </si>
  <si>
    <t>EV: $3.9B</t>
  </si>
  <si>
    <t>EV: $2.1B</t>
  </si>
  <si>
    <t>SENSITIVITY: WACC vs TGR ($)</t>
  </si>
  <si>
    <t>DCF VALUATION BRIDGE ($mm)</t>
  </si>
  <si>
    <t>PV of FCFs ('25E–'29E)</t>
  </si>
  <si>
    <t>Source: Company 10-K/10-Q, DCF Model, Scenario Analysis. See Sources &amp; Footnotes tab.</t>
  </si>
  <si>
    <t>COMPREHENSIVE VALUATION MODEL</t>
  </si>
  <si>
    <t>NASDAQ: DUOL  |  Technology — Education Software</t>
  </si>
  <si>
    <t>Rating</t>
  </si>
  <si>
    <t>Price Target</t>
  </si>
  <si>
    <t>$7,286mm</t>
  </si>
  <si>
    <t>Initiating Coverage</t>
  </si>
  <si>
    <t>[Analyst Name]</t>
  </si>
  <si>
    <t>Scenario Range</t>
  </si>
  <si>
    <t>CONFIDENTIAL</t>
  </si>
  <si>
    <t>Duolingo, Inc.</t>
  </si>
  <si>
    <t>Equity: $8,164mm</t>
  </si>
  <si>
    <t>Bear | Base | Bull</t>
  </si>
  <si>
    <t>Model Details</t>
  </si>
  <si>
    <t>11.14%  (Rf: 4.05%  |  ERP: 4.46%  |  β: 1.59x  |  TGR: 2.5%)</t>
  </si>
  <si>
    <t>Methodology</t>
  </si>
  <si>
    <t>5-Year DCF  |  Bull / Base / Bear Scenario Analysis  |  Sensitivity Testing</t>
  </si>
  <si>
    <t>Complete — All integration checks passed ✓</t>
  </si>
  <si>
    <t>This document is proprietary and intended solely for the use of the intended recipient(s). Do not distribute.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</si>
</sst>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&quot;$&quot;#,##0"/>
    <numFmt numFmtId="166" formatCode="0.0"/>
    <numFmt numFmtId="167" formatCode="0.0&quot;x&quot;"/>
    <numFmt numFmtId="168" formatCode="#,##0.0"/>
    <numFmt numFmtId="169" formatCode="\+0.0\ \p\p\t;\-0.0\ \p\p\t"/>
    <numFmt numFmtId="170" formatCode="_(* #,##0_);_(* \(#,##0\);_(* &quot;-&quot;??_);_(@_)"/>
    <numFmt numFmtId="171" formatCode="&quot;$&quot;#,##0.00"/>
  </numFmts>
  <fonts count="180" x14ac:knownFonts="1">
    <font>
      <sz val="12"/>
      <color theme="1"/>
      <name val="Aptos Narrow"/>
      <family val="2"/>
      <scheme val="minor"/>
    </font>
    <font>
      <b/>
      <sz val="18"/>
      <color rgb="FF1B2A4A"/>
      <name val="Arial"/>
      <family val="2"/>
    </font>
    <font>
      <sz val="12"/>
      <color rgb="FF4472C4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sz val="12"/>
      <color rgb="FF0000FF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0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FF"/>
      <name val="Aptos Narrow"/>
      <scheme val="minor"/>
    </font>
    <font>
      <sz val="12"/>
      <color theme="9" tint="0.3999755851924192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i/>
      <sz val="11"/>
      <color rgb="FF1F4E79"/>
      <name val="Aptos Narrow"/>
      <scheme val="minor"/>
    </font>
    <font>
      <b/>
      <u/>
      <sz val="12"/>
      <color rgb="FF1F4E79"/>
      <name val="Aptos Narrow"/>
      <scheme val="minor"/>
    </font>
    <font>
      <b/>
      <sz val="14"/>
      <color rgb="FF0000FF"/>
      <name val="Aptos Narrow"/>
      <scheme val="minor"/>
    </font>
    <font>
      <sz val="11"/>
      <color rgb="FF808080"/>
      <name val="Aptos Narrow"/>
      <scheme val="minor"/>
    </font>
    <font>
      <b/>
      <sz val="11"/>
      <color rgb="FF808080"/>
      <name val="Aptos Narrow"/>
      <scheme val="minor"/>
    </font>
    <font>
      <i/>
      <sz val="10"/>
      <color rgb="FF808080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1F4E79"/>
      <name val="Aptos Narrow"/>
      <scheme val="minor"/>
    </font>
    <font>
      <b/>
      <u/>
      <sz val="11"/>
      <color rgb="FF1F4E79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Aptos Narrow"/>
      <scheme val="minor"/>
    </font>
    <font>
      <b/>
      <sz val="12"/>
      <color rgb="FFFFFFFF"/>
      <name val="Aptos Narrow"/>
      <scheme val="minor"/>
    </font>
    <font>
      <sz val="11"/>
      <color rgb="FFC62828"/>
      <name val="Aptos Narrow"/>
      <scheme val="minor"/>
    </font>
    <font>
      <b/>
      <sz val="11"/>
      <color rgb="FFC62828"/>
      <name val="Aptos Narrow"/>
      <scheme val="minor"/>
    </font>
    <font>
      <sz val="11"/>
      <color rgb="FF2E7D32"/>
      <name val="Aptos Narrow"/>
      <scheme val="minor"/>
    </font>
    <font>
      <b/>
      <sz val="11"/>
      <color rgb="FF2E7D32"/>
      <name val="Aptos Narrow"/>
      <scheme val="minor"/>
    </font>
    <font>
      <b/>
      <sz val="11"/>
      <color rgb="FF1565C0"/>
      <name val="Aptos Narrow"/>
      <scheme val="minor"/>
    </font>
    <font>
      <b/>
      <u/>
      <sz val="11"/>
      <color theme="1"/>
      <name val="Aptos Narrow"/>
      <scheme val="minor"/>
    </font>
    <font>
      <b/>
      <u/>
      <sz val="11"/>
      <color rgb="FF4472C4"/>
      <name val="Aptos Narrow"/>
      <scheme val="minor"/>
    </font>
    <font>
      <b/>
      <i/>
      <u/>
      <sz val="11"/>
      <color rgb="FF4472C4"/>
      <name val="Aptos Narrow"/>
      <scheme val="minor"/>
    </font>
    <font>
      <b/>
      <i/>
      <sz val="11"/>
      <color rgb="FF1565C0"/>
      <name val="Aptos Narrow"/>
      <scheme val="minor"/>
    </font>
    <font>
      <b/>
      <i/>
      <sz val="11"/>
      <color rgb="FF808080"/>
      <name val="Aptos Narrow"/>
      <scheme val="minor"/>
    </font>
    <font>
      <b/>
      <i/>
      <u/>
      <sz val="11"/>
      <color rgb="FF1F4E79"/>
      <name val="Aptos Narrow"/>
      <scheme val="minor"/>
    </font>
    <font>
      <b/>
      <sz val="12"/>
      <color rgb="FFFFFFFF"/>
      <name val="Aptos Narrow"/>
      <family val="2"/>
      <scheme val="minor"/>
    </font>
    <font>
      <sz val="10"/>
      <color rgb="FF808080"/>
      <name val="Aptos Narrow"/>
      <family val="2"/>
      <scheme val="minor"/>
    </font>
    <font>
      <b/>
      <sz val="10"/>
      <color rgb="FF808080"/>
      <name val="Aptos Narrow"/>
      <family val="2"/>
      <scheme val="minor"/>
    </font>
    <font>
      <b/>
      <i/>
      <sz val="10"/>
      <color rgb="FF808080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u/>
      <sz val="12"/>
      <color rgb="FF4472C4"/>
      <name val="Aptos Narrow"/>
      <family val="2"/>
      <scheme val="minor"/>
    </font>
    <font>
      <i/>
      <sz val="10"/>
      <color rgb="FF2E7D32"/>
      <name val="Aptos Narrow"/>
      <family val="2"/>
      <scheme val="minor"/>
    </font>
    <font>
      <b/>
      <i/>
      <sz val="10"/>
      <color rgb="FF2E7D32"/>
      <name val="Aptos Narrow"/>
      <family val="2"/>
      <scheme val="minor"/>
    </font>
    <font>
      <i/>
      <sz val="10"/>
      <color rgb="FFC62828"/>
      <name val="Aptos Narrow"/>
      <family val="2"/>
      <scheme val="minor"/>
    </font>
    <font>
      <b/>
      <i/>
      <sz val="10"/>
      <color rgb="FF2E7D32"/>
      <name val="Aptos Narrow"/>
      <scheme val="minor"/>
    </font>
    <font>
      <b/>
      <sz val="10"/>
      <color rgb="FF808080"/>
      <name val="Aptos Narrow"/>
      <scheme val="minor"/>
    </font>
    <font>
      <sz val="10"/>
      <color rgb="FF808080"/>
      <name val="Aptos Narrow"/>
      <scheme val="minor"/>
    </font>
    <font>
      <i/>
      <sz val="10"/>
      <color rgb="FF1565C0"/>
      <name val="Aptos Narrow"/>
      <family val="2"/>
      <scheme val="minor"/>
    </font>
    <font>
      <b/>
      <sz val="12"/>
      <color rgb="FFC62828"/>
      <name val="Aptos Narrow"/>
      <family val="2"/>
      <scheme val="minor"/>
    </font>
    <font>
      <b/>
      <i/>
      <sz val="10"/>
      <color rgb="FF1F4E79"/>
      <name val="Aptos Narrow"/>
      <family val="2"/>
      <scheme val="minor"/>
    </font>
    <font>
      <b/>
      <i/>
      <sz val="11"/>
      <color rgb="FF2E7D32"/>
      <name val="Aptos Narrow"/>
      <scheme val="minor"/>
    </font>
    <font>
      <b/>
      <i/>
      <sz val="11"/>
      <color rgb="FFC62828"/>
      <name val="Aptos Narrow"/>
      <scheme val="minor"/>
    </font>
    <font>
      <b/>
      <i/>
      <sz val="11"/>
      <color rgb="FF1565C0"/>
      <name val="Aptos Narrow"/>
      <family val="2"/>
      <scheme val="minor"/>
    </font>
    <font>
      <b/>
      <sz val="11"/>
      <color rgb="FF2E7D32"/>
      <name val="Aptos Narrow"/>
      <family val="2"/>
      <scheme val="minor"/>
    </font>
    <font>
      <b/>
      <i/>
      <sz val="11"/>
      <color rgb="FFC62828"/>
      <name val="Aptos Narrow"/>
      <family val="2"/>
      <scheme val="minor"/>
    </font>
    <font>
      <sz val="12"/>
      <color rgb="FF808080"/>
      <name val="Aptos Narrow"/>
      <family val="2"/>
      <scheme val="minor"/>
    </font>
    <font>
      <b/>
      <u/>
      <sz val="12"/>
      <color rgb="FF1F4E79"/>
      <name val="Aptos Narrow"/>
      <family val="2"/>
      <scheme val="minor"/>
    </font>
    <font>
      <b/>
      <sz val="12"/>
      <color rgb="FF808080"/>
      <name val="Aptos Narrow"/>
      <family val="2"/>
      <scheme val="minor"/>
    </font>
    <font>
      <b/>
      <i/>
      <sz val="12"/>
      <color rgb="FF1565C0"/>
      <name val="Aptos Narrow"/>
      <family val="2"/>
      <scheme val="minor"/>
    </font>
    <font>
      <b/>
      <i/>
      <sz val="12"/>
      <color rgb="FF2E7D32"/>
      <name val="Aptos Narrow"/>
      <family val="2"/>
      <scheme val="minor"/>
    </font>
    <font>
      <b/>
      <i/>
      <sz val="12"/>
      <color rgb="FFC62828"/>
      <name val="Aptos Narrow"/>
      <family val="2"/>
      <scheme val="minor"/>
    </font>
    <font>
      <b/>
      <i/>
      <sz val="11"/>
      <color rgb="FF1F4E79"/>
      <name val="Aptos Narrow"/>
      <scheme val="minor"/>
    </font>
    <font>
      <i/>
      <sz val="10"/>
      <color rgb="FF1F4E79"/>
      <name val="Aptos Narrow"/>
      <family val="2"/>
      <scheme val="minor"/>
    </font>
    <font>
      <b/>
      <i/>
      <sz val="11"/>
      <color rgb="FF2E7D32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sz val="12"/>
      <color rgb="FF80808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scheme val="minor"/>
    </font>
    <font>
      <i/>
      <sz val="10"/>
      <color rgb="FF2E7D32"/>
      <name val="Aptos Narrow"/>
      <scheme val="minor"/>
    </font>
    <font>
      <b/>
      <i/>
      <sz val="10"/>
      <color rgb="FF80808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b/>
      <sz val="14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i/>
      <sz val="9"/>
      <color rgb="FF808080"/>
      <name val="Aptos Narrow"/>
      <family val="2"/>
      <scheme val="minor"/>
    </font>
    <font>
      <i/>
      <sz val="11"/>
      <color rgb="FFBF8F00"/>
      <name val="Aptos Narrow"/>
      <family val="2"/>
      <scheme val="minor"/>
    </font>
    <font>
      <b/>
      <sz val="12"/>
      <color rgb="FFBF8F00"/>
      <name val="Aptos Narrow"/>
      <family val="2"/>
      <scheme val="minor"/>
    </font>
    <font>
      <b/>
      <sz val="12"/>
      <color theme="1"/>
      <name val="Aptos Narrow (Body)"/>
    </font>
    <font>
      <i/>
      <sz val="11"/>
      <color theme="2" tint="-0.749992370372631"/>
      <name val="Aptos Narrow (Body)"/>
    </font>
    <font>
      <b/>
      <i/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sz val="12"/>
      <color rgb="FF141413"/>
      <name val="Aptos Narrow"/>
      <family val="1"/>
      <scheme val="minor"/>
    </font>
    <font>
      <b/>
      <i/>
      <sz val="10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7F6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833C0B"/>
      <name val="Aptos Narrow"/>
      <family val="2"/>
      <scheme val="minor"/>
    </font>
    <font>
      <b/>
      <sz val="11"/>
      <color rgb="FF833C0B"/>
      <name val="Aptos Narrow"/>
      <family val="2"/>
      <scheme val="minor"/>
    </font>
    <font>
      <b/>
      <i/>
      <sz val="9"/>
      <color rgb="FF78217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9"/>
      <color rgb="FF833C0B"/>
      <name val="Aptos Narrow"/>
      <family val="2"/>
      <scheme val="minor"/>
    </font>
    <font>
      <b/>
      <sz val="10"/>
      <color rgb="FF833C0B"/>
      <name val="Aptos Narrow"/>
      <family val="2"/>
      <scheme val="minor"/>
    </font>
    <font>
      <b/>
      <sz val="9"/>
      <color rgb="FF7F6000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b/>
      <sz val="9"/>
      <color rgb="FF006100"/>
      <name val="Aptos Narrow"/>
      <family val="2"/>
      <scheme val="minor"/>
    </font>
    <font>
      <b/>
      <sz val="10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Aptos Narrow"/>
      <scheme val="minor"/>
    </font>
    <font>
      <i/>
      <sz val="9"/>
      <color rgb="FF7F7F7F"/>
      <name val="Aptos Narrow"/>
      <scheme val="minor"/>
    </font>
    <font>
      <b/>
      <sz val="10"/>
      <color rgb="FFFFFFFF"/>
      <name val="Aptos Narrow"/>
      <scheme val="minor"/>
    </font>
    <font>
      <b/>
      <i/>
      <sz val="10"/>
      <color rgb="FFFFFFFF"/>
      <name val="Aptos Narrow"/>
      <scheme val="minor"/>
    </font>
    <font>
      <sz val="11"/>
      <color rgb="FF833C0B"/>
      <name val="Aptos Narrow"/>
      <scheme val="minor"/>
    </font>
    <font>
      <sz val="11"/>
      <color rgb="FF7F6000"/>
      <name val="Aptos Narrow"/>
      <scheme val="minor"/>
    </font>
    <font>
      <sz val="11"/>
      <color rgb="FF006100"/>
      <name val="Aptos Narrow"/>
      <scheme val="minor"/>
    </font>
    <font>
      <b/>
      <sz val="11"/>
      <color rgb="FF833C0B"/>
      <name val="Aptos Narrow"/>
      <scheme val="minor"/>
    </font>
    <font>
      <b/>
      <sz val="12"/>
      <color rgb="FF000000"/>
      <name val="Aptos Narrow"/>
      <scheme val="minor"/>
    </font>
    <font>
      <b/>
      <sz val="9"/>
      <color rgb="FF333333"/>
      <name val="Aptos Narrow"/>
      <scheme val="minor"/>
    </font>
    <font>
      <b/>
      <sz val="10"/>
      <color rgb="FF000000"/>
      <name val="Aptos Narrow"/>
      <scheme val="minor"/>
    </font>
    <font>
      <b/>
      <i/>
      <sz val="8"/>
      <color rgb="FF7F7F7F"/>
      <name val="Aptos Narrow"/>
      <scheme val="minor"/>
    </font>
    <font>
      <i/>
      <sz val="12"/>
      <color rgb="FF595959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2E7D32"/>
      <name val="Aptos Narrow"/>
      <family val="2"/>
      <scheme val="minor"/>
    </font>
    <font>
      <b/>
      <sz val="12"/>
      <color rgb="FF1565C0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2E7D32"/>
      <name val="Aptos Narrow"/>
      <family val="2"/>
      <scheme val="minor"/>
    </font>
    <font>
      <b/>
      <sz val="14"/>
      <color rgb="FFC62828"/>
      <name val="Aptos Narrow"/>
      <family val="2"/>
      <scheme val="minor"/>
    </font>
    <font>
      <b/>
      <sz val="14"/>
      <color rgb="FF1565C0"/>
      <name val="Aptos Narrow"/>
      <family val="2"/>
      <scheme val="minor"/>
    </font>
    <font>
      <b/>
      <sz val="20"/>
      <color theme="0"/>
      <name val="Aptos Narrow"/>
      <scheme val="minor"/>
    </font>
    <font>
      <i/>
      <sz val="10"/>
      <color rgb="FF1F4E79"/>
      <name val="Aptos Narrow"/>
      <scheme val="minor"/>
    </font>
    <font>
      <b/>
      <sz val="10"/>
      <color rgb="FF1F4E79"/>
      <name val="Aptos Narrow"/>
      <scheme val="minor"/>
    </font>
    <font>
      <i/>
      <sz val="11"/>
      <color rgb="FF808080"/>
      <name val="Aptos Narrow"/>
      <scheme val="minor"/>
    </font>
    <font>
      <b/>
      <sz val="14"/>
      <color rgb="FF006400"/>
      <name val="Aptos Narrow"/>
      <scheme val="minor"/>
    </font>
    <font>
      <b/>
      <sz val="10"/>
      <color rgb="FF006400"/>
      <name val="Aptos Narrow"/>
      <scheme val="minor"/>
    </font>
    <font>
      <b/>
      <sz val="9"/>
      <color rgb="FFFFFFFF"/>
      <name val="Aptos Narrow"/>
      <scheme val="minor"/>
    </font>
    <font>
      <sz val="9"/>
      <color rgb="FF808080"/>
      <name val="Aptos Narrow"/>
      <scheme val="minor"/>
    </font>
    <font>
      <sz val="9"/>
      <color rgb="FF006400"/>
      <name val="Aptos Narrow"/>
      <scheme val="minor"/>
    </font>
    <font>
      <sz val="8"/>
      <color rgb="FFFFFFFF"/>
      <name val="Aptos Narrow"/>
      <scheme val="minor"/>
    </font>
    <font>
      <b/>
      <sz val="8"/>
      <color rgb="FFFFFFFF"/>
      <name val="Aptos Narrow"/>
      <scheme val="minor"/>
    </font>
    <font>
      <i/>
      <sz val="8"/>
      <color rgb="FF808080"/>
      <name val="Aptos Narrow"/>
      <scheme val="minor"/>
    </font>
    <font>
      <sz val="10"/>
      <color theme="1"/>
      <name val="Aptos Narrow"/>
      <scheme val="minor"/>
    </font>
    <font>
      <b/>
      <sz val="12"/>
      <color rgb="FF006400"/>
      <name val="Aptos Narrow"/>
      <scheme val="minor"/>
    </font>
    <font>
      <sz val="9"/>
      <color theme="1"/>
      <name val="Aptos Narrow"/>
      <scheme val="minor"/>
    </font>
    <font>
      <b/>
      <sz val="13"/>
      <color rgb="FFFFFFFF"/>
      <name val="Aptos Narrow"/>
      <scheme val="minor"/>
    </font>
    <font>
      <i/>
      <sz val="9"/>
      <color rgb="FF1B2A4A"/>
      <name val="Aptos Narrow"/>
      <scheme val="minor"/>
    </font>
    <font>
      <b/>
      <sz val="14"/>
      <color rgb="FF1B2A4A"/>
      <name val="Aptos Narrow"/>
      <scheme val="minor"/>
    </font>
    <font>
      <sz val="11"/>
      <color rgb="FF1B2A4A"/>
      <name val="Aptos Narrow"/>
      <scheme val="minor"/>
    </font>
    <font>
      <b/>
      <sz val="11"/>
      <color rgb="FF1B2A4A"/>
      <name val="Aptos Narrow"/>
      <scheme val="minor"/>
    </font>
    <font>
      <sz val="10"/>
      <color rgb="FF1B2A4A"/>
      <name val="Aptos Narrow"/>
      <scheme val="minor"/>
    </font>
    <font>
      <sz val="9"/>
      <color rgb="FF1B2A4A"/>
      <name val="Aptos Narrow"/>
      <scheme val="minor"/>
    </font>
    <font>
      <b/>
      <sz val="9"/>
      <color rgb="FF1B2A4A"/>
      <name val="Aptos Narrow"/>
      <scheme val="minor"/>
    </font>
    <font>
      <b/>
      <sz val="16"/>
      <color rgb="FF006400"/>
      <name val="Aptos Narrow"/>
      <scheme val="minor"/>
    </font>
    <font>
      <b/>
      <sz val="16"/>
      <color rgb="FF1B2A4A"/>
      <name val="Aptos Narrow"/>
      <scheme val="minor"/>
    </font>
    <font>
      <b/>
      <sz val="16"/>
      <color rgb="FF8B0000"/>
      <name val="Aptos Narrow"/>
      <scheme val="minor"/>
    </font>
    <font>
      <sz val="9"/>
      <color rgb="FF8B0000"/>
      <name val="Aptos Narrow"/>
      <scheme val="minor"/>
    </font>
    <font>
      <b/>
      <sz val="10"/>
      <color rgb="FF1B2A4A"/>
      <name val="Aptos Narrow"/>
      <scheme val="minor"/>
    </font>
    <font>
      <sz val="11"/>
      <color rgb="FF8899AA"/>
      <name val="Aptos Narrow"/>
      <scheme val="minor"/>
    </font>
    <font>
      <b/>
      <sz val="36"/>
      <color rgb="FF1B2A4A"/>
      <name val="Aptos Narrow"/>
      <scheme val="minor"/>
    </font>
    <font>
      <sz val="12"/>
      <color rgb="FF8899AA"/>
      <name val="Aptos Narrow"/>
      <scheme val="minor"/>
    </font>
    <font>
      <b/>
      <sz val="8"/>
      <color rgb="FF8899AA"/>
      <name val="Aptos Narrow"/>
      <scheme val="minor"/>
    </font>
    <font>
      <b/>
      <sz val="18"/>
      <color rgb="FF2E7D32"/>
      <name val="Aptos Narrow"/>
      <scheme val="minor"/>
    </font>
    <font>
      <b/>
      <sz val="18"/>
      <color rgb="FF1B2A4A"/>
      <name val="Aptos Narrow"/>
      <scheme val="minor"/>
    </font>
    <font>
      <sz val="9"/>
      <color rgb="FF8899AA"/>
      <name val="Aptos Narrow"/>
      <scheme val="minor"/>
    </font>
    <font>
      <b/>
      <sz val="9"/>
      <color rgb="FF8899AA"/>
      <name val="Aptos Narrow"/>
      <scheme val="minor"/>
    </font>
    <font>
      <sz val="9"/>
      <color rgb="FF4A5568"/>
      <name val="Aptos Narrow"/>
      <scheme val="minor"/>
    </font>
    <font>
      <b/>
      <sz val="8"/>
      <color rgb="FFB0BEC5"/>
      <name val="Aptos Narrow"/>
      <scheme val="minor"/>
    </font>
    <font>
      <sz val="7"/>
      <color rgb="FFB0BEC5"/>
      <name val="Aptos Narrow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234"/>
        <bgColor indexed="64"/>
      </patternFill>
    </fill>
    <fill>
      <patternFill patternType="solid">
        <fgColor rgb="FF2E73B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8217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2725B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E8F0E8"/>
        <bgColor indexed="64"/>
      </patternFill>
    </fill>
    <fill>
      <patternFill patternType="solid">
        <fgColor rgb="FF8B00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BF8F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782170"/>
      </top>
      <bottom/>
      <diagonal/>
    </border>
    <border>
      <left/>
      <right/>
      <top/>
      <bottom style="thick">
        <color rgb="FF782170"/>
      </bottom>
      <diagonal/>
    </border>
    <border>
      <left style="thick">
        <color rgb="FF782170"/>
      </left>
      <right/>
      <top style="thick">
        <color rgb="FF782170"/>
      </top>
      <bottom/>
      <diagonal/>
    </border>
    <border>
      <left style="thick">
        <color rgb="FF782170"/>
      </left>
      <right/>
      <top/>
      <bottom/>
      <diagonal/>
    </border>
    <border>
      <left style="thick">
        <color rgb="FF782170"/>
      </left>
      <right/>
      <top/>
      <bottom style="thick">
        <color rgb="FF782170"/>
      </bottom>
      <diagonal/>
    </border>
    <border>
      <left/>
      <right style="thick">
        <color rgb="FF782170"/>
      </right>
      <top style="thick">
        <color rgb="FF782170"/>
      </top>
      <bottom/>
      <diagonal/>
    </border>
    <border>
      <left/>
      <right style="thick">
        <color rgb="FF782170"/>
      </right>
      <top/>
      <bottom style="thick">
        <color rgb="FF78217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ck">
        <color rgb="FF782170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ck">
        <color rgb="FF782170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ck">
        <color rgb="FF78217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782170"/>
      </bottom>
      <diagonal/>
    </border>
    <border>
      <left style="thin">
        <color rgb="FFD9D9D9"/>
      </left>
      <right style="thick">
        <color rgb="FF782170"/>
      </right>
      <top style="thin">
        <color rgb="FFD9D9D9"/>
      </top>
      <bottom style="thick">
        <color rgb="FF782170"/>
      </bottom>
      <diagonal/>
    </border>
    <border>
      <left style="thick">
        <color rgb="FF782170"/>
      </left>
      <right/>
      <top/>
      <bottom style="medium">
        <color rgb="FF782170"/>
      </bottom>
      <diagonal/>
    </border>
    <border>
      <left/>
      <right/>
      <top/>
      <bottom style="medium">
        <color rgb="FF782170"/>
      </bottom>
      <diagonal/>
    </border>
    <border>
      <left/>
      <right style="thick">
        <color rgb="FF782170"/>
      </right>
      <top/>
      <bottom style="medium">
        <color rgb="FF782170"/>
      </bottom>
      <diagonal/>
    </border>
    <border>
      <left style="thick">
        <color rgb="FF782170"/>
      </left>
      <right style="medium">
        <color rgb="FF782170"/>
      </right>
      <top/>
      <bottom style="thick">
        <color rgb="FF782170"/>
      </bottom>
      <diagonal/>
    </border>
    <border>
      <left style="thick">
        <color rgb="FF782170"/>
      </left>
      <right style="medium">
        <color rgb="FF782170"/>
      </right>
      <top/>
      <bottom style="medium">
        <color rgb="FF782170"/>
      </bottom>
      <diagonal/>
    </border>
    <border>
      <left style="thick">
        <color rgb="FF782170"/>
      </left>
      <right style="medium">
        <color rgb="FF782170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FBFBF"/>
      </left>
      <right style="thick">
        <color rgb="FF782170"/>
      </right>
      <top/>
      <bottom style="thin">
        <color rgb="FFBFBFBF"/>
      </bottom>
      <diagonal/>
    </border>
    <border>
      <left style="thin">
        <color rgb="FFBFBFBF"/>
      </left>
      <right style="thick">
        <color rgb="FF78217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782170"/>
      </right>
      <top style="thin">
        <color rgb="FFBFBFBF"/>
      </top>
      <bottom/>
      <diagonal/>
    </border>
    <border>
      <left style="thick">
        <color rgb="FF782170"/>
      </left>
      <right/>
      <top style="medium">
        <color rgb="FF782170"/>
      </top>
      <bottom/>
      <diagonal/>
    </border>
    <border>
      <left/>
      <right/>
      <top style="medium">
        <color rgb="FF782170"/>
      </top>
      <bottom/>
      <diagonal/>
    </border>
    <border>
      <left/>
      <right style="thick">
        <color rgb="FF782170"/>
      </right>
      <top style="medium">
        <color rgb="FF78217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3" fillId="7" borderId="0" xfId="0" applyFont="1" applyFill="1"/>
    <xf numFmtId="0" fontId="0" fillId="7" borderId="0" xfId="0" applyFill="1"/>
    <xf numFmtId="0" fontId="3" fillId="8" borderId="0" xfId="0" applyFont="1" applyFill="1"/>
    <xf numFmtId="0" fontId="0" fillId="8" borderId="0" xfId="0" applyFill="1"/>
    <xf numFmtId="0" fontId="3" fillId="9" borderId="0" xfId="0" applyFont="1" applyFill="1"/>
    <xf numFmtId="0" fontId="0" fillId="9" borderId="0" xfId="0" applyFill="1"/>
    <xf numFmtId="0" fontId="3" fillId="10" borderId="0" xfId="0" applyFont="1" applyFill="1"/>
    <xf numFmtId="0" fontId="0" fillId="10" borderId="0" xfId="0" applyFill="1"/>
    <xf numFmtId="0" fontId="7" fillId="11" borderId="0" xfId="0" applyFont="1" applyFill="1" applyAlignment="1">
      <alignment horizontal="center"/>
    </xf>
    <xf numFmtId="0" fontId="8" fillId="11" borderId="0" xfId="0" applyFont="1" applyFill="1"/>
    <xf numFmtId="0" fontId="4" fillId="11" borderId="0" xfId="0" applyFont="1" applyFill="1"/>
    <xf numFmtId="0" fontId="0" fillId="11" borderId="0" xfId="0" applyFill="1"/>
    <xf numFmtId="0" fontId="9" fillId="11" borderId="0" xfId="0" applyFont="1" applyFill="1"/>
    <xf numFmtId="0" fontId="10" fillId="11" borderId="0" xfId="0" applyFont="1" applyFill="1"/>
    <xf numFmtId="0" fontId="6" fillId="11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7" fillId="11" borderId="2" xfId="0" applyFont="1" applyFill="1" applyBorder="1" applyAlignment="1">
      <alignment horizontal="center"/>
    </xf>
    <xf numFmtId="0" fontId="11" fillId="11" borderId="2" xfId="0" applyFont="1" applyFill="1" applyBorder="1"/>
    <xf numFmtId="0" fontId="4" fillId="11" borderId="2" xfId="0" applyFont="1" applyFill="1" applyBorder="1"/>
    <xf numFmtId="0" fontId="0" fillId="11" borderId="2" xfId="0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0" fillId="13" borderId="0" xfId="0" applyFill="1"/>
    <xf numFmtId="0" fontId="3" fillId="13" borderId="0" xfId="0" applyFont="1" applyFill="1"/>
    <xf numFmtId="0" fontId="0" fillId="14" borderId="0" xfId="0" applyFill="1"/>
    <xf numFmtId="0" fontId="3" fillId="14" borderId="0" xfId="0" applyFont="1" applyFill="1"/>
    <xf numFmtId="0" fontId="16" fillId="15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15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41" fontId="0" fillId="2" borderId="0" xfId="0" applyNumberFormat="1" applyFill="1"/>
    <xf numFmtId="0" fontId="17" fillId="2" borderId="0" xfId="0" applyFont="1" applyFill="1" applyAlignment="1">
      <alignment horizontal="right"/>
    </xf>
    <xf numFmtId="41" fontId="21" fillId="2" borderId="0" xfId="0" applyNumberFormat="1" applyFont="1" applyFill="1" applyAlignment="1">
      <alignment horizontal="right" vertical="center"/>
    </xf>
    <xf numFmtId="41" fontId="22" fillId="2" borderId="0" xfId="0" applyNumberFormat="1" applyFont="1" applyFill="1" applyAlignment="1">
      <alignment horizontal="right" vertical="center"/>
    </xf>
    <xf numFmtId="41" fontId="22" fillId="2" borderId="0" xfId="0" applyNumberFormat="1" applyFont="1" applyFill="1" applyAlignment="1">
      <alignment horizontal="left" vertical="center"/>
    </xf>
    <xf numFmtId="41" fontId="17" fillId="2" borderId="0" xfId="0" applyNumberFormat="1" applyFont="1" applyFill="1" applyAlignment="1">
      <alignment horizontal="right" vertical="center"/>
    </xf>
    <xf numFmtId="41" fontId="12" fillId="2" borderId="0" xfId="0" applyNumberFormat="1" applyFont="1" applyFill="1"/>
    <xf numFmtId="41" fontId="17" fillId="2" borderId="0" xfId="0" applyNumberFormat="1" applyFont="1" applyFill="1"/>
    <xf numFmtId="0" fontId="0" fillId="2" borderId="0" xfId="0" applyFill="1" applyAlignment="1">
      <alignment horizontal="left"/>
    </xf>
    <xf numFmtId="0" fontId="23" fillId="15" borderId="0" xfId="0" applyFont="1" applyFill="1"/>
    <xf numFmtId="0" fontId="0" fillId="15" borderId="0" xfId="0" applyFill="1"/>
    <xf numFmtId="0" fontId="13" fillId="15" borderId="0" xfId="0" applyFont="1" applyFill="1"/>
    <xf numFmtId="0" fontId="24" fillId="2" borderId="0" xfId="0" applyFont="1" applyFill="1"/>
    <xf numFmtId="9" fontId="0" fillId="16" borderId="0" xfId="1" applyFont="1" applyFill="1"/>
    <xf numFmtId="9" fontId="17" fillId="16" borderId="0" xfId="1" applyFont="1" applyFill="1"/>
    <xf numFmtId="9" fontId="0" fillId="2" borderId="0" xfId="1" applyFont="1" applyFill="1"/>
    <xf numFmtId="2" fontId="0" fillId="2" borderId="0" xfId="0" applyNumberFormat="1" applyFill="1"/>
    <xf numFmtId="0" fontId="21" fillId="2" borderId="0" xfId="0" applyFont="1" applyFill="1"/>
    <xf numFmtId="9" fontId="21" fillId="2" borderId="0" xfId="1" applyFont="1" applyFill="1"/>
    <xf numFmtId="0" fontId="17" fillId="2" borderId="3" xfId="0" applyFont="1" applyFill="1" applyBorder="1"/>
    <xf numFmtId="0" fontId="21" fillId="2" borderId="3" xfId="0" applyFont="1" applyFill="1" applyBorder="1"/>
    <xf numFmtId="9" fontId="21" fillId="2" borderId="3" xfId="1" applyFont="1" applyFill="1" applyBorder="1"/>
    <xf numFmtId="0" fontId="0" fillId="2" borderId="3" xfId="0" applyFill="1" applyBorder="1"/>
    <xf numFmtId="0" fontId="25" fillId="2" borderId="0" xfId="0" applyFont="1" applyFill="1"/>
    <xf numFmtId="1" fontId="0" fillId="2" borderId="0" xfId="0" applyNumberFormat="1" applyFill="1"/>
    <xf numFmtId="167" fontId="0" fillId="2" borderId="0" xfId="0" applyNumberFormat="1" applyFill="1"/>
    <xf numFmtId="0" fontId="0" fillId="2" borderId="0" xfId="0" applyFill="1" applyAlignment="1">
      <alignment horizontal="right"/>
    </xf>
    <xf numFmtId="10" fontId="0" fillId="2" borderId="0" xfId="0" applyNumberFormat="1" applyFill="1"/>
    <xf numFmtId="43" fontId="0" fillId="2" borderId="0" xfId="0" applyNumberFormat="1" applyFill="1"/>
    <xf numFmtId="0" fontId="26" fillId="2" borderId="0" xfId="0" applyFont="1" applyFill="1"/>
    <xf numFmtId="0" fontId="26" fillId="17" borderId="0" xfId="0" applyFont="1" applyFill="1"/>
    <xf numFmtId="0" fontId="0" fillId="17" borderId="0" xfId="0" applyFill="1"/>
    <xf numFmtId="0" fontId="27" fillId="5" borderId="0" xfId="0" applyFont="1" applyFill="1"/>
    <xf numFmtId="0" fontId="0" fillId="5" borderId="0" xfId="0" applyFill="1"/>
    <xf numFmtId="0" fontId="28" fillId="2" borderId="0" xfId="0" applyFont="1" applyFill="1"/>
    <xf numFmtId="0" fontId="29" fillId="12" borderId="0" xfId="0" applyFont="1" applyFill="1" applyAlignment="1">
      <alignment horizontal="center"/>
    </xf>
    <xf numFmtId="0" fontId="31" fillId="2" borderId="0" xfId="0" applyFont="1" applyFill="1"/>
    <xf numFmtId="0" fontId="30" fillId="2" borderId="0" xfId="0" applyFont="1" applyFill="1" applyAlignment="1">
      <alignment horizontal="center"/>
    </xf>
    <xf numFmtId="0" fontId="32" fillId="2" borderId="0" xfId="0" applyFont="1" applyFill="1"/>
    <xf numFmtId="0" fontId="33" fillId="17" borderId="0" xfId="0" applyFont="1" applyFill="1"/>
    <xf numFmtId="0" fontId="33" fillId="17" borderId="0" xfId="0" applyFont="1" applyFill="1" applyAlignment="1">
      <alignment horizontal="center"/>
    </xf>
    <xf numFmtId="0" fontId="34" fillId="2" borderId="0" xfId="0" applyFont="1" applyFill="1"/>
    <xf numFmtId="0" fontId="35" fillId="2" borderId="0" xfId="0" applyFont="1" applyFill="1"/>
    <xf numFmtId="0" fontId="37" fillId="2" borderId="0" xfId="0" applyFont="1" applyFill="1"/>
    <xf numFmtId="164" fontId="36" fillId="2" borderId="0" xfId="0" applyNumberFormat="1" applyFont="1" applyFill="1" applyAlignment="1">
      <alignment horizontal="center"/>
    </xf>
    <xf numFmtId="166" fontId="36" fillId="2" borderId="0" xfId="0" applyNumberFormat="1" applyFont="1" applyFill="1" applyAlignment="1">
      <alignment horizontal="center"/>
    </xf>
    <xf numFmtId="167" fontId="36" fillId="2" borderId="0" xfId="0" applyNumberFormat="1" applyFont="1" applyFill="1" applyAlignment="1">
      <alignment horizontal="center"/>
    </xf>
    <xf numFmtId="164" fontId="38" fillId="2" borderId="0" xfId="0" applyNumberFormat="1" applyFont="1" applyFill="1" applyAlignment="1">
      <alignment horizontal="center"/>
    </xf>
    <xf numFmtId="166" fontId="38" fillId="2" borderId="0" xfId="0" applyNumberFormat="1" applyFont="1" applyFill="1" applyAlignment="1">
      <alignment horizontal="center"/>
    </xf>
    <xf numFmtId="167" fontId="38" fillId="2" borderId="0" xfId="0" applyNumberFormat="1" applyFont="1" applyFill="1" applyAlignment="1">
      <alignment horizontal="center"/>
    </xf>
    <xf numFmtId="0" fontId="39" fillId="2" borderId="0" xfId="0" applyFont="1" applyFill="1"/>
    <xf numFmtId="0" fontId="41" fillId="2" borderId="0" xfId="0" applyFont="1" applyFill="1"/>
    <xf numFmtId="0" fontId="44" fillId="2" borderId="0" xfId="0" applyFont="1" applyFill="1"/>
    <xf numFmtId="0" fontId="45" fillId="2" borderId="0" xfId="0" applyFont="1" applyFill="1"/>
    <xf numFmtId="0" fontId="46" fillId="2" borderId="0" xfId="0" applyFont="1" applyFill="1"/>
    <xf numFmtId="0" fontId="37" fillId="2" borderId="0" xfId="0" applyFont="1" applyFill="1" applyAlignment="1">
      <alignment horizontal="center"/>
    </xf>
    <xf numFmtId="164" fontId="37" fillId="2" borderId="0" xfId="0" applyNumberFormat="1" applyFont="1" applyFill="1" applyAlignment="1">
      <alignment horizontal="center"/>
    </xf>
    <xf numFmtId="164" fontId="42" fillId="2" borderId="0" xfId="0" applyNumberFormat="1" applyFont="1" applyFill="1" applyAlignment="1">
      <alignment horizontal="center"/>
    </xf>
    <xf numFmtId="164" fontId="40" fillId="2" borderId="0" xfId="0" applyNumberFormat="1" applyFont="1" applyFill="1" applyAlignment="1">
      <alignment horizontal="center"/>
    </xf>
    <xf numFmtId="0" fontId="47" fillId="2" borderId="0" xfId="0" applyFont="1" applyFill="1"/>
    <xf numFmtId="0" fontId="48" fillId="2" borderId="0" xfId="0" applyFont="1" applyFill="1"/>
    <xf numFmtId="167" fontId="37" fillId="2" borderId="0" xfId="0" applyNumberFormat="1" applyFont="1" applyFill="1" applyAlignment="1">
      <alignment horizontal="center"/>
    </xf>
    <xf numFmtId="0" fontId="49" fillId="2" borderId="0" xfId="0" applyFont="1" applyFill="1"/>
    <xf numFmtId="0" fontId="50" fillId="2" borderId="0" xfId="0" applyFont="1" applyFill="1"/>
    <xf numFmtId="0" fontId="0" fillId="2" borderId="0" xfId="0" applyFill="1" applyAlignment="1">
      <alignment horizontal="center"/>
    </xf>
    <xf numFmtId="0" fontId="0" fillId="2" borderId="4" xfId="0" applyFill="1" applyBorder="1"/>
    <xf numFmtId="0" fontId="17" fillId="2" borderId="4" xfId="0" applyFont="1" applyFill="1" applyBorder="1" applyAlignment="1">
      <alignment horizontal="right"/>
    </xf>
    <xf numFmtId="0" fontId="43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33" fillId="2" borderId="0" xfId="0" applyFont="1" applyFill="1"/>
    <xf numFmtId="0" fontId="39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15" fillId="5" borderId="0" xfId="0" applyFont="1" applyFill="1"/>
    <xf numFmtId="0" fontId="15" fillId="5" borderId="0" xfId="0" applyFont="1" applyFill="1" applyAlignment="1">
      <alignment horizontal="center"/>
    </xf>
    <xf numFmtId="0" fontId="51" fillId="4" borderId="0" xfId="0" applyFont="1" applyFill="1"/>
    <xf numFmtId="0" fontId="15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55" fillId="2" borderId="0" xfId="0" applyFont="1" applyFill="1"/>
    <xf numFmtId="0" fontId="52" fillId="2" borderId="0" xfId="0" applyFont="1" applyFill="1"/>
    <xf numFmtId="164" fontId="52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51" fillId="17" borderId="0" xfId="0" applyFont="1" applyFill="1"/>
    <xf numFmtId="0" fontId="39" fillId="4" borderId="0" xfId="0" applyFont="1" applyFill="1"/>
    <xf numFmtId="0" fontId="35" fillId="5" borderId="0" xfId="0" applyFont="1" applyFill="1"/>
    <xf numFmtId="164" fontId="12" fillId="2" borderId="0" xfId="0" applyNumberFormat="1" applyFont="1" applyFill="1" applyAlignment="1">
      <alignment horizontal="center"/>
    </xf>
    <xf numFmtId="164" fontId="61" fillId="5" borderId="0" xfId="0" applyNumberFormat="1" applyFont="1" applyFill="1" applyAlignment="1">
      <alignment horizontal="center"/>
    </xf>
    <xf numFmtId="0" fontId="0" fillId="18" borderId="0" xfId="0" applyFill="1"/>
    <xf numFmtId="0" fontId="15" fillId="18" borderId="0" xfId="0" applyFont="1" applyFill="1"/>
    <xf numFmtId="168" fontId="0" fillId="18" borderId="0" xfId="0" applyNumberFormat="1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0" fontId="54" fillId="18" borderId="0" xfId="0" applyFont="1" applyFill="1"/>
    <xf numFmtId="0" fontId="55" fillId="18" borderId="0" xfId="0" applyFont="1" applyFill="1" applyAlignment="1">
      <alignment horizontal="center"/>
    </xf>
    <xf numFmtId="164" fontId="55" fillId="18" borderId="0" xfId="0" applyNumberFormat="1" applyFont="1" applyFill="1" applyAlignment="1">
      <alignment horizontal="center"/>
    </xf>
    <xf numFmtId="0" fontId="55" fillId="18" borderId="0" xfId="0" applyFont="1" applyFill="1"/>
    <xf numFmtId="0" fontId="56" fillId="18" borderId="0" xfId="0" applyFont="1" applyFill="1"/>
    <xf numFmtId="3" fontId="0" fillId="18" borderId="0" xfId="0" applyNumberFormat="1" applyFill="1" applyAlignment="1">
      <alignment horizontal="center"/>
    </xf>
    <xf numFmtId="0" fontId="52" fillId="18" borderId="0" xfId="0" applyFont="1" applyFill="1"/>
    <xf numFmtId="164" fontId="52" fillId="18" borderId="0" xfId="0" applyNumberFormat="1" applyFont="1" applyFill="1" applyAlignment="1">
      <alignment horizontal="center"/>
    </xf>
    <xf numFmtId="0" fontId="57" fillId="18" borderId="0" xfId="0" applyFont="1" applyFill="1"/>
    <xf numFmtId="169" fontId="0" fillId="18" borderId="0" xfId="0" applyNumberFormat="1" applyFill="1" applyAlignment="1">
      <alignment horizontal="center"/>
    </xf>
    <xf numFmtId="0" fontId="58" fillId="18" borderId="0" xfId="0" applyFont="1" applyFill="1"/>
    <xf numFmtId="165" fontId="0" fillId="18" borderId="0" xfId="0" applyNumberFormat="1" applyFill="1" applyAlignment="1">
      <alignment horizontal="center"/>
    </xf>
    <xf numFmtId="0" fontId="59" fillId="18" borderId="0" xfId="0" applyFont="1" applyFill="1"/>
    <xf numFmtId="0" fontId="60" fillId="18" borderId="0" xfId="0" applyFont="1" applyFill="1" applyAlignment="1">
      <alignment horizontal="center"/>
    </xf>
    <xf numFmtId="0" fontId="37" fillId="18" borderId="0" xfId="0" applyFont="1" applyFill="1" applyAlignment="1">
      <alignment horizontal="center"/>
    </xf>
    <xf numFmtId="0" fontId="61" fillId="18" borderId="0" xfId="0" applyFont="1" applyFill="1"/>
    <xf numFmtId="164" fontId="62" fillId="18" borderId="0" xfId="0" applyNumberFormat="1" applyFont="1" applyFill="1" applyAlignment="1">
      <alignment horizontal="center"/>
    </xf>
    <xf numFmtId="164" fontId="12" fillId="18" borderId="0" xfId="0" applyNumberFormat="1" applyFont="1" applyFill="1" applyAlignment="1">
      <alignment horizontal="center"/>
    </xf>
    <xf numFmtId="0" fontId="63" fillId="18" borderId="0" xfId="0" applyFont="1" applyFill="1"/>
    <xf numFmtId="0" fontId="65" fillId="18" borderId="0" xfId="0" applyFont="1" applyFill="1"/>
    <xf numFmtId="0" fontId="48" fillId="18" borderId="0" xfId="0" applyFont="1" applyFill="1"/>
    <xf numFmtId="0" fontId="66" fillId="18" borderId="0" xfId="0" applyFont="1" applyFill="1" applyAlignment="1">
      <alignment horizontal="left"/>
    </xf>
    <xf numFmtId="0" fontId="67" fillId="18" borderId="0" xfId="0" applyFont="1" applyFill="1"/>
    <xf numFmtId="0" fontId="65" fillId="2" borderId="0" xfId="0" applyFont="1" applyFill="1"/>
    <xf numFmtId="3" fontId="12" fillId="2" borderId="0" xfId="0" applyNumberFormat="1" applyFont="1" applyFill="1" applyAlignment="1">
      <alignment horizontal="center"/>
    </xf>
    <xf numFmtId="165" fontId="12" fillId="2" borderId="0" xfId="0" applyNumberFormat="1" applyFont="1" applyFill="1" applyAlignment="1">
      <alignment horizontal="center"/>
    </xf>
    <xf numFmtId="0" fontId="53" fillId="2" borderId="0" xfId="0" applyFont="1" applyFill="1"/>
    <xf numFmtId="164" fontId="64" fillId="2" borderId="0" xfId="0" applyNumberFormat="1" applyFont="1" applyFill="1" applyAlignment="1">
      <alignment horizontal="center"/>
    </xf>
    <xf numFmtId="0" fontId="68" fillId="18" borderId="0" xfId="0" applyFont="1" applyFill="1"/>
    <xf numFmtId="0" fontId="69" fillId="18" borderId="0" xfId="0" applyFont="1" applyFill="1"/>
    <xf numFmtId="0" fontId="70" fillId="18" borderId="0" xfId="0" applyFont="1" applyFill="1"/>
    <xf numFmtId="0" fontId="61" fillId="5" borderId="0" xfId="0" applyFont="1" applyFill="1" applyAlignment="1">
      <alignment horizontal="left"/>
    </xf>
    <xf numFmtId="164" fontId="0" fillId="18" borderId="0" xfId="1" applyNumberFormat="1" applyFont="1" applyFill="1" applyAlignment="1">
      <alignment horizontal="center"/>
    </xf>
    <xf numFmtId="0" fontId="52" fillId="2" borderId="0" xfId="0" applyFont="1" applyFill="1" applyAlignment="1">
      <alignment horizontal="center"/>
    </xf>
    <xf numFmtId="0" fontId="59" fillId="2" borderId="0" xfId="0" applyFont="1" applyFill="1"/>
    <xf numFmtId="9" fontId="12" fillId="2" borderId="0" xfId="1" applyFont="1" applyFill="1" applyAlignment="1">
      <alignment horizontal="center"/>
    </xf>
    <xf numFmtId="9" fontId="0" fillId="2" borderId="0" xfId="1" applyFont="1" applyFill="1" applyAlignment="1">
      <alignment horizontal="center"/>
    </xf>
    <xf numFmtId="9" fontId="52" fillId="2" borderId="0" xfId="1" applyFont="1" applyFill="1" applyAlignment="1">
      <alignment horizontal="center"/>
    </xf>
    <xf numFmtId="164" fontId="12" fillId="2" borderId="0" xfId="1" applyNumberFormat="1" applyFont="1" applyFill="1" applyAlignment="1">
      <alignment horizontal="center"/>
    </xf>
    <xf numFmtId="164" fontId="12" fillId="18" borderId="0" xfId="1" applyNumberFormat="1" applyFont="1" applyFill="1" applyAlignment="1">
      <alignment horizontal="center"/>
    </xf>
    <xf numFmtId="164" fontId="52" fillId="18" borderId="0" xfId="1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52" fillId="2" borderId="0" xfId="1" applyNumberFormat="1" applyFont="1" applyFill="1" applyAlignment="1">
      <alignment horizontal="center"/>
    </xf>
    <xf numFmtId="170" fontId="0" fillId="2" borderId="0" xfId="0" applyNumberFormat="1" applyFill="1"/>
    <xf numFmtId="0" fontId="72" fillId="5" borderId="0" xfId="0" applyFont="1" applyFill="1"/>
    <xf numFmtId="3" fontId="15" fillId="5" borderId="0" xfId="0" applyNumberFormat="1" applyFont="1" applyFill="1" applyAlignment="1">
      <alignment horizontal="center"/>
    </xf>
    <xf numFmtId="164" fontId="15" fillId="5" borderId="0" xfId="0" applyNumberFormat="1" applyFont="1" applyFill="1" applyAlignment="1">
      <alignment horizontal="center"/>
    </xf>
    <xf numFmtId="0" fontId="57" fillId="2" borderId="0" xfId="0" applyFont="1" applyFill="1"/>
    <xf numFmtId="164" fontId="71" fillId="2" borderId="0" xfId="0" applyNumberFormat="1" applyFont="1" applyFill="1" applyAlignment="1">
      <alignment horizontal="center"/>
    </xf>
    <xf numFmtId="169" fontId="55" fillId="2" borderId="0" xfId="0" applyNumberFormat="1" applyFont="1" applyFill="1" applyAlignment="1">
      <alignment horizontal="center"/>
    </xf>
    <xf numFmtId="0" fontId="74" fillId="2" borderId="0" xfId="0" applyFont="1" applyFill="1"/>
    <xf numFmtId="164" fontId="63" fillId="2" borderId="0" xfId="0" applyNumberFormat="1" applyFont="1" applyFill="1" applyAlignment="1">
      <alignment horizontal="center"/>
    </xf>
    <xf numFmtId="3" fontId="73" fillId="2" borderId="0" xfId="0" applyNumberFormat="1" applyFon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12" fillId="4" borderId="0" xfId="0" applyNumberFormat="1" applyFont="1" applyFill="1" applyAlignment="1">
      <alignment horizontal="center"/>
    </xf>
    <xf numFmtId="0" fontId="75" fillId="2" borderId="0" xfId="0" applyFont="1" applyFill="1"/>
    <xf numFmtId="0" fontId="63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37" fillId="4" borderId="0" xfId="0" applyFont="1" applyFill="1" applyAlignment="1">
      <alignment horizontal="center"/>
    </xf>
    <xf numFmtId="0" fontId="37" fillId="5" borderId="0" xfId="0" applyFont="1" applyFill="1"/>
    <xf numFmtId="164" fontId="37" fillId="5" borderId="0" xfId="0" applyNumberFormat="1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2" fontId="12" fillId="2" borderId="0" xfId="0" applyNumberFormat="1" applyFont="1" applyFill="1" applyAlignment="1">
      <alignment horizontal="center"/>
    </xf>
    <xf numFmtId="9" fontId="21" fillId="2" borderId="0" xfId="1" applyFont="1" applyFill="1" applyAlignment="1">
      <alignment horizontal="center"/>
    </xf>
    <xf numFmtId="0" fontId="79" fillId="2" borderId="0" xfId="0" applyFont="1" applyFill="1"/>
    <xf numFmtId="0" fontId="80" fillId="2" borderId="0" xfId="0" applyFont="1" applyFill="1"/>
    <xf numFmtId="0" fontId="68" fillId="2" borderId="0" xfId="0" applyFont="1" applyFill="1"/>
    <xf numFmtId="0" fontId="70" fillId="2" borderId="0" xfId="0" applyFont="1" applyFill="1"/>
    <xf numFmtId="164" fontId="81" fillId="2" borderId="0" xfId="1" applyNumberFormat="1" applyFont="1" applyFill="1" applyAlignment="1">
      <alignment horizontal="center"/>
    </xf>
    <xf numFmtId="164" fontId="32" fillId="2" borderId="0" xfId="0" applyNumberFormat="1" applyFont="1" applyFill="1" applyAlignment="1">
      <alignment horizontal="center"/>
    </xf>
    <xf numFmtId="10" fontId="21" fillId="2" borderId="0" xfId="0" applyNumberFormat="1" applyFont="1" applyFill="1" applyAlignment="1">
      <alignment horizontal="center"/>
    </xf>
    <xf numFmtId="10" fontId="12" fillId="2" borderId="0" xfId="1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9" fontId="62" fillId="2" borderId="0" xfId="1" applyFont="1" applyFill="1" applyAlignment="1">
      <alignment horizontal="center"/>
    </xf>
    <xf numFmtId="164" fontId="62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36" fillId="2" borderId="0" xfId="1" applyNumberFormat="1" applyFont="1" applyFill="1" applyAlignment="1">
      <alignment horizontal="center"/>
    </xf>
    <xf numFmtId="170" fontId="17" fillId="2" borderId="0" xfId="0" applyNumberFormat="1" applyFont="1" applyFill="1"/>
    <xf numFmtId="170" fontId="17" fillId="2" borderId="0" xfId="0" applyNumberFormat="1" applyFont="1" applyFill="1" applyAlignment="1">
      <alignment horizontal="right"/>
    </xf>
    <xf numFmtId="0" fontId="39" fillId="4" borderId="0" xfId="0" applyFont="1" applyFill="1" applyAlignment="1">
      <alignment horizontal="left"/>
    </xf>
    <xf numFmtId="0" fontId="82" fillId="2" borderId="0" xfId="0" applyFont="1" applyFill="1"/>
    <xf numFmtId="164" fontId="83" fillId="2" borderId="0" xfId="0" applyNumberFormat="1" applyFont="1" applyFill="1" applyAlignment="1">
      <alignment horizontal="center"/>
    </xf>
    <xf numFmtId="164" fontId="84" fillId="2" borderId="0" xfId="0" applyNumberFormat="1" applyFont="1" applyFill="1" applyAlignment="1">
      <alignment horizontal="center"/>
    </xf>
    <xf numFmtId="0" fontId="86" fillId="2" borderId="0" xfId="0" applyFont="1" applyFill="1"/>
    <xf numFmtId="164" fontId="55" fillId="2" borderId="0" xfId="0" applyNumberFormat="1" applyFont="1" applyFill="1" applyAlignment="1">
      <alignment horizontal="center"/>
    </xf>
    <xf numFmtId="0" fontId="87" fillId="2" borderId="0" xfId="0" applyFont="1" applyFill="1"/>
    <xf numFmtId="0" fontId="88" fillId="2" borderId="0" xfId="0" applyFont="1" applyFill="1"/>
    <xf numFmtId="164" fontId="38" fillId="5" borderId="0" xfId="0" applyNumberFormat="1" applyFont="1" applyFill="1" applyAlignment="1">
      <alignment horizontal="center"/>
    </xf>
    <xf numFmtId="164" fontId="36" fillId="18" borderId="0" xfId="0" applyNumberFormat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90" fillId="2" borderId="0" xfId="0" applyFont="1" applyFill="1"/>
    <xf numFmtId="0" fontId="90" fillId="2" borderId="0" xfId="0" applyFont="1" applyFill="1" applyAlignment="1">
      <alignment horizontal="center"/>
    </xf>
    <xf numFmtId="0" fontId="91" fillId="2" borderId="0" xfId="0" applyFont="1" applyFill="1"/>
    <xf numFmtId="0" fontId="93" fillId="2" borderId="0" xfId="0" applyFont="1" applyFill="1"/>
    <xf numFmtId="0" fontId="89" fillId="7" borderId="0" xfId="0" applyFont="1" applyFill="1"/>
    <xf numFmtId="0" fontId="94" fillId="19" borderId="0" xfId="0" applyFont="1" applyFill="1"/>
    <xf numFmtId="0" fontId="95" fillId="2" borderId="0" xfId="0" applyFont="1" applyFill="1"/>
    <xf numFmtId="0" fontId="92" fillId="7" borderId="0" xfId="0" applyFont="1" applyFill="1"/>
    <xf numFmtId="0" fontId="92" fillId="7" borderId="0" xfId="0" applyFont="1" applyFill="1" applyAlignment="1">
      <alignment horizontal="center"/>
    </xf>
    <xf numFmtId="0" fontId="96" fillId="18" borderId="0" xfId="0" applyFont="1" applyFill="1"/>
    <xf numFmtId="0" fontId="97" fillId="5" borderId="0" xfId="0" applyFont="1" applyFill="1"/>
    <xf numFmtId="0" fontId="13" fillId="4" borderId="0" xfId="0" applyFont="1" applyFill="1"/>
    <xf numFmtId="41" fontId="0" fillId="2" borderId="0" xfId="0" applyNumberFormat="1" applyFill="1" applyAlignment="1">
      <alignment horizontal="right"/>
    </xf>
    <xf numFmtId="43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20" borderId="0" xfId="0" applyNumberFormat="1" applyFill="1"/>
    <xf numFmtId="1" fontId="0" fillId="20" borderId="0" xfId="0" applyNumberFormat="1" applyFill="1"/>
    <xf numFmtId="0" fontId="98" fillId="2" borderId="0" xfId="0" applyFont="1" applyFill="1"/>
    <xf numFmtId="41" fontId="0" fillId="2" borderId="0" xfId="1" applyNumberFormat="1" applyFont="1" applyFill="1" applyAlignment="1">
      <alignment horizontal="center"/>
    </xf>
    <xf numFmtId="9" fontId="0" fillId="2" borderId="0" xfId="0" applyNumberFormat="1" applyFill="1"/>
    <xf numFmtId="9" fontId="36" fillId="2" borderId="0" xfId="1" applyFont="1" applyFill="1" applyAlignment="1">
      <alignment horizontal="center"/>
    </xf>
    <xf numFmtId="0" fontId="15" fillId="5" borderId="0" xfId="0" applyFont="1" applyFill="1" applyAlignment="1">
      <alignment horizontal="right"/>
    </xf>
    <xf numFmtId="0" fontId="96" fillId="2" borderId="0" xfId="0" applyFont="1" applyFill="1"/>
    <xf numFmtId="0" fontId="15" fillId="0" borderId="0" xfId="0" applyFont="1" applyAlignment="1">
      <alignment horizontal="right"/>
    </xf>
    <xf numFmtId="41" fontId="0" fillId="2" borderId="0" xfId="0" applyNumberFormat="1" applyFill="1" applyAlignment="1">
      <alignment horizontal="center"/>
    </xf>
    <xf numFmtId="166" fontId="0" fillId="2" borderId="0" xfId="0" applyNumberFormat="1" applyFill="1"/>
    <xf numFmtId="41" fontId="0" fillId="20" borderId="0" xfId="0" applyNumberFormat="1" applyFill="1"/>
    <xf numFmtId="41" fontId="21" fillId="2" borderId="3" xfId="0" applyNumberFormat="1" applyFont="1" applyFill="1" applyBorder="1"/>
    <xf numFmtId="0" fontId="37" fillId="2" borderId="0" xfId="0" applyFont="1" applyFill="1" applyAlignment="1">
      <alignment horizontal="left"/>
    </xf>
    <xf numFmtId="41" fontId="36" fillId="2" borderId="0" xfId="0" applyNumberFormat="1" applyFont="1" applyFill="1" applyAlignment="1">
      <alignment horizontal="center"/>
    </xf>
    <xf numFmtId="9" fontId="0" fillId="20" borderId="0" xfId="1" applyFont="1" applyFill="1"/>
    <xf numFmtId="41" fontId="17" fillId="2" borderId="0" xfId="0" applyNumberFormat="1" applyFont="1" applyFill="1" applyAlignment="1">
      <alignment horizontal="right"/>
    </xf>
    <xf numFmtId="43" fontId="0" fillId="20" borderId="0" xfId="0" applyNumberFormat="1" applyFill="1"/>
    <xf numFmtId="9" fontId="0" fillId="20" borderId="0" xfId="0" applyNumberFormat="1" applyFill="1"/>
    <xf numFmtId="0" fontId="0" fillId="21" borderId="0" xfId="0" applyFill="1"/>
    <xf numFmtId="0" fontId="17" fillId="21" borderId="0" xfId="0" applyFont="1" applyFill="1"/>
    <xf numFmtId="9" fontId="12" fillId="2" borderId="0" xfId="0" applyNumberFormat="1" applyFont="1" applyFill="1" applyAlignment="1">
      <alignment horizontal="center"/>
    </xf>
    <xf numFmtId="0" fontId="17" fillId="22" borderId="0" xfId="0" applyFont="1" applyFill="1"/>
    <xf numFmtId="0" fontId="0" fillId="22" borderId="0" xfId="0" applyFill="1"/>
    <xf numFmtId="9" fontId="17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170" fontId="0" fillId="2" borderId="0" xfId="0" applyNumberFormat="1" applyFill="1" applyAlignment="1">
      <alignment horizontal="center"/>
    </xf>
    <xf numFmtId="9" fontId="19" fillId="2" borderId="0" xfId="1" applyFont="1" applyFill="1"/>
    <xf numFmtId="170" fontId="0" fillId="22" borderId="0" xfId="1" applyNumberFormat="1" applyFont="1" applyFill="1"/>
    <xf numFmtId="9" fontId="17" fillId="22" borderId="0" xfId="1" applyFont="1" applyFill="1" applyAlignment="1">
      <alignment horizontal="center"/>
    </xf>
    <xf numFmtId="9" fontId="17" fillId="2" borderId="0" xfId="1" applyFont="1" applyFill="1" applyAlignment="1">
      <alignment horizontal="center"/>
    </xf>
    <xf numFmtId="2" fontId="12" fillId="2" borderId="0" xfId="1" applyNumberFormat="1" applyFont="1" applyFill="1" applyAlignment="1">
      <alignment horizontal="center"/>
    </xf>
    <xf numFmtId="0" fontId="0" fillId="23" borderId="0" xfId="0" applyFill="1"/>
    <xf numFmtId="0" fontId="17" fillId="23" borderId="0" xfId="0" applyFont="1" applyFill="1"/>
    <xf numFmtId="43" fontId="17" fillId="23" borderId="0" xfId="0" applyNumberFormat="1" applyFont="1" applyFill="1"/>
    <xf numFmtId="0" fontId="15" fillId="24" borderId="0" xfId="0" applyFont="1" applyFill="1"/>
    <xf numFmtId="0" fontId="0" fillId="24" borderId="0" xfId="0" applyFill="1"/>
    <xf numFmtId="0" fontId="100" fillId="2" borderId="0" xfId="0" applyFont="1" applyFill="1"/>
    <xf numFmtId="0" fontId="15" fillId="23" borderId="0" xfId="0" applyFont="1" applyFill="1"/>
    <xf numFmtId="170" fontId="0" fillId="23" borderId="0" xfId="0" applyNumberFormat="1" applyFill="1"/>
    <xf numFmtId="0" fontId="25" fillId="23" borderId="0" xfId="0" applyFont="1" applyFill="1"/>
    <xf numFmtId="170" fontId="17" fillId="23" borderId="0" xfId="0" applyNumberFormat="1" applyFont="1" applyFill="1"/>
    <xf numFmtId="1" fontId="17" fillId="23" borderId="0" xfId="0" applyNumberFormat="1" applyFont="1" applyFill="1"/>
    <xf numFmtId="0" fontId="51" fillId="26" borderId="0" xfId="0" applyFont="1" applyFill="1"/>
    <xf numFmtId="0" fontId="0" fillId="26" borderId="0" xfId="0" applyFill="1"/>
    <xf numFmtId="164" fontId="101" fillId="0" borderId="0" xfId="1" applyNumberFormat="1" applyFont="1"/>
    <xf numFmtId="0" fontId="102" fillId="26" borderId="15" xfId="0" applyFont="1" applyFill="1" applyBorder="1" applyAlignment="1">
      <alignment horizontal="center"/>
    </xf>
    <xf numFmtId="171" fontId="105" fillId="28" borderId="20" xfId="0" applyNumberFormat="1" applyFont="1" applyFill="1" applyBorder="1" applyAlignment="1">
      <alignment horizontal="center"/>
    </xf>
    <xf numFmtId="171" fontId="105" fillId="28" borderId="21" xfId="0" applyNumberFormat="1" applyFont="1" applyFill="1" applyBorder="1" applyAlignment="1">
      <alignment horizontal="center"/>
    </xf>
    <xf numFmtId="171" fontId="105" fillId="29" borderId="21" xfId="0" applyNumberFormat="1" applyFont="1" applyFill="1" applyBorder="1" applyAlignment="1">
      <alignment horizontal="center"/>
    </xf>
    <xf numFmtId="171" fontId="103" fillId="30" borderId="22" xfId="0" applyNumberFormat="1" applyFont="1" applyFill="1" applyBorder="1" applyAlignment="1">
      <alignment horizontal="center"/>
    </xf>
    <xf numFmtId="171" fontId="104" fillId="31" borderId="23" xfId="0" applyNumberFormat="1" applyFont="1" applyFill="1" applyBorder="1" applyAlignment="1">
      <alignment horizontal="center"/>
    </xf>
    <xf numFmtId="171" fontId="104" fillId="31" borderId="24" xfId="0" applyNumberFormat="1" applyFont="1" applyFill="1" applyBorder="1" applyAlignment="1">
      <alignment horizontal="center"/>
    </xf>
    <xf numFmtId="171" fontId="104" fillId="28" borderId="24" xfId="0" applyNumberFormat="1" applyFont="1" applyFill="1" applyBorder="1" applyAlignment="1">
      <alignment horizontal="center"/>
    </xf>
    <xf numFmtId="171" fontId="104" fillId="29" borderId="25" xfId="0" applyNumberFormat="1" applyFont="1" applyFill="1" applyBorder="1" applyAlignment="1">
      <alignment horizontal="center"/>
    </xf>
    <xf numFmtId="171" fontId="106" fillId="19" borderId="23" xfId="0" applyNumberFormat="1" applyFont="1" applyFill="1" applyBorder="1" applyAlignment="1">
      <alignment horizontal="center"/>
    </xf>
    <xf numFmtId="171" fontId="106" fillId="19" borderId="25" xfId="0" applyNumberFormat="1" applyFont="1" applyFill="1" applyBorder="1" applyAlignment="1">
      <alignment horizontal="center"/>
    </xf>
    <xf numFmtId="171" fontId="108" fillId="33" borderId="23" xfId="0" applyNumberFormat="1" applyFont="1" applyFill="1" applyBorder="1" applyAlignment="1">
      <alignment horizontal="center"/>
    </xf>
    <xf numFmtId="171" fontId="108" fillId="33" borderId="24" xfId="0" applyNumberFormat="1" applyFont="1" applyFill="1" applyBorder="1" applyAlignment="1">
      <alignment horizontal="center"/>
    </xf>
    <xf numFmtId="171" fontId="108" fillId="34" borderId="24" xfId="0" applyNumberFormat="1" applyFont="1" applyFill="1" applyBorder="1" applyAlignment="1">
      <alignment horizontal="center"/>
    </xf>
    <xf numFmtId="171" fontId="108" fillId="33" borderId="25" xfId="0" applyNumberFormat="1" applyFont="1" applyFill="1" applyBorder="1" applyAlignment="1">
      <alignment horizontal="center"/>
    </xf>
    <xf numFmtId="171" fontId="109" fillId="35" borderId="26" xfId="0" applyNumberFormat="1" applyFont="1" applyFill="1" applyBorder="1" applyAlignment="1">
      <alignment horizontal="center"/>
    </xf>
    <xf numFmtId="171" fontId="109" fillId="35" borderId="27" xfId="0" applyNumberFormat="1" applyFont="1" applyFill="1" applyBorder="1" applyAlignment="1">
      <alignment horizontal="center"/>
    </xf>
    <xf numFmtId="171" fontId="103" fillId="36" borderId="27" xfId="0" applyNumberFormat="1" applyFont="1" applyFill="1" applyBorder="1" applyAlignment="1">
      <alignment horizontal="center"/>
    </xf>
    <xf numFmtId="171" fontId="109" fillId="35" borderId="28" xfId="0" applyNumberFormat="1" applyFont="1" applyFill="1" applyBorder="1" applyAlignment="1">
      <alignment horizontal="center"/>
    </xf>
    <xf numFmtId="164" fontId="103" fillId="27" borderId="30" xfId="0" applyNumberFormat="1" applyFont="1" applyFill="1" applyBorder="1" applyAlignment="1">
      <alignment horizontal="center"/>
    </xf>
    <xf numFmtId="164" fontId="103" fillId="27" borderId="31" xfId="0" applyNumberFormat="1" applyFont="1" applyFill="1" applyBorder="1" applyAlignment="1">
      <alignment horizontal="center"/>
    </xf>
    <xf numFmtId="171" fontId="103" fillId="27" borderId="33" xfId="0" applyNumberFormat="1" applyFont="1" applyFill="1" applyBorder="1" applyAlignment="1">
      <alignment horizontal="center"/>
    </xf>
    <xf numFmtId="164" fontId="103" fillId="27" borderId="34" xfId="0" applyNumberFormat="1" applyFont="1" applyFill="1" applyBorder="1" applyAlignment="1">
      <alignment horizontal="center"/>
    </xf>
    <xf numFmtId="164" fontId="103" fillId="27" borderId="32" xfId="0" applyNumberFormat="1" applyFont="1" applyFill="1" applyBorder="1" applyAlignment="1">
      <alignment horizontal="center"/>
    </xf>
    <xf numFmtId="171" fontId="106" fillId="19" borderId="35" xfId="0" applyNumberFormat="1" applyFont="1" applyFill="1" applyBorder="1" applyAlignment="1">
      <alignment horizontal="center"/>
    </xf>
    <xf numFmtId="171" fontId="104" fillId="28" borderId="36" xfId="0" applyNumberFormat="1" applyFont="1" applyFill="1" applyBorder="1" applyAlignment="1">
      <alignment horizontal="center"/>
    </xf>
    <xf numFmtId="171" fontId="108" fillId="34" borderId="21" xfId="0" applyNumberFormat="1" applyFont="1" applyFill="1" applyBorder="1" applyAlignment="1">
      <alignment horizontal="center"/>
    </xf>
    <xf numFmtId="171" fontId="107" fillId="32" borderId="12" xfId="0" applyNumberFormat="1" applyFont="1" applyFill="1" applyBorder="1" applyAlignment="1">
      <alignment horizontal="center"/>
    </xf>
    <xf numFmtId="0" fontId="110" fillId="2" borderId="0" xfId="0" applyFont="1" applyFill="1"/>
    <xf numFmtId="0" fontId="111" fillId="2" borderId="0" xfId="0" applyFont="1" applyFill="1"/>
    <xf numFmtId="171" fontId="113" fillId="2" borderId="0" xfId="0" applyNumberFormat="1" applyFont="1" applyFill="1"/>
    <xf numFmtId="171" fontId="115" fillId="2" borderId="0" xfId="0" applyNumberFormat="1" applyFont="1" applyFill="1"/>
    <xf numFmtId="171" fontId="117" fillId="2" borderId="0" xfId="0" applyNumberFormat="1" applyFont="1" applyFill="1"/>
    <xf numFmtId="0" fontId="114" fillId="2" borderId="0" xfId="0" applyFont="1" applyFill="1" applyAlignment="1">
      <alignment horizontal="right"/>
    </xf>
    <xf numFmtId="0" fontId="112" fillId="2" borderId="0" xfId="0" applyFont="1" applyFill="1" applyAlignment="1">
      <alignment horizontal="right"/>
    </xf>
    <xf numFmtId="0" fontId="116" fillId="2" borderId="0" xfId="0" applyFont="1" applyFill="1" applyAlignment="1">
      <alignment horizontal="right"/>
    </xf>
    <xf numFmtId="0" fontId="39" fillId="26" borderId="0" xfId="0" applyFont="1" applyFill="1" applyAlignment="1">
      <alignment horizontal="left"/>
    </xf>
    <xf numFmtId="0" fontId="121" fillId="2" borderId="0" xfId="0" applyFont="1" applyFill="1"/>
    <xf numFmtId="171" fontId="128" fillId="32" borderId="12" xfId="0" applyNumberFormat="1" applyFont="1" applyFill="1" applyBorder="1" applyAlignment="1">
      <alignment horizontal="center"/>
    </xf>
    <xf numFmtId="164" fontId="33" fillId="27" borderId="0" xfId="0" applyNumberFormat="1" applyFont="1" applyFill="1" applyAlignment="1">
      <alignment horizontal="center"/>
    </xf>
    <xf numFmtId="0" fontId="123" fillId="26" borderId="13" xfId="0" applyFont="1" applyFill="1" applyBorder="1" applyAlignment="1">
      <alignment horizontal="center"/>
    </xf>
    <xf numFmtId="0" fontId="0" fillId="2" borderId="14" xfId="0" applyFill="1" applyBorder="1"/>
    <xf numFmtId="0" fontId="0" fillId="2" borderId="17" xfId="0" applyFill="1" applyBorder="1"/>
    <xf numFmtId="171" fontId="33" fillId="36" borderId="5" xfId="0" applyNumberFormat="1" applyFont="1" applyFill="1" applyBorder="1" applyAlignment="1">
      <alignment horizontal="center"/>
    </xf>
    <xf numFmtId="171" fontId="33" fillId="36" borderId="6" xfId="0" applyNumberFormat="1" applyFont="1" applyFill="1" applyBorder="1" applyAlignment="1">
      <alignment horizontal="center"/>
    </xf>
    <xf numFmtId="171" fontId="124" fillId="33" borderId="6" xfId="0" applyNumberFormat="1" applyFont="1" applyFill="1" applyBorder="1" applyAlignment="1">
      <alignment horizontal="center"/>
    </xf>
    <xf numFmtId="171" fontId="125" fillId="19" borderId="6" xfId="0" applyNumberFormat="1" applyFont="1" applyFill="1" applyBorder="1" applyAlignment="1">
      <alignment horizontal="center"/>
    </xf>
    <xf numFmtId="171" fontId="126" fillId="31" borderId="37" xfId="0" applyNumberFormat="1" applyFont="1" applyFill="1" applyBorder="1" applyAlignment="1">
      <alignment horizontal="center"/>
    </xf>
    <xf numFmtId="171" fontId="33" fillId="36" borderId="7" xfId="0" applyNumberFormat="1" applyFont="1" applyFill="1" applyBorder="1" applyAlignment="1">
      <alignment horizontal="center"/>
    </xf>
    <xf numFmtId="171" fontId="127" fillId="35" borderId="8" xfId="0" applyNumberFormat="1" applyFont="1" applyFill="1" applyBorder="1" applyAlignment="1">
      <alignment horizontal="center"/>
    </xf>
    <xf numFmtId="171" fontId="124" fillId="33" borderId="8" xfId="0" applyNumberFormat="1" applyFont="1" applyFill="1" applyBorder="1" applyAlignment="1">
      <alignment horizontal="center"/>
    </xf>
    <xf numFmtId="171" fontId="125" fillId="19" borderId="8" xfId="0" applyNumberFormat="1" applyFont="1" applyFill="1" applyBorder="1" applyAlignment="1">
      <alignment horizontal="center"/>
    </xf>
    <xf numFmtId="171" fontId="126" fillId="28" borderId="38" xfId="0" applyNumberFormat="1" applyFont="1" applyFill="1" applyBorder="1" applyAlignment="1">
      <alignment horizontal="center"/>
    </xf>
    <xf numFmtId="171" fontId="126" fillId="31" borderId="8" xfId="0" applyNumberFormat="1" applyFont="1" applyFill="1" applyBorder="1" applyAlignment="1">
      <alignment horizontal="center"/>
    </xf>
    <xf numFmtId="171" fontId="127" fillId="35" borderId="7" xfId="0" applyNumberFormat="1" applyFont="1" applyFill="1" applyBorder="1" applyAlignment="1">
      <alignment horizontal="center"/>
    </xf>
    <xf numFmtId="171" fontId="126" fillId="28" borderId="8" xfId="0" applyNumberFormat="1" applyFont="1" applyFill="1" applyBorder="1" applyAlignment="1">
      <alignment horizontal="center"/>
    </xf>
    <xf numFmtId="171" fontId="126" fillId="29" borderId="38" xfId="0" applyNumberFormat="1" applyFont="1" applyFill="1" applyBorder="1" applyAlignment="1">
      <alignment horizontal="center"/>
    </xf>
    <xf numFmtId="171" fontId="33" fillId="30" borderId="38" xfId="0" applyNumberFormat="1" applyFont="1" applyFill="1" applyBorder="1" applyAlignment="1">
      <alignment horizontal="center"/>
    </xf>
    <xf numFmtId="171" fontId="124" fillId="33" borderId="7" xfId="0" applyNumberFormat="1" applyFont="1" applyFill="1" applyBorder="1" applyAlignment="1">
      <alignment horizontal="center"/>
    </xf>
    <xf numFmtId="171" fontId="126" fillId="29" borderId="8" xfId="0" applyNumberFormat="1" applyFont="1" applyFill="1" applyBorder="1" applyAlignment="1">
      <alignment horizontal="center"/>
    </xf>
    <xf numFmtId="164" fontId="33" fillId="27" borderId="30" xfId="0" applyNumberFormat="1" applyFont="1" applyFill="1" applyBorder="1" applyAlignment="1">
      <alignment horizontal="center"/>
    </xf>
    <xf numFmtId="164" fontId="33" fillId="27" borderId="31" xfId="0" applyNumberFormat="1" applyFont="1" applyFill="1" applyBorder="1" applyAlignment="1">
      <alignment horizontal="center"/>
    </xf>
    <xf numFmtId="171" fontId="124" fillId="33" borderId="10" xfId="0" applyNumberFormat="1" applyFont="1" applyFill="1" applyBorder="1" applyAlignment="1">
      <alignment horizontal="center"/>
    </xf>
    <xf numFmtId="171" fontId="126" fillId="31" borderId="11" xfId="0" applyNumberFormat="1" applyFont="1" applyFill="1" applyBorder="1" applyAlignment="1">
      <alignment horizontal="center"/>
    </xf>
    <xf numFmtId="171" fontId="126" fillId="28" borderId="11" xfId="0" applyNumberFormat="1" applyFont="1" applyFill="1" applyBorder="1" applyAlignment="1">
      <alignment horizontal="center"/>
    </xf>
    <xf numFmtId="171" fontId="126" fillId="29" borderId="11" xfId="0" applyNumberFormat="1" applyFont="1" applyFill="1" applyBorder="1" applyAlignment="1">
      <alignment horizontal="center"/>
    </xf>
    <xf numFmtId="171" fontId="33" fillId="30" borderId="39" xfId="0" applyNumberFormat="1" applyFont="1" applyFill="1" applyBorder="1" applyAlignment="1">
      <alignment horizontal="center"/>
    </xf>
    <xf numFmtId="0" fontId="131" fillId="11" borderId="14" xfId="0" applyFont="1" applyFill="1" applyBorder="1" applyAlignment="1">
      <alignment horizontal="center"/>
    </xf>
    <xf numFmtId="0" fontId="0" fillId="11" borderId="14" xfId="0" applyFill="1" applyBorder="1"/>
    <xf numFmtId="0" fontId="131" fillId="11" borderId="19" xfId="0" applyFont="1" applyFill="1" applyBorder="1" applyAlignment="1">
      <alignment horizontal="center"/>
    </xf>
    <xf numFmtId="0" fontId="129" fillId="11" borderId="40" xfId="0" applyFont="1" applyFill="1" applyBorder="1" applyAlignment="1">
      <alignment horizontal="center"/>
    </xf>
    <xf numFmtId="171" fontId="122" fillId="36" borderId="41" xfId="0" applyNumberFormat="1" applyFont="1" applyFill="1" applyBorder="1" applyAlignment="1">
      <alignment horizontal="center"/>
    </xf>
    <xf numFmtId="0" fontId="0" fillId="11" borderId="41" xfId="0" applyFill="1" applyBorder="1"/>
    <xf numFmtId="171" fontId="130" fillId="32" borderId="41" xfId="0" applyNumberFormat="1" applyFont="1" applyFill="1" applyBorder="1" applyAlignment="1">
      <alignment horizontal="center"/>
    </xf>
    <xf numFmtId="171" fontId="122" fillId="30" borderId="42" xfId="0" applyNumberFormat="1" applyFont="1" applyFill="1" applyBorder="1" applyAlignment="1">
      <alignment horizontal="center"/>
    </xf>
    <xf numFmtId="171" fontId="124" fillId="33" borderId="9" xfId="0" applyNumberFormat="1" applyFont="1" applyFill="1" applyBorder="1" applyAlignment="1">
      <alignment horizontal="center"/>
    </xf>
    <xf numFmtId="171" fontId="126" fillId="28" borderId="7" xfId="0" applyNumberFormat="1" applyFont="1" applyFill="1" applyBorder="1" applyAlignment="1">
      <alignment horizontal="center"/>
    </xf>
    <xf numFmtId="171" fontId="125" fillId="19" borderId="11" xfId="0" applyNumberFormat="1" applyFont="1" applyFill="1" applyBorder="1" applyAlignment="1">
      <alignment horizontal="center"/>
    </xf>
    <xf numFmtId="171" fontId="126" fillId="31" borderId="6" xfId="0" applyNumberFormat="1" applyFont="1" applyFill="1" applyBorder="1" applyAlignment="1">
      <alignment horizontal="center"/>
    </xf>
    <xf numFmtId="0" fontId="129" fillId="11" borderId="0" xfId="0" applyFont="1" applyFill="1" applyAlignment="1">
      <alignment horizontal="center"/>
    </xf>
    <xf numFmtId="171" fontId="33" fillId="27" borderId="43" xfId="0" applyNumberFormat="1" applyFont="1" applyFill="1" applyBorder="1" applyAlignment="1">
      <alignment horizontal="center"/>
    </xf>
    <xf numFmtId="0" fontId="132" fillId="2" borderId="0" xfId="0" applyFont="1" applyFill="1"/>
    <xf numFmtId="0" fontId="133" fillId="37" borderId="0" xfId="0" applyFont="1" applyFill="1"/>
    <xf numFmtId="0" fontId="15" fillId="37" borderId="0" xfId="0" applyFont="1" applyFill="1"/>
    <xf numFmtId="0" fontId="134" fillId="2" borderId="0" xfId="0" applyFont="1" applyFill="1"/>
    <xf numFmtId="0" fontId="134" fillId="38" borderId="0" xfId="0" applyFont="1" applyFill="1"/>
    <xf numFmtId="6" fontId="134" fillId="38" borderId="0" xfId="0" applyNumberFormat="1" applyFont="1" applyFill="1" applyAlignment="1">
      <alignment horizontal="center"/>
    </xf>
    <xf numFmtId="0" fontId="0" fillId="38" borderId="0" xfId="0" applyFill="1" applyAlignment="1">
      <alignment horizontal="center"/>
    </xf>
    <xf numFmtId="10" fontId="0" fillId="38" borderId="0" xfId="0" applyNumberFormat="1" applyFill="1" applyAlignment="1">
      <alignment horizontal="center"/>
    </xf>
    <xf numFmtId="0" fontId="135" fillId="2" borderId="0" xfId="0" applyFont="1" applyFill="1"/>
    <xf numFmtId="0" fontId="135" fillId="39" borderId="0" xfId="0" applyFont="1" applyFill="1"/>
    <xf numFmtId="6" fontId="135" fillId="39" borderId="0" xfId="0" applyNumberFormat="1" applyFont="1" applyFill="1" applyAlignment="1">
      <alignment horizontal="center"/>
    </xf>
    <xf numFmtId="0" fontId="0" fillId="39" borderId="0" xfId="0" applyFill="1" applyAlignment="1">
      <alignment horizontal="center"/>
    </xf>
    <xf numFmtId="10" fontId="0" fillId="39" borderId="0" xfId="0" applyNumberFormat="1" applyFill="1" applyAlignment="1">
      <alignment horizontal="center"/>
    </xf>
    <xf numFmtId="0" fontId="64" fillId="2" borderId="0" xfId="0" applyFont="1" applyFill="1"/>
    <xf numFmtId="0" fontId="64" fillId="40" borderId="0" xfId="0" applyFont="1" applyFill="1"/>
    <xf numFmtId="6" fontId="64" fillId="40" borderId="0" xfId="0" applyNumberFormat="1" applyFont="1" applyFill="1" applyAlignment="1">
      <alignment horizontal="center"/>
    </xf>
    <xf numFmtId="0" fontId="0" fillId="40" borderId="0" xfId="0" applyFill="1" applyAlignment="1">
      <alignment horizontal="center"/>
    </xf>
    <xf numFmtId="10" fontId="0" fillId="40" borderId="0" xfId="0" applyNumberFormat="1" applyFill="1" applyAlignment="1">
      <alignment horizontal="center"/>
    </xf>
    <xf numFmtId="0" fontId="136" fillId="37" borderId="0" xfId="0" applyFont="1" applyFill="1"/>
    <xf numFmtId="0" fontId="51" fillId="41" borderId="0" xfId="0" applyFont="1" applyFill="1"/>
    <xf numFmtId="0" fontId="51" fillId="42" borderId="0" xfId="0" applyFont="1" applyFill="1"/>
    <xf numFmtId="0" fontId="51" fillId="43" borderId="0" xfId="0" applyFont="1" applyFill="1"/>
    <xf numFmtId="0" fontId="51" fillId="41" borderId="0" xfId="0" applyFont="1" applyFill="1" applyAlignment="1">
      <alignment horizontal="center"/>
    </xf>
    <xf numFmtId="0" fontId="51" fillId="42" borderId="0" xfId="0" applyFont="1" applyFill="1" applyAlignment="1">
      <alignment horizontal="center"/>
    </xf>
    <xf numFmtId="0" fontId="51" fillId="43" borderId="0" xfId="0" applyFont="1" applyFill="1" applyAlignment="1">
      <alignment horizontal="center"/>
    </xf>
    <xf numFmtId="10" fontId="134" fillId="2" borderId="0" xfId="0" applyNumberFormat="1" applyFont="1" applyFill="1" applyAlignment="1">
      <alignment horizontal="center"/>
    </xf>
    <xf numFmtId="10" fontId="135" fillId="2" borderId="0" xfId="0" applyNumberFormat="1" applyFont="1" applyFill="1" applyAlignment="1">
      <alignment horizontal="center"/>
    </xf>
    <xf numFmtId="10" fontId="64" fillId="2" borderId="0" xfId="0" applyNumberFormat="1" applyFont="1" applyFill="1" applyAlignment="1">
      <alignment horizontal="center"/>
    </xf>
    <xf numFmtId="0" fontId="15" fillId="37" borderId="0" xfId="0" applyFont="1" applyFill="1" applyAlignment="1">
      <alignment horizontal="center"/>
    </xf>
    <xf numFmtId="171" fontId="0" fillId="2" borderId="0" xfId="0" applyNumberFormat="1" applyFill="1" applyAlignment="1">
      <alignment horizontal="center"/>
    </xf>
    <xf numFmtId="0" fontId="15" fillId="19" borderId="0" xfId="0" applyFont="1" applyFill="1"/>
    <xf numFmtId="9" fontId="0" fillId="19" borderId="0" xfId="0" applyNumberFormat="1" applyFill="1" applyAlignment="1">
      <alignment horizontal="center"/>
    </xf>
    <xf numFmtId="171" fontId="137" fillId="19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right"/>
    </xf>
    <xf numFmtId="0" fontId="137" fillId="2" borderId="0" xfId="0" applyFont="1" applyFill="1" applyAlignment="1">
      <alignment horizontal="center"/>
    </xf>
    <xf numFmtId="0" fontId="134" fillId="2" borderId="0" xfId="0" applyFont="1" applyFill="1" applyAlignment="1">
      <alignment horizontal="right"/>
    </xf>
    <xf numFmtId="9" fontId="138" fillId="2" borderId="0" xfId="0" applyNumberFormat="1" applyFont="1" applyFill="1" applyAlignment="1">
      <alignment horizontal="center"/>
    </xf>
    <xf numFmtId="0" fontId="64" fillId="2" borderId="0" xfId="0" applyFont="1" applyFill="1" applyAlignment="1">
      <alignment horizontal="right"/>
    </xf>
    <xf numFmtId="9" fontId="139" fillId="2" borderId="0" xfId="0" applyNumberFormat="1" applyFont="1" applyFill="1" applyAlignment="1">
      <alignment horizontal="center"/>
    </xf>
    <xf numFmtId="0" fontId="135" fillId="2" borderId="0" xfId="0" applyFont="1" applyFill="1" applyAlignment="1">
      <alignment horizontal="right"/>
    </xf>
    <xf numFmtId="9" fontId="140" fillId="2" borderId="0" xfId="0" applyNumberFormat="1" applyFont="1" applyFill="1" applyAlignment="1">
      <alignment horizontal="center"/>
    </xf>
    <xf numFmtId="0" fontId="84" fillId="18" borderId="0" xfId="0" applyFont="1" applyFill="1"/>
    <xf numFmtId="0" fontId="84" fillId="17" borderId="0" xfId="0" applyFont="1" applyFill="1"/>
    <xf numFmtId="0" fontId="142" fillId="5" borderId="0" xfId="0" applyFont="1" applyFill="1"/>
    <xf numFmtId="0" fontId="84" fillId="5" borderId="0" xfId="0" applyFont="1" applyFill="1"/>
    <xf numFmtId="0" fontId="82" fillId="44" borderId="0" xfId="0" applyFont="1" applyFill="1"/>
    <xf numFmtId="0" fontId="84" fillId="44" borderId="0" xfId="0" applyFont="1" applyFill="1"/>
    <xf numFmtId="0" fontId="88" fillId="18" borderId="0" xfId="0" applyFont="1" applyFill="1"/>
    <xf numFmtId="0" fontId="130" fillId="18" borderId="0" xfId="0" applyFont="1" applyFill="1"/>
    <xf numFmtId="0" fontId="130" fillId="18" borderId="0" xfId="0" applyFont="1" applyFill="1" applyAlignment="1">
      <alignment horizontal="center"/>
    </xf>
    <xf numFmtId="0" fontId="62" fillId="18" borderId="0" xfId="0" applyFont="1" applyFill="1"/>
    <xf numFmtId="0" fontId="32" fillId="18" borderId="0" xfId="0" applyFont="1" applyFill="1"/>
    <xf numFmtId="0" fontId="32" fillId="18" borderId="0" xfId="0" applyFont="1" applyFill="1" applyAlignment="1">
      <alignment horizontal="center"/>
    </xf>
    <xf numFmtId="0" fontId="143" fillId="18" borderId="0" xfId="0" applyFont="1" applyFill="1"/>
    <xf numFmtId="0" fontId="88" fillId="18" borderId="0" xfId="0" applyFont="1" applyFill="1" applyAlignment="1">
      <alignment horizontal="center"/>
    </xf>
    <xf numFmtId="0" fontId="144" fillId="18" borderId="0" xfId="0" applyFont="1" applyFill="1"/>
    <xf numFmtId="49" fontId="88" fillId="18" borderId="0" xfId="0" applyNumberFormat="1" applyFont="1" applyFill="1"/>
    <xf numFmtId="49" fontId="88" fillId="18" borderId="0" xfId="0" applyNumberFormat="1" applyFont="1" applyFill="1" applyAlignment="1">
      <alignment horizontal="center"/>
    </xf>
    <xf numFmtId="49" fontId="84" fillId="18" borderId="0" xfId="0" applyNumberFormat="1" applyFont="1" applyFill="1"/>
    <xf numFmtId="0" fontId="88" fillId="18" borderId="0" xfId="0" applyFont="1" applyFill="1" applyAlignment="1">
      <alignment horizontal="center" wrapText="1"/>
    </xf>
    <xf numFmtId="0" fontId="88" fillId="18" borderId="0" xfId="0" applyFont="1" applyFill="1" applyAlignment="1">
      <alignment horizontal="left" vertical="center"/>
    </xf>
    <xf numFmtId="0" fontId="88" fillId="18" borderId="0" xfId="0" applyFont="1" applyFill="1" applyAlignment="1">
      <alignment vertical="center"/>
    </xf>
    <xf numFmtId="0" fontId="0" fillId="37" borderId="0" xfId="0" applyFill="1"/>
    <xf numFmtId="0" fontId="0" fillId="45" borderId="0" xfId="0" applyFill="1"/>
    <xf numFmtId="0" fontId="146" fillId="45" borderId="0" xfId="0" applyFont="1" applyFill="1"/>
    <xf numFmtId="0" fontId="147" fillId="47" borderId="0" xfId="0" applyFont="1" applyFill="1" applyAlignment="1">
      <alignment horizontal="center"/>
    </xf>
    <xf numFmtId="0" fontId="152" fillId="18" borderId="0" xfId="0" applyFont="1" applyFill="1"/>
    <xf numFmtId="0" fontId="156" fillId="3" borderId="0" xfId="0" applyFont="1" applyFill="1"/>
    <xf numFmtId="0" fontId="157" fillId="37" borderId="0" xfId="0" applyFont="1" applyFill="1"/>
    <xf numFmtId="0" fontId="151" fillId="3" borderId="0" xfId="0" applyFont="1" applyFill="1" applyAlignment="1">
      <alignment horizontal="center"/>
    </xf>
    <xf numFmtId="0" fontId="0" fillId="48" borderId="0" xfId="0" applyFill="1"/>
    <xf numFmtId="0" fontId="145" fillId="48" borderId="0" xfId="0" applyFont="1" applyFill="1" applyAlignment="1">
      <alignment horizontal="center"/>
    </xf>
    <xf numFmtId="8" fontId="158" fillId="48" borderId="0" xfId="0" applyNumberFormat="1" applyFont="1" applyFill="1" applyAlignment="1">
      <alignment horizontal="center"/>
    </xf>
    <xf numFmtId="0" fontId="159" fillId="48" borderId="0" xfId="0" applyFont="1" applyFill="1" applyAlignment="1">
      <alignment horizontal="center"/>
    </xf>
    <xf numFmtId="10" fontId="159" fillId="48" borderId="0" xfId="0" applyNumberFormat="1" applyFont="1" applyFill="1" applyAlignment="1">
      <alignment horizontal="center"/>
    </xf>
    <xf numFmtId="6" fontId="160" fillId="48" borderId="0" xfId="0" applyNumberFormat="1" applyFont="1" applyFill="1" applyAlignment="1">
      <alignment horizontal="center"/>
    </xf>
    <xf numFmtId="0" fontId="161" fillId="48" borderId="0" xfId="0" applyFont="1" applyFill="1" applyAlignment="1">
      <alignment horizontal="center"/>
    </xf>
    <xf numFmtId="0" fontId="150" fillId="47" borderId="0" xfId="0" applyFont="1" applyFill="1" applyAlignment="1">
      <alignment horizontal="center"/>
    </xf>
    <xf numFmtId="0" fontId="147" fillId="3" borderId="0" xfId="0" applyFont="1" applyFill="1"/>
    <xf numFmtId="0" fontId="147" fillId="3" borderId="0" xfId="0" applyFont="1" applyFill="1" applyAlignment="1">
      <alignment horizontal="center"/>
    </xf>
    <xf numFmtId="0" fontId="150" fillId="3" borderId="0" xfId="0" applyFont="1" applyFill="1" applyAlignment="1">
      <alignment horizontal="center"/>
    </xf>
    <xf numFmtId="0" fontId="147" fillId="49" borderId="0" xfId="0" applyFont="1" applyFill="1" applyAlignment="1">
      <alignment horizontal="center"/>
    </xf>
    <xf numFmtId="0" fontId="150" fillId="49" borderId="0" xfId="0" applyFont="1" applyFill="1" applyAlignment="1">
      <alignment horizontal="center"/>
    </xf>
    <xf numFmtId="0" fontId="163" fillId="37" borderId="0" xfId="0" applyFont="1" applyFill="1"/>
    <xf numFmtId="0" fontId="163" fillId="37" borderId="0" xfId="0" applyFont="1" applyFill="1" applyAlignment="1">
      <alignment horizontal="center"/>
    </xf>
    <xf numFmtId="6" fontId="164" fillId="45" borderId="0" xfId="0" applyNumberFormat="1" applyFont="1" applyFill="1" applyAlignment="1">
      <alignment horizontal="center"/>
    </xf>
    <xf numFmtId="0" fontId="149" fillId="45" borderId="0" xfId="0" applyFont="1" applyFill="1" applyAlignment="1">
      <alignment horizontal="center"/>
    </xf>
    <xf numFmtId="6" fontId="165" fillId="37" borderId="0" xfId="0" applyNumberFormat="1" applyFont="1" applyFill="1" applyAlignment="1">
      <alignment horizontal="center"/>
    </xf>
    <xf numFmtId="0" fontId="162" fillId="37" borderId="0" xfId="0" applyFont="1" applyFill="1" applyAlignment="1">
      <alignment horizontal="center"/>
    </xf>
    <xf numFmtId="6" fontId="166" fillId="46" borderId="0" xfId="0" applyNumberFormat="1" applyFont="1" applyFill="1" applyAlignment="1">
      <alignment horizontal="center"/>
    </xf>
    <xf numFmtId="0" fontId="167" fillId="46" borderId="0" xfId="0" applyFont="1" applyFill="1" applyAlignment="1">
      <alignment horizontal="center"/>
    </xf>
    <xf numFmtId="10" fontId="163" fillId="37" borderId="0" xfId="0" applyNumberFormat="1" applyFont="1" applyFill="1" applyAlignment="1">
      <alignment horizontal="center"/>
    </xf>
    <xf numFmtId="6" fontId="155" fillId="18" borderId="0" xfId="0" applyNumberFormat="1" applyFont="1" applyFill="1" applyAlignment="1">
      <alignment horizontal="center"/>
    </xf>
    <xf numFmtId="10" fontId="147" fillId="3" borderId="0" xfId="0" applyNumberFormat="1" applyFont="1" applyFill="1" applyAlignment="1">
      <alignment horizontal="center"/>
    </xf>
    <xf numFmtId="6" fontId="146" fillId="12" borderId="0" xfId="0" applyNumberFormat="1" applyFont="1" applyFill="1" applyAlignment="1">
      <alignment horizontal="center"/>
    </xf>
    <xf numFmtId="0" fontId="155" fillId="18" borderId="0" xfId="0" applyFont="1" applyFill="1"/>
    <xf numFmtId="6" fontId="153" fillId="18" borderId="0" xfId="0" applyNumberFormat="1" applyFont="1" applyFill="1" applyAlignment="1">
      <alignment horizontal="right"/>
    </xf>
    <xf numFmtId="10" fontId="148" fillId="18" borderId="0" xfId="0" applyNumberFormat="1" applyFont="1" applyFill="1" applyAlignment="1">
      <alignment horizontal="center"/>
    </xf>
    <xf numFmtId="0" fontId="155" fillId="11" borderId="0" xfId="0" applyFont="1" applyFill="1"/>
    <xf numFmtId="6" fontId="153" fillId="11" borderId="0" xfId="0" applyNumberFormat="1" applyFont="1" applyFill="1" applyAlignment="1">
      <alignment horizontal="right"/>
    </xf>
    <xf numFmtId="10" fontId="148" fillId="11" borderId="0" xfId="0" applyNumberFormat="1" applyFont="1" applyFill="1" applyAlignment="1">
      <alignment horizontal="center"/>
    </xf>
    <xf numFmtId="6" fontId="168" fillId="37" borderId="0" xfId="0" applyNumberFormat="1" applyFont="1" applyFill="1" applyAlignment="1">
      <alignment horizontal="right"/>
    </xf>
    <xf numFmtId="8" fontId="154" fillId="45" borderId="0" xfId="0" applyNumberFormat="1" applyFont="1" applyFill="1" applyAlignment="1">
      <alignment horizontal="right"/>
    </xf>
    <xf numFmtId="0" fontId="169" fillId="18" borderId="0" xfId="0" applyFont="1" applyFill="1"/>
    <xf numFmtId="0" fontId="170" fillId="18" borderId="0" xfId="0" applyFont="1" applyFill="1"/>
    <xf numFmtId="0" fontId="171" fillId="18" borderId="0" xfId="0" applyFont="1" applyFill="1"/>
    <xf numFmtId="0" fontId="172" fillId="18" borderId="0" xfId="0" applyFont="1" applyFill="1"/>
    <xf numFmtId="0" fontId="173" fillId="18" borderId="0" xfId="0" applyFont="1" applyFill="1"/>
    <xf numFmtId="8" fontId="174" fillId="18" borderId="0" xfId="0" applyNumberFormat="1" applyFont="1" applyFill="1"/>
    <xf numFmtId="0" fontId="174" fillId="18" borderId="0" xfId="0" applyFont="1" applyFill="1"/>
    <xf numFmtId="0" fontId="175" fillId="18" borderId="0" xfId="0" applyFont="1" applyFill="1"/>
    <xf numFmtId="0" fontId="168" fillId="18" borderId="0" xfId="0" applyFont="1" applyFill="1"/>
    <xf numFmtId="0" fontId="176" fillId="18" borderId="0" xfId="0" applyFont="1" applyFill="1"/>
    <xf numFmtId="17" fontId="177" fillId="18" borderId="0" xfId="0" applyNumberFormat="1" applyFont="1" applyFill="1"/>
    <xf numFmtId="0" fontId="177" fillId="18" borderId="0" xfId="0" applyFont="1" applyFill="1"/>
    <xf numFmtId="0" fontId="178" fillId="18" borderId="0" xfId="0" applyFont="1" applyFill="1"/>
    <xf numFmtId="0" fontId="179" fillId="18" borderId="0" xfId="0" applyFont="1" applyFill="1"/>
    <xf numFmtId="0" fontId="0" fillId="2" borderId="0" xfId="0" applyFill="1" applyAlignment="1">
      <alignment horizontal="center"/>
    </xf>
    <xf numFmtId="164" fontId="85" fillId="2" borderId="0" xfId="0" applyNumberFormat="1" applyFont="1" applyFill="1" applyAlignment="1">
      <alignment horizontal="center"/>
    </xf>
    <xf numFmtId="0" fontId="16" fillId="7" borderId="0" xfId="0" applyFont="1" applyFill="1" applyAlignment="1">
      <alignment horizontal="left"/>
    </xf>
    <xf numFmtId="0" fontId="99" fillId="21" borderId="0" xfId="0" applyFont="1" applyFill="1" applyAlignment="1">
      <alignment horizontal="left"/>
    </xf>
    <xf numFmtId="0" fontId="16" fillId="25" borderId="0" xfId="0" applyFont="1" applyFill="1" applyAlignment="1">
      <alignment horizontal="left"/>
    </xf>
    <xf numFmtId="0" fontId="13" fillId="26" borderId="0" xfId="0" applyFont="1" applyFill="1" applyAlignment="1">
      <alignment horizontal="right" vertical="center" textRotation="90" wrapText="1"/>
    </xf>
    <xf numFmtId="0" fontId="120" fillId="26" borderId="0" xfId="0" applyFont="1" applyFill="1" applyAlignment="1">
      <alignment horizontal="right" vertical="center" textRotation="90" wrapText="1"/>
    </xf>
    <xf numFmtId="0" fontId="118" fillId="26" borderId="13" xfId="0" applyFont="1" applyFill="1" applyBorder="1" applyAlignment="1">
      <alignment horizontal="center" vertical="center"/>
    </xf>
    <xf numFmtId="0" fontId="119" fillId="26" borderId="13" xfId="0" applyFont="1" applyFill="1" applyBorder="1" applyAlignment="1">
      <alignment horizontal="center" vertical="center"/>
    </xf>
    <xf numFmtId="0" fontId="118" fillId="26" borderId="18" xfId="0" applyFont="1" applyFill="1" applyBorder="1" applyAlignment="1">
      <alignment horizontal="center" vertical="center"/>
    </xf>
    <xf numFmtId="0" fontId="39" fillId="26" borderId="15" xfId="0" applyFont="1" applyFill="1" applyBorder="1" applyAlignment="1">
      <alignment horizontal="center" vertical="center" textRotation="90" wrapText="1"/>
    </xf>
    <xf numFmtId="0" fontId="39" fillId="26" borderId="16" xfId="0" applyFont="1" applyFill="1" applyBorder="1" applyAlignment="1">
      <alignment horizontal="center" vertical="center" textRotation="90" wrapText="1"/>
    </xf>
    <xf numFmtId="0" fontId="39" fillId="26" borderId="29" xfId="0" applyFont="1" applyFill="1" applyBorder="1" applyAlignment="1">
      <alignment horizontal="center" vertical="center" textRotation="90" wrapText="1"/>
    </xf>
    <xf numFmtId="164" fontId="33" fillId="26" borderId="13" xfId="0" applyNumberFormat="1" applyFont="1" applyFill="1" applyBorder="1" applyAlignment="1">
      <alignment horizontal="center"/>
    </xf>
    <xf numFmtId="164" fontId="33" fillId="26" borderId="18" xfId="0" applyNumberFormat="1" applyFont="1" applyFill="1" applyBorder="1" applyAlignment="1">
      <alignment horizontal="center"/>
    </xf>
    <xf numFmtId="0" fontId="141" fillId="25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35"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548235"/>
      </font>
    </dxf>
    <dxf>
      <font>
        <color rgb="FFBF8F00"/>
      </font>
    </dxf>
    <dxf>
      <font>
        <color rgb="FFBF8F00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</dxfs>
  <tableStyles count="0" defaultTableStyle="TableStyleMedium2" defaultPivotStyle="PivotStyleLight16"/>
  <colors>
    <mruColors>
      <color rgb="FF782170"/>
      <color rgb="FFDBE9F9"/>
      <color rgb="FF7030A0"/>
      <color rgb="FF2E73B4"/>
      <color rgb="FF2E75B6"/>
      <color rgb="FF0000FF"/>
      <color rgb="FFC00000"/>
      <color rgb="FF003365"/>
      <color rgb="FFBF8F00"/>
      <color rgb="FF5382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Revenue &amp; Profitability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_ChartData!$A$2:$A$11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_ChartData!$B$2:$B$11</c:f>
              <c:numCache>
                <c:formatCode>General</c:formatCode>
                <c:ptCount val="10"/>
                <c:pt idx="0">
                  <c:v>161.69999999999999</c:v>
                </c:pt>
                <c:pt idx="1">
                  <c:v>250.8</c:v>
                </c:pt>
                <c:pt idx="2">
                  <c:v>369.5</c:v>
                </c:pt>
                <c:pt idx="3">
                  <c:v>531.1</c:v>
                </c:pt>
                <c:pt idx="4">
                  <c:v>748</c:v>
                </c:pt>
                <c:pt idx="5">
                  <c:v>1009.8</c:v>
                </c:pt>
                <c:pt idx="6">
                  <c:v>1312.8</c:v>
                </c:pt>
                <c:pt idx="7">
                  <c:v>1667.2</c:v>
                </c:pt>
                <c:pt idx="8">
                  <c:v>2067.4</c:v>
                </c:pt>
                <c:pt idx="9">
                  <c:v>2522.1999999999998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6-3548-BC37-EB468068A38C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_ChartData!$A$2:$A$11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_ChartData!$C$2:$C$11</c:f>
              <c:numCache>
                <c:formatCode>General</c:formatCode>
                <c:ptCount val="10"/>
                <c:pt idx="0">
                  <c:v>-15.7</c:v>
                </c:pt>
                <c:pt idx="1">
                  <c:v>-56.1</c:v>
                </c:pt>
                <c:pt idx="2">
                  <c:v>-64.599999999999994</c:v>
                </c:pt>
                <c:pt idx="3">
                  <c:v>-12.9</c:v>
                </c:pt>
                <c:pt idx="4">
                  <c:v>63.6</c:v>
                </c:pt>
                <c:pt idx="5">
                  <c:v>110.7</c:v>
                </c:pt>
                <c:pt idx="6">
                  <c:v>170.2</c:v>
                </c:pt>
                <c:pt idx="7">
                  <c:v>249.5</c:v>
                </c:pt>
                <c:pt idx="8">
                  <c:v>346.6</c:v>
                </c:pt>
                <c:pt idx="9">
                  <c:v>465.7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6-3548-BC37-EB468068A38C}"/>
            </c:ext>
          </c:extLst>
        </c:ser>
        <c:ser>
          <c:idx val="2"/>
          <c:order val="2"/>
          <c:tx>
            <c:strRef>
              <c:f>_ChartData!$D$1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_ChartData!$A$2:$A$11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_ChartData!$D$2:$D$11</c:f>
              <c:numCache>
                <c:formatCode>General</c:formatCode>
                <c:ptCount val="10"/>
                <c:pt idx="0">
                  <c:v>-15.8</c:v>
                </c:pt>
                <c:pt idx="1">
                  <c:v>-60.1</c:v>
                </c:pt>
                <c:pt idx="2">
                  <c:v>-59.6</c:v>
                </c:pt>
                <c:pt idx="3">
                  <c:v>16.100000000000001</c:v>
                </c:pt>
                <c:pt idx="4">
                  <c:v>88.6</c:v>
                </c:pt>
                <c:pt idx="5">
                  <c:v>126.1</c:v>
                </c:pt>
                <c:pt idx="6">
                  <c:v>184.4</c:v>
                </c:pt>
                <c:pt idx="7">
                  <c:v>262.3</c:v>
                </c:pt>
                <c:pt idx="8">
                  <c:v>357.4</c:v>
                </c:pt>
                <c:pt idx="9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6-3548-BC37-EB468068A38C}"/>
            </c:ext>
          </c:extLst>
        </c:ser>
        <c:ser>
          <c:idx val="3"/>
          <c:order val="3"/>
          <c:tx>
            <c:strRef>
              <c:f>_ChartData!$E$1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_ChartData!$A$2:$A$11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_ChartData!$E$2:$E$11</c:f>
              <c:numCache>
                <c:formatCode>General</c:formatCode>
                <c:ptCount val="10"/>
                <c:pt idx="0">
                  <c:v>13.7</c:v>
                </c:pt>
                <c:pt idx="1">
                  <c:v>3</c:v>
                </c:pt>
                <c:pt idx="2">
                  <c:v>43.5</c:v>
                </c:pt>
                <c:pt idx="3">
                  <c:v>139.9</c:v>
                </c:pt>
                <c:pt idx="4">
                  <c:v>264.39999999999998</c:v>
                </c:pt>
                <c:pt idx="5">
                  <c:v>328.5</c:v>
                </c:pt>
                <c:pt idx="6">
                  <c:v>429.4</c:v>
                </c:pt>
                <c:pt idx="7">
                  <c:v>565.4</c:v>
                </c:pt>
                <c:pt idx="8">
                  <c:v>723.8</c:v>
                </c:pt>
                <c:pt idx="9">
                  <c:v>912.4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6-3548-BC37-EB468068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21247"/>
        <c:axId val="899235135"/>
      </c:barChart>
      <c:catAx>
        <c:axId val="89922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35135"/>
        <c:crosses val="autoZero"/>
        <c:auto val="1"/>
        <c:lblAlgn val="ctr"/>
        <c:lblOffset val="100"/>
        <c:noMultiLvlLbl val="0"/>
      </c:catAx>
      <c:valAx>
        <c:axId val="89923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2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Margin Expansion — Path to Profitability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_ChartData!$B$14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_ChartData!$A$15:$A$24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_ChartData!$B$15:$B$24</c:f>
              <c:numCache>
                <c:formatCode>General</c:formatCode>
                <c:ptCount val="10"/>
                <c:pt idx="0">
                  <c:v>0.72599999999999998</c:v>
                </c:pt>
                <c:pt idx="1">
                  <c:v>0.73199999999999998</c:v>
                </c:pt>
                <c:pt idx="2">
                  <c:v>0.73299999999999998</c:v>
                </c:pt>
                <c:pt idx="3">
                  <c:v>0.73599999999999999</c:v>
                </c:pt>
                <c:pt idx="4">
                  <c:v>0.73499999999999999</c:v>
                </c:pt>
                <c:pt idx="5">
                  <c:v>0.745</c:v>
                </c:pt>
                <c:pt idx="6">
                  <c:v>0.75</c:v>
                </c:pt>
                <c:pt idx="7">
                  <c:v>0.755</c:v>
                </c:pt>
                <c:pt idx="8">
                  <c:v>0.75800000000000001</c:v>
                </c:pt>
                <c:pt idx="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3-5B4A-A562-F875A2F73D34}"/>
            </c:ext>
          </c:extLst>
        </c:ser>
        <c:ser>
          <c:idx val="1"/>
          <c:order val="1"/>
          <c:tx>
            <c:strRef>
              <c:f>_ChartData!$C$14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_ChartData!$A$15:$A$24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_ChartData!$C$15:$C$24</c:f>
              <c:numCache>
                <c:formatCode>General</c:formatCode>
                <c:ptCount val="10"/>
                <c:pt idx="0">
                  <c:v>-9.7000000000000003E-2</c:v>
                </c:pt>
                <c:pt idx="1">
                  <c:v>-0.224</c:v>
                </c:pt>
                <c:pt idx="2">
                  <c:v>-0.17499999999999999</c:v>
                </c:pt>
                <c:pt idx="3">
                  <c:v>-2.4E-2</c:v>
                </c:pt>
                <c:pt idx="4">
                  <c:v>8.5000000000000006E-2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0.16800000000000001</c:v>
                </c:pt>
                <c:pt idx="9">
                  <c:v>0.185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3-5B4A-A562-F875A2F73D34}"/>
            </c:ext>
          </c:extLst>
        </c:ser>
        <c:ser>
          <c:idx val="2"/>
          <c:order val="2"/>
          <c:tx>
            <c:strRef>
              <c:f>_ChartData!$D$14</c:f>
              <c:strCache>
                <c:ptCount val="1"/>
                <c:pt idx="0">
                  <c:v>Net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_ChartData!$A$15:$A$24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_ChartData!$D$15:$D$24</c:f>
              <c:numCache>
                <c:formatCode>General</c:formatCode>
                <c:ptCount val="10"/>
                <c:pt idx="0">
                  <c:v>-9.8000000000000004E-2</c:v>
                </c:pt>
                <c:pt idx="1">
                  <c:v>-0.24</c:v>
                </c:pt>
                <c:pt idx="2">
                  <c:v>-0.161</c:v>
                </c:pt>
                <c:pt idx="3">
                  <c:v>0.03</c:v>
                </c:pt>
                <c:pt idx="4">
                  <c:v>0.11799999999999999</c:v>
                </c:pt>
                <c:pt idx="5">
                  <c:v>0.125</c:v>
                </c:pt>
                <c:pt idx="6">
                  <c:v>0.14000000000000001</c:v>
                </c:pt>
                <c:pt idx="7">
                  <c:v>0.157</c:v>
                </c:pt>
                <c:pt idx="8">
                  <c:v>0.17299999999999999</c:v>
                </c:pt>
                <c:pt idx="9">
                  <c:v>0.188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3-5B4A-A562-F875A2F73D34}"/>
            </c:ext>
          </c:extLst>
        </c:ser>
        <c:ser>
          <c:idx val="3"/>
          <c:order val="3"/>
          <c:tx>
            <c:strRef>
              <c:f>_ChartData!$E$14</c:f>
              <c:strCache>
                <c:ptCount val="1"/>
                <c:pt idx="0">
                  <c:v>FCF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_ChartData!$A$15:$A$24</c:f>
              <c:strCache>
                <c:ptCount val="10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</c:strCache>
            </c:strRef>
          </c:cat>
          <c:val>
            <c:numRef>
              <c:f>_ChartData!$E$15:$E$24</c:f>
              <c:numCache>
                <c:formatCode>General</c:formatCode>
                <c:ptCount val="10"/>
                <c:pt idx="0">
                  <c:v>8.5000000000000006E-2</c:v>
                </c:pt>
                <c:pt idx="1">
                  <c:v>1.2E-2</c:v>
                </c:pt>
                <c:pt idx="2">
                  <c:v>0.11799999999999999</c:v>
                </c:pt>
                <c:pt idx="3">
                  <c:v>0.26400000000000001</c:v>
                </c:pt>
                <c:pt idx="4">
                  <c:v>0.35299999999999998</c:v>
                </c:pt>
                <c:pt idx="5">
                  <c:v>0.32500000000000001</c:v>
                </c:pt>
                <c:pt idx="6">
                  <c:v>0.32700000000000001</c:v>
                </c:pt>
                <c:pt idx="7">
                  <c:v>0.33900000000000002</c:v>
                </c:pt>
                <c:pt idx="8">
                  <c:v>0.35</c:v>
                </c:pt>
                <c:pt idx="9">
                  <c:v>0.36199999999999999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03-5B4A-A562-F875A2F73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015551"/>
        <c:axId val="898014207"/>
      </c:lineChart>
      <c:catAx>
        <c:axId val="89801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014207"/>
        <c:crosses val="autoZero"/>
        <c:auto val="1"/>
        <c:lblAlgn val="ctr"/>
        <c:lblOffset val="100"/>
        <c:noMultiLvlLbl val="0"/>
      </c:catAx>
      <c:valAx>
        <c:axId val="8980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01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Revenue Trajectory by Scenario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_ChartData!$B$27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_ChartData!$A$28:$A$33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_ChartData!$B$28:$B$33</c:f>
              <c:numCache>
                <c:formatCode>General</c:formatCode>
                <c:ptCount val="6"/>
                <c:pt idx="0">
                  <c:v>748</c:v>
                </c:pt>
                <c:pt idx="1">
                  <c:v>1010</c:v>
                </c:pt>
                <c:pt idx="2">
                  <c:v>1313</c:v>
                </c:pt>
                <c:pt idx="3">
                  <c:v>1667</c:v>
                </c:pt>
                <c:pt idx="4">
                  <c:v>2068</c:v>
                </c:pt>
                <c:pt idx="5">
                  <c:v>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A-A442-94D8-0A2CB2F3B267}"/>
            </c:ext>
          </c:extLst>
        </c:ser>
        <c:ser>
          <c:idx val="1"/>
          <c:order val="1"/>
          <c:tx>
            <c:strRef>
              <c:f>_ChartData!$C$27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_ChartData!$A$28:$A$33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_ChartData!$C$28:$C$33</c:f>
              <c:numCache>
                <c:formatCode>General</c:formatCode>
                <c:ptCount val="6"/>
                <c:pt idx="0">
                  <c:v>748</c:v>
                </c:pt>
                <c:pt idx="1">
                  <c:v>957</c:v>
                </c:pt>
                <c:pt idx="2">
                  <c:v>1187</c:v>
                </c:pt>
                <c:pt idx="3">
                  <c:v>1437</c:v>
                </c:pt>
                <c:pt idx="4">
                  <c:v>1695</c:v>
                </c:pt>
                <c:pt idx="5">
                  <c:v>1963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A-A442-94D8-0A2CB2F3B267}"/>
            </c:ext>
          </c:extLst>
        </c:ser>
        <c:ser>
          <c:idx val="2"/>
          <c:order val="2"/>
          <c:tx>
            <c:strRef>
              <c:f>_ChartData!$D$27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_ChartData!$A$28:$A$33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_ChartData!$D$28:$D$33</c:f>
              <c:numCache>
                <c:formatCode>General</c:formatCode>
                <c:ptCount val="6"/>
                <c:pt idx="0">
                  <c:v>748</c:v>
                </c:pt>
                <c:pt idx="1">
                  <c:v>898</c:v>
                </c:pt>
                <c:pt idx="2">
                  <c:v>1050</c:v>
                </c:pt>
                <c:pt idx="3">
                  <c:v>1197</c:v>
                </c:pt>
                <c:pt idx="4">
                  <c:v>1341</c:v>
                </c:pt>
                <c:pt idx="5">
                  <c:v>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A-A442-94D8-0A2CB2F3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472831"/>
        <c:axId val="898904767"/>
      </c:lineChart>
      <c:catAx>
        <c:axId val="89947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04767"/>
        <c:crosses val="autoZero"/>
        <c:auto val="1"/>
        <c:lblAlgn val="ctr"/>
        <c:lblOffset val="100"/>
        <c:noMultiLvlLbl val="0"/>
      </c:catAx>
      <c:valAx>
        <c:axId val="89890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7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EV Bridge by Scenario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_ChartData!$B$35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_ChartData!$A$36:$A$38</c:f>
              <c:strCache>
                <c:ptCount val="3"/>
                <c:pt idx="0">
                  <c:v>PV of FCFs</c:v>
                </c:pt>
                <c:pt idx="1">
                  <c:v>PV of Terminal Value</c:v>
                </c:pt>
                <c:pt idx="2">
                  <c:v>Net Cash</c:v>
                </c:pt>
              </c:strCache>
            </c:strRef>
          </c:cat>
          <c:val>
            <c:numRef>
              <c:f>_ChartData!$B$36:$B$38</c:f>
              <c:numCache>
                <c:formatCode>General</c:formatCode>
                <c:ptCount val="3"/>
                <c:pt idx="0">
                  <c:v>1786</c:v>
                </c:pt>
                <c:pt idx="1">
                  <c:v>5500</c:v>
                </c:pt>
                <c:pt idx="2">
                  <c:v>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0-2945-BBB1-A75E432EA546}"/>
            </c:ext>
          </c:extLst>
        </c:ser>
        <c:ser>
          <c:idx val="1"/>
          <c:order val="1"/>
          <c:tx>
            <c:strRef>
              <c:f>_ChartData!$C$35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_ChartData!$A$36:$A$38</c:f>
              <c:strCache>
                <c:ptCount val="3"/>
                <c:pt idx="0">
                  <c:v>PV of FCFs</c:v>
                </c:pt>
                <c:pt idx="1">
                  <c:v>PV of Terminal Value</c:v>
                </c:pt>
                <c:pt idx="2">
                  <c:v>Net Cash</c:v>
                </c:pt>
              </c:strCache>
            </c:strRef>
          </c:cat>
          <c:val>
            <c:numRef>
              <c:f>_ChartData!$C$36:$C$38</c:f>
              <c:numCache>
                <c:formatCode>General</c:formatCode>
                <c:ptCount val="3"/>
                <c:pt idx="0">
                  <c:v>1234</c:v>
                </c:pt>
                <c:pt idx="1">
                  <c:v>2702</c:v>
                </c:pt>
                <c:pt idx="2">
                  <c:v>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0-2945-BBB1-A75E432EA546}"/>
            </c:ext>
          </c:extLst>
        </c:ser>
        <c:ser>
          <c:idx val="2"/>
          <c:order val="2"/>
          <c:tx>
            <c:strRef>
              <c:f>_ChartData!$D$35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_ChartData!$A$36:$A$38</c:f>
              <c:strCache>
                <c:ptCount val="3"/>
                <c:pt idx="0">
                  <c:v>PV of FCFs</c:v>
                </c:pt>
                <c:pt idx="1">
                  <c:v>PV of Terminal Value</c:v>
                </c:pt>
                <c:pt idx="2">
                  <c:v>Net Cash</c:v>
                </c:pt>
              </c:strCache>
            </c:strRef>
          </c:cat>
          <c:val>
            <c:numRef>
              <c:f>_ChartData!$D$36:$D$38</c:f>
              <c:numCache>
                <c:formatCode>General</c:formatCode>
                <c:ptCount val="3"/>
                <c:pt idx="0">
                  <c:v>677</c:v>
                </c:pt>
                <c:pt idx="1">
                  <c:v>1426</c:v>
                </c:pt>
                <c:pt idx="2">
                  <c:v>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C0-2945-BBB1-A75E432EA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8241343"/>
        <c:axId val="898245823"/>
      </c:barChart>
      <c:catAx>
        <c:axId val="89824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45823"/>
        <c:crosses val="autoZero"/>
        <c:auto val="1"/>
        <c:lblAlgn val="ctr"/>
        <c:lblOffset val="100"/>
        <c:noMultiLvlLbl val="0"/>
      </c:catAx>
      <c:valAx>
        <c:axId val="89824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4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Scenario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'Scenario Analysis'!$C$18</c:f>
              <c:strCache>
                <c:ptCount val="1"/>
                <c:pt idx="0">
                  <c:v>Share Price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Analysis'!$B$19:$B$21</c:f>
              <c:strCache>
                <c:ptCount val="3"/>
                <c:pt idx="0">
                  <c:v>Bull</c:v>
                </c:pt>
                <c:pt idx="1">
                  <c:v>Base</c:v>
                </c:pt>
                <c:pt idx="2">
                  <c:v>Bear</c:v>
                </c:pt>
              </c:strCache>
            </c:strRef>
          </c:cat>
          <c:val>
            <c:numRef>
              <c:f>'Scenario Analysis'!$C$19:$C$21</c:f>
              <c:numCache>
                <c:formatCode>General</c:formatCode>
                <c:ptCount val="3"/>
                <c:pt idx="0">
                  <c:v>165</c:v>
                </c:pt>
                <c:pt idx="1">
                  <c:v>97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E-A64F-9523-EF570B210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888063"/>
        <c:axId val="1421345663"/>
      </c:barChart>
      <c:catAx>
        <c:axId val="185488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45663"/>
        <c:crosses val="autoZero"/>
        <c:auto val="1"/>
        <c:lblAlgn val="ctr"/>
        <c:lblOffset val="100"/>
        <c:noMultiLvlLbl val="0"/>
      </c:catAx>
      <c:valAx>
        <c:axId val="142134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88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Trajectory by Scenario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'Scenario Analysis'!$C$26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'Scenario Analysis'!$B$27:$B$32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'Scenario Analysis'!$C$27:$C$32</c:f>
              <c:numCache>
                <c:formatCode>General</c:formatCode>
                <c:ptCount val="6"/>
                <c:pt idx="0">
                  <c:v>748</c:v>
                </c:pt>
                <c:pt idx="1">
                  <c:v>1010</c:v>
                </c:pt>
                <c:pt idx="2">
                  <c:v>1313</c:v>
                </c:pt>
                <c:pt idx="3">
                  <c:v>1667</c:v>
                </c:pt>
                <c:pt idx="4">
                  <c:v>2068</c:v>
                </c:pt>
                <c:pt idx="5">
                  <c:v>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6-C743-9564-DEC6C8FFBCBD}"/>
            </c:ext>
          </c:extLst>
        </c:ser>
        <c:ser>
          <c:idx val="1"/>
          <c:order val="1"/>
          <c:tx>
            <c:strRef>
              <c:f>'Scenario Analysis'!$D$26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'Scenario Analysis'!$B$27:$B$32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'Scenario Analysis'!$D$27:$D$32</c:f>
              <c:numCache>
                <c:formatCode>General</c:formatCode>
                <c:ptCount val="6"/>
                <c:pt idx="0">
                  <c:v>748</c:v>
                </c:pt>
                <c:pt idx="1">
                  <c:v>957</c:v>
                </c:pt>
                <c:pt idx="2">
                  <c:v>1187</c:v>
                </c:pt>
                <c:pt idx="3">
                  <c:v>1437</c:v>
                </c:pt>
                <c:pt idx="4">
                  <c:v>1695</c:v>
                </c:pt>
                <c:pt idx="5">
                  <c:v>1963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6-C743-9564-DEC6C8FFBCBD}"/>
            </c:ext>
          </c:extLst>
        </c:ser>
        <c:ser>
          <c:idx val="2"/>
          <c:order val="2"/>
          <c:tx>
            <c:strRef>
              <c:f>'Scenario Analysis'!$E$26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'Scenario Analysis'!$B$27:$B$32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'Scenario Analysis'!$E$27:$E$32</c:f>
              <c:numCache>
                <c:formatCode>General</c:formatCode>
                <c:ptCount val="6"/>
                <c:pt idx="0">
                  <c:v>748</c:v>
                </c:pt>
                <c:pt idx="1">
                  <c:v>898</c:v>
                </c:pt>
                <c:pt idx="2">
                  <c:v>1050</c:v>
                </c:pt>
                <c:pt idx="3">
                  <c:v>1197</c:v>
                </c:pt>
                <c:pt idx="4">
                  <c:v>1341</c:v>
                </c:pt>
                <c:pt idx="5">
                  <c:v>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76-C743-9564-DEC6C8FF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909823"/>
        <c:axId val="1854908479"/>
      </c:lineChart>
      <c:catAx>
        <c:axId val="185490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08479"/>
        <c:crosses val="autoZero"/>
        <c:auto val="1"/>
        <c:lblAlgn val="ctr"/>
        <c:lblOffset val="100"/>
        <c:noMultiLvlLbl val="0"/>
      </c:catAx>
      <c:valAx>
        <c:axId val="18549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 Margin Trajectory by Scenario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996183702182037E-2"/>
          <c:y val="0.10467020513351349"/>
          <c:w val="0.91600381629781791"/>
          <c:h val="0.62337137125703623"/>
        </c:manualLayout>
      </c:layout>
      <c:lineChart>
        <c:grouping val="standard"/>
        <c:varyColors val="0"/>
        <c:ser>
          <c:idx val="0"/>
          <c:order val="0"/>
          <c:tx>
            <c:strRef>
              <c:f>'Scenario Analysis'!$C$36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'Scenario Analysis'!$B$37:$B$41</c:f>
              <c:strCache>
                <c:ptCount val="5"/>
                <c:pt idx="0">
                  <c:v>Year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'Scenario Analysis'!$C$37:$C$41</c:f>
              <c:numCache>
                <c:formatCode>General</c:formatCode>
                <c:ptCount val="5"/>
                <c:pt idx="0">
                  <c:v>0</c:v>
                </c:pt>
                <c:pt idx="1">
                  <c:v>0.11</c:v>
                </c:pt>
                <c:pt idx="2">
                  <c:v>0.13</c:v>
                </c:pt>
                <c:pt idx="3">
                  <c:v>0.15</c:v>
                </c:pt>
                <c:pt idx="4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6-644B-B301-97BFBF811E51}"/>
            </c:ext>
          </c:extLst>
        </c:ser>
        <c:ser>
          <c:idx val="1"/>
          <c:order val="1"/>
          <c:tx>
            <c:strRef>
              <c:f>'Scenario Analysis'!$D$36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'Scenario Analysis'!$B$37:$B$41</c:f>
              <c:strCache>
                <c:ptCount val="5"/>
                <c:pt idx="0">
                  <c:v>Year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'Scenario Analysis'!$D$37:$D$41</c:f>
              <c:numCache>
                <c:formatCode>General</c:formatCode>
                <c:ptCount val="5"/>
                <c:pt idx="0">
                  <c:v>0</c:v>
                </c:pt>
                <c:pt idx="1">
                  <c:v>6.4000000000000001E-2</c:v>
                </c:pt>
                <c:pt idx="2">
                  <c:v>7.9000000000000001E-2</c:v>
                </c:pt>
                <c:pt idx="3">
                  <c:v>9.5000000000000001E-2</c:v>
                </c:pt>
                <c:pt idx="4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6-644B-B301-97BFBF811E51}"/>
            </c:ext>
          </c:extLst>
        </c:ser>
        <c:ser>
          <c:idx val="2"/>
          <c:order val="2"/>
          <c:tx>
            <c:strRef>
              <c:f>'Scenario Analysis'!$E$36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'Scenario Analysis'!$B$37:$B$41</c:f>
              <c:strCache>
                <c:ptCount val="5"/>
                <c:pt idx="0">
                  <c:v>Year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'Scenario Analysis'!$E$37:$E$41</c:f>
              <c:numCache>
                <c:formatCode>General</c:formatCode>
                <c:ptCount val="5"/>
                <c:pt idx="0">
                  <c:v>0</c:v>
                </c:pt>
                <c:pt idx="1">
                  <c:v>3.5000000000000003E-2</c:v>
                </c:pt>
                <c:pt idx="2">
                  <c:v>0.03</c:v>
                </c:pt>
                <c:pt idx="3">
                  <c:v>2.4E-2</c:v>
                </c:pt>
                <c:pt idx="4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6-644B-B301-97BFBF811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031167"/>
        <c:axId val="1868037439"/>
      </c:lineChart>
      <c:catAx>
        <c:axId val="186803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37439"/>
        <c:crosses val="autoZero"/>
        <c:auto val="1"/>
        <c:lblAlgn val="ctr"/>
        <c:lblOffset val="100"/>
        <c:noMultiLvlLbl val="0"/>
      </c:catAx>
      <c:valAx>
        <c:axId val="186803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3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Comparison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'Scenario Analysis'!$B$85</c:f>
              <c:strCache>
                <c:ptCount val="1"/>
                <c:pt idx="0">
                  <c:v>Share Price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Analysis'!$C$84:$E$84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'Scenario Analysis'!$C$85:$E$85</c:f>
              <c:numCache>
                <c:formatCode>General</c:formatCode>
                <c:ptCount val="3"/>
                <c:pt idx="0">
                  <c:v>60</c:v>
                </c:pt>
                <c:pt idx="1">
                  <c:v>97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F-F441-AA81-98D6FABD9A4C}"/>
            </c:ext>
          </c:extLst>
        </c:ser>
        <c:ser>
          <c:idx val="1"/>
          <c:order val="1"/>
          <c:tx>
            <c:strRef>
              <c:f>'Scenario Analysis'!$B$86</c:f>
              <c:strCache>
                <c:ptCount val="1"/>
                <c:pt idx="0">
                  <c:v>Enterprise Value ($M)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Analysis'!$C$84:$E$84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'Scenario Analysis'!$C$86:$E$86</c:f>
              <c:numCache>
                <c:formatCode>General</c:formatCode>
                <c:ptCount val="3"/>
                <c:pt idx="0">
                  <c:v>2103</c:v>
                </c:pt>
                <c:pt idx="1">
                  <c:v>3935</c:v>
                </c:pt>
                <c:pt idx="2">
                  <c:v>7286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F-F441-AA81-98D6FABD9A4C}"/>
            </c:ext>
          </c:extLst>
        </c:ser>
        <c:ser>
          <c:idx val="2"/>
          <c:order val="2"/>
          <c:tx>
            <c:strRef>
              <c:f>'Scenario Analysis'!$B$87</c:f>
              <c:strCache>
                <c:ptCount val="1"/>
                <c:pt idx="0">
                  <c:v>2029E Revenue ($M)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'Scenario Analysis'!$C$84:$E$84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'Scenario Analysis'!$C$87:$E$87</c:f>
              <c:numCache>
                <c:formatCode>General</c:formatCode>
                <c:ptCount val="3"/>
                <c:pt idx="0">
                  <c:v>1475</c:v>
                </c:pt>
                <c:pt idx="1">
                  <c:v>1899</c:v>
                </c:pt>
                <c:pt idx="2">
                  <c:v>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F-F441-AA81-98D6FABD9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7217407"/>
        <c:axId val="1854516607"/>
      </c:barChart>
      <c:catAx>
        <c:axId val="1577217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16607"/>
        <c:crosses val="autoZero"/>
        <c:auto val="1"/>
        <c:lblAlgn val="ctr"/>
        <c:lblOffset val="100"/>
        <c:noMultiLvlLbl val="0"/>
      </c:catAx>
      <c:valAx>
        <c:axId val="185451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1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Enterprise Value Breakdown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'Scenario Analysis'!$B$48</c:f>
              <c:strCache>
                <c:ptCount val="1"/>
                <c:pt idx="0">
                  <c:v>PV of FCFs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Analysis'!$C$47:$E$47</c:f>
              <c:strCache>
                <c:ptCount val="3"/>
                <c:pt idx="0">
                  <c:v>Bull</c:v>
                </c:pt>
                <c:pt idx="1">
                  <c:v>Base</c:v>
                </c:pt>
                <c:pt idx="2">
                  <c:v>Bear</c:v>
                </c:pt>
              </c:strCache>
            </c:strRef>
          </c:cat>
          <c:val>
            <c:numRef>
              <c:f>'Scenario Analysis'!$C$48:$E$48</c:f>
              <c:numCache>
                <c:formatCode>General</c:formatCode>
                <c:ptCount val="3"/>
                <c:pt idx="0">
                  <c:v>1786</c:v>
                </c:pt>
                <c:pt idx="1">
                  <c:v>1234</c:v>
                </c:pt>
                <c:pt idx="2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6-594B-8FA0-07CB8FF510AB}"/>
            </c:ext>
          </c:extLst>
        </c:ser>
        <c:ser>
          <c:idx val="1"/>
          <c:order val="1"/>
          <c:tx>
            <c:strRef>
              <c:f>'Scenario Analysis'!$B$49</c:f>
              <c:strCache>
                <c:ptCount val="1"/>
                <c:pt idx="0">
                  <c:v>PV of Terminal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Analysis'!$C$47:$E$47</c:f>
              <c:strCache>
                <c:ptCount val="3"/>
                <c:pt idx="0">
                  <c:v>Bull</c:v>
                </c:pt>
                <c:pt idx="1">
                  <c:v>Base</c:v>
                </c:pt>
                <c:pt idx="2">
                  <c:v>Bear</c:v>
                </c:pt>
              </c:strCache>
            </c:strRef>
          </c:cat>
          <c:val>
            <c:numRef>
              <c:f>'Scenario Analysis'!$C$49:$E$49</c:f>
              <c:numCache>
                <c:formatCode>General</c:formatCode>
                <c:ptCount val="3"/>
                <c:pt idx="0">
                  <c:v>5500</c:v>
                </c:pt>
                <c:pt idx="1">
                  <c:v>2702</c:v>
                </c:pt>
                <c:pt idx="2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6-594B-8FA0-07CB8FF51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9457023"/>
        <c:axId val="1899455231"/>
      </c:barChart>
      <c:catAx>
        <c:axId val="189945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55231"/>
        <c:crosses val="autoZero"/>
        <c:auto val="1"/>
        <c:lblAlgn val="ctr"/>
        <c:lblOffset val="100"/>
        <c:noMultiLvlLbl val="0"/>
      </c:catAx>
      <c:valAx>
        <c:axId val="189945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5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190500</xdr:rowOff>
    </xdr:from>
    <xdr:to>
      <xdr:col>6</xdr:col>
      <xdr:colOff>63500</xdr:colOff>
      <xdr:row>31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46AE52-9F83-C3A1-1EB5-EFC4E75A9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165100</xdr:colOff>
      <xdr:row>17</xdr:row>
      <xdr:rowOff>190500</xdr:rowOff>
    </xdr:from>
    <xdr:to>
      <xdr:col>11</xdr:col>
      <xdr:colOff>228600</xdr:colOff>
      <xdr:row>31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81D9BA-7205-3DF5-7FFB-5ACFA0E0E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139700</xdr:rowOff>
    </xdr:from>
    <xdr:to>
      <xdr:col>6</xdr:col>
      <xdr:colOff>63500</xdr:colOff>
      <xdr:row>44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B7A6E1-83C8-BF32-D952-2F818B094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165100</xdr:colOff>
      <xdr:row>31</xdr:row>
      <xdr:rowOff>139700</xdr:rowOff>
    </xdr:from>
    <xdr:to>
      <xdr:col>11</xdr:col>
      <xdr:colOff>228600</xdr:colOff>
      <xdr:row>44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52C775-D786-24ED-6ABA-99B0A498C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813165</xdr:colOff>
      <xdr:row>6</xdr:row>
      <xdr:rowOff>191870</xdr:rowOff>
    </xdr:from>
    <xdr:to>
      <xdr:col>10</xdr:col>
      <xdr:colOff>0</xdr:colOff>
      <xdr:row>7</xdr:row>
      <xdr:rowOff>18274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403552E-BCB3-3148-AAFE-C853CE68F5B2}"/>
            </a:ext>
          </a:extLst>
        </xdr:cNvPr>
        <xdr:cNvCxnSpPr/>
      </xdr:nvCxnSpPr>
      <xdr:spPr>
        <a:xfrm flipV="1">
          <a:off x="4115165" y="1449170"/>
          <a:ext cx="4139835" cy="296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32</xdr:row>
      <xdr:rowOff>191870</xdr:rowOff>
    </xdr:from>
    <xdr:to>
      <xdr:col>10</xdr:col>
      <xdr:colOff>0</xdr:colOff>
      <xdr:row>33</xdr:row>
      <xdr:rowOff>18274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02F1D3-1A5C-BA4E-9F30-CC4AFA446C57}"/>
            </a:ext>
          </a:extLst>
        </xdr:cNvPr>
        <xdr:cNvCxnSpPr/>
      </xdr:nvCxnSpPr>
      <xdr:spPr>
        <a:xfrm flipV="1">
          <a:off x="4115165" y="6770470"/>
          <a:ext cx="4139835" cy="296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81</xdr:row>
      <xdr:rowOff>191870</xdr:rowOff>
    </xdr:from>
    <xdr:to>
      <xdr:col>10</xdr:col>
      <xdr:colOff>0</xdr:colOff>
      <xdr:row>82</xdr:row>
      <xdr:rowOff>18274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EC6814-0DF2-784B-B626-0F9B03336F1C}"/>
            </a:ext>
          </a:extLst>
        </xdr:cNvPr>
        <xdr:cNvCxnSpPr/>
      </xdr:nvCxnSpPr>
      <xdr:spPr>
        <a:xfrm flipV="1">
          <a:off x="4115165" y="16358970"/>
          <a:ext cx="4139835" cy="296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85298</xdr:colOff>
      <xdr:row>16</xdr:row>
      <xdr:rowOff>9477</xdr:rowOff>
    </xdr:from>
    <xdr:to>
      <xdr:col>10</xdr:col>
      <xdr:colOff>508631</xdr:colOff>
      <xdr:row>30</xdr:row>
      <xdr:rowOff>59265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EF4C6-50E0-4730-ED5E-7D6567FA7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6</xdr:col>
      <xdr:colOff>423333</xdr:colOff>
      <xdr:row>65</xdr:row>
      <xdr:rowOff>97366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17914F-E59E-4155-6C64-970C64F06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416035</xdr:colOff>
      <xdr:row>48</xdr:row>
      <xdr:rowOff>142328</xdr:rowOff>
    </xdr:from>
    <xdr:to>
      <xdr:col>12</xdr:col>
      <xdr:colOff>467127</xdr:colOff>
      <xdr:row>62</xdr:row>
      <xdr:rowOff>31677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DD975A-CA49-6B02-D4C9-75E83F8F0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81</xdr:row>
      <xdr:rowOff>0</xdr:rowOff>
    </xdr:from>
    <xdr:to>
      <xdr:col>10</xdr:col>
      <xdr:colOff>423333</xdr:colOff>
      <xdr:row>94</xdr:row>
      <xdr:rowOff>59266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A778C0-234E-2600-FC91-E5ED96F85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426983</xdr:colOff>
      <xdr:row>35</xdr:row>
      <xdr:rowOff>54741</xdr:rowOff>
    </xdr:from>
    <xdr:to>
      <xdr:col>8</xdr:col>
      <xdr:colOff>1188983</xdr:colOff>
      <xdr:row>48</xdr:row>
      <xdr:rowOff>135174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3AB551-3DA5-27D1-0D6F-DC16503D4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20F94-4240-AA40-9381-3C8E217334FB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5309-9523-5143-80DD-F368B652E0F8}">
  <sheetPr>
    <tabColor rgb="FF1B2A4A"/>
  </sheetPr>
  <dimension ref="A1:L50"/>
  <sheetViews>
    <sheetView zoomScale="157" workbookViewId="0">
      <selection activeCell="J15" sqref="J15"/>
    </sheetView>
  </sheetViews>
  <sheetFormatPr baseColWidth="10" defaultRowHeight="16" x14ac:dyDescent="0.2"/>
  <cols>
    <col min="1" max="1" width="8.33203125" style="1" customWidth="1"/>
    <col min="2" max="2" width="1.33203125" style="1" customWidth="1"/>
    <col min="3" max="6" width="15" style="1" customWidth="1"/>
    <col min="7" max="7" width="1.33203125" style="1" customWidth="1"/>
    <col min="8" max="12" width="6.6640625" style="1" customWidth="1"/>
    <col min="13" max="16384" width="10.83203125" style="1"/>
  </cols>
  <sheetData>
    <row r="1" spans="1:12" ht="4" customHeight="1" x14ac:dyDescent="0.2">
      <c r="A1" s="2"/>
      <c r="B1" s="2"/>
      <c r="C1" s="2"/>
      <c r="D1" s="2"/>
      <c r="E1" s="2"/>
      <c r="F1" s="2"/>
      <c r="G1" s="2"/>
      <c r="H1" s="2"/>
      <c r="I1" s="138"/>
      <c r="J1" s="138"/>
      <c r="K1" s="138"/>
      <c r="L1" s="138"/>
    </row>
    <row r="2" spans="1:12" ht="20" customHeight="1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spans="1:12" ht="20" customHeight="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spans="1:12" ht="20" customHeight="1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spans="1:12" ht="20" customHeight="1" x14ac:dyDescent="0.2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</row>
    <row r="6" spans="1:12" ht="3" customHeight="1" x14ac:dyDescent="0.2">
      <c r="A6" s="138"/>
      <c r="B6" s="138"/>
      <c r="C6" s="439"/>
      <c r="D6" s="439"/>
      <c r="E6" s="439"/>
      <c r="F6" s="439"/>
      <c r="G6" s="138"/>
      <c r="H6" s="138"/>
      <c r="I6" s="138"/>
      <c r="J6" s="138"/>
      <c r="K6" s="138"/>
      <c r="L6" s="138"/>
    </row>
    <row r="7" spans="1:12" ht="25" customHeight="1" x14ac:dyDescent="0.2">
      <c r="A7" s="138"/>
      <c r="B7" s="138"/>
      <c r="C7" s="480" t="s">
        <v>780</v>
      </c>
      <c r="D7" s="138"/>
      <c r="E7" s="138"/>
      <c r="F7" s="138"/>
      <c r="G7" s="138"/>
      <c r="H7" s="138"/>
      <c r="I7" s="138"/>
      <c r="J7" s="138"/>
      <c r="K7" s="138"/>
      <c r="L7" s="138"/>
    </row>
    <row r="8" spans="1:12" ht="50" customHeight="1" x14ac:dyDescent="0.55000000000000004">
      <c r="A8" s="138"/>
      <c r="B8" s="138"/>
      <c r="C8" s="481" t="s">
        <v>789</v>
      </c>
      <c r="D8" s="138"/>
      <c r="E8" s="138"/>
      <c r="F8" s="138"/>
      <c r="G8" s="138"/>
      <c r="H8" s="138"/>
      <c r="I8" s="138"/>
      <c r="J8" s="138"/>
      <c r="K8" s="138"/>
      <c r="L8" s="138"/>
    </row>
    <row r="9" spans="1:12" ht="22" customHeight="1" x14ac:dyDescent="0.2">
      <c r="A9" s="138"/>
      <c r="B9" s="138"/>
      <c r="C9" s="482" t="s">
        <v>781</v>
      </c>
      <c r="D9" s="138"/>
      <c r="E9" s="138"/>
      <c r="F9" s="138"/>
      <c r="G9" s="138"/>
      <c r="H9" s="138"/>
      <c r="I9" s="138"/>
      <c r="J9" s="138"/>
      <c r="K9" s="138"/>
      <c r="L9" s="138"/>
    </row>
    <row r="10" spans="1:12" ht="15" customHeight="1" x14ac:dyDescent="0.2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</row>
    <row r="11" spans="1:12" ht="3" customHeight="1" x14ac:dyDescent="0.2">
      <c r="A11" s="138"/>
      <c r="B11" s="138"/>
      <c r="C11" s="439"/>
      <c r="D11" s="439"/>
      <c r="E11" s="439"/>
      <c r="F11" s="439"/>
      <c r="G11" s="138"/>
      <c r="H11" s="138"/>
      <c r="I11" s="138"/>
      <c r="J11" s="138"/>
      <c r="K11" s="138"/>
      <c r="L11" s="138"/>
    </row>
    <row r="12" spans="1:12" ht="20" customHeight="1" x14ac:dyDescent="0.2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</row>
    <row r="13" spans="1:12" ht="18" customHeight="1" x14ac:dyDescent="0.2">
      <c r="A13" s="138"/>
      <c r="B13" s="138"/>
      <c r="C13" s="483" t="s">
        <v>782</v>
      </c>
      <c r="D13" s="483" t="s">
        <v>783</v>
      </c>
      <c r="E13" s="483" t="s">
        <v>464</v>
      </c>
      <c r="F13" s="483" t="s">
        <v>787</v>
      </c>
      <c r="G13" s="138"/>
      <c r="H13" s="138"/>
      <c r="I13" s="138"/>
      <c r="J13" s="138"/>
      <c r="K13" s="138"/>
      <c r="L13" s="138"/>
    </row>
    <row r="14" spans="1:12" ht="18" customHeight="1" x14ac:dyDescent="0.3">
      <c r="A14" s="138"/>
      <c r="B14" s="138"/>
      <c r="C14" s="484" t="s">
        <v>745</v>
      </c>
      <c r="D14" s="485">
        <v>164.5</v>
      </c>
      <c r="E14" s="486" t="s">
        <v>784</v>
      </c>
      <c r="F14" s="486" t="s">
        <v>759</v>
      </c>
      <c r="G14" s="138"/>
      <c r="H14" s="138"/>
      <c r="I14" s="138"/>
      <c r="J14" s="138"/>
      <c r="K14" s="138"/>
      <c r="L14" s="138"/>
    </row>
    <row r="15" spans="1:12" ht="18" customHeight="1" x14ac:dyDescent="0.2">
      <c r="A15" s="138"/>
      <c r="B15" s="138"/>
      <c r="C15" s="487" t="s">
        <v>785</v>
      </c>
      <c r="D15" s="487" t="s">
        <v>746</v>
      </c>
      <c r="E15" s="487" t="s">
        <v>790</v>
      </c>
      <c r="F15" s="487" t="s">
        <v>791</v>
      </c>
      <c r="G15" s="138"/>
      <c r="H15" s="138"/>
      <c r="I15" s="138"/>
      <c r="J15" s="138"/>
      <c r="K15" s="138"/>
      <c r="L15" s="138"/>
    </row>
    <row r="16" spans="1:12" ht="3" customHeight="1" x14ac:dyDescent="0.2">
      <c r="A16" s="138"/>
      <c r="B16" s="138"/>
      <c r="C16" s="439"/>
      <c r="D16" s="439"/>
      <c r="E16" s="439"/>
      <c r="F16" s="439"/>
      <c r="G16" s="138"/>
      <c r="H16" s="138"/>
      <c r="I16" s="138"/>
      <c r="J16" s="138"/>
      <c r="K16" s="138"/>
      <c r="L16" s="138"/>
    </row>
    <row r="17" spans="1:12" ht="20" customHeight="1" x14ac:dyDescent="0.2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</row>
    <row r="18" spans="1:12" ht="16" customHeight="1" x14ac:dyDescent="0.2">
      <c r="A18" s="138"/>
      <c r="B18" s="138"/>
      <c r="C18" s="488" t="s">
        <v>792</v>
      </c>
      <c r="D18" s="138"/>
      <c r="E18" s="138"/>
      <c r="F18" s="138"/>
      <c r="G18" s="138"/>
      <c r="H18" s="138"/>
      <c r="I18" s="138"/>
      <c r="J18" s="138"/>
      <c r="K18" s="138"/>
      <c r="L18" s="138"/>
    </row>
    <row r="19" spans="1:12" ht="16" customHeight="1" x14ac:dyDescent="0.2">
      <c r="A19" s="138"/>
      <c r="B19" s="138"/>
      <c r="C19" s="489" t="s">
        <v>608</v>
      </c>
      <c r="D19" s="490">
        <v>45689</v>
      </c>
      <c r="E19" s="138"/>
      <c r="F19" s="138"/>
      <c r="G19" s="138"/>
      <c r="H19" s="138"/>
      <c r="I19" s="138"/>
      <c r="J19" s="138"/>
      <c r="K19" s="138"/>
      <c r="L19" s="138"/>
    </row>
    <row r="20" spans="1:12" ht="16" customHeight="1" x14ac:dyDescent="0.2">
      <c r="A20" s="138"/>
      <c r="B20" s="138"/>
      <c r="C20" s="489" t="s">
        <v>708</v>
      </c>
      <c r="D20" s="491" t="s">
        <v>786</v>
      </c>
      <c r="E20" s="138"/>
      <c r="F20" s="138"/>
      <c r="G20" s="138"/>
      <c r="H20" s="138"/>
      <c r="I20" s="138"/>
      <c r="J20" s="138"/>
      <c r="K20" s="138"/>
      <c r="L20" s="138"/>
    </row>
    <row r="21" spans="1:12" ht="16" customHeight="1" x14ac:dyDescent="0.2">
      <c r="A21" s="138"/>
      <c r="B21" s="138"/>
      <c r="C21" s="489" t="s">
        <v>477</v>
      </c>
      <c r="D21" s="491" t="s">
        <v>793</v>
      </c>
      <c r="E21" s="138"/>
      <c r="F21" s="138"/>
      <c r="G21" s="138"/>
      <c r="H21" s="138"/>
      <c r="I21" s="138"/>
      <c r="J21" s="138"/>
      <c r="K21" s="138"/>
      <c r="L21" s="138"/>
    </row>
    <row r="22" spans="1:12" ht="16" customHeight="1" x14ac:dyDescent="0.2">
      <c r="A22" s="138"/>
      <c r="B22" s="138"/>
      <c r="C22" s="489" t="s">
        <v>794</v>
      </c>
      <c r="D22" s="491" t="s">
        <v>795</v>
      </c>
      <c r="E22" s="138"/>
      <c r="F22" s="138"/>
      <c r="G22" s="138"/>
      <c r="H22" s="138"/>
      <c r="I22" s="138"/>
      <c r="J22" s="138"/>
      <c r="K22" s="138"/>
      <c r="L22" s="138"/>
    </row>
    <row r="23" spans="1:12" ht="16" customHeight="1" x14ac:dyDescent="0.2">
      <c r="A23" s="138"/>
      <c r="B23" s="138"/>
      <c r="C23" s="489" t="s">
        <v>4</v>
      </c>
      <c r="D23" s="491" t="s">
        <v>796</v>
      </c>
      <c r="E23" s="138"/>
      <c r="F23" s="138"/>
      <c r="G23" s="138"/>
      <c r="H23" s="138"/>
      <c r="I23" s="138"/>
      <c r="J23" s="138"/>
      <c r="K23" s="138"/>
      <c r="L23" s="138"/>
    </row>
    <row r="24" spans="1:12" ht="3" customHeight="1" x14ac:dyDescent="0.2">
      <c r="A24" s="138"/>
      <c r="B24" s="138"/>
      <c r="C24" s="439"/>
      <c r="D24" s="439"/>
      <c r="E24" s="439"/>
      <c r="F24" s="439"/>
      <c r="G24" s="138"/>
      <c r="H24" s="138"/>
      <c r="I24" s="138"/>
      <c r="J24" s="138"/>
      <c r="K24" s="138"/>
      <c r="L24" s="138"/>
    </row>
    <row r="25" spans="1:12" ht="15" customHeight="1" x14ac:dyDescent="0.2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</row>
    <row r="26" spans="1:12" ht="14" customHeight="1" x14ac:dyDescent="0.2">
      <c r="A26" s="138"/>
      <c r="B26" s="138"/>
      <c r="C26" s="492" t="s">
        <v>788</v>
      </c>
      <c r="D26" s="138"/>
      <c r="E26" s="138"/>
      <c r="F26" s="138"/>
      <c r="G26" s="138"/>
      <c r="H26" s="138"/>
      <c r="I26" s="138"/>
      <c r="J26" s="138"/>
      <c r="K26" s="138"/>
      <c r="L26" s="138"/>
    </row>
    <row r="27" spans="1:12" ht="14" customHeight="1" x14ac:dyDescent="0.2">
      <c r="A27" s="138"/>
      <c r="B27" s="138"/>
      <c r="C27" s="493" t="s">
        <v>797</v>
      </c>
      <c r="D27" s="138"/>
      <c r="E27" s="138"/>
      <c r="F27" s="138"/>
      <c r="G27" s="138"/>
      <c r="H27" s="138"/>
      <c r="I27" s="138"/>
      <c r="J27" s="138"/>
      <c r="K27" s="138"/>
      <c r="L27" s="138"/>
    </row>
    <row r="28" spans="1:12" ht="15" customHeight="1" x14ac:dyDescent="0.2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</row>
    <row r="29" spans="1:12" ht="15" customHeight="1" x14ac:dyDescent="0.2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</row>
    <row r="30" spans="1:12" ht="15" customHeight="1" x14ac:dyDescent="0.2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</row>
    <row r="31" spans="1:12" x14ac:dyDescent="0.2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</row>
    <row r="32" spans="1:12" x14ac:dyDescent="0.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</row>
    <row r="33" spans="1:12" x14ac:dyDescent="0.2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</row>
    <row r="34" spans="1:12" x14ac:dyDescent="0.2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</row>
    <row r="35" spans="1:12" x14ac:dyDescent="0.2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</row>
    <row r="36" spans="1:12" x14ac:dyDescent="0.2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</row>
    <row r="37" spans="1:12" x14ac:dyDescent="0.2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</row>
    <row r="38" spans="1:12" x14ac:dyDescent="0.2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</row>
    <row r="39" spans="1:12" x14ac:dyDescent="0.2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</row>
    <row r="40" spans="1:12" x14ac:dyDescent="0.2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</row>
    <row r="41" spans="1:12" x14ac:dyDescent="0.2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</row>
    <row r="42" spans="1:12" x14ac:dyDescent="0.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</row>
    <row r="43" spans="1:12" x14ac:dyDescent="0.2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</row>
    <row r="44" spans="1:12" x14ac:dyDescent="0.2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</row>
    <row r="45" spans="1:12" x14ac:dyDescent="0.2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</row>
    <row r="46" spans="1:12" x14ac:dyDescent="0.2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</row>
    <row r="47" spans="1:12" x14ac:dyDescent="0.2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</row>
    <row r="48" spans="1:12" x14ac:dyDescent="0.2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</row>
    <row r="49" spans="1:12" x14ac:dyDescent="0.2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</row>
    <row r="50" spans="1:12" x14ac:dyDescent="0.2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FEC8-C216-2C43-95E5-6A5E8D9E16D5}">
  <sheetPr>
    <tabColor rgb="FF000080"/>
  </sheetPr>
  <dimension ref="B1:E40"/>
  <sheetViews>
    <sheetView zoomScale="133" workbookViewId="0">
      <pane ySplit="4" topLeftCell="A5" activePane="bottomLeft" state="frozen"/>
      <selection pane="bottomLeft" activeCell="H25" sqref="H25"/>
    </sheetView>
  </sheetViews>
  <sheetFormatPr baseColWidth="10" defaultRowHeight="16" x14ac:dyDescent="0.2"/>
  <cols>
    <col min="1" max="1" width="5" customWidth="1"/>
    <col min="2" max="2" width="9.1640625" customWidth="1"/>
    <col min="3" max="4" width="46.6640625" customWidth="1"/>
    <col min="5" max="5" width="16.6640625" customWidth="1"/>
  </cols>
  <sheetData>
    <row r="1" spans="2:5" ht="23" x14ac:dyDescent="0.25">
      <c r="B1" s="3" t="s">
        <v>56</v>
      </c>
    </row>
    <row r="2" spans="2:5" x14ac:dyDescent="0.2">
      <c r="B2" s="4" t="s">
        <v>0</v>
      </c>
    </row>
    <row r="4" spans="2:5" ht="17" thickBot="1" x14ac:dyDescent="0.25">
      <c r="B4" s="31" t="s">
        <v>1</v>
      </c>
      <c r="C4" s="32" t="s">
        <v>2</v>
      </c>
      <c r="D4" s="32" t="s">
        <v>3</v>
      </c>
      <c r="E4" s="31" t="s">
        <v>4</v>
      </c>
    </row>
    <row r="5" spans="2:5" x14ac:dyDescent="0.2">
      <c r="B5" s="6" t="s">
        <v>5</v>
      </c>
      <c r="C5" s="7"/>
      <c r="D5" s="7"/>
      <c r="E5" s="7"/>
    </row>
    <row r="6" spans="2:5" x14ac:dyDescent="0.2">
      <c r="B6" s="9">
        <v>1</v>
      </c>
      <c r="C6" s="8" t="s">
        <v>6</v>
      </c>
      <c r="D6" s="8" t="s">
        <v>7</v>
      </c>
      <c r="E6" s="10" t="s">
        <v>8</v>
      </c>
    </row>
    <row r="7" spans="2:5" x14ac:dyDescent="0.2">
      <c r="B7" s="12">
        <v>2</v>
      </c>
      <c r="C7" s="11" t="s">
        <v>9</v>
      </c>
      <c r="D7" s="11" t="s">
        <v>41</v>
      </c>
      <c r="E7" s="13" t="s">
        <v>8</v>
      </c>
    </row>
    <row r="8" spans="2:5" x14ac:dyDescent="0.2">
      <c r="B8" s="9">
        <v>3</v>
      </c>
      <c r="C8" s="8" t="s">
        <v>10</v>
      </c>
      <c r="D8" s="8" t="s">
        <v>761</v>
      </c>
      <c r="E8" s="14" t="s">
        <v>8</v>
      </c>
    </row>
    <row r="9" spans="2:5" x14ac:dyDescent="0.2">
      <c r="B9" s="12">
        <v>4</v>
      </c>
      <c r="C9" s="11" t="s">
        <v>12</v>
      </c>
      <c r="D9" s="11" t="s">
        <v>42</v>
      </c>
      <c r="E9" s="15" t="s">
        <v>11</v>
      </c>
    </row>
    <row r="10" spans="2:5" x14ac:dyDescent="0.2">
      <c r="B10" s="9">
        <v>5</v>
      </c>
      <c r="C10" s="8" t="s">
        <v>13</v>
      </c>
      <c r="D10" s="8" t="s">
        <v>14</v>
      </c>
      <c r="E10" s="14" t="s">
        <v>11</v>
      </c>
    </row>
    <row r="12" spans="2:5" x14ac:dyDescent="0.2">
      <c r="B12" s="41" t="s">
        <v>54</v>
      </c>
      <c r="C12" s="40"/>
      <c r="D12" s="40"/>
      <c r="E12" s="40"/>
    </row>
    <row r="13" spans="2:5" x14ac:dyDescent="0.2">
      <c r="B13" s="9">
        <v>6</v>
      </c>
      <c r="C13" s="8" t="s">
        <v>45</v>
      </c>
      <c r="D13" s="8" t="s">
        <v>55</v>
      </c>
      <c r="E13" s="14" t="s">
        <v>8</v>
      </c>
    </row>
    <row r="14" spans="2:5" x14ac:dyDescent="0.2">
      <c r="B14" s="12">
        <v>7</v>
      </c>
      <c r="C14" s="11" t="s">
        <v>15</v>
      </c>
      <c r="D14" s="11" t="s">
        <v>16</v>
      </c>
      <c r="E14" s="15" t="s">
        <v>8</v>
      </c>
    </row>
    <row r="16" spans="2:5" x14ac:dyDescent="0.2">
      <c r="B16" s="43" t="s">
        <v>243</v>
      </c>
      <c r="C16" s="42"/>
      <c r="D16" s="42"/>
      <c r="E16" s="42"/>
    </row>
    <row r="17" spans="2:5" x14ac:dyDescent="0.2">
      <c r="B17" s="9">
        <v>8</v>
      </c>
      <c r="C17" s="8" t="s">
        <v>43</v>
      </c>
      <c r="D17" s="8" t="s">
        <v>44</v>
      </c>
      <c r="E17" s="14" t="s">
        <v>8</v>
      </c>
    </row>
    <row r="18" spans="2:5" x14ac:dyDescent="0.2">
      <c r="B18" s="12">
        <v>9</v>
      </c>
      <c r="C18" s="11" t="s">
        <v>48</v>
      </c>
      <c r="D18" s="11" t="s">
        <v>244</v>
      </c>
      <c r="E18" s="15" t="s">
        <v>8</v>
      </c>
    </row>
    <row r="20" spans="2:5" x14ac:dyDescent="0.2">
      <c r="B20" s="16" t="s">
        <v>17</v>
      </c>
      <c r="C20" s="17"/>
      <c r="D20" s="17"/>
      <c r="E20" s="17"/>
    </row>
    <row r="21" spans="2:5" x14ac:dyDescent="0.2">
      <c r="B21" s="9">
        <v>11</v>
      </c>
      <c r="C21" s="8" t="s">
        <v>46</v>
      </c>
      <c r="D21" s="8" t="s">
        <v>47</v>
      </c>
      <c r="E21" s="14" t="s">
        <v>8</v>
      </c>
    </row>
    <row r="22" spans="2:5" x14ac:dyDescent="0.2">
      <c r="B22" s="12">
        <v>12</v>
      </c>
      <c r="C22" s="11" t="s">
        <v>18</v>
      </c>
      <c r="D22" s="11" t="s">
        <v>19</v>
      </c>
      <c r="E22" s="15" t="s">
        <v>8</v>
      </c>
    </row>
    <row r="23" spans="2:5" x14ac:dyDescent="0.2">
      <c r="B23" s="37"/>
      <c r="C23" s="38"/>
      <c r="D23" s="38"/>
      <c r="E23" s="39"/>
    </row>
    <row r="24" spans="2:5" x14ac:dyDescent="0.2">
      <c r="B24" s="18" t="s">
        <v>245</v>
      </c>
      <c r="C24" s="19"/>
      <c r="D24" s="19"/>
      <c r="E24" s="19"/>
    </row>
    <row r="25" spans="2:5" x14ac:dyDescent="0.2">
      <c r="B25" s="9">
        <v>13</v>
      </c>
      <c r="C25" s="8" t="s">
        <v>20</v>
      </c>
      <c r="D25" s="8" t="s">
        <v>21</v>
      </c>
      <c r="E25" s="14" t="s">
        <v>8</v>
      </c>
    </row>
    <row r="27" spans="2:5" x14ac:dyDescent="0.2">
      <c r="B27" s="20" t="s">
        <v>246</v>
      </c>
      <c r="C27" s="21"/>
      <c r="D27" s="21"/>
      <c r="E27" s="21"/>
    </row>
    <row r="28" spans="2:5" x14ac:dyDescent="0.2">
      <c r="B28" s="9">
        <v>17</v>
      </c>
      <c r="C28" s="8" t="s">
        <v>476</v>
      </c>
      <c r="D28" s="8" t="s">
        <v>49</v>
      </c>
      <c r="E28" s="14" t="s">
        <v>8</v>
      </c>
    </row>
    <row r="29" spans="2:5" x14ac:dyDescent="0.2">
      <c r="B29" s="12">
        <v>18</v>
      </c>
      <c r="C29" s="11" t="s">
        <v>22</v>
      </c>
      <c r="D29" s="11" t="s">
        <v>23</v>
      </c>
      <c r="E29" s="15" t="s">
        <v>8</v>
      </c>
    </row>
    <row r="31" spans="2:5" x14ac:dyDescent="0.2">
      <c r="B31" s="22" t="s">
        <v>491</v>
      </c>
      <c r="C31" s="23"/>
      <c r="D31" s="23"/>
      <c r="E31" s="23"/>
    </row>
    <row r="32" spans="2:5" x14ac:dyDescent="0.2">
      <c r="B32" s="9">
        <v>19</v>
      </c>
      <c r="C32" s="8" t="s">
        <v>24</v>
      </c>
      <c r="D32" s="8" t="s">
        <v>641</v>
      </c>
      <c r="E32" s="14" t="s">
        <v>8</v>
      </c>
    </row>
    <row r="35" spans="2:5" x14ac:dyDescent="0.2">
      <c r="B35" s="5" t="s">
        <v>25</v>
      </c>
      <c r="C35" s="2"/>
      <c r="D35" s="2"/>
      <c r="E35" s="2"/>
    </row>
    <row r="36" spans="2:5" x14ac:dyDescent="0.2">
      <c r="B36" s="24" t="s">
        <v>26</v>
      </c>
      <c r="C36" s="25" t="s">
        <v>27</v>
      </c>
      <c r="D36" s="26" t="s">
        <v>28</v>
      </c>
      <c r="E36" s="27"/>
    </row>
    <row r="37" spans="2:5" x14ac:dyDescent="0.2">
      <c r="B37" s="24" t="s">
        <v>29</v>
      </c>
      <c r="C37" s="28" t="s">
        <v>30</v>
      </c>
      <c r="D37" s="26" t="s">
        <v>31</v>
      </c>
      <c r="E37" s="27"/>
    </row>
    <row r="38" spans="2:5" x14ac:dyDescent="0.2">
      <c r="B38" s="24" t="s">
        <v>32</v>
      </c>
      <c r="C38" s="29" t="s">
        <v>33</v>
      </c>
      <c r="D38" s="26" t="s">
        <v>34</v>
      </c>
      <c r="E38" s="27"/>
    </row>
    <row r="39" spans="2:5" x14ac:dyDescent="0.2">
      <c r="B39" s="24" t="s">
        <v>35</v>
      </c>
      <c r="C39" s="30" t="s">
        <v>36</v>
      </c>
      <c r="D39" s="26" t="s">
        <v>37</v>
      </c>
      <c r="E39" s="27"/>
    </row>
    <row r="40" spans="2:5" x14ac:dyDescent="0.2">
      <c r="B40" s="33" t="s">
        <v>38</v>
      </c>
      <c r="C40" s="34" t="s">
        <v>39</v>
      </c>
      <c r="D40" s="35" t="s">
        <v>40</v>
      </c>
      <c r="E40" s="36"/>
    </row>
  </sheetData>
  <conditionalFormatting sqref="E6:E10">
    <cfRule type="cellIs" dxfId="34" priority="6" operator="equal">
      <formula>"Complete"</formula>
    </cfRule>
    <cfRule type="cellIs" dxfId="33" priority="7" operator="equal">
      <formula>"In Progress"</formula>
    </cfRule>
    <cfRule type="cellIs" dxfId="32" priority="8" operator="equal">
      <formula>"Pending"</formula>
    </cfRule>
    <cfRule type="cellIs" dxfId="31" priority="9" operator="equal">
      <formula>"Not Started"</formula>
    </cfRule>
    <cfRule type="cellIs" dxfId="30" priority="10" operator="equal">
      <formula>"N/A"</formula>
    </cfRule>
  </conditionalFormatting>
  <conditionalFormatting sqref="E13:E14">
    <cfRule type="cellIs" dxfId="29" priority="31" operator="equal">
      <formula>"Complete"</formula>
    </cfRule>
    <cfRule type="cellIs" dxfId="28" priority="32" operator="equal">
      <formula>"In Progress"</formula>
    </cfRule>
    <cfRule type="cellIs" dxfId="27" priority="33" operator="equal">
      <formula>"Pending"</formula>
    </cfRule>
    <cfRule type="cellIs" dxfId="26" priority="34" operator="equal">
      <formula>"Not Started"</formula>
    </cfRule>
    <cfRule type="cellIs" dxfId="25" priority="35" operator="equal">
      <formula>"N/A"</formula>
    </cfRule>
  </conditionalFormatting>
  <conditionalFormatting sqref="E17:E18">
    <cfRule type="cellIs" dxfId="24" priority="41" operator="equal">
      <formula>"Complete"</formula>
    </cfRule>
    <cfRule type="cellIs" dxfId="23" priority="42" operator="equal">
      <formula>"In Progress"</formula>
    </cfRule>
    <cfRule type="cellIs" dxfId="22" priority="43" operator="equal">
      <formula>"Pending"</formula>
    </cfRule>
    <cfRule type="cellIs" dxfId="21" priority="44" operator="equal">
      <formula>"Not Started"</formula>
    </cfRule>
    <cfRule type="cellIs" dxfId="20" priority="45" operator="equal">
      <formula>"N/A"</formula>
    </cfRule>
  </conditionalFormatting>
  <conditionalFormatting sqref="E21:E22">
    <cfRule type="cellIs" dxfId="19" priority="53" operator="equal">
      <formula>"Pending"</formula>
    </cfRule>
    <cfRule type="cellIs" dxfId="18" priority="52" operator="equal">
      <formula>"In Progress"</formula>
    </cfRule>
    <cfRule type="cellIs" dxfId="17" priority="51" operator="equal">
      <formula>"Complete"</formula>
    </cfRule>
    <cfRule type="cellIs" dxfId="16" priority="54" operator="equal">
      <formula>"Not Started"</formula>
    </cfRule>
    <cfRule type="cellIs" dxfId="15" priority="55" operator="equal">
      <formula>"N/A"</formula>
    </cfRule>
  </conditionalFormatting>
  <conditionalFormatting sqref="E24:E25">
    <cfRule type="cellIs" dxfId="14" priority="66" operator="equal">
      <formula>"Complete"</formula>
    </cfRule>
    <cfRule type="cellIs" dxfId="13" priority="67" operator="equal">
      <formula>"In Progress"</formula>
    </cfRule>
    <cfRule type="cellIs" dxfId="12" priority="68" operator="equal">
      <formula>"Pending"</formula>
    </cfRule>
    <cfRule type="cellIs" dxfId="11" priority="69" operator="equal">
      <formula>"Not Started"</formula>
    </cfRule>
    <cfRule type="cellIs" dxfId="10" priority="70" operator="equal">
      <formula>"N/A"</formula>
    </cfRule>
  </conditionalFormatting>
  <conditionalFormatting sqref="E27:E29">
    <cfRule type="cellIs" dxfId="9" priority="86" operator="equal">
      <formula>"Complete"</formula>
    </cfRule>
    <cfRule type="cellIs" dxfId="8" priority="87" operator="equal">
      <formula>"In Progress"</formula>
    </cfRule>
    <cfRule type="cellIs" dxfId="7" priority="88" operator="equal">
      <formula>"Pending"</formula>
    </cfRule>
    <cfRule type="cellIs" dxfId="6" priority="89" operator="equal">
      <formula>"Not Started"</formula>
    </cfRule>
    <cfRule type="cellIs" dxfId="5" priority="90" operator="equal">
      <formula>"N/A"</formula>
    </cfRule>
  </conditionalFormatting>
  <conditionalFormatting sqref="E31:E32">
    <cfRule type="cellIs" dxfId="4" priority="101" operator="equal">
      <formula>"Complete"</formula>
    </cfRule>
    <cfRule type="cellIs" dxfId="3" priority="102" operator="equal">
      <formula>"In Progress"</formula>
    </cfRule>
    <cfRule type="cellIs" dxfId="2" priority="103" operator="equal">
      <formula>"Pending"</formula>
    </cfRule>
    <cfRule type="cellIs" dxfId="1" priority="104" operator="equal">
      <formula>"Not Started"</formula>
    </cfRule>
    <cfRule type="cellIs" dxfId="0" priority="105" operator="equal">
      <formula>"N/A"</formula>
    </cfRule>
  </conditionalFormatting>
  <dataValidations count="1">
    <dataValidation type="list" allowBlank="1" showInputMessage="1" showErrorMessage="1" sqref="E6:E10 E13:E14 E32 E25 E28:E29 E20:E23 E17:E18" xr:uid="{06FFBA76-29B4-094F-B921-D7A87FC73297}">
      <formula1>"Complete,In Progress,Pending,Not Started,N/A"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C757-66CE-864F-83FC-2E12D4B06B59}">
  <dimension ref="A1:Z100"/>
  <sheetViews>
    <sheetView zoomScale="142" workbookViewId="0">
      <selection activeCell="N8" sqref="N8"/>
    </sheetView>
  </sheetViews>
  <sheetFormatPr baseColWidth="10" defaultRowHeight="16" x14ac:dyDescent="0.2"/>
  <cols>
    <col min="1" max="1" width="6.6640625" customWidth="1"/>
    <col min="2" max="6" width="12.5" customWidth="1"/>
    <col min="7" max="7" width="2" customWidth="1"/>
    <col min="8" max="11" width="12.5" customWidth="1"/>
  </cols>
  <sheetData>
    <row r="1" spans="1:26" ht="28" customHeight="1" x14ac:dyDescent="0.25">
      <c r="A1" s="444" t="s">
        <v>752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spans="1:26" ht="18" customHeight="1" x14ac:dyDescent="0.2">
      <c r="A2" s="445" t="s">
        <v>762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spans="1:26" ht="4" customHeight="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spans="1:26" ht="16" customHeight="1" x14ac:dyDescent="0.2">
      <c r="A4" s="446"/>
      <c r="B4" s="446" t="s">
        <v>753</v>
      </c>
      <c r="C4" s="446" t="s">
        <v>754</v>
      </c>
      <c r="D4" s="446" t="s">
        <v>755</v>
      </c>
      <c r="E4" s="446" t="s">
        <v>477</v>
      </c>
      <c r="F4" s="446" t="s">
        <v>756</v>
      </c>
      <c r="G4" s="446" t="s">
        <v>757</v>
      </c>
      <c r="H4" s="446" t="s">
        <v>758</v>
      </c>
      <c r="I4" s="446" t="s">
        <v>763</v>
      </c>
      <c r="J4" s="446" t="s">
        <v>764</v>
      </c>
      <c r="K4" s="446" t="s">
        <v>765</v>
      </c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spans="1:26" ht="24" customHeight="1" x14ac:dyDescent="0.25">
      <c r="A5" s="447"/>
      <c r="B5" s="448" t="s">
        <v>745</v>
      </c>
      <c r="C5" s="449">
        <v>164.5</v>
      </c>
      <c r="D5" s="450" t="s">
        <v>766</v>
      </c>
      <c r="E5" s="451">
        <v>0.111</v>
      </c>
      <c r="F5" s="451">
        <v>2.5000000000000001E-2</v>
      </c>
      <c r="G5" s="452">
        <v>7286</v>
      </c>
      <c r="H5" s="452">
        <v>8164</v>
      </c>
      <c r="I5" s="451">
        <v>0.755</v>
      </c>
      <c r="J5" s="453" t="s">
        <v>760</v>
      </c>
      <c r="K5" s="453" t="s">
        <v>759</v>
      </c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spans="1:26" ht="4" customHeight="1" x14ac:dyDescent="0.2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spans="1:26" ht="18" customHeight="1" x14ac:dyDescent="0.2">
      <c r="A7" s="138"/>
      <c r="B7" s="442" t="s">
        <v>767</v>
      </c>
      <c r="C7" s="454" t="s">
        <v>768</v>
      </c>
      <c r="D7" s="138"/>
      <c r="E7" s="456" t="s">
        <v>769</v>
      </c>
      <c r="F7" s="457" t="s">
        <v>770</v>
      </c>
      <c r="G7" s="138"/>
      <c r="H7" s="458" t="s">
        <v>771</v>
      </c>
      <c r="I7" s="459" t="s">
        <v>768</v>
      </c>
      <c r="J7" s="138"/>
      <c r="K7" s="461" t="s">
        <v>772</v>
      </c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spans="1:26" ht="24" customHeight="1" x14ac:dyDescent="0.3">
      <c r="A8" s="138"/>
      <c r="B8" s="462">
        <v>165</v>
      </c>
      <c r="C8" s="463" t="s">
        <v>773</v>
      </c>
      <c r="D8" s="138"/>
      <c r="E8" s="464">
        <v>97</v>
      </c>
      <c r="F8" s="465" t="s">
        <v>774</v>
      </c>
      <c r="G8" s="138"/>
      <c r="H8" s="466">
        <v>60</v>
      </c>
      <c r="I8" s="467" t="s">
        <v>775</v>
      </c>
      <c r="J8" s="138"/>
      <c r="K8" s="464">
        <v>105</v>
      </c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spans="1:26" ht="4" customHeight="1" x14ac:dyDescent="0.2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spans="1:26" ht="16" customHeight="1" x14ac:dyDescent="0.2">
      <c r="A10" s="455" t="s">
        <v>776</v>
      </c>
      <c r="B10" s="2"/>
      <c r="C10" s="2"/>
      <c r="D10" s="2"/>
      <c r="E10" s="2"/>
      <c r="F10" s="2"/>
      <c r="G10" s="138"/>
      <c r="H10" s="455" t="s">
        <v>777</v>
      </c>
      <c r="I10" s="2"/>
      <c r="J10" s="2"/>
      <c r="K10" s="2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spans="1:26" ht="16" customHeight="1" x14ac:dyDescent="0.2">
      <c r="A11" s="439"/>
      <c r="B11" s="468">
        <v>1.4999999999999999E-2</v>
      </c>
      <c r="C11" s="468">
        <v>0.02</v>
      </c>
      <c r="D11" s="468">
        <v>2.5000000000000001E-2</v>
      </c>
      <c r="E11" s="468">
        <v>0.03</v>
      </c>
      <c r="F11" s="468">
        <v>3.5000000000000003E-2</v>
      </c>
      <c r="G11" s="138"/>
      <c r="H11" s="472" t="s">
        <v>778</v>
      </c>
      <c r="I11" s="138"/>
      <c r="J11" s="473">
        <v>1786</v>
      </c>
      <c r="K11" s="474">
        <v>0.245</v>
      </c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spans="1:26" ht="16" customHeight="1" x14ac:dyDescent="0.2">
      <c r="A12" s="468">
        <v>9.0999999999999998E-2</v>
      </c>
      <c r="B12" s="469">
        <v>190</v>
      </c>
      <c r="C12" s="469">
        <v>200</v>
      </c>
      <c r="D12" s="469">
        <v>212</v>
      </c>
      <c r="E12" s="469">
        <v>226</v>
      </c>
      <c r="F12" s="469">
        <v>242</v>
      </c>
      <c r="G12" s="138"/>
      <c r="H12" s="475" t="s">
        <v>461</v>
      </c>
      <c r="I12" s="27"/>
      <c r="J12" s="476">
        <v>5500</v>
      </c>
      <c r="K12" s="477">
        <v>0.755</v>
      </c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spans="1:26" ht="16" customHeight="1" x14ac:dyDescent="0.2">
      <c r="A13" s="468">
        <v>0.10100000000000001</v>
      </c>
      <c r="B13" s="469">
        <v>169</v>
      </c>
      <c r="C13" s="469">
        <v>177</v>
      </c>
      <c r="D13" s="469">
        <v>185</v>
      </c>
      <c r="E13" s="469">
        <v>195</v>
      </c>
      <c r="F13" s="469">
        <v>206</v>
      </c>
      <c r="G13" s="138"/>
      <c r="H13" s="460" t="s">
        <v>464</v>
      </c>
      <c r="I13" s="439"/>
      <c r="J13" s="478">
        <v>7286</v>
      </c>
      <c r="K13" s="439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spans="1:26" ht="16" customHeight="1" x14ac:dyDescent="0.2">
      <c r="A14" s="470">
        <v>0.111</v>
      </c>
      <c r="B14" s="469">
        <v>152</v>
      </c>
      <c r="C14" s="469">
        <v>158</v>
      </c>
      <c r="D14" s="471">
        <v>165</v>
      </c>
      <c r="E14" s="469">
        <v>172</v>
      </c>
      <c r="F14" s="469">
        <v>180</v>
      </c>
      <c r="G14" s="138"/>
      <c r="H14" s="472" t="s">
        <v>747</v>
      </c>
      <c r="I14" s="138"/>
      <c r="J14" s="473">
        <v>878</v>
      </c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spans="1:26" ht="16" customHeight="1" x14ac:dyDescent="0.2">
      <c r="A15" s="468">
        <v>0.121</v>
      </c>
      <c r="B15" s="469">
        <v>138</v>
      </c>
      <c r="C15" s="469">
        <v>143</v>
      </c>
      <c r="D15" s="469">
        <v>148</v>
      </c>
      <c r="E15" s="469">
        <v>154</v>
      </c>
      <c r="F15" s="469">
        <v>160</v>
      </c>
      <c r="G15" s="138"/>
      <c r="H15" s="460" t="s">
        <v>470</v>
      </c>
      <c r="I15" s="439"/>
      <c r="J15" s="478">
        <v>8164</v>
      </c>
      <c r="K15" s="439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spans="1:26" ht="16" customHeight="1" x14ac:dyDescent="0.2">
      <c r="A16" s="468">
        <v>0.13100000000000001</v>
      </c>
      <c r="B16" s="469">
        <v>127</v>
      </c>
      <c r="C16" s="469">
        <v>131</v>
      </c>
      <c r="D16" s="469">
        <v>135</v>
      </c>
      <c r="E16" s="469">
        <v>140</v>
      </c>
      <c r="F16" s="469">
        <v>145</v>
      </c>
      <c r="G16" s="138"/>
      <c r="H16" s="441" t="s">
        <v>506</v>
      </c>
      <c r="I16" s="440"/>
      <c r="J16" s="479">
        <v>164.5</v>
      </c>
      <c r="K16" s="440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spans="1:26" ht="4" customHeight="1" x14ac:dyDescent="0.2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spans="1:26" x14ac:dyDescent="0.2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spans="1:26" x14ac:dyDescent="0.2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spans="1:26" x14ac:dyDescent="0.2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spans="1:26" x14ac:dyDescent="0.2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spans="1:26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spans="1:26" x14ac:dyDescent="0.2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spans="1:26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spans="1:26" x14ac:dyDescent="0.2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spans="1:26" x14ac:dyDescent="0.2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spans="1:26" x14ac:dyDescent="0.2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spans="1:26" x14ac:dyDescent="0.2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spans="1:26" x14ac:dyDescent="0.2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spans="1:26" x14ac:dyDescent="0.2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spans="1:26" x14ac:dyDescent="0.2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spans="1:26" x14ac:dyDescent="0.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spans="1:26" x14ac:dyDescent="0.2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spans="1:26" x14ac:dyDescent="0.2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spans="1:26" x14ac:dyDescent="0.2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spans="1:26" x14ac:dyDescent="0.2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spans="1:26" x14ac:dyDescent="0.2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spans="1:26" x14ac:dyDescent="0.2">
      <c r="A38" s="443" t="s">
        <v>779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spans="1:26" x14ac:dyDescent="0.2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spans="1:26" x14ac:dyDescent="0.2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spans="1:26" x14ac:dyDescent="0.2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spans="1:26" x14ac:dyDescent="0.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spans="1:26" x14ac:dyDescent="0.2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spans="1:26" x14ac:dyDescent="0.2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spans="1:26" x14ac:dyDescent="0.2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spans="1:26" x14ac:dyDescent="0.2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spans="1:26" x14ac:dyDescent="0.2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spans="1:26" x14ac:dyDescent="0.2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spans="1:26" x14ac:dyDescent="0.2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spans="1:26" x14ac:dyDescent="0.2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spans="1:26" x14ac:dyDescent="0.2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spans="1:26" x14ac:dyDescent="0.2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spans="1:26" x14ac:dyDescent="0.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spans="1:26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spans="1:26" x14ac:dyDescent="0.2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spans="1:26" x14ac:dyDescent="0.2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spans="1:26" x14ac:dyDescent="0.2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spans="1:26" x14ac:dyDescent="0.2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spans="1:26" x14ac:dyDescent="0.2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spans="1:26" x14ac:dyDescent="0.2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spans="1:26" x14ac:dyDescent="0.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spans="1:26" x14ac:dyDescent="0.2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spans="1:26" x14ac:dyDescent="0.2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spans="1:26" x14ac:dyDescent="0.2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spans="1:26" x14ac:dyDescent="0.2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spans="1:26" x14ac:dyDescent="0.2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spans="1:26" x14ac:dyDescent="0.2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spans="1:26" x14ac:dyDescent="0.2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spans="1:26" x14ac:dyDescent="0.2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spans="1:26" x14ac:dyDescent="0.2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spans="1:26" x14ac:dyDescent="0.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spans="1:26" x14ac:dyDescent="0.2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spans="1:26" x14ac:dyDescent="0.2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spans="1:26" x14ac:dyDescent="0.2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spans="1:26" x14ac:dyDescent="0.2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spans="1:26" x14ac:dyDescent="0.2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spans="1:26" x14ac:dyDescent="0.2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spans="1:26" x14ac:dyDescent="0.2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spans="1:26" x14ac:dyDescent="0.2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spans="1:26" x14ac:dyDescent="0.2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spans="1:26" x14ac:dyDescent="0.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spans="1:26" x14ac:dyDescent="0.2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spans="1:26" x14ac:dyDescent="0.2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spans="1:26" x14ac:dyDescent="0.2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spans="1:26" x14ac:dyDescent="0.2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spans="1:26" x14ac:dyDescent="0.2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spans="1:26" x14ac:dyDescent="0.2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spans="1:26" x14ac:dyDescent="0.2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spans="1:26" x14ac:dyDescent="0.2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spans="1:26" x14ac:dyDescent="0.2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spans="1:26" x14ac:dyDescent="0.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spans="1:26" x14ac:dyDescent="0.2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spans="1:26" x14ac:dyDescent="0.2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spans="1:26" x14ac:dyDescent="0.2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spans="1:26" x14ac:dyDescent="0.2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spans="1:26" x14ac:dyDescent="0.2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spans="1:26" x14ac:dyDescent="0.2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spans="1:26" x14ac:dyDescent="0.2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spans="1:26" x14ac:dyDescent="0.2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96D3-65A8-E34F-9A14-7C604C280FCC}">
  <sheetPr>
    <tabColor rgb="FF548235"/>
  </sheetPr>
  <dimension ref="B4:L114"/>
  <sheetViews>
    <sheetView topLeftCell="A30" zoomScale="144" workbookViewId="0">
      <selection activeCell="B47" sqref="B47"/>
    </sheetView>
  </sheetViews>
  <sheetFormatPr baseColWidth="10" defaultRowHeight="16" x14ac:dyDescent="0.2"/>
  <cols>
    <col min="1" max="1" width="2.33203125" style="1" customWidth="1"/>
    <col min="2" max="16384" width="10.83203125" style="1"/>
  </cols>
  <sheetData>
    <row r="4" spans="2:10" ht="19" x14ac:dyDescent="0.25">
      <c r="B4" s="44" t="s">
        <v>57</v>
      </c>
      <c r="C4" s="44"/>
      <c r="D4" s="44"/>
      <c r="E4" s="44"/>
      <c r="F4" s="44"/>
      <c r="G4" s="44"/>
      <c r="H4" s="44"/>
      <c r="I4" s="44"/>
      <c r="J4" s="44"/>
    </row>
    <row r="7" spans="2:10" x14ac:dyDescent="0.2">
      <c r="B7" s="50" t="s">
        <v>133</v>
      </c>
      <c r="F7" s="52" t="s">
        <v>58</v>
      </c>
      <c r="G7" s="52" t="s">
        <v>59</v>
      </c>
      <c r="H7" s="52" t="s">
        <v>60</v>
      </c>
      <c r="I7" s="52" t="s">
        <v>61</v>
      </c>
      <c r="J7" s="52" t="s">
        <v>132</v>
      </c>
    </row>
    <row r="8" spans="2:10" x14ac:dyDescent="0.2">
      <c r="B8" s="50" t="s">
        <v>134</v>
      </c>
    </row>
    <row r="10" spans="2:10" x14ac:dyDescent="0.2">
      <c r="B10" s="1" t="s">
        <v>62</v>
      </c>
      <c r="F10" s="54">
        <v>161.696</v>
      </c>
      <c r="G10" s="54">
        <v>250.77199999999999</v>
      </c>
      <c r="H10" s="54">
        <v>369.495</v>
      </c>
      <c r="I10" s="54">
        <v>531.10900000000004</v>
      </c>
      <c r="J10" s="54">
        <v>748.024</v>
      </c>
    </row>
    <row r="11" spans="2:10" x14ac:dyDescent="0.2">
      <c r="B11" s="1" t="s">
        <v>63</v>
      </c>
      <c r="F11" s="55">
        <v>-44.277000000000001</v>
      </c>
      <c r="G11" s="55">
        <v>-67.153000000000006</v>
      </c>
      <c r="H11" s="55">
        <v>-98.561000000000007</v>
      </c>
      <c r="I11" s="55">
        <v>-140.08500000000001</v>
      </c>
      <c r="J11" s="55">
        <v>-198.33500000000001</v>
      </c>
    </row>
    <row r="12" spans="2:10" x14ac:dyDescent="0.2">
      <c r="B12" s="46" t="s">
        <v>64</v>
      </c>
      <c r="E12"/>
      <c r="F12" s="56">
        <f>SUM(F10:F11)</f>
        <v>117.419</v>
      </c>
      <c r="G12" s="56">
        <f t="shared" ref="G12:J12" si="0">SUM(G10:G11)</f>
        <v>183.61899999999997</v>
      </c>
      <c r="H12" s="56">
        <f t="shared" si="0"/>
        <v>270.93399999999997</v>
      </c>
      <c r="I12" s="56">
        <f t="shared" si="0"/>
        <v>391.024</v>
      </c>
      <c r="J12" s="56">
        <f t="shared" si="0"/>
        <v>549.68899999999996</v>
      </c>
    </row>
    <row r="13" spans="2:10" x14ac:dyDescent="0.2">
      <c r="F13" s="54"/>
      <c r="G13" s="54"/>
      <c r="H13" s="54"/>
      <c r="I13" s="54"/>
      <c r="J13" s="54"/>
    </row>
    <row r="14" spans="2:10" x14ac:dyDescent="0.2">
      <c r="B14" s="1" t="s">
        <v>65</v>
      </c>
      <c r="F14" s="54">
        <v>-53.024000000000001</v>
      </c>
      <c r="G14" s="54">
        <v>-103.78700000000001</v>
      </c>
      <c r="H14" s="54">
        <v>-148.94399999999999</v>
      </c>
      <c r="I14" s="54">
        <v>-192.702</v>
      </c>
      <c r="J14" s="54">
        <v>-232.94</v>
      </c>
    </row>
    <row r="15" spans="2:10" x14ac:dyDescent="0.2">
      <c r="B15" s="1" t="s">
        <v>66</v>
      </c>
      <c r="F15" s="54">
        <v>-77.867999999999995</v>
      </c>
      <c r="G15" s="54">
        <v>-133.20400000000001</v>
      </c>
      <c r="H15" s="54">
        <v>-181.679</v>
      </c>
      <c r="I15" s="54">
        <v>-204.148</v>
      </c>
      <c r="J15" s="54">
        <v>-242.32599999999999</v>
      </c>
    </row>
    <row r="16" spans="2:10" x14ac:dyDescent="0.2">
      <c r="B16" s="1" t="s">
        <v>67</v>
      </c>
      <c r="F16" s="54">
        <v>-2.2559999999999998</v>
      </c>
      <c r="G16" s="54">
        <v>-2.726</v>
      </c>
      <c r="H16" s="54">
        <v>-4.87</v>
      </c>
      <c r="I16" s="54">
        <v>-7.0949999999999998</v>
      </c>
      <c r="J16" s="54">
        <v>-10.853999999999999</v>
      </c>
    </row>
    <row r="17" spans="2:12" x14ac:dyDescent="0.2">
      <c r="B17" s="47" t="s">
        <v>68</v>
      </c>
      <c r="F17" s="56">
        <f>SUM(F12:F16)</f>
        <v>-15.728999999999999</v>
      </c>
      <c r="G17" s="56">
        <f t="shared" ref="G17:J17" si="1">SUM(G12:G16)</f>
        <v>-56.098000000000042</v>
      </c>
      <c r="H17" s="56">
        <f t="shared" si="1"/>
        <v>-64.559000000000026</v>
      </c>
      <c r="I17" s="56">
        <f t="shared" si="1"/>
        <v>-12.920999999999992</v>
      </c>
      <c r="J17" s="56">
        <f t="shared" si="1"/>
        <v>63.568999999999974</v>
      </c>
    </row>
    <row r="18" spans="2:12" x14ac:dyDescent="0.2">
      <c r="F18" s="54"/>
      <c r="G18" s="54"/>
      <c r="H18" s="54"/>
      <c r="I18" s="54"/>
      <c r="J18" s="54"/>
    </row>
    <row r="19" spans="2:12" x14ac:dyDescent="0.2">
      <c r="B19" s="1" t="s">
        <v>69</v>
      </c>
      <c r="F19" s="54">
        <v>0</v>
      </c>
      <c r="G19" s="54">
        <v>0</v>
      </c>
      <c r="H19" s="54">
        <v>7.2350000000000003</v>
      </c>
      <c r="I19" s="54">
        <v>31.091000000000001</v>
      </c>
      <c r="J19" s="54">
        <v>42.697000000000003</v>
      </c>
    </row>
    <row r="20" spans="2:12" x14ac:dyDescent="0.2">
      <c r="B20" s="1" t="s">
        <v>135</v>
      </c>
      <c r="F20" s="54">
        <v>-0.28199999999999997</v>
      </c>
      <c r="G20" s="54">
        <v>-3.9089999999999998</v>
      </c>
      <c r="H20" s="54">
        <v>-0.63600000000000001</v>
      </c>
      <c r="I20" s="54">
        <v>-0.33800000000000002</v>
      </c>
      <c r="J20" s="54">
        <v>-0.97399999999999998</v>
      </c>
    </row>
    <row r="21" spans="2:12" x14ac:dyDescent="0.2">
      <c r="B21" s="1" t="s">
        <v>136</v>
      </c>
      <c r="F21" s="54">
        <v>0.30299999999999999</v>
      </c>
      <c r="G21" s="54">
        <v>4.9000000000000002E-2</v>
      </c>
      <c r="H21" s="54">
        <v>-0.67600000000000005</v>
      </c>
      <c r="I21" s="54">
        <v>-5.5E-2</v>
      </c>
      <c r="J21" s="54">
        <v>-2.9860000000000002</v>
      </c>
    </row>
    <row r="22" spans="2:12" x14ac:dyDescent="0.2">
      <c r="B22" s="47" t="s">
        <v>70</v>
      </c>
      <c r="F22" s="56">
        <f>SUM(F17:F21)</f>
        <v>-15.707999999999998</v>
      </c>
      <c r="G22" s="56">
        <f t="shared" ref="G22:J22" si="2">SUM(G17:G21)</f>
        <v>-59.958000000000041</v>
      </c>
      <c r="H22" s="56">
        <f t="shared" si="2"/>
        <v>-58.636000000000031</v>
      </c>
      <c r="I22" s="56">
        <f t="shared" si="2"/>
        <v>17.777000000000008</v>
      </c>
      <c r="J22" s="56">
        <f t="shared" si="2"/>
        <v>102.30599999999997</v>
      </c>
      <c r="L22" s="66"/>
    </row>
    <row r="23" spans="2:12" x14ac:dyDescent="0.2">
      <c r="F23" s="54"/>
      <c r="G23" s="54"/>
      <c r="H23" s="54"/>
      <c r="I23" s="54"/>
      <c r="J23" s="54"/>
    </row>
    <row r="24" spans="2:12" x14ac:dyDescent="0.2">
      <c r="B24" s="1" t="s">
        <v>71</v>
      </c>
      <c r="F24" s="54">
        <v>-6.8000000000000005E-2</v>
      </c>
      <c r="G24" s="54">
        <v>-0.17699999999999999</v>
      </c>
      <c r="H24" s="54">
        <v>-0.93799999999999994</v>
      </c>
      <c r="I24" s="54">
        <v>-1.71</v>
      </c>
      <c r="J24" s="54">
        <v>-13.731999999999999</v>
      </c>
    </row>
    <row r="25" spans="2:12" x14ac:dyDescent="0.2">
      <c r="B25" s="1" t="s">
        <v>72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</row>
    <row r="26" spans="2:12" x14ac:dyDescent="0.2">
      <c r="B26" s="47" t="s">
        <v>73</v>
      </c>
      <c r="F26" s="56">
        <f>SUM(F22:F25)</f>
        <v>-15.775999999999998</v>
      </c>
      <c r="G26" s="56">
        <f t="shared" ref="G26:I26" si="3">SUM(G22:G25)</f>
        <v>-60.135000000000041</v>
      </c>
      <c r="H26" s="56">
        <f t="shared" si="3"/>
        <v>-59.574000000000034</v>
      </c>
      <c r="I26" s="56">
        <f t="shared" si="3"/>
        <v>16.067000000000007</v>
      </c>
      <c r="J26" s="56">
        <f>SUM(J22:J25)</f>
        <v>88.57399999999997</v>
      </c>
    </row>
    <row r="29" spans="2:12" ht="19" x14ac:dyDescent="0.25">
      <c r="B29" s="44" t="s">
        <v>74</v>
      </c>
      <c r="C29" s="44"/>
      <c r="D29" s="44"/>
      <c r="E29" s="44"/>
      <c r="F29" s="44"/>
      <c r="G29" s="44"/>
      <c r="H29" s="44"/>
      <c r="I29" s="44"/>
      <c r="J29" s="44"/>
    </row>
    <row r="33" spans="2:10" x14ac:dyDescent="0.2">
      <c r="B33" s="50" t="s">
        <v>133</v>
      </c>
      <c r="F33" s="45" t="s">
        <v>58</v>
      </c>
      <c r="G33" s="45" t="s">
        <v>59</v>
      </c>
      <c r="H33" s="45" t="s">
        <v>60</v>
      </c>
      <c r="I33" s="45" t="s">
        <v>61</v>
      </c>
      <c r="J33" s="45" t="s">
        <v>132</v>
      </c>
    </row>
    <row r="34" spans="2:10" x14ac:dyDescent="0.2">
      <c r="B34" s="50" t="s">
        <v>134</v>
      </c>
    </row>
    <row r="36" spans="2:10" x14ac:dyDescent="0.2">
      <c r="B36" s="48" t="s">
        <v>75</v>
      </c>
      <c r="F36" s="51"/>
      <c r="G36" s="51"/>
      <c r="H36" s="51"/>
      <c r="I36" s="51"/>
      <c r="J36" s="51"/>
    </row>
    <row r="37" spans="2:10" x14ac:dyDescent="0.2">
      <c r="B37" s="1" t="s">
        <v>76</v>
      </c>
      <c r="F37" s="57">
        <v>120.49</v>
      </c>
      <c r="G37" s="57">
        <v>553.92200000000003</v>
      </c>
      <c r="H37" s="57">
        <v>608.17999999999995</v>
      </c>
      <c r="I37" s="57">
        <v>747.61</v>
      </c>
      <c r="J37" s="57">
        <v>877.64499999999998</v>
      </c>
    </row>
    <row r="38" spans="2:10" x14ac:dyDescent="0.2">
      <c r="B38" s="1" t="s">
        <v>77</v>
      </c>
      <c r="F38" s="57">
        <v>20.45</v>
      </c>
      <c r="G38" s="57">
        <v>33.162999999999997</v>
      </c>
      <c r="H38" s="57">
        <v>46.728000000000002</v>
      </c>
      <c r="I38" s="57">
        <v>88.974999999999994</v>
      </c>
      <c r="J38" s="57">
        <v>128.923</v>
      </c>
    </row>
    <row r="39" spans="2:10" x14ac:dyDescent="0.2">
      <c r="B39" s="1" t="s">
        <v>78</v>
      </c>
      <c r="F39" s="57">
        <v>13.585000000000001</v>
      </c>
      <c r="G39" s="57">
        <v>24.219000000000001</v>
      </c>
      <c r="H39" s="57">
        <v>35.040999999999997</v>
      </c>
      <c r="I39" s="57">
        <v>53.930999999999997</v>
      </c>
      <c r="J39" s="57">
        <v>80.162000000000006</v>
      </c>
    </row>
    <row r="40" spans="2:10" x14ac:dyDescent="0.2">
      <c r="B40" s="1" t="s">
        <v>79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</row>
    <row r="41" spans="2:10" x14ac:dyDescent="0.2">
      <c r="B41" s="1" t="s">
        <v>80</v>
      </c>
      <c r="F41" s="57">
        <v>3.855</v>
      </c>
      <c r="G41" s="57">
        <v>7.9669999999999996</v>
      </c>
      <c r="H41" s="57">
        <v>7.234</v>
      </c>
      <c r="I41" s="57">
        <v>7.282</v>
      </c>
      <c r="J41" s="57">
        <v>14.858000000000001</v>
      </c>
    </row>
    <row r="42" spans="2:10" x14ac:dyDescent="0.2">
      <c r="B42" s="47" t="s">
        <v>81</v>
      </c>
      <c r="F42" s="58">
        <f>SUM(F37:F41)</f>
        <v>158.38</v>
      </c>
      <c r="G42" s="58">
        <f t="shared" ref="G42:J42" si="4">SUM(G37:G41)</f>
        <v>619.27100000000007</v>
      </c>
      <c r="H42" s="58">
        <f t="shared" si="4"/>
        <v>697.18299999999988</v>
      </c>
      <c r="I42" s="58">
        <f t="shared" si="4"/>
        <v>897.79800000000012</v>
      </c>
      <c r="J42" s="58">
        <f t="shared" si="4"/>
        <v>1101.588</v>
      </c>
    </row>
    <row r="43" spans="2:10" x14ac:dyDescent="0.2">
      <c r="F43" s="57"/>
      <c r="G43" s="57"/>
      <c r="H43" s="57"/>
      <c r="I43" s="57"/>
      <c r="J43" s="57"/>
    </row>
    <row r="44" spans="2:10" x14ac:dyDescent="0.2">
      <c r="B44" s="1" t="s">
        <v>82</v>
      </c>
      <c r="F44" s="57">
        <v>14.500999999999999</v>
      </c>
      <c r="G44" s="57">
        <v>36.58</v>
      </c>
      <c r="H44" s="57">
        <v>35.476999999999997</v>
      </c>
      <c r="I44" s="57">
        <v>30.895</v>
      </c>
      <c r="J44" s="57">
        <v>66.438000000000002</v>
      </c>
    </row>
    <row r="45" spans="2:10" x14ac:dyDescent="0.2">
      <c r="B45" s="1" t="s">
        <v>83</v>
      </c>
      <c r="F45" s="57">
        <v>0</v>
      </c>
      <c r="G45" s="57">
        <v>0</v>
      </c>
      <c r="H45" s="57">
        <v>4.05</v>
      </c>
      <c r="I45" s="57">
        <v>4.05</v>
      </c>
      <c r="J45" s="57">
        <v>10.538</v>
      </c>
    </row>
    <row r="46" spans="2:10" x14ac:dyDescent="0.2">
      <c r="B46" s="1" t="s">
        <v>84</v>
      </c>
      <c r="F46" s="57">
        <v>2.2959999999999998</v>
      </c>
      <c r="G46" s="57">
        <v>4.5659999999999998</v>
      </c>
      <c r="H46" s="57">
        <v>8.4969999999999999</v>
      </c>
      <c r="I46" s="57">
        <v>15.994999999999999</v>
      </c>
      <c r="J46" s="57">
        <v>19.899000000000001</v>
      </c>
    </row>
    <row r="47" spans="2:10" x14ac:dyDescent="0.2">
      <c r="B47" s="1" t="s">
        <v>85</v>
      </c>
      <c r="F47" s="57">
        <v>0</v>
      </c>
      <c r="G47" s="57">
        <v>0</v>
      </c>
      <c r="H47" s="57">
        <v>0</v>
      </c>
      <c r="I47" s="57">
        <v>2.7349999999999999</v>
      </c>
      <c r="J47" s="57">
        <v>101.027</v>
      </c>
    </row>
    <row r="48" spans="2:10" x14ac:dyDescent="0.2">
      <c r="B48" s="1" t="s">
        <v>86</v>
      </c>
      <c r="F48" s="57">
        <v>0</v>
      </c>
      <c r="G48" s="57">
        <v>0</v>
      </c>
      <c r="H48" s="57">
        <v>10.247</v>
      </c>
      <c r="I48" s="57">
        <v>11.038</v>
      </c>
      <c r="J48" s="57">
        <v>0.67500000000000004</v>
      </c>
    </row>
    <row r="49" spans="2:10" x14ac:dyDescent="0.2">
      <c r="B49" s="1" t="s">
        <v>87</v>
      </c>
      <c r="F49" s="57">
        <v>0.56200000000000006</v>
      </c>
      <c r="G49" s="57">
        <v>0.89400000000000002</v>
      </c>
      <c r="H49" s="57">
        <v>1.5069999999999999</v>
      </c>
      <c r="I49" s="57">
        <v>1.718</v>
      </c>
      <c r="J49" s="57">
        <v>1.5629999999999999</v>
      </c>
    </row>
    <row r="50" spans="2:10" x14ac:dyDescent="0.2">
      <c r="B50" s="47" t="s">
        <v>88</v>
      </c>
      <c r="F50" s="58">
        <f>SUM(F44:F49)</f>
        <v>17.359000000000002</v>
      </c>
      <c r="G50" s="58">
        <f t="shared" ref="G50:J50" si="5">SUM(G44:G49)</f>
        <v>42.04</v>
      </c>
      <c r="H50" s="58">
        <f t="shared" si="5"/>
        <v>59.777999999999992</v>
      </c>
      <c r="I50" s="58">
        <f t="shared" si="5"/>
        <v>66.430999999999997</v>
      </c>
      <c r="J50" s="58">
        <f t="shared" si="5"/>
        <v>200.14</v>
      </c>
    </row>
    <row r="51" spans="2:10" x14ac:dyDescent="0.2">
      <c r="B51" s="47"/>
      <c r="F51" s="57"/>
      <c r="G51" s="57"/>
      <c r="H51" s="57"/>
      <c r="I51" s="57"/>
      <c r="J51" s="57"/>
    </row>
    <row r="52" spans="2:10" x14ac:dyDescent="0.2">
      <c r="B52" s="47" t="s">
        <v>89</v>
      </c>
      <c r="F52" s="58">
        <f>F42+F50</f>
        <v>175.739</v>
      </c>
      <c r="G52" s="58">
        <f t="shared" ref="G52:J52" si="6">G42+G50</f>
        <v>661.31100000000004</v>
      </c>
      <c r="H52" s="58">
        <f t="shared" si="6"/>
        <v>756.9609999999999</v>
      </c>
      <c r="I52" s="58">
        <f t="shared" si="6"/>
        <v>964.22900000000016</v>
      </c>
      <c r="J52" s="58">
        <f t="shared" si="6"/>
        <v>1301.7280000000001</v>
      </c>
    </row>
    <row r="53" spans="2:10" x14ac:dyDescent="0.2">
      <c r="F53" s="57"/>
      <c r="G53" s="57"/>
      <c r="H53" s="57"/>
      <c r="I53" s="57"/>
      <c r="J53" s="57"/>
    </row>
    <row r="54" spans="2:10" x14ac:dyDescent="0.2">
      <c r="B54" s="48" t="s">
        <v>90</v>
      </c>
      <c r="F54" s="57"/>
      <c r="G54" s="57"/>
      <c r="H54" s="57"/>
      <c r="I54" s="57"/>
      <c r="J54" s="57"/>
    </row>
    <row r="55" spans="2:10" x14ac:dyDescent="0.2">
      <c r="B55" s="1" t="s">
        <v>91</v>
      </c>
      <c r="F55" s="57">
        <v>2.1960000000000002</v>
      </c>
      <c r="G55" s="57">
        <v>7.8179999999999996</v>
      </c>
      <c r="H55" s="57">
        <v>1.177</v>
      </c>
      <c r="I55" s="57">
        <v>2.4470000000000001</v>
      </c>
      <c r="J55" s="57">
        <v>6.3810000000000002</v>
      </c>
    </row>
    <row r="56" spans="2:10" x14ac:dyDescent="0.2">
      <c r="B56" s="1" t="s">
        <v>137</v>
      </c>
      <c r="F56" s="57">
        <v>1.111</v>
      </c>
      <c r="G56" s="57">
        <v>3.3359999999999999</v>
      </c>
      <c r="H56" s="57">
        <v>4.9029999999999996</v>
      </c>
      <c r="I56" s="57">
        <v>3.944</v>
      </c>
      <c r="J56" s="57">
        <v>2.581</v>
      </c>
    </row>
    <row r="57" spans="2:10" x14ac:dyDescent="0.2">
      <c r="B57" s="1" t="s">
        <v>92</v>
      </c>
      <c r="F57" s="57">
        <v>6.8000000000000005E-2</v>
      </c>
      <c r="G57" s="57">
        <v>0.113</v>
      </c>
      <c r="H57" s="57">
        <v>1.069</v>
      </c>
      <c r="I57" s="57">
        <v>0.79200000000000004</v>
      </c>
      <c r="J57" s="57">
        <v>6.5910000000000002</v>
      </c>
    </row>
    <row r="58" spans="2:10" x14ac:dyDescent="0.2">
      <c r="B58" s="1" t="s">
        <v>93</v>
      </c>
      <c r="F58" s="57">
        <v>62.314999999999998</v>
      </c>
      <c r="G58" s="57">
        <v>107.864</v>
      </c>
      <c r="H58" s="57">
        <v>174.61699999999999</v>
      </c>
      <c r="I58" s="57">
        <v>270.17899999999997</v>
      </c>
      <c r="J58" s="57">
        <v>406.678</v>
      </c>
    </row>
    <row r="59" spans="2:10" x14ac:dyDescent="0.2">
      <c r="B59" s="47" t="s">
        <v>94</v>
      </c>
      <c r="F59" s="58">
        <f>SUM(F55:F58)</f>
        <v>65.69</v>
      </c>
      <c r="G59" s="58">
        <f t="shared" ref="G59:J59" si="7">SUM(G55:G58)</f>
        <v>119.131</v>
      </c>
      <c r="H59" s="58">
        <f t="shared" si="7"/>
        <v>181.76599999999999</v>
      </c>
      <c r="I59" s="58">
        <f t="shared" si="7"/>
        <v>277.36199999999997</v>
      </c>
      <c r="J59" s="58">
        <f t="shared" si="7"/>
        <v>422.23099999999999</v>
      </c>
    </row>
    <row r="60" spans="2:10" x14ac:dyDescent="0.2">
      <c r="F60" s="57"/>
      <c r="G60" s="57"/>
      <c r="H60" s="57"/>
      <c r="I60" s="57"/>
      <c r="J60" s="57"/>
    </row>
    <row r="61" spans="2:10" x14ac:dyDescent="0.2">
      <c r="B61" s="1" t="s">
        <v>95</v>
      </c>
      <c r="F61" s="57">
        <v>8.1310000000000002</v>
      </c>
      <c r="G61" s="57">
        <v>29.123999999999999</v>
      </c>
      <c r="H61" s="57">
        <v>23.503</v>
      </c>
      <c r="I61" s="57">
        <v>21.094000000000001</v>
      </c>
      <c r="J61" s="57">
        <v>54.655999999999999</v>
      </c>
    </row>
    <row r="62" spans="2:10" x14ac:dyDescent="0.2">
      <c r="B62" s="1" t="s">
        <v>96</v>
      </c>
      <c r="F62" s="57">
        <v>0</v>
      </c>
      <c r="G62" s="57">
        <v>0</v>
      </c>
      <c r="H62" s="57">
        <v>9.6140000000000008</v>
      </c>
      <c r="I62" s="57">
        <v>10.272</v>
      </c>
      <c r="J62" s="57">
        <v>0.29099999999999998</v>
      </c>
    </row>
    <row r="63" spans="2:10" x14ac:dyDescent="0.2">
      <c r="B63" s="1" t="s">
        <v>97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</row>
    <row r="64" spans="2:10" x14ac:dyDescent="0.2">
      <c r="B64" s="47" t="s">
        <v>98</v>
      </c>
      <c r="F64" s="58">
        <f>SUM(F61:F63)</f>
        <v>8.1310000000000002</v>
      </c>
      <c r="G64" s="58">
        <f t="shared" ref="G64:J64" si="8">SUM(G61:G63)</f>
        <v>29.123999999999999</v>
      </c>
      <c r="H64" s="58">
        <f t="shared" si="8"/>
        <v>33.117000000000004</v>
      </c>
      <c r="I64" s="58">
        <f t="shared" si="8"/>
        <v>31.366</v>
      </c>
      <c r="J64" s="58">
        <f t="shared" si="8"/>
        <v>54.946999999999996</v>
      </c>
    </row>
    <row r="65" spans="2:10" x14ac:dyDescent="0.2">
      <c r="B65" s="47" t="s">
        <v>99</v>
      </c>
      <c r="F65" s="58">
        <f>F64+F59</f>
        <v>73.820999999999998</v>
      </c>
      <c r="G65" s="58">
        <f t="shared" ref="G65:J65" si="9">G64+G59</f>
        <v>148.255</v>
      </c>
      <c r="H65" s="58">
        <f t="shared" si="9"/>
        <v>214.88299999999998</v>
      </c>
      <c r="I65" s="58">
        <f t="shared" si="9"/>
        <v>308.72799999999995</v>
      </c>
      <c r="J65" s="58">
        <f t="shared" si="9"/>
        <v>477.178</v>
      </c>
    </row>
    <row r="66" spans="2:10" x14ac:dyDescent="0.2">
      <c r="F66" s="57"/>
      <c r="G66" s="57"/>
      <c r="H66" s="57"/>
      <c r="I66" s="57"/>
      <c r="J66" s="57"/>
    </row>
    <row r="67" spans="2:10" x14ac:dyDescent="0.2">
      <c r="B67" s="48" t="s">
        <v>100</v>
      </c>
      <c r="F67" s="57"/>
      <c r="G67" s="57"/>
      <c r="H67" s="57"/>
      <c r="I67" s="57"/>
      <c r="J67" s="57"/>
    </row>
    <row r="68" spans="2:10" x14ac:dyDescent="0.2">
      <c r="B68" s="1" t="s">
        <v>101</v>
      </c>
      <c r="F68" s="57">
        <v>30.087</v>
      </c>
      <c r="G68" s="57">
        <v>683.96600000000001</v>
      </c>
      <c r="H68" s="57">
        <v>772.56200000000001</v>
      </c>
      <c r="I68" s="57">
        <v>869.91800000000001</v>
      </c>
      <c r="J68" s="57">
        <v>950.39300000000003</v>
      </c>
    </row>
    <row r="69" spans="2:10" x14ac:dyDescent="0.2">
      <c r="B69" s="1" t="s">
        <v>102</v>
      </c>
      <c r="F69" s="57">
        <v>-110.779</v>
      </c>
      <c r="G69" s="57">
        <v>-170.91399999999999</v>
      </c>
      <c r="H69" s="57">
        <v>-230.488</v>
      </c>
      <c r="I69" s="57">
        <v>-214.42099999999999</v>
      </c>
      <c r="J69" s="57">
        <v>-125.84699999999999</v>
      </c>
    </row>
    <row r="70" spans="2:10" x14ac:dyDescent="0.2">
      <c r="B70" s="1" t="s">
        <v>103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</row>
    <row r="71" spans="2:10" x14ac:dyDescent="0.2">
      <c r="B71" s="1" t="s">
        <v>104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</row>
    <row r="72" spans="2:10" x14ac:dyDescent="0.2">
      <c r="B72" s="1" t="s">
        <v>138</v>
      </c>
      <c r="F72" s="57">
        <v>182.60900000000001</v>
      </c>
      <c r="G72" s="57">
        <v>0</v>
      </c>
      <c r="H72" s="57">
        <v>0</v>
      </c>
      <c r="I72" s="57">
        <v>0</v>
      </c>
      <c r="J72" s="57">
        <v>0</v>
      </c>
    </row>
    <row r="73" spans="2:10" x14ac:dyDescent="0.2">
      <c r="B73" s="47" t="s">
        <v>105</v>
      </c>
      <c r="F73" s="58">
        <f>SUM(F68:F72)</f>
        <v>101.91700000000002</v>
      </c>
      <c r="G73" s="58">
        <f t="shared" ref="G73:J73" si="10">SUM(G68:G72)</f>
        <v>513.05200000000002</v>
      </c>
      <c r="H73" s="58">
        <f t="shared" si="10"/>
        <v>542.07400000000007</v>
      </c>
      <c r="I73" s="58">
        <f t="shared" si="10"/>
        <v>655.49700000000007</v>
      </c>
      <c r="J73" s="58">
        <f t="shared" si="10"/>
        <v>824.54600000000005</v>
      </c>
    </row>
    <row r="74" spans="2:10" x14ac:dyDescent="0.2">
      <c r="F74" s="57"/>
      <c r="G74" s="57"/>
      <c r="H74" s="57"/>
      <c r="I74" s="57"/>
      <c r="J74" s="57"/>
    </row>
    <row r="75" spans="2:10" x14ac:dyDescent="0.2">
      <c r="B75" s="47" t="s">
        <v>106</v>
      </c>
      <c r="F75" s="58">
        <f>F65+F73</f>
        <v>175.738</v>
      </c>
      <c r="G75" s="58">
        <f t="shared" ref="G75:J75" si="11">G65+G73</f>
        <v>661.30700000000002</v>
      </c>
      <c r="H75" s="58">
        <f t="shared" si="11"/>
        <v>756.95700000000011</v>
      </c>
      <c r="I75" s="58">
        <f t="shared" si="11"/>
        <v>964.22500000000002</v>
      </c>
      <c r="J75" s="58">
        <f t="shared" si="11"/>
        <v>1301.7240000000002</v>
      </c>
    </row>
    <row r="76" spans="2:10" x14ac:dyDescent="0.2">
      <c r="B76" s="49"/>
      <c r="F76" s="51"/>
      <c r="G76" s="51"/>
      <c r="H76" s="51"/>
      <c r="I76" s="51"/>
      <c r="J76" s="51"/>
    </row>
    <row r="78" spans="2:10" ht="19" x14ac:dyDescent="0.25">
      <c r="B78" s="44" t="s">
        <v>107</v>
      </c>
      <c r="C78" s="44"/>
      <c r="D78" s="44"/>
      <c r="E78" s="44"/>
      <c r="F78" s="44"/>
      <c r="G78" s="44"/>
      <c r="H78" s="44"/>
      <c r="I78" s="44"/>
      <c r="J78" s="44"/>
    </row>
    <row r="82" spans="2:10" x14ac:dyDescent="0.2">
      <c r="B82" s="50" t="s">
        <v>133</v>
      </c>
      <c r="F82" s="45" t="s">
        <v>58</v>
      </c>
      <c r="G82" s="45" t="s">
        <v>59</v>
      </c>
      <c r="H82" s="45" t="s">
        <v>60</v>
      </c>
      <c r="I82" s="45" t="s">
        <v>61</v>
      </c>
      <c r="J82" s="45" t="s">
        <v>132</v>
      </c>
    </row>
    <row r="83" spans="2:10" x14ac:dyDescent="0.2">
      <c r="B83" s="50" t="s">
        <v>134</v>
      </c>
    </row>
    <row r="85" spans="2:10" x14ac:dyDescent="0.2">
      <c r="B85" s="48" t="s">
        <v>108</v>
      </c>
    </row>
    <row r="86" spans="2:10" x14ac:dyDescent="0.2">
      <c r="B86" s="1" t="s">
        <v>73</v>
      </c>
      <c r="F86" s="57">
        <v>-15.776</v>
      </c>
      <c r="G86" s="57">
        <v>-60.134999999999998</v>
      </c>
      <c r="H86" s="57">
        <v>-59.573999999999998</v>
      </c>
      <c r="I86" s="57">
        <v>16.067</v>
      </c>
      <c r="J86" s="57">
        <v>88.573999999999998</v>
      </c>
    </row>
    <row r="87" spans="2:10" x14ac:dyDescent="0.2">
      <c r="B87" s="1" t="s">
        <v>109</v>
      </c>
      <c r="F87" s="57">
        <v>2.2559999999999998</v>
      </c>
      <c r="G87" s="57">
        <v>2.726</v>
      </c>
      <c r="H87" s="57">
        <v>4.87</v>
      </c>
      <c r="I87" s="57">
        <v>7.0949999999999998</v>
      </c>
      <c r="J87" s="57">
        <v>10.853999999999999</v>
      </c>
    </row>
    <row r="88" spans="2:10" x14ac:dyDescent="0.2">
      <c r="B88" s="1" t="s">
        <v>110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</row>
    <row r="89" spans="2:10" x14ac:dyDescent="0.2">
      <c r="B89" s="1" t="s">
        <v>111</v>
      </c>
      <c r="F89" s="57">
        <v>17.030999999999999</v>
      </c>
      <c r="G89" s="57">
        <v>40.804000000000002</v>
      </c>
      <c r="H89" s="57">
        <v>73.819999999999993</v>
      </c>
      <c r="I89" s="57">
        <v>95.554000000000002</v>
      </c>
      <c r="J89" s="57">
        <v>110.164</v>
      </c>
    </row>
    <row r="90" spans="2:10" x14ac:dyDescent="0.2">
      <c r="B90" s="1" t="s">
        <v>112</v>
      </c>
      <c r="F90" s="57"/>
      <c r="G90" s="57"/>
      <c r="H90" s="57"/>
      <c r="I90" s="57"/>
      <c r="J90" s="57"/>
    </row>
    <row r="91" spans="2:10" x14ac:dyDescent="0.2">
      <c r="B91" s="1" t="s">
        <v>113</v>
      </c>
      <c r="F91" s="57">
        <v>18.04</v>
      </c>
      <c r="G91" s="57">
        <v>30.762</v>
      </c>
      <c r="H91" s="57">
        <v>45.718000000000004</v>
      </c>
      <c r="I91" s="57">
        <v>49.395000000000003</v>
      </c>
      <c r="J91" s="57">
        <v>83.775000000000006</v>
      </c>
    </row>
    <row r="92" spans="2:10" x14ac:dyDescent="0.2">
      <c r="B92" s="1" t="s">
        <v>114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</row>
    <row r="93" spans="2:10" x14ac:dyDescent="0.2">
      <c r="B93" s="1" t="s">
        <v>115</v>
      </c>
      <c r="F93" s="57">
        <v>-1.615</v>
      </c>
      <c r="G93" s="57">
        <v>5.6219999999999999</v>
      </c>
      <c r="H93" s="57">
        <v>-6.6550000000000002</v>
      </c>
      <c r="I93" s="57">
        <v>1.2609999999999999</v>
      </c>
      <c r="J93" s="57">
        <v>3.9340000000000002</v>
      </c>
    </row>
    <row r="94" spans="2:10" x14ac:dyDescent="0.2">
      <c r="B94" s="1" t="s">
        <v>116</v>
      </c>
      <c r="F94" s="57">
        <v>-8.4410000000000007</v>
      </c>
      <c r="G94" s="57">
        <v>-14.317</v>
      </c>
      <c r="H94" s="57">
        <v>-13.243</v>
      </c>
      <c r="I94" s="57">
        <v>-19.202000000000002</v>
      </c>
      <c r="J94" s="57">
        <v>-28.638000000000002</v>
      </c>
    </row>
    <row r="95" spans="2:10" x14ac:dyDescent="0.2">
      <c r="B95" s="59" t="s">
        <v>139</v>
      </c>
      <c r="F95" s="57">
        <v>6.2130000000000001</v>
      </c>
      <c r="G95" s="57">
        <v>3.7080000000000002</v>
      </c>
      <c r="H95" s="57">
        <v>8.7200000000000006</v>
      </c>
      <c r="I95" s="57">
        <v>3.444</v>
      </c>
      <c r="J95" s="57">
        <v>16.850000000000001</v>
      </c>
    </row>
    <row r="96" spans="2:10" x14ac:dyDescent="0.2">
      <c r="B96" s="47" t="s">
        <v>117</v>
      </c>
      <c r="F96" s="58">
        <f>SUM(F86:F95)</f>
        <v>17.707999999999998</v>
      </c>
      <c r="G96" s="58">
        <f t="shared" ref="G96:J96" si="12">SUM(G86:G95)</f>
        <v>9.1700000000000035</v>
      </c>
      <c r="H96" s="58">
        <f t="shared" si="12"/>
        <v>53.655999999999999</v>
      </c>
      <c r="I96" s="58">
        <f t="shared" si="12"/>
        <v>153.614</v>
      </c>
      <c r="J96" s="58">
        <f t="shared" si="12"/>
        <v>285.51300000000003</v>
      </c>
    </row>
    <row r="97" spans="2:10" x14ac:dyDescent="0.2">
      <c r="F97" s="57"/>
      <c r="G97" s="57"/>
      <c r="H97" s="57"/>
      <c r="I97" s="57"/>
      <c r="J97" s="57"/>
    </row>
    <row r="98" spans="2:10" x14ac:dyDescent="0.2">
      <c r="B98" s="48" t="s">
        <v>118</v>
      </c>
      <c r="F98" s="57"/>
      <c r="G98" s="57"/>
      <c r="H98" s="57"/>
      <c r="I98" s="57"/>
      <c r="J98" s="57"/>
    </row>
    <row r="99" spans="2:10" x14ac:dyDescent="0.2">
      <c r="B99" s="1" t="s">
        <v>119</v>
      </c>
      <c r="F99" s="57">
        <v>-4.0140000000000002</v>
      </c>
      <c r="G99" s="57">
        <v>-6.2060000000000004</v>
      </c>
      <c r="H99" s="57">
        <v>-10.124000000000001</v>
      </c>
      <c r="I99" s="57">
        <v>-13.683999999999999</v>
      </c>
      <c r="J99" s="57">
        <v>-21.14</v>
      </c>
    </row>
    <row r="100" spans="2:10" x14ac:dyDescent="0.2">
      <c r="B100" s="1" t="s">
        <v>120</v>
      </c>
      <c r="F100" s="57">
        <v>0</v>
      </c>
      <c r="G100" s="57">
        <v>0</v>
      </c>
      <c r="H100" s="57">
        <v>-4.05</v>
      </c>
      <c r="I100" s="57">
        <v>0</v>
      </c>
      <c r="J100" s="57">
        <v>-6.5949999999999998</v>
      </c>
    </row>
    <row r="101" spans="2:10" x14ac:dyDescent="0.2">
      <c r="B101" s="1" t="s">
        <v>121</v>
      </c>
      <c r="F101" s="57">
        <v>0</v>
      </c>
      <c r="G101" s="57">
        <v>0</v>
      </c>
      <c r="H101" s="57">
        <v>0</v>
      </c>
      <c r="I101" s="57">
        <v>0</v>
      </c>
      <c r="J101" s="57">
        <v>-189.595</v>
      </c>
    </row>
    <row r="102" spans="2:10" x14ac:dyDescent="0.2">
      <c r="B102" s="1" t="s">
        <v>122</v>
      </c>
      <c r="F102" s="57">
        <v>0</v>
      </c>
      <c r="G102" s="57">
        <v>0</v>
      </c>
      <c r="H102" s="57">
        <v>0</v>
      </c>
      <c r="I102" s="57">
        <v>0.1</v>
      </c>
      <c r="J102" s="57">
        <v>0</v>
      </c>
    </row>
    <row r="103" spans="2:10" x14ac:dyDescent="0.2">
      <c r="B103" s="47" t="s">
        <v>123</v>
      </c>
      <c r="F103" s="58">
        <f>SUM(F99:F102)</f>
        <v>-4.0140000000000002</v>
      </c>
      <c r="G103" s="58">
        <f t="shared" ref="G103:J103" si="13">SUM(G99:G102)</f>
        <v>-6.2060000000000004</v>
      </c>
      <c r="H103" s="58">
        <f t="shared" si="13"/>
        <v>-14.173999999999999</v>
      </c>
      <c r="I103" s="58">
        <f t="shared" si="13"/>
        <v>-13.584</v>
      </c>
      <c r="J103" s="58">
        <f t="shared" si="13"/>
        <v>-217.32999999999998</v>
      </c>
    </row>
    <row r="104" spans="2:10" x14ac:dyDescent="0.2">
      <c r="F104" s="57"/>
      <c r="G104" s="57"/>
      <c r="H104" s="57"/>
      <c r="I104" s="57"/>
      <c r="J104" s="57"/>
    </row>
    <row r="105" spans="2:10" x14ac:dyDescent="0.2">
      <c r="B105" s="48" t="s">
        <v>124</v>
      </c>
      <c r="F105" s="57"/>
      <c r="G105" s="57"/>
      <c r="H105" s="57"/>
      <c r="I105" s="57"/>
      <c r="J105" s="57"/>
    </row>
    <row r="106" spans="2:10" x14ac:dyDescent="0.2">
      <c r="B106" s="1" t="s">
        <v>125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</row>
    <row r="107" spans="2:10" x14ac:dyDescent="0.2">
      <c r="B107" s="1" t="s">
        <v>126</v>
      </c>
      <c r="F107" s="57">
        <v>0</v>
      </c>
      <c r="G107" s="57">
        <v>-8.2029999999999994</v>
      </c>
      <c r="H107" s="57">
        <v>0</v>
      </c>
      <c r="I107" s="57">
        <v>0</v>
      </c>
      <c r="J107" s="57">
        <v>0</v>
      </c>
    </row>
    <row r="108" spans="2:10" x14ac:dyDescent="0.2">
      <c r="B108" s="1" t="s">
        <v>127</v>
      </c>
      <c r="F108" s="57">
        <v>2.0299999999999998</v>
      </c>
      <c r="G108" s="57">
        <v>438.67099999999999</v>
      </c>
      <c r="H108" s="57">
        <v>14.776</v>
      </c>
      <c r="I108" s="57">
        <v>13.617000000000001</v>
      </c>
      <c r="J108" s="57">
        <v>19.356000000000002</v>
      </c>
    </row>
    <row r="109" spans="2:10" x14ac:dyDescent="0.2">
      <c r="B109" s="1" t="s">
        <v>128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</row>
    <row r="110" spans="2:10" x14ac:dyDescent="0.2">
      <c r="B110" s="1" t="s">
        <v>140</v>
      </c>
      <c r="F110" s="57">
        <v>44.923000000000002</v>
      </c>
      <c r="G110" s="57">
        <v>0</v>
      </c>
      <c r="H110" s="57">
        <v>0</v>
      </c>
      <c r="I110" s="57">
        <v>-11.481999999999999</v>
      </c>
      <c r="J110" s="57">
        <v>-49.357999999999997</v>
      </c>
    </row>
    <row r="111" spans="2:10" x14ac:dyDescent="0.2">
      <c r="B111" s="47" t="s">
        <v>129</v>
      </c>
      <c r="F111" s="58">
        <f>SUM(F106:F110)</f>
        <v>46.953000000000003</v>
      </c>
      <c r="G111" s="58">
        <f t="shared" ref="G111:J111" si="14">SUM(G106:G110)</f>
        <v>430.46800000000002</v>
      </c>
      <c r="H111" s="58">
        <f t="shared" si="14"/>
        <v>14.776</v>
      </c>
      <c r="I111" s="58">
        <f t="shared" si="14"/>
        <v>2.1350000000000016</v>
      </c>
      <c r="J111" s="58">
        <f t="shared" si="14"/>
        <v>-30.001999999999995</v>
      </c>
    </row>
    <row r="112" spans="2:10" x14ac:dyDescent="0.2">
      <c r="F112" s="57"/>
      <c r="G112" s="57"/>
      <c r="H112" s="57"/>
      <c r="I112" s="57"/>
      <c r="J112" s="57"/>
    </row>
    <row r="113" spans="2:10" x14ac:dyDescent="0.2">
      <c r="B113" s="1" t="s">
        <v>130</v>
      </c>
      <c r="F113" s="57">
        <v>0</v>
      </c>
      <c r="G113" s="57">
        <v>0</v>
      </c>
      <c r="H113" s="57">
        <v>0</v>
      </c>
      <c r="I113" s="57">
        <v>0</v>
      </c>
      <c r="J113" s="57">
        <v>0</v>
      </c>
    </row>
    <row r="114" spans="2:10" x14ac:dyDescent="0.2">
      <c r="B114" s="47" t="s">
        <v>131</v>
      </c>
      <c r="F114" s="58">
        <f>F96+F103+F111</f>
        <v>60.647000000000006</v>
      </c>
      <c r="G114" s="58">
        <f t="shared" ref="G114:J114" si="15">G96+G103+G111</f>
        <v>433.43200000000002</v>
      </c>
      <c r="H114" s="58">
        <f t="shared" si="15"/>
        <v>54.257999999999996</v>
      </c>
      <c r="I114" s="58">
        <f t="shared" si="15"/>
        <v>142.16499999999999</v>
      </c>
      <c r="J114" s="58">
        <f t="shared" si="15"/>
        <v>38.181000000000054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E4C3-5A3A-394F-B157-38856A18C342}">
  <sheetPr>
    <tabColor rgb="FF548235"/>
  </sheetPr>
  <dimension ref="B3:L110"/>
  <sheetViews>
    <sheetView zoomScale="150" workbookViewId="0">
      <selection activeCell="E39" sqref="E39"/>
    </sheetView>
  </sheetViews>
  <sheetFormatPr baseColWidth="10" defaultRowHeight="16" x14ac:dyDescent="0.2"/>
  <cols>
    <col min="1" max="1" width="3" style="1" customWidth="1"/>
    <col min="2" max="16384" width="10.83203125" style="1"/>
  </cols>
  <sheetData>
    <row r="3" spans="2:12" x14ac:dyDescent="0.2">
      <c r="B3" s="62" t="s">
        <v>145</v>
      </c>
      <c r="C3" s="60"/>
      <c r="D3" s="60"/>
      <c r="E3" s="60"/>
      <c r="F3" s="60"/>
      <c r="G3" s="60"/>
      <c r="H3" s="60"/>
      <c r="I3" s="60"/>
      <c r="J3" s="60"/>
      <c r="K3" s="60"/>
      <c r="L3" s="61"/>
    </row>
    <row r="5" spans="2:12" x14ac:dyDescent="0.2">
      <c r="B5" s="63" t="s">
        <v>141</v>
      </c>
    </row>
    <row r="6" spans="2:12" x14ac:dyDescent="0.2">
      <c r="F6" s="52" t="s">
        <v>58</v>
      </c>
      <c r="G6" s="52" t="s">
        <v>59</v>
      </c>
      <c r="H6" s="52" t="s">
        <v>60</v>
      </c>
      <c r="I6" s="52" t="s">
        <v>61</v>
      </c>
      <c r="J6" s="52" t="s">
        <v>132</v>
      </c>
      <c r="K6" s="45"/>
      <c r="L6" s="46" t="s">
        <v>146</v>
      </c>
    </row>
    <row r="7" spans="2:12" x14ac:dyDescent="0.2">
      <c r="B7" s="46" t="s">
        <v>142</v>
      </c>
      <c r="F7" s="53">
        <v>161.696</v>
      </c>
      <c r="G7" s="53">
        <v>250.77199999999999</v>
      </c>
      <c r="H7" s="53">
        <v>369.495</v>
      </c>
      <c r="I7" s="53">
        <v>531.10900000000004</v>
      </c>
      <c r="J7" s="53">
        <v>748.024</v>
      </c>
      <c r="L7" s="494"/>
    </row>
    <row r="8" spans="2:12" x14ac:dyDescent="0.2">
      <c r="B8" s="46" t="s">
        <v>143</v>
      </c>
      <c r="G8" s="64">
        <f>(G7/F7-1)</f>
        <v>0.5508856125074213</v>
      </c>
      <c r="H8" s="64">
        <f t="shared" ref="H8:I8" si="0">(H7/G7-1)</f>
        <v>0.47343004801173971</v>
      </c>
      <c r="I8" s="64">
        <f t="shared" si="0"/>
        <v>0.43739157498748304</v>
      </c>
      <c r="J8" s="64">
        <f>(J7/I7-1)</f>
        <v>0.40841898743948968</v>
      </c>
      <c r="L8" s="494"/>
    </row>
    <row r="9" spans="2:12" x14ac:dyDescent="0.2">
      <c r="B9" s="46" t="s">
        <v>144</v>
      </c>
      <c r="J9" s="65">
        <f>(J7/F7)^(1/5)-1</f>
        <v>0.35844872696365471</v>
      </c>
    </row>
    <row r="11" spans="2:12" x14ac:dyDescent="0.2">
      <c r="B11" s="63" t="s">
        <v>147</v>
      </c>
    </row>
    <row r="12" spans="2:12" x14ac:dyDescent="0.2">
      <c r="F12" s="52" t="s">
        <v>58</v>
      </c>
      <c r="G12" s="52" t="s">
        <v>59</v>
      </c>
      <c r="H12" s="52" t="s">
        <v>60</v>
      </c>
      <c r="I12" s="52" t="s">
        <v>61</v>
      </c>
      <c r="J12" s="52" t="s">
        <v>132</v>
      </c>
      <c r="L12" s="46" t="s">
        <v>146</v>
      </c>
    </row>
    <row r="13" spans="2:12" x14ac:dyDescent="0.2">
      <c r="B13" s="46" t="s">
        <v>148</v>
      </c>
      <c r="F13" s="51">
        <f>'Historical Financials'!F12</f>
        <v>117.419</v>
      </c>
      <c r="G13" s="51">
        <f>'Historical Financials'!G12</f>
        <v>183.61899999999997</v>
      </c>
      <c r="H13" s="51">
        <f>'Historical Financials'!H12</f>
        <v>270.93399999999997</v>
      </c>
      <c r="I13" s="51">
        <f>'Historical Financials'!I12</f>
        <v>391.024</v>
      </c>
      <c r="J13" s="51">
        <f>'Historical Financials'!J12</f>
        <v>549.68899999999996</v>
      </c>
    </row>
    <row r="14" spans="2:12" x14ac:dyDescent="0.2">
      <c r="B14" s="46" t="s">
        <v>149</v>
      </c>
      <c r="F14" s="66">
        <f>F13/'Historical Financials'!F10</f>
        <v>0.72617133386107258</v>
      </c>
      <c r="G14" s="66">
        <f>G13/'Historical Financials'!G10</f>
        <v>0.73221492032603308</v>
      </c>
      <c r="H14" s="66">
        <f>H13/'Historical Financials'!H10</f>
        <v>0.73325484783285289</v>
      </c>
      <c r="I14" s="66">
        <f>I13/'Historical Financials'!I10</f>
        <v>0.73624058338307197</v>
      </c>
      <c r="J14" s="66">
        <f>J13/'Historical Financials'!J10</f>
        <v>0.73485476401826677</v>
      </c>
    </row>
    <row r="15" spans="2:12" x14ac:dyDescent="0.2">
      <c r="B15" s="46"/>
      <c r="G15" s="67"/>
      <c r="H15" s="67"/>
      <c r="I15" s="67"/>
      <c r="J15" s="67"/>
    </row>
    <row r="17" spans="2:12" x14ac:dyDescent="0.2">
      <c r="B17" s="63" t="s">
        <v>150</v>
      </c>
    </row>
    <row r="18" spans="2:12" x14ac:dyDescent="0.2">
      <c r="F18" s="52" t="s">
        <v>58</v>
      </c>
      <c r="G18" s="52" t="s">
        <v>59</v>
      </c>
      <c r="H18" s="52" t="s">
        <v>60</v>
      </c>
      <c r="I18" s="52" t="s">
        <v>61</v>
      </c>
      <c r="J18" s="52" t="s">
        <v>132</v>
      </c>
      <c r="L18" s="46" t="s">
        <v>146</v>
      </c>
    </row>
    <row r="19" spans="2:12" x14ac:dyDescent="0.2">
      <c r="B19" s="46" t="s">
        <v>151</v>
      </c>
      <c r="F19" s="66">
        <f>'Historical Financials'!F14*-1/'Historical Financials'!F10</f>
        <v>0.32792400554126261</v>
      </c>
      <c r="G19" s="66">
        <f>'Historical Financials'!G14*-1/'Historical Financials'!G10</f>
        <v>0.41386996953407879</v>
      </c>
      <c r="H19" s="66">
        <f>'Historical Financials'!H14*-1/'Historical Financials'!H10</f>
        <v>0.40310153046725933</v>
      </c>
      <c r="I19" s="66">
        <f>'Historical Financials'!I14*-1/'Historical Financials'!I10</f>
        <v>0.36282947568201629</v>
      </c>
      <c r="J19" s="66">
        <f>'Historical Financials'!J14*-1/'Historical Financials'!J10</f>
        <v>0.31140712062714565</v>
      </c>
    </row>
    <row r="20" spans="2:12" x14ac:dyDescent="0.2">
      <c r="B20" s="46" t="s">
        <v>52</v>
      </c>
      <c r="C20" s="68"/>
      <c r="D20" s="68"/>
      <c r="E20" s="68"/>
      <c r="F20" s="69">
        <f>'Historical Financials'!F15*-1/'Historical Financials'!F10</f>
        <v>0.48157035424500294</v>
      </c>
      <c r="G20" s="69">
        <f>'Historical Financials'!G15*-1/'Historical Financials'!G10</f>
        <v>0.53117572934777413</v>
      </c>
      <c r="H20" s="69">
        <f>'Historical Financials'!H15*-1/'Historical Financials'!H10</f>
        <v>0.49169542213020473</v>
      </c>
      <c r="I20" s="69">
        <f>'Historical Financials'!I15*-1/'Historical Financials'!I10</f>
        <v>0.38438060737061502</v>
      </c>
      <c r="J20" s="69">
        <f>'Historical Financials'!J15*-1/'Historical Financials'!J10</f>
        <v>0.3239548463685657</v>
      </c>
      <c r="K20" s="68"/>
    </row>
    <row r="21" spans="2:12" ht="17" thickBot="1" x14ac:dyDescent="0.25">
      <c r="B21" s="70" t="s">
        <v>53</v>
      </c>
      <c r="C21" s="71"/>
      <c r="D21" s="71"/>
      <c r="E21" s="71"/>
      <c r="F21" s="72">
        <f>'Historical Financials'!F16*-1/'Historical Financials'!F10</f>
        <v>1.3952107658816543E-2</v>
      </c>
      <c r="G21" s="72">
        <f>'Historical Financials'!G16*-1/'Historical Financials'!G10</f>
        <v>1.0870432105657728E-2</v>
      </c>
      <c r="H21" s="72">
        <f>'Historical Financials'!H16*-1/'Historical Financials'!H10</f>
        <v>1.3180151287568168E-2</v>
      </c>
      <c r="I21" s="72">
        <f>'Historical Financials'!I16*-1/'Historical Financials'!I10</f>
        <v>1.3358839710869142E-2</v>
      </c>
      <c r="J21" s="72">
        <f>'Historical Financials'!J16*-1/'Historical Financials'!J10</f>
        <v>1.4510229618301016E-2</v>
      </c>
      <c r="K21" s="71"/>
      <c r="L21" s="73"/>
    </row>
    <row r="22" spans="2:12" x14ac:dyDescent="0.2">
      <c r="B22" s="46" t="s">
        <v>152</v>
      </c>
      <c r="F22" s="66">
        <f>SUM('Historical Financials'!F14:F16)*-1/'Historical Financials'!F10</f>
        <v>0.8234464674450821</v>
      </c>
      <c r="G22" s="66">
        <f>SUM('Historical Financials'!G14:G16)*-1/'Historical Financials'!G10</f>
        <v>0.9559161309875106</v>
      </c>
      <c r="H22" s="66">
        <f>SUM('Historical Financials'!H14:H16)*-1/'Historical Financials'!H10</f>
        <v>0.90797710388503228</v>
      </c>
      <c r="I22" s="66">
        <f>SUM('Historical Financials'!I14:I16)*-1/'Historical Financials'!I10</f>
        <v>0.76056892276350052</v>
      </c>
      <c r="J22" s="66">
        <f>SUM('Historical Financials'!J14:J16)*-1/'Historical Financials'!J10</f>
        <v>0.6498721966140123</v>
      </c>
    </row>
    <row r="25" spans="2:12" x14ac:dyDescent="0.2">
      <c r="B25" s="63" t="s">
        <v>153</v>
      </c>
    </row>
    <row r="26" spans="2:12" x14ac:dyDescent="0.2">
      <c r="F26" s="52" t="s">
        <v>58</v>
      </c>
      <c r="G26" s="52" t="s">
        <v>59</v>
      </c>
      <c r="H26" s="52" t="s">
        <v>60</v>
      </c>
      <c r="I26" s="52" t="s">
        <v>61</v>
      </c>
      <c r="J26" s="52" t="s">
        <v>132</v>
      </c>
      <c r="L26" s="46" t="s">
        <v>146</v>
      </c>
    </row>
    <row r="27" spans="2:12" x14ac:dyDescent="0.2">
      <c r="B27" s="46" t="s">
        <v>154</v>
      </c>
      <c r="F27" s="66">
        <f>'Historical Financials'!F17/'Historical Financials'!F10</f>
        <v>-9.7275133584009493E-2</v>
      </c>
      <c r="G27" s="66">
        <f>'Historical Financials'!G17/'Historical Financials'!G10</f>
        <v>-0.22370121066147752</v>
      </c>
      <c r="H27" s="66">
        <f>'Historical Financials'!H17/'Historical Financials'!H10</f>
        <v>-0.17472225605217939</v>
      </c>
      <c r="I27" s="66">
        <f>'Historical Financials'!I17/'Historical Financials'!I10</f>
        <v>-2.4328339380428485E-2</v>
      </c>
      <c r="J27" s="66">
        <f>'Historical Financials'!J17/'Historical Financials'!J10</f>
        <v>8.4982567404254375E-2</v>
      </c>
    </row>
    <row r="28" spans="2:12" x14ac:dyDescent="0.2">
      <c r="B28" s="46" t="s">
        <v>156</v>
      </c>
      <c r="F28" s="66">
        <f>('Historical Financials'!F17-'Historical Financials'!F16)/'Historical Financials'!F10</f>
        <v>-8.3323025925192945E-2</v>
      </c>
      <c r="G28" s="66">
        <f>('Historical Financials'!G17-'Historical Financials'!G16)/'Historical Financials'!G10</f>
        <v>-0.21283077855581981</v>
      </c>
      <c r="H28" s="66">
        <f>('Historical Financials'!H17-'Historical Financials'!H16)/'Historical Financials'!H10</f>
        <v>-0.16154210476461123</v>
      </c>
      <c r="I28" s="66">
        <f>('Historical Financials'!I17-'Historical Financials'!I16)/'Historical Financials'!I10</f>
        <v>-1.0969499669559341E-2</v>
      </c>
      <c r="J28" s="66">
        <f>('Historical Financials'!J17-'Historical Financials'!J16)/'Historical Financials'!J10</f>
        <v>9.9492797022555396E-2</v>
      </c>
    </row>
    <row r="29" spans="2:12" x14ac:dyDescent="0.2">
      <c r="B29" s="46" t="s">
        <v>155</v>
      </c>
      <c r="F29" s="66">
        <f>'Historical Financials'!F26/'Historical Financials'!F10</f>
        <v>-9.7565802493568166E-2</v>
      </c>
      <c r="G29" s="66">
        <f>'Historical Financials'!G26/'Historical Financials'!G10</f>
        <v>-0.23979949914663537</v>
      </c>
      <c r="H29" s="66">
        <f>'Historical Financials'!H26/'Historical Financials'!H10</f>
        <v>-0.16123086915925799</v>
      </c>
      <c r="I29" s="66">
        <f>'Historical Financials'!I26/'Historical Financials'!I10</f>
        <v>3.0251793887883665E-2</v>
      </c>
      <c r="J29" s="66">
        <f>'Historical Financials'!J26/'Historical Financials'!J10</f>
        <v>0.11841063923082677</v>
      </c>
    </row>
    <row r="32" spans="2:12" x14ac:dyDescent="0.2">
      <c r="B32" s="62" t="s">
        <v>157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5" spans="2:12" x14ac:dyDescent="0.2">
      <c r="B35" s="63" t="s">
        <v>158</v>
      </c>
    </row>
    <row r="36" spans="2:12" x14ac:dyDescent="0.2">
      <c r="F36" s="52" t="s">
        <v>58</v>
      </c>
      <c r="G36" s="52" t="s">
        <v>59</v>
      </c>
      <c r="H36" s="52" t="s">
        <v>60</v>
      </c>
      <c r="I36" s="52" t="s">
        <v>61</v>
      </c>
      <c r="J36" s="52" t="s">
        <v>132</v>
      </c>
      <c r="L36" s="46" t="s">
        <v>161</v>
      </c>
    </row>
    <row r="37" spans="2:12" x14ac:dyDescent="0.2">
      <c r="B37" s="46" t="s">
        <v>159</v>
      </c>
      <c r="F37" s="51">
        <f>'Historical Financials'!F96</f>
        <v>17.707999999999998</v>
      </c>
      <c r="G37" s="51">
        <f>'Historical Financials'!G96</f>
        <v>9.1700000000000035</v>
      </c>
      <c r="H37" s="51">
        <f>'Historical Financials'!H96</f>
        <v>53.655999999999999</v>
      </c>
      <c r="I37" s="51">
        <f>'Historical Financials'!I96</f>
        <v>153.614</v>
      </c>
      <c r="J37" s="51">
        <f>'Historical Financials'!J96</f>
        <v>285.51300000000003</v>
      </c>
    </row>
    <row r="38" spans="2:12" x14ac:dyDescent="0.2">
      <c r="B38" s="46" t="s">
        <v>160</v>
      </c>
      <c r="F38" s="51">
        <f>'Historical Financials'!F96-ABS('Historical Financials'!F99)</f>
        <v>13.693999999999999</v>
      </c>
      <c r="G38" s="51">
        <f>'Historical Financials'!G96-ABS('Historical Financials'!G99)</f>
        <v>2.9640000000000031</v>
      </c>
      <c r="H38" s="51">
        <f>'Historical Financials'!H96-ABS('Historical Financials'!H99)</f>
        <v>43.531999999999996</v>
      </c>
      <c r="I38" s="51">
        <f>'Historical Financials'!I96-ABS('Historical Financials'!I99)</f>
        <v>139.93</v>
      </c>
      <c r="J38" s="51">
        <f>'Historical Financials'!J96-ABS('Historical Financials'!J99)</f>
        <v>264.37300000000005</v>
      </c>
    </row>
    <row r="39" spans="2:12" x14ac:dyDescent="0.2">
      <c r="B39" s="74"/>
    </row>
    <row r="41" spans="2:12" x14ac:dyDescent="0.2">
      <c r="B41" s="63" t="s">
        <v>170</v>
      </c>
    </row>
    <row r="42" spans="2:12" x14ac:dyDescent="0.2">
      <c r="F42" s="52" t="s">
        <v>58</v>
      </c>
      <c r="G42" s="52" t="s">
        <v>59</v>
      </c>
      <c r="H42" s="52" t="s">
        <v>60</v>
      </c>
      <c r="I42" s="52" t="s">
        <v>61</v>
      </c>
      <c r="J42" s="52" t="s">
        <v>132</v>
      </c>
      <c r="L42" s="46" t="s">
        <v>146</v>
      </c>
    </row>
    <row r="43" spans="2:12" x14ac:dyDescent="0.2">
      <c r="B43" s="46" t="s">
        <v>162</v>
      </c>
    </row>
    <row r="44" spans="2:12" x14ac:dyDescent="0.2">
      <c r="B44" s="74" t="s">
        <v>172</v>
      </c>
      <c r="F44" s="51">
        <f>'Historical Financials'!F91</f>
        <v>18.04</v>
      </c>
      <c r="G44" s="51">
        <f>'Historical Financials'!G91</f>
        <v>30.762</v>
      </c>
      <c r="H44" s="51">
        <f>'Historical Financials'!H91</f>
        <v>45.718000000000004</v>
      </c>
      <c r="I44" s="51">
        <f>'Historical Financials'!I91</f>
        <v>49.395000000000003</v>
      </c>
      <c r="J44" s="51">
        <f>'Historical Financials'!J91</f>
        <v>83.775000000000006</v>
      </c>
    </row>
    <row r="45" spans="2:12" x14ac:dyDescent="0.2">
      <c r="B45" s="49" t="s">
        <v>167</v>
      </c>
      <c r="F45" s="51">
        <f>'Historical Financials'!F93</f>
        <v>-1.615</v>
      </c>
      <c r="G45" s="51">
        <f>'Historical Financials'!G93</f>
        <v>5.6219999999999999</v>
      </c>
      <c r="H45" s="51">
        <f>'Historical Financials'!H93</f>
        <v>-6.6550000000000002</v>
      </c>
      <c r="I45" s="51">
        <f>'Historical Financials'!I93</f>
        <v>1.2609999999999999</v>
      </c>
      <c r="J45" s="51">
        <f>'Historical Financials'!J93</f>
        <v>3.9340000000000002</v>
      </c>
    </row>
    <row r="46" spans="2:12" x14ac:dyDescent="0.2">
      <c r="B46" s="49" t="s">
        <v>168</v>
      </c>
      <c r="F46" s="51" cm="1">
        <f t="array" ref="F46:J46">'Historical Financials'!F95:J95</f>
        <v>6.2130000000000001</v>
      </c>
      <c r="G46" s="75">
        <v>3.7080000000000002</v>
      </c>
      <c r="H46" s="75">
        <v>8.7200000000000006</v>
      </c>
      <c r="I46" s="75">
        <v>3.444</v>
      </c>
      <c r="J46" s="75">
        <v>16.850000000000001</v>
      </c>
    </row>
    <row r="47" spans="2:12" x14ac:dyDescent="0.2">
      <c r="B47" s="49" t="s">
        <v>169</v>
      </c>
      <c r="F47" s="51">
        <f>'Historical Financials'!F94</f>
        <v>-8.4410000000000007</v>
      </c>
      <c r="G47" s="51">
        <f>'Historical Financials'!G94</f>
        <v>-14.317</v>
      </c>
      <c r="H47" s="51">
        <f>'Historical Financials'!H94</f>
        <v>-13.243</v>
      </c>
      <c r="I47" s="51">
        <f>'Historical Financials'!I94</f>
        <v>-19.202000000000002</v>
      </c>
      <c r="J47" s="51">
        <f>'Historical Financials'!J94</f>
        <v>-28.638000000000002</v>
      </c>
    </row>
    <row r="49" spans="2:10" x14ac:dyDescent="0.2">
      <c r="B49" s="46" t="s">
        <v>163</v>
      </c>
      <c r="F49" s="51">
        <f>SUM(F44:F47)</f>
        <v>14.197000000000001</v>
      </c>
      <c r="G49" s="51">
        <f t="shared" ref="G49:J49" si="1">SUM(G44:G47)</f>
        <v>25.774999999999999</v>
      </c>
      <c r="H49" s="51">
        <f t="shared" si="1"/>
        <v>34.54</v>
      </c>
      <c r="I49" s="51">
        <f t="shared" si="1"/>
        <v>34.89800000000001</v>
      </c>
      <c r="J49" s="51">
        <f t="shared" si="1"/>
        <v>75.920999999999992</v>
      </c>
    </row>
    <row r="51" spans="2:10" x14ac:dyDescent="0.2">
      <c r="B51" s="46" t="s">
        <v>164</v>
      </c>
      <c r="F51" s="75">
        <f>(365*'Historical Financials'!F38)/'Historical Financials'!F10</f>
        <v>46.162242727092817</v>
      </c>
      <c r="G51" s="75">
        <f>(365*'Historical Financials'!G38)/'Historical Financials'!G10</f>
        <v>48.268925557877274</v>
      </c>
      <c r="H51" s="75">
        <f>(365*'Historical Financials'!H38)/'Historical Financials'!H10</f>
        <v>46.15954207770065</v>
      </c>
      <c r="I51" s="75">
        <f>(365*'Historical Financials'!I38)/'Historical Financials'!I10</f>
        <v>61.147288033153259</v>
      </c>
      <c r="J51" s="75">
        <f>(365*'Historical Financials'!J38)/'Historical Financials'!J10</f>
        <v>62.908268986021845</v>
      </c>
    </row>
    <row r="52" spans="2:10" x14ac:dyDescent="0.2">
      <c r="B52" s="46" t="s">
        <v>165</v>
      </c>
      <c r="F52" s="75">
        <f>(365*'Historical Financials'!F55)/'Historical Financials'!F11*-1</f>
        <v>18.102852496781626</v>
      </c>
      <c r="G52" s="75">
        <f>(365*'Historical Financials'!G55)/'Historical Financials'!G11*-1</f>
        <v>42.493559483567367</v>
      </c>
      <c r="H52" s="75">
        <f>(365*'Historical Financials'!H55)/'Historical Financials'!H11*-1</f>
        <v>4.3587727397246372</v>
      </c>
      <c r="I52" s="75">
        <f>(365*'Historical Financials'!I55)/'Historical Financials'!I11*-1</f>
        <v>6.3758075454188523</v>
      </c>
      <c r="J52" s="75">
        <f>(365*'Historical Financials'!J55)/'Historical Financials'!J11*-1</f>
        <v>11.743086192553003</v>
      </c>
    </row>
    <row r="53" spans="2:10" x14ac:dyDescent="0.2">
      <c r="B53" s="46"/>
    </row>
    <row r="54" spans="2:10" x14ac:dyDescent="0.2">
      <c r="B54" s="46" t="s">
        <v>166</v>
      </c>
      <c r="F54" s="75">
        <f>F51-F52</f>
        <v>28.059390230311191</v>
      </c>
      <c r="G54" s="75">
        <f t="shared" ref="G54:J54" si="2">G51-G52</f>
        <v>5.7753660743099076</v>
      </c>
      <c r="H54" s="75">
        <f t="shared" si="2"/>
        <v>41.800769337976014</v>
      </c>
      <c r="I54" s="75">
        <f t="shared" si="2"/>
        <v>54.771480487734408</v>
      </c>
      <c r="J54" s="75">
        <f t="shared" si="2"/>
        <v>51.165182793468844</v>
      </c>
    </row>
    <row r="56" spans="2:10" x14ac:dyDescent="0.2">
      <c r="B56" s="63" t="s">
        <v>171</v>
      </c>
    </row>
    <row r="57" spans="2:10" x14ac:dyDescent="0.2">
      <c r="F57" s="52" t="s">
        <v>58</v>
      </c>
      <c r="G57" s="52" t="s">
        <v>59</v>
      </c>
      <c r="H57" s="52" t="s">
        <v>60</v>
      </c>
      <c r="I57" s="52" t="s">
        <v>61</v>
      </c>
      <c r="J57" s="52" t="s">
        <v>132</v>
      </c>
    </row>
    <row r="58" spans="2:10" x14ac:dyDescent="0.2">
      <c r="F58" s="52"/>
      <c r="G58" s="52"/>
      <c r="H58" s="52"/>
      <c r="I58" s="52"/>
      <c r="J58" s="52"/>
    </row>
    <row r="59" spans="2:10" x14ac:dyDescent="0.2">
      <c r="B59" s="46" t="s">
        <v>173</v>
      </c>
      <c r="F59" s="51">
        <f>'Historical Financials'!F99*-1</f>
        <v>4.0140000000000002</v>
      </c>
      <c r="G59" s="51">
        <f>'Historical Financials'!G99*-1</f>
        <v>6.2060000000000004</v>
      </c>
      <c r="H59" s="51">
        <f>'Historical Financials'!H99*-1</f>
        <v>10.124000000000001</v>
      </c>
      <c r="I59" s="51">
        <f>'Historical Financials'!I99*-1</f>
        <v>13.683999999999999</v>
      </c>
      <c r="J59" s="51">
        <f>'Historical Financials'!J99*-1</f>
        <v>21.14</v>
      </c>
    </row>
    <row r="60" spans="2:10" x14ac:dyDescent="0.2">
      <c r="B60" s="74" t="s">
        <v>174</v>
      </c>
      <c r="F60" s="66">
        <f>F59/'Historical Financials'!F10</f>
        <v>2.4824361765287951E-2</v>
      </c>
      <c r="G60" s="66">
        <f>G59/'Historical Financials'!G10</f>
        <v>2.474757947458249E-2</v>
      </c>
      <c r="H60" s="66">
        <f>H59/'Historical Financials'!H10</f>
        <v>2.7399558857359368E-2</v>
      </c>
      <c r="I60" s="66">
        <f>I59/'Historical Financials'!I10</f>
        <v>2.5764955969490251E-2</v>
      </c>
      <c r="J60" s="66">
        <f>J59/'Historical Financials'!J10</f>
        <v>2.8261125311487334E-2</v>
      </c>
    </row>
    <row r="62" spans="2:10" x14ac:dyDescent="0.2">
      <c r="B62" s="46" t="s">
        <v>175</v>
      </c>
      <c r="F62" s="67">
        <f>'Historical Analysis'!F59/'Historical Financials'!F87</f>
        <v>1.7792553191489364</v>
      </c>
      <c r="G62" s="67">
        <f>'Historical Analysis'!G59/'Historical Financials'!G87</f>
        <v>2.2765957446808511</v>
      </c>
      <c r="H62" s="67">
        <f>'Historical Analysis'!H59/'Historical Financials'!H87</f>
        <v>2.0788501026694046</v>
      </c>
      <c r="I62" s="67">
        <f>'Historical Analysis'!I59/'Historical Financials'!I87</f>
        <v>1.9286821705426356</v>
      </c>
      <c r="J62" s="67">
        <f>'Historical Analysis'!J59/'Historical Financials'!J87</f>
        <v>1.947669062096923</v>
      </c>
    </row>
    <row r="65" spans="2:12" x14ac:dyDescent="0.2">
      <c r="B65" s="62" t="s">
        <v>176</v>
      </c>
      <c r="C65" s="60"/>
      <c r="D65" s="60"/>
      <c r="E65" s="60"/>
      <c r="F65" s="60"/>
      <c r="G65" s="60"/>
      <c r="H65" s="60"/>
      <c r="I65" s="60"/>
      <c r="J65" s="60"/>
      <c r="K65" s="60"/>
      <c r="L65" s="61"/>
    </row>
    <row r="68" spans="2:12" x14ac:dyDescent="0.2">
      <c r="B68" s="63" t="s">
        <v>177</v>
      </c>
    </row>
    <row r="69" spans="2:12" x14ac:dyDescent="0.2">
      <c r="F69" s="52" t="s">
        <v>58</v>
      </c>
      <c r="G69" s="52" t="s">
        <v>59</v>
      </c>
      <c r="H69" s="52" t="s">
        <v>60</v>
      </c>
      <c r="I69" s="52" t="s">
        <v>61</v>
      </c>
      <c r="J69" s="52" t="s">
        <v>132</v>
      </c>
      <c r="L69" s="46" t="s">
        <v>146</v>
      </c>
    </row>
    <row r="70" spans="2:12" x14ac:dyDescent="0.2">
      <c r="B70" s="46" t="s">
        <v>178</v>
      </c>
      <c r="F70" s="76">
        <f>'Historical Financials'!F42/'Historical Financials'!F59</f>
        <v>2.4110214644542549</v>
      </c>
      <c r="G70" s="76">
        <f>'Historical Financials'!G42/'Historical Financials'!G59</f>
        <v>5.1982355558167068</v>
      </c>
      <c r="H70" s="76">
        <f>'Historical Financials'!H42/'Historical Financials'!H59</f>
        <v>3.8356073193006388</v>
      </c>
      <c r="I70" s="76">
        <f>'Historical Financials'!I42/'Historical Financials'!I59</f>
        <v>3.2369178185908676</v>
      </c>
      <c r="J70" s="76">
        <f>'Historical Financials'!J42/'Historical Financials'!J59</f>
        <v>2.6089699714137522</v>
      </c>
      <c r="L70" s="494"/>
    </row>
    <row r="71" spans="2:12" x14ac:dyDescent="0.2">
      <c r="B71" s="46" t="s">
        <v>179</v>
      </c>
      <c r="F71" s="76">
        <f>('Historical Financials'!F37+'Historical Financials'!F38)/'Historical Financials'!F59</f>
        <v>2.1455320444512105</v>
      </c>
      <c r="G71" s="76">
        <f>('Historical Financials'!G37+'Historical Financials'!G38)/'Historical Financials'!G59</f>
        <v>4.9280623851054726</v>
      </c>
      <c r="H71" s="76">
        <f>('Historical Financials'!H37+'Historical Financials'!H38)/'Historical Financials'!H59</f>
        <v>3.6030280690558185</v>
      </c>
      <c r="I71" s="76">
        <f>('Historical Financials'!I37+'Historical Financials'!I38)/'Historical Financials'!I59</f>
        <v>3.0162206791124961</v>
      </c>
      <c r="J71" s="76">
        <f>('Historical Financials'!J37+'Historical Financials'!J38)/'Historical Financials'!J59</f>
        <v>2.3839272815117791</v>
      </c>
      <c r="L71" s="494"/>
    </row>
    <row r="74" spans="2:12" x14ac:dyDescent="0.2">
      <c r="B74" s="63" t="s">
        <v>180</v>
      </c>
    </row>
    <row r="75" spans="2:12" x14ac:dyDescent="0.2">
      <c r="F75" s="52" t="s">
        <v>58</v>
      </c>
      <c r="G75" s="52" t="s">
        <v>59</v>
      </c>
      <c r="H75" s="52" t="s">
        <v>60</v>
      </c>
      <c r="I75" s="52" t="s">
        <v>61</v>
      </c>
      <c r="J75" s="52" t="s">
        <v>132</v>
      </c>
    </row>
    <row r="76" spans="2:12" x14ac:dyDescent="0.2">
      <c r="B76" s="1" t="s">
        <v>181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2:12" x14ac:dyDescent="0.2">
      <c r="B77" s="1" t="s">
        <v>182</v>
      </c>
      <c r="F77" s="51">
        <f>'Historical Financials'!F73</f>
        <v>101.91700000000002</v>
      </c>
      <c r="G77" s="51">
        <f>'Historical Financials'!G73</f>
        <v>513.05200000000002</v>
      </c>
      <c r="H77" s="51">
        <f>'Historical Financials'!H73</f>
        <v>542.07400000000007</v>
      </c>
      <c r="I77" s="51">
        <f>'Historical Financials'!I73</f>
        <v>655.49700000000007</v>
      </c>
      <c r="J77" s="51">
        <f>'Historical Financials'!J73</f>
        <v>824.54600000000005</v>
      </c>
    </row>
    <row r="79" spans="2:12" x14ac:dyDescent="0.2">
      <c r="B79" s="46" t="s">
        <v>183</v>
      </c>
      <c r="F79" s="51">
        <f>F76/F77</f>
        <v>0</v>
      </c>
      <c r="G79" s="51">
        <f t="shared" ref="G79:J79" si="3">G76/G77</f>
        <v>0</v>
      </c>
      <c r="H79" s="51">
        <f t="shared" si="3"/>
        <v>0</v>
      </c>
      <c r="I79" s="51">
        <f t="shared" si="3"/>
        <v>0</v>
      </c>
      <c r="J79" s="51">
        <f t="shared" si="3"/>
        <v>0</v>
      </c>
    </row>
    <row r="80" spans="2:12" x14ac:dyDescent="0.2">
      <c r="B80" s="46" t="s">
        <v>184</v>
      </c>
      <c r="F80" s="77" t="s">
        <v>185</v>
      </c>
      <c r="G80" s="77" t="s">
        <v>185</v>
      </c>
      <c r="H80" s="77" t="s">
        <v>185</v>
      </c>
      <c r="I80" s="77" t="s">
        <v>185</v>
      </c>
      <c r="J80" s="77" t="s">
        <v>185</v>
      </c>
    </row>
    <row r="82" spans="2:10" x14ac:dyDescent="0.2">
      <c r="B82" s="63" t="s">
        <v>186</v>
      </c>
    </row>
    <row r="83" spans="2:10" x14ac:dyDescent="0.2">
      <c r="F83" s="52" t="s">
        <v>58</v>
      </c>
      <c r="G83" s="52" t="s">
        <v>59</v>
      </c>
      <c r="H83" s="52" t="s">
        <v>60</v>
      </c>
      <c r="I83" s="52" t="s">
        <v>61</v>
      </c>
      <c r="J83" s="52" t="s">
        <v>132</v>
      </c>
    </row>
    <row r="84" spans="2:10" x14ac:dyDescent="0.2">
      <c r="B84" s="46" t="s">
        <v>187</v>
      </c>
      <c r="F84" s="51">
        <f>'Historical Financials'!F73</f>
        <v>101.91700000000002</v>
      </c>
      <c r="G84" s="51">
        <f>'Historical Financials'!G73</f>
        <v>513.05200000000002</v>
      </c>
      <c r="H84" s="51">
        <f>'Historical Financials'!H73</f>
        <v>542.07400000000007</v>
      </c>
      <c r="I84" s="51">
        <f>'Historical Financials'!I73</f>
        <v>655.49700000000007</v>
      </c>
      <c r="J84" s="51">
        <f>'Historical Financials'!J73</f>
        <v>824.54600000000005</v>
      </c>
    </row>
    <row r="85" spans="2:10" x14ac:dyDescent="0.2">
      <c r="B85" s="46" t="s">
        <v>102</v>
      </c>
      <c r="F85" s="51">
        <f>'Historical Financials'!F69</f>
        <v>-110.779</v>
      </c>
      <c r="G85" s="51">
        <f>'Historical Financials'!G69</f>
        <v>-170.91399999999999</v>
      </c>
      <c r="H85" s="51">
        <f>'Historical Financials'!H69</f>
        <v>-230.488</v>
      </c>
      <c r="I85" s="51">
        <f>'Historical Financials'!I69</f>
        <v>-214.42099999999999</v>
      </c>
      <c r="J85" s="51">
        <f>'Historical Financials'!J69</f>
        <v>-125.84699999999999</v>
      </c>
    </row>
    <row r="86" spans="2:10" x14ac:dyDescent="0.2">
      <c r="B86" s="46"/>
    </row>
    <row r="87" spans="2:10" x14ac:dyDescent="0.2">
      <c r="B87" s="46" t="s">
        <v>188</v>
      </c>
      <c r="G87" s="66">
        <f>(G84/F84-1)</f>
        <v>4.0340178772923059</v>
      </c>
      <c r="H87" s="66">
        <f t="shared" ref="H87:J87" si="4">(H84/G84-1)</f>
        <v>5.6567365491217325E-2</v>
      </c>
      <c r="I87" s="66">
        <f t="shared" si="4"/>
        <v>0.20923895999439179</v>
      </c>
      <c r="J87" s="66">
        <f t="shared" si="4"/>
        <v>0.25789439158379057</v>
      </c>
    </row>
    <row r="90" spans="2:10" x14ac:dyDescent="0.2">
      <c r="B90" s="63" t="s">
        <v>189</v>
      </c>
    </row>
    <row r="91" spans="2:10" x14ac:dyDescent="0.2">
      <c r="F91" s="52" t="s">
        <v>58</v>
      </c>
      <c r="G91" s="52" t="s">
        <v>59</v>
      </c>
      <c r="H91" s="52" t="s">
        <v>60</v>
      </c>
      <c r="I91" s="52" t="s">
        <v>61</v>
      </c>
      <c r="J91" s="52" t="s">
        <v>132</v>
      </c>
    </row>
    <row r="92" spans="2:10" x14ac:dyDescent="0.2">
      <c r="B92" s="46"/>
    </row>
    <row r="93" spans="2:10" x14ac:dyDescent="0.2">
      <c r="B93" s="46" t="s">
        <v>190</v>
      </c>
    </row>
    <row r="94" spans="2:10" x14ac:dyDescent="0.2">
      <c r="B94" s="74" t="s">
        <v>191</v>
      </c>
      <c r="F94" s="66">
        <f>'Historical Financials'!F26/'Historical Financials'!F73</f>
        <v>-0.15479262537162589</v>
      </c>
      <c r="G94" s="66">
        <f>'Historical Financials'!G26/'Historical Financials'!G73</f>
        <v>-0.11721034125195894</v>
      </c>
      <c r="H94" s="66">
        <f>'Historical Financials'!H26/'Historical Financials'!H73</f>
        <v>-0.10990012433726766</v>
      </c>
      <c r="I94" s="66">
        <f>'Historical Financials'!I26/'Historical Financials'!I73</f>
        <v>2.4511172438622917E-2</v>
      </c>
      <c r="J94" s="66">
        <f>'Historical Financials'!J26/'Historical Financials'!J73</f>
        <v>0.10742153864065797</v>
      </c>
    </row>
    <row r="96" spans="2:10" x14ac:dyDescent="0.2">
      <c r="B96" s="46" t="s">
        <v>192</v>
      </c>
    </row>
    <row r="97" spans="2:10" x14ac:dyDescent="0.2">
      <c r="B97" s="74" t="s">
        <v>193</v>
      </c>
      <c r="F97" s="66">
        <f>'Historical Financials'!F26/'Historical Financials'!F52</f>
        <v>-8.9769487706200662E-2</v>
      </c>
      <c r="G97" s="66">
        <f>'Historical Financials'!G26/'Historical Financials'!G52</f>
        <v>-9.0933010338554832E-2</v>
      </c>
      <c r="H97" s="66">
        <f>'Historical Financials'!H26/'Historical Financials'!H52</f>
        <v>-7.8701544729517167E-2</v>
      </c>
      <c r="I97" s="66">
        <f>'Historical Financials'!I26/'Historical Financials'!I52</f>
        <v>1.6663054108515721E-2</v>
      </c>
      <c r="J97" s="66">
        <f>'Historical Financials'!J26/'Historical Financials'!J52</f>
        <v>6.8043400771897022E-2</v>
      </c>
    </row>
    <row r="99" spans="2:10" x14ac:dyDescent="0.2">
      <c r="B99" s="46" t="s">
        <v>194</v>
      </c>
    </row>
    <row r="100" spans="2:10" x14ac:dyDescent="0.2">
      <c r="B100" s="46" t="s">
        <v>195</v>
      </c>
      <c r="F100" s="51">
        <f>'Historical Financials'!F17</f>
        <v>-15.728999999999999</v>
      </c>
      <c r="G100" s="51">
        <f>'Historical Financials'!G17</f>
        <v>-56.098000000000042</v>
      </c>
      <c r="H100" s="51">
        <f>'Historical Financials'!H17</f>
        <v>-64.559000000000026</v>
      </c>
      <c r="I100" s="51">
        <f>'Historical Financials'!I17</f>
        <v>-12.920999999999992</v>
      </c>
      <c r="J100" s="51">
        <f>'Historical Financials'!J17</f>
        <v>63.568999999999974</v>
      </c>
    </row>
    <row r="101" spans="2:10" x14ac:dyDescent="0.2">
      <c r="B101" s="46" t="s">
        <v>196</v>
      </c>
      <c r="F101" s="66">
        <f>1-('Historical Financials'!F24/'Historical Financials'!F22)</f>
        <v>0.99567099567099571</v>
      </c>
      <c r="G101" s="66">
        <f>1-('Historical Financials'!G24/'Historical Financials'!G22)</f>
        <v>0.99704793355348742</v>
      </c>
      <c r="H101" s="66">
        <f>1-('Historical Financials'!H24/'Historical Financials'!H22)</f>
        <v>0.984003001569002</v>
      </c>
      <c r="I101" s="66">
        <f>1-('Historical Financials'!I24/'Historical Financials'!I22)</f>
        <v>1.0961917083872419</v>
      </c>
      <c r="J101" s="78">
        <f>1-('Historical Financials'!J24/'Historical Financials'!J22)</f>
        <v>1.134224776650441</v>
      </c>
    </row>
    <row r="102" spans="2:10" x14ac:dyDescent="0.2">
      <c r="B102" s="46" t="s">
        <v>197</v>
      </c>
      <c r="F102" s="51">
        <f>F100*F101</f>
        <v>-15.66090909090909</v>
      </c>
      <c r="G102" s="51">
        <f>G100*G101</f>
        <v>-55.932394976483579</v>
      </c>
      <c r="H102" s="51">
        <f>H100*H101</f>
        <v>-63.526249778293227</v>
      </c>
      <c r="I102" s="51">
        <f>I100*I101</f>
        <v>-14.163893064071544</v>
      </c>
      <c r="J102" s="79">
        <f>J100*J101</f>
        <v>72.10153482689185</v>
      </c>
    </row>
    <row r="104" spans="2:10" x14ac:dyDescent="0.2">
      <c r="B104" s="46" t="s">
        <v>198</v>
      </c>
    </row>
    <row r="105" spans="2:10" x14ac:dyDescent="0.2">
      <c r="B105" s="46" t="s">
        <v>199</v>
      </c>
      <c r="F105" s="51">
        <f>'Historical Financials'!F73</f>
        <v>101.91700000000002</v>
      </c>
      <c r="G105" s="51">
        <f>'Historical Financials'!G73</f>
        <v>513.05200000000002</v>
      </c>
      <c r="H105" s="51">
        <f>'Historical Financials'!H73</f>
        <v>542.07400000000007</v>
      </c>
      <c r="I105" s="51">
        <f>'Historical Financials'!I73</f>
        <v>655.49700000000007</v>
      </c>
      <c r="J105" s="51">
        <f>'Historical Financials'!J73</f>
        <v>824.54600000000005</v>
      </c>
    </row>
    <row r="106" spans="2:10" x14ac:dyDescent="0.2">
      <c r="B106" s="46" t="s">
        <v>200</v>
      </c>
      <c r="F106" s="1">
        <f>0</f>
        <v>0</v>
      </c>
      <c r="G106" s="1">
        <f>0</f>
        <v>0</v>
      </c>
      <c r="H106" s="1">
        <f>0</f>
        <v>0</v>
      </c>
      <c r="I106" s="1">
        <f>0</f>
        <v>0</v>
      </c>
      <c r="J106" s="1">
        <f>0</f>
        <v>0</v>
      </c>
    </row>
    <row r="107" spans="2:10" x14ac:dyDescent="0.2">
      <c r="B107" s="46" t="s">
        <v>201</v>
      </c>
      <c r="F107" s="51">
        <f>-'Historical Financials'!F37</f>
        <v>-120.49</v>
      </c>
      <c r="G107" s="51">
        <f>-'Historical Financials'!G37</f>
        <v>-553.92200000000003</v>
      </c>
      <c r="H107" s="51">
        <f>-'Historical Financials'!H37</f>
        <v>-608.17999999999995</v>
      </c>
      <c r="I107" s="51">
        <f>-'Historical Financials'!I37</f>
        <v>-747.61</v>
      </c>
      <c r="J107" s="51">
        <f>-'Historical Financials'!J37</f>
        <v>-877.64499999999998</v>
      </c>
    </row>
    <row r="108" spans="2:10" x14ac:dyDescent="0.2">
      <c r="B108" s="46" t="s">
        <v>202</v>
      </c>
      <c r="F108" s="51">
        <f>SUM(F105:F107)</f>
        <v>-18.572999999999979</v>
      </c>
      <c r="G108" s="51">
        <f t="shared" ref="G108:J108" si="5">SUM(G105:G107)</f>
        <v>-40.870000000000005</v>
      </c>
      <c r="H108" s="51">
        <f t="shared" si="5"/>
        <v>-66.105999999999881</v>
      </c>
      <c r="I108" s="51">
        <f t="shared" si="5"/>
        <v>-92.112999999999943</v>
      </c>
      <c r="J108" s="51">
        <f t="shared" si="5"/>
        <v>-53.098999999999933</v>
      </c>
    </row>
    <row r="110" spans="2:10" x14ac:dyDescent="0.2">
      <c r="B110" s="74" t="s">
        <v>203</v>
      </c>
      <c r="F110" s="66">
        <f>F102/F108</f>
        <v>0.84320837187902375</v>
      </c>
      <c r="G110" s="66">
        <f t="shared" ref="G110:J110" si="6">G102/G108</f>
        <v>1.3685440415092629</v>
      </c>
      <c r="H110" s="66">
        <f t="shared" si="6"/>
        <v>0.96097555105880472</v>
      </c>
      <c r="I110" s="66">
        <f t="shared" si="6"/>
        <v>0.15376649402442166</v>
      </c>
      <c r="J110" s="66">
        <f t="shared" si="6"/>
        <v>-1.3578699189606573</v>
      </c>
    </row>
  </sheetData>
  <mergeCells count="2">
    <mergeCell ref="L7:L8"/>
    <mergeCell ref="L70:L7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B4D37921-ADB4-A449-8B28-A49CE3C1E191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Analysis'!F110:J110</xm:f>
              <xm:sqref>L110</xm:sqref>
            </x14:sparkline>
          </x14:sparklines>
        </x14:sparklineGroup>
        <x14:sparklineGroup displayEmptyCellsAs="gap" markers="1" negative="1" xr2:uid="{8001A565-5145-B648-B4A4-1712FB0D56AD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Analysis'!F97:J97</xm:f>
              <xm:sqref>L97</xm:sqref>
            </x14:sparkline>
          </x14:sparklines>
        </x14:sparklineGroup>
        <x14:sparklineGroup displayEmptyCellsAs="gap" markers="1" negative="1" xr2:uid="{F24F694C-E94D-3644-8691-929DB72CCD1F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Analysis'!F94:J94</xm:f>
              <xm:sqref>L94</xm:sqref>
            </x14:sparkline>
          </x14:sparklines>
        </x14:sparklineGroup>
        <x14:sparklineGroup displayEmptyCellsAs="gap" markers="1" xr2:uid="{F39313AD-D661-7241-863A-1138ECA3ABFC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Analysis'!F70:J70</xm:f>
              <xm:sqref>L70</xm:sqref>
            </x14:sparkline>
          </x14:sparklines>
        </x14:sparklineGroup>
        <x14:sparklineGroup displayEmptyCellsAs="gap" markers="1" xr2:uid="{38AE7C64-B85D-C645-97B3-91EC4F7AF832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Analysis'!F62:J62</xm:f>
              <xm:sqref>L62</xm:sqref>
            </x14:sparkline>
          </x14:sparklines>
        </x14:sparklineGroup>
        <x14:sparklineGroup displayEmptyCellsAs="gap" markers="1" xr2:uid="{75CA89AF-A801-6B44-915F-5829462C16E4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Analysis'!F60:J60</xm:f>
              <xm:sqref>L60</xm:sqref>
            </x14:sparkline>
          </x14:sparklines>
        </x14:sparklineGroup>
        <x14:sparklineGroup type="column" displayEmptyCellsAs="gap" xr2:uid="{9F017AAE-1F17-C241-8453-5CCE9BC7D2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Analysis'!F54:J54</xm:f>
              <xm:sqref>L54</xm:sqref>
            </x14:sparkline>
          </x14:sparklines>
        </x14:sparklineGroup>
        <x14:sparklineGroup type="column" displayEmptyCellsAs="gap" xr2:uid="{EE6C86D4-E5D9-024E-840E-52A6319645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Analysis'!F49:J49</xm:f>
              <xm:sqref>L49</xm:sqref>
            </x14:sparkline>
          </x14:sparklines>
        </x14:sparklineGroup>
        <x14:sparklineGroup displayEmptyCellsAs="gap" markers="1" xr2:uid="{1C19A2C4-8E8F-DF42-82D9-08D8A26AFEEE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Analysis'!F38:J38</xm:f>
              <xm:sqref>L38</xm:sqref>
            </x14:sparkline>
          </x14:sparklines>
        </x14:sparklineGroup>
        <x14:sparklineGroup displayEmptyCellsAs="gap" markers="1" xr2:uid="{A3BAF2ED-C93A-BA41-9FB0-F266FD58B5EA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Analysis'!F37:J37</xm:f>
              <xm:sqref>L37</xm:sqref>
            </x14:sparkline>
          </x14:sparklines>
        </x14:sparklineGroup>
        <x14:sparklineGroup displayEmptyCellsAs="gap" markers="1" negative="1" xr2:uid="{0BC0523E-B728-B140-8536-77DD5694E7CC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Analysis'!F29:J29</xm:f>
              <xm:sqref>L29</xm:sqref>
            </x14:sparkline>
          </x14:sparklines>
        </x14:sparklineGroup>
        <x14:sparklineGroup displayEmptyCellsAs="gap" markers="1" negative="1" xr2:uid="{74D71E20-1E54-AF4E-8A5D-AA5AA90274AC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Analysis'!F28:J28</xm:f>
              <xm:sqref>L28</xm:sqref>
            </x14:sparkline>
          </x14:sparklines>
        </x14:sparklineGroup>
        <x14:sparklineGroup displayEmptyCellsAs="gap" markers="1" negative="1" xr2:uid="{843CAC72-50E7-F240-8E89-5197D4F305DF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Analysis'!F27:J27</xm:f>
              <xm:sqref>L27</xm:sqref>
            </x14:sparkline>
          </x14:sparklines>
        </x14:sparklineGroup>
        <x14:sparklineGroup type="column" displayEmptyCellsAs="gap" xr2:uid="{529F9F7D-9685-A842-8DF6-AB8323CA913A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'Historical Analysis'!F20:J20</xm:f>
              <xm:sqref>L20</xm:sqref>
            </x14:sparkline>
          </x14:sparklines>
        </x14:sparklineGroup>
        <x14:sparklineGroup displayEmptyCellsAs="gap" markers="1" xr2:uid="{2D2A9941-38EC-D645-ADE1-C6BF5C6A1D46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Analysis'!F22:J22</xm:f>
              <xm:sqref>L22</xm:sqref>
            </x14:sparkline>
          </x14:sparklines>
        </x14:sparklineGroup>
        <x14:sparklineGroup type="column" displayEmptyCellsAs="gap" xr2:uid="{CEAEC875-25FC-4A43-B297-8187D7E7933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'Historical Analysis'!F21:J21</xm:f>
              <xm:sqref>L21</xm:sqref>
            </x14:sparkline>
          </x14:sparklines>
        </x14:sparklineGroup>
        <x14:sparklineGroup type="column" displayEmptyCellsAs="gap" xr2:uid="{FB8DAA91-AD0D-2E49-BB7B-5FE0FA346BA5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'Historical Analysis'!F19:J19</xm:f>
              <xm:sqref>L19</xm:sqref>
            </x14:sparkline>
          </x14:sparklines>
        </x14:sparklineGroup>
        <x14:sparklineGroup displayEmptyCellsAs="gap" markers="1" xr2:uid="{F1F0F293-5350-064B-A24D-86506BA5C647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Analysis'!F14:J14</xm:f>
              <xm:sqref>L14</xm:sqref>
            </x14:sparkline>
          </x14:sparklines>
        </x14:sparklineGroup>
        <x14:sparklineGroup displayEmptyCellsAs="gap" xr2:uid="{84316A37-9158-7441-BA15-95D275CF4A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Analysis'!F14:F14</xm:f>
              <xm:sqref>F14</xm:sqref>
            </x14:sparkline>
            <x14:sparkline>
              <xm:f>'Historical Analysis'!G14:G14</xm:f>
              <xm:sqref>G14</xm:sqref>
            </x14:sparkline>
            <x14:sparkline>
              <xm:f>'Historical Analysis'!H14:H14</xm:f>
              <xm:sqref>H14</xm:sqref>
            </x14:sparkline>
            <x14:sparkline>
              <xm:f>'Historical Analysis'!I14:I14</xm:f>
              <xm:sqref>I14</xm:sqref>
            </x14:sparkline>
            <x14:sparkline>
              <xm:f>'Historical Analysis'!J14:J14</xm:f>
              <xm:sqref>J14</xm:sqref>
            </x14:sparkline>
          </x14:sparklines>
        </x14:sparklineGroup>
        <x14:sparklineGroup displayEmptyCellsAs="gap" markers="1" first="1" last="1" xr2:uid="{08588BFB-9D8B-4244-BCD8-82A65C5C17D4}">
          <x14:colorSeries rgb="FFFF000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'Historical Analysis'!G8:J8</xm:f>
              <xm:sqref>L7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A49D-B56F-2246-8A21-A15A36BEDD9F}">
  <sheetPr>
    <tabColor rgb="FF2E75B6"/>
  </sheetPr>
  <dimension ref="B2:K82"/>
  <sheetViews>
    <sheetView topLeftCell="A11" zoomScale="138" workbookViewId="0">
      <selection sqref="A1:XFD1048576"/>
    </sheetView>
  </sheetViews>
  <sheetFormatPr baseColWidth="10" defaultRowHeight="16" x14ac:dyDescent="0.2"/>
  <cols>
    <col min="1" max="1" width="2.5" style="1" customWidth="1"/>
    <col min="2" max="2" width="30.83203125" style="1" customWidth="1"/>
    <col min="3" max="3" width="4.5" style="1" customWidth="1"/>
    <col min="4" max="4" width="4.6640625" style="1" customWidth="1"/>
    <col min="5" max="5" width="1.6640625" style="1" customWidth="1"/>
    <col min="6" max="10" width="14.1640625" style="1" customWidth="1"/>
    <col min="11" max="16384" width="10.83203125" style="1"/>
  </cols>
  <sheetData>
    <row r="2" spans="2:11" ht="28" customHeight="1" x14ac:dyDescent="0.25">
      <c r="B2" s="81" t="s">
        <v>50</v>
      </c>
      <c r="C2" s="82"/>
      <c r="D2" s="82"/>
      <c r="E2" s="82"/>
      <c r="F2" s="82"/>
      <c r="G2" s="82"/>
      <c r="H2" s="82"/>
      <c r="I2" s="82"/>
      <c r="J2" s="82"/>
      <c r="K2" s="82"/>
    </row>
    <row r="3" spans="2:11" x14ac:dyDescent="0.2">
      <c r="B3" s="83" t="s">
        <v>204</v>
      </c>
      <c r="C3" s="84"/>
      <c r="D3" s="84"/>
      <c r="E3" s="84"/>
      <c r="F3" s="84"/>
      <c r="G3" s="84"/>
      <c r="H3" s="84"/>
      <c r="I3" s="84"/>
      <c r="J3" s="84"/>
      <c r="K3" s="84"/>
    </row>
    <row r="5" spans="2:11" x14ac:dyDescent="0.2">
      <c r="B5" s="85" t="s">
        <v>205</v>
      </c>
    </row>
    <row r="6" spans="2:11" ht="19" x14ac:dyDescent="0.25">
      <c r="B6" s="46" t="s">
        <v>206</v>
      </c>
      <c r="C6" s="86" t="s">
        <v>231</v>
      </c>
    </row>
    <row r="7" spans="2:11" x14ac:dyDescent="0.2">
      <c r="B7" s="87" t="s">
        <v>207</v>
      </c>
      <c r="C7" s="88">
        <f>IF(C6="Bull",1,IF(C6="Base",2,3))</f>
        <v>1</v>
      </c>
      <c r="D7" s="89" t="s">
        <v>208</v>
      </c>
    </row>
    <row r="9" spans="2:11" x14ac:dyDescent="0.2">
      <c r="B9" s="90" t="s">
        <v>209</v>
      </c>
      <c r="C9" s="82"/>
      <c r="D9" s="82"/>
      <c r="E9" s="82"/>
      <c r="F9" s="91" t="s">
        <v>210</v>
      </c>
      <c r="G9" s="91" t="s">
        <v>211</v>
      </c>
      <c r="H9" s="91" t="s">
        <v>212</v>
      </c>
      <c r="I9" s="91" t="s">
        <v>213</v>
      </c>
      <c r="J9" s="91" t="s">
        <v>214</v>
      </c>
      <c r="K9" s="91"/>
    </row>
    <row r="10" spans="2:11" x14ac:dyDescent="0.2">
      <c r="B10" s="93" t="s">
        <v>215</v>
      </c>
    </row>
    <row r="11" spans="2:11" x14ac:dyDescent="0.2">
      <c r="B11" s="94" t="s">
        <v>216</v>
      </c>
      <c r="F11" s="95">
        <f>CHOOSE($C$7,'Supporting Schedules'!C9,'Supporting Schedules'!C11,'Supporting Schedules'!C13)</f>
        <v>0.35</v>
      </c>
      <c r="G11" s="95">
        <f>CHOOSE($C$7,'Supporting Schedules'!D9,'Supporting Schedules'!D11,'Supporting Schedules'!D13)</f>
        <v>0.3</v>
      </c>
      <c r="H11" s="95">
        <f>CHOOSE($C$7,'Supporting Schedules'!E9,'Supporting Schedules'!E11,'Supporting Schedules'!E13)</f>
        <v>0.27</v>
      </c>
      <c r="I11" s="95">
        <f>CHOOSE($C$7,'Supporting Schedules'!F9,'Supporting Schedules'!F11,'Supporting Schedules'!F13)</f>
        <v>0.24</v>
      </c>
      <c r="J11" s="95">
        <f>CHOOSE($C$7,'Supporting Schedules'!G9,'Supporting Schedules'!G11,'Supporting Schedules'!G13)</f>
        <v>0.22</v>
      </c>
    </row>
    <row r="12" spans="2:11" x14ac:dyDescent="0.2">
      <c r="B12" s="94" t="s">
        <v>51</v>
      </c>
      <c r="F12" s="95">
        <f>CHOOSE($C$7,'Supporting Schedules'!C52,'Supporting Schedules'!C54,'Supporting Schedules'!C56)</f>
        <v>0.745</v>
      </c>
      <c r="G12" s="95">
        <f>CHOOSE($C$7,'Supporting Schedules'!D52,'Supporting Schedules'!D54,'Supporting Schedules'!D56)</f>
        <v>0.75</v>
      </c>
      <c r="H12" s="95">
        <f>CHOOSE($C$7,'Supporting Schedules'!E52,'Supporting Schedules'!E54,'Supporting Schedules'!E56)</f>
        <v>0.755</v>
      </c>
      <c r="I12" s="95">
        <f>CHOOSE($C$7,'Supporting Schedules'!F52,'Supporting Schedules'!F54,'Supporting Schedules'!F56)</f>
        <v>0.75800000000000001</v>
      </c>
      <c r="J12" s="95">
        <f>CHOOSE($C$7,'Supporting Schedules'!G52,'Supporting Schedules'!G54,'Supporting Schedules'!G56)</f>
        <v>0.76</v>
      </c>
    </row>
    <row r="14" spans="2:11" x14ac:dyDescent="0.2">
      <c r="B14" s="93" t="s">
        <v>217</v>
      </c>
    </row>
    <row r="15" spans="2:11" x14ac:dyDescent="0.2">
      <c r="B15" s="94" t="s">
        <v>218</v>
      </c>
      <c r="F15" s="95">
        <f>CHOOSE($C$7,'Supporting Schedules'!C67,'Supporting Schedules'!C69,'Supporting Schedules'!C71)</f>
        <v>0.30140712062714597</v>
      </c>
      <c r="G15" s="95">
        <f>CHOOSE($C$7,'Supporting Schedules'!D67,'Supporting Schedules'!D69,'Supporting Schedules'!D71)</f>
        <v>0.29140712062714597</v>
      </c>
      <c r="H15" s="95">
        <f>CHOOSE($C$7,'Supporting Schedules'!E67,'Supporting Schedules'!E69,'Supporting Schedules'!E71)</f>
        <v>0.28140712062714596</v>
      </c>
      <c r="I15" s="95">
        <f>CHOOSE($C$7,'Supporting Schedules'!F67,'Supporting Schedules'!F69,'Supporting Schedules'!F71)</f>
        <v>0.27140712062714595</v>
      </c>
      <c r="J15" s="95">
        <f>CHOOSE($C$7,'Supporting Schedules'!G67,'Supporting Schedules'!G69,'Supporting Schedules'!G71)</f>
        <v>0.26140712062714594</v>
      </c>
    </row>
    <row r="16" spans="2:11" x14ac:dyDescent="0.2">
      <c r="B16" s="94" t="s">
        <v>219</v>
      </c>
      <c r="F16" s="95">
        <f>CHOOSE($C$7,'Supporting Schedules'!C79,'Supporting Schedules'!C81,'Supporting Schedules'!C83)</f>
        <v>0.31895484636856569</v>
      </c>
      <c r="G16" s="95">
        <f>CHOOSE($C$7,'Supporting Schedules'!D79,'Supporting Schedules'!D81,'Supporting Schedules'!D83)</f>
        <v>0.31395484636856569</v>
      </c>
      <c r="H16" s="95">
        <f>CHOOSE($C$7,'Supporting Schedules'!E79,'Supporting Schedules'!E81,'Supporting Schedules'!E83)</f>
        <v>0.30895484636856568</v>
      </c>
      <c r="I16" s="95">
        <f>CHOOSE($C$7,'Supporting Schedules'!F79,'Supporting Schedules'!F81,'Supporting Schedules'!F83)</f>
        <v>0.30395484636856568</v>
      </c>
      <c r="J16" s="95">
        <f>CHOOSE($C$7,'Supporting Schedules'!G79,'Supporting Schedules'!G81,'Supporting Schedules'!G83)</f>
        <v>0.29895484636856567</v>
      </c>
    </row>
    <row r="17" spans="2:10" x14ac:dyDescent="0.2">
      <c r="B17" s="94" t="s">
        <v>220</v>
      </c>
      <c r="F17" s="95">
        <f>'Supporting Schedules'!C93</f>
        <v>1.4999999999999999E-2</v>
      </c>
      <c r="G17" s="95">
        <f>'Supporting Schedules'!D93</f>
        <v>1.4999999999999999E-2</v>
      </c>
      <c r="H17" s="95">
        <f>'Supporting Schedules'!E93</f>
        <v>1.4999999999999999E-2</v>
      </c>
      <c r="I17" s="95">
        <f>'Supporting Schedules'!F93</f>
        <v>1.4999999999999999E-2</v>
      </c>
      <c r="J17" s="95">
        <f>'Supporting Schedules'!G93</f>
        <v>1.4999999999999999E-2</v>
      </c>
    </row>
    <row r="19" spans="2:10" x14ac:dyDescent="0.2">
      <c r="B19" s="93" t="s">
        <v>221</v>
      </c>
    </row>
    <row r="20" spans="2:10" x14ac:dyDescent="0.2">
      <c r="B20" s="94" t="s">
        <v>222</v>
      </c>
      <c r="F20" s="95">
        <f>'Supporting Schedules'!C107</f>
        <v>0.15</v>
      </c>
      <c r="G20" s="95">
        <f>'Supporting Schedules'!D107</f>
        <v>0.17</v>
      </c>
      <c r="H20" s="95">
        <f>'Supporting Schedules'!E107</f>
        <v>0.18</v>
      </c>
      <c r="I20" s="95">
        <f>'Supporting Schedules'!F107</f>
        <v>0.19</v>
      </c>
      <c r="J20" s="95">
        <f>'Supporting Schedules'!G107</f>
        <v>0.2</v>
      </c>
    </row>
    <row r="22" spans="2:10" x14ac:dyDescent="0.2">
      <c r="B22" s="93" t="s">
        <v>223</v>
      </c>
    </row>
    <row r="23" spans="2:10" x14ac:dyDescent="0.2">
      <c r="B23" s="94" t="s">
        <v>224</v>
      </c>
      <c r="F23" s="96">
        <f>'Supporting Schedules'!C122</f>
        <v>62.027778509587549</v>
      </c>
      <c r="G23" s="96">
        <f>'Supporting Schedules'!D122</f>
        <v>62.027778509587549</v>
      </c>
      <c r="H23" s="96">
        <f>'Supporting Schedules'!E122</f>
        <v>62.027778509587549</v>
      </c>
      <c r="I23" s="96">
        <f>'Supporting Schedules'!F122</f>
        <v>62.027778509587549</v>
      </c>
      <c r="J23" s="96">
        <f>'Supporting Schedules'!G122</f>
        <v>62.027778509587549</v>
      </c>
    </row>
    <row r="24" spans="2:10" x14ac:dyDescent="0.2">
      <c r="B24" s="94" t="s">
        <v>225</v>
      </c>
      <c r="F24" s="96">
        <f>'Supporting Schedules'!C123</f>
        <v>11.743086192553005</v>
      </c>
      <c r="G24" s="96">
        <f>'Supporting Schedules'!D123</f>
        <v>11.743086192553005</v>
      </c>
      <c r="H24" s="96">
        <f>'Supporting Schedules'!E123</f>
        <v>11.743086192553005</v>
      </c>
      <c r="I24" s="96">
        <f>'Supporting Schedules'!F123</f>
        <v>11.743086192553005</v>
      </c>
      <c r="J24" s="96">
        <f>'Supporting Schedules'!G123</f>
        <v>11.743086192553005</v>
      </c>
    </row>
    <row r="25" spans="2:10" x14ac:dyDescent="0.2">
      <c r="B25" s="94" t="s">
        <v>366</v>
      </c>
      <c r="F25" s="255">
        <f>'Supporting Schedules'!C157</f>
        <v>9.6827486395898485E-2</v>
      </c>
      <c r="G25" s="255">
        <f>'Supporting Schedules'!D157</f>
        <v>9.6827486395898485E-2</v>
      </c>
      <c r="H25" s="255">
        <f>'Supporting Schedules'!E157</f>
        <v>9.6827486395898485E-2</v>
      </c>
      <c r="I25" s="255">
        <f>'Supporting Schedules'!F157</f>
        <v>9.6827486395898485E-2</v>
      </c>
      <c r="J25" s="255">
        <f>'Supporting Schedules'!G157</f>
        <v>9.6827486395898485E-2</v>
      </c>
    </row>
    <row r="26" spans="2:10" x14ac:dyDescent="0.2">
      <c r="B26" s="94" t="s">
        <v>367</v>
      </c>
      <c r="F26" s="255">
        <f>'Supporting Schedules'!C158</f>
        <v>2.1752586915610578E-2</v>
      </c>
      <c r="G26" s="255">
        <f>'Supporting Schedules'!D158</f>
        <v>2.1752586915610578E-2</v>
      </c>
      <c r="H26" s="255">
        <f>'Supporting Schedules'!E158</f>
        <v>2.1752586915610578E-2</v>
      </c>
      <c r="I26" s="255">
        <f>'Supporting Schedules'!F158</f>
        <v>2.1752586915610578E-2</v>
      </c>
      <c r="J26" s="255">
        <f>'Supporting Schedules'!G158</f>
        <v>2.1752586915610578E-2</v>
      </c>
    </row>
    <row r="27" spans="2:10" x14ac:dyDescent="0.2">
      <c r="B27" s="94" t="s">
        <v>396</v>
      </c>
      <c r="F27" s="255">
        <f>'Supporting Schedules'!C215</f>
        <v>0.47997378386251094</v>
      </c>
      <c r="G27" s="255">
        <f>'Supporting Schedules'!D215*-1</f>
        <v>0.47997378386251094</v>
      </c>
      <c r="H27" s="255">
        <f>'Supporting Schedules'!E215*-1</f>
        <v>0.47997378386251094</v>
      </c>
      <c r="I27" s="255">
        <f>'Supporting Schedules'!F215*-1</f>
        <v>0.47997378386251094</v>
      </c>
      <c r="J27" s="255">
        <f>'Supporting Schedules'!G215*-1</f>
        <v>0.47997378386251094</v>
      </c>
    </row>
    <row r="28" spans="2:10" x14ac:dyDescent="0.2">
      <c r="B28" s="94" t="s">
        <v>401</v>
      </c>
      <c r="F28" s="255">
        <f>'Supporting Schedules'!C230</f>
        <v>0.54366972182710716</v>
      </c>
      <c r="G28" s="255">
        <f>'Supporting Schedules'!D230</f>
        <v>0.54366972182710716</v>
      </c>
      <c r="H28" s="255">
        <f>'Supporting Schedules'!E230</f>
        <v>0.54366972182710716</v>
      </c>
      <c r="I28" s="255">
        <f>'Supporting Schedules'!F230</f>
        <v>0.54366972182710716</v>
      </c>
      <c r="J28" s="255">
        <f>'Supporting Schedules'!G230</f>
        <v>0.54366972182710716</v>
      </c>
    </row>
    <row r="29" spans="2:10" x14ac:dyDescent="0.2">
      <c r="B29" s="94" t="s">
        <v>417</v>
      </c>
      <c r="F29" s="255">
        <f>'Supporting Schedules'!$C$247</f>
        <v>0.10532728082327329</v>
      </c>
      <c r="G29" s="255">
        <f>'Supporting Schedules'!$C$247</f>
        <v>0.10532728082327329</v>
      </c>
      <c r="H29" s="255">
        <f>'Supporting Schedules'!$C$247</f>
        <v>0.10532728082327329</v>
      </c>
      <c r="I29" s="255">
        <f>'Supporting Schedules'!$C$247</f>
        <v>0.10532728082327329</v>
      </c>
      <c r="J29" s="255">
        <f>'Supporting Schedules'!$C$247</f>
        <v>0.10532728082327329</v>
      </c>
    </row>
    <row r="30" spans="2:10" x14ac:dyDescent="0.2">
      <c r="B30" s="94"/>
      <c r="F30" s="255"/>
      <c r="G30" s="255"/>
      <c r="H30" s="255"/>
      <c r="I30" s="255"/>
      <c r="J30" s="255"/>
    </row>
    <row r="31" spans="2:10" x14ac:dyDescent="0.2">
      <c r="B31" s="93" t="s">
        <v>418</v>
      </c>
      <c r="F31" s="255"/>
      <c r="G31" s="255"/>
      <c r="H31" s="255"/>
      <c r="I31" s="255"/>
      <c r="J31" s="255"/>
    </row>
    <row r="32" spans="2:10" x14ac:dyDescent="0.2">
      <c r="B32" s="94" t="s">
        <v>69</v>
      </c>
      <c r="F32" s="221">
        <v>4.4999999999999998E-2</v>
      </c>
      <c r="G32" s="221">
        <v>4.4999999999999998E-2</v>
      </c>
      <c r="H32" s="221">
        <v>4.4999999999999998E-2</v>
      </c>
      <c r="I32" s="221">
        <v>4.4999999999999998E-2</v>
      </c>
      <c r="J32" s="221">
        <v>4.4999999999999998E-2</v>
      </c>
    </row>
    <row r="34" spans="2:10" x14ac:dyDescent="0.2">
      <c r="B34" s="93" t="s">
        <v>226</v>
      </c>
    </row>
    <row r="35" spans="2:10" x14ac:dyDescent="0.2">
      <c r="B35" s="94" t="s">
        <v>227</v>
      </c>
      <c r="F35" s="95"/>
      <c r="G35" s="95"/>
      <c r="H35" s="95"/>
      <c r="I35" s="95"/>
      <c r="J35" s="95">
        <v>2.5000000000000001E-2</v>
      </c>
    </row>
    <row r="36" spans="2:10" x14ac:dyDescent="0.2">
      <c r="B36" s="94"/>
      <c r="F36" s="97"/>
      <c r="G36" s="97"/>
      <c r="H36" s="97"/>
      <c r="I36" s="97"/>
      <c r="J36" s="97"/>
    </row>
    <row r="39" spans="2:10" ht="28" customHeight="1" x14ac:dyDescent="0.25">
      <c r="B39" s="80"/>
    </row>
    <row r="41" spans="2:10" x14ac:dyDescent="0.2">
      <c r="B41" s="101"/>
    </row>
    <row r="42" spans="2:10" x14ac:dyDescent="0.2">
      <c r="F42" s="106"/>
      <c r="G42" s="106"/>
      <c r="H42" s="106"/>
      <c r="I42" s="106"/>
      <c r="J42" s="106"/>
    </row>
    <row r="43" spans="2:10" x14ac:dyDescent="0.2">
      <c r="B43" s="94"/>
      <c r="F43" s="98"/>
      <c r="G43" s="98"/>
      <c r="H43" s="98"/>
      <c r="I43" s="98"/>
      <c r="J43" s="98"/>
    </row>
    <row r="44" spans="2:10" x14ac:dyDescent="0.2">
      <c r="B44" s="94"/>
      <c r="F44" s="98"/>
      <c r="G44" s="98"/>
      <c r="H44" s="98"/>
      <c r="I44" s="98"/>
      <c r="J44" s="98"/>
    </row>
    <row r="45" spans="2:10" x14ac:dyDescent="0.2">
      <c r="B45" s="94"/>
      <c r="F45" s="98"/>
      <c r="G45" s="98"/>
      <c r="H45" s="98"/>
      <c r="I45" s="98"/>
      <c r="J45" s="98"/>
    </row>
    <row r="46" spans="2:10" x14ac:dyDescent="0.2">
      <c r="B46" s="94"/>
      <c r="F46" s="98"/>
      <c r="G46" s="98"/>
      <c r="H46" s="98"/>
      <c r="I46" s="98"/>
      <c r="J46" s="98"/>
    </row>
    <row r="47" spans="2:10" x14ac:dyDescent="0.2">
      <c r="B47" s="94"/>
      <c r="F47" s="98"/>
      <c r="G47" s="98"/>
      <c r="H47" s="98"/>
      <c r="I47" s="98"/>
      <c r="J47" s="98"/>
    </row>
    <row r="48" spans="2:10" x14ac:dyDescent="0.2">
      <c r="B48" s="94"/>
      <c r="F48" s="98"/>
      <c r="G48" s="98"/>
      <c r="H48" s="98"/>
      <c r="I48" s="98"/>
      <c r="J48" s="98"/>
    </row>
    <row r="49" spans="2:10" x14ac:dyDescent="0.2">
      <c r="B49" s="94"/>
      <c r="F49" s="98"/>
      <c r="G49" s="98"/>
      <c r="H49" s="98"/>
      <c r="I49" s="98"/>
      <c r="J49" s="98"/>
    </row>
    <row r="50" spans="2:10" x14ac:dyDescent="0.2">
      <c r="B50" s="94"/>
      <c r="F50" s="99"/>
      <c r="G50" s="99"/>
      <c r="H50" s="99"/>
      <c r="I50" s="99"/>
      <c r="J50" s="99"/>
    </row>
    <row r="51" spans="2:10" x14ac:dyDescent="0.2">
      <c r="B51" s="94"/>
      <c r="F51" s="99"/>
      <c r="G51" s="99"/>
      <c r="H51" s="99"/>
      <c r="I51" s="99"/>
      <c r="J51" s="99"/>
    </row>
    <row r="52" spans="2:10" x14ac:dyDescent="0.2">
      <c r="B52" s="94"/>
      <c r="F52" s="98"/>
      <c r="G52" s="98"/>
      <c r="H52" s="98"/>
      <c r="I52" s="98"/>
      <c r="J52" s="98"/>
    </row>
    <row r="53" spans="2:10" x14ac:dyDescent="0.2">
      <c r="B53" s="94"/>
      <c r="F53" s="98"/>
      <c r="G53" s="98"/>
      <c r="H53" s="98"/>
      <c r="I53" s="98"/>
      <c r="J53" s="98"/>
    </row>
    <row r="54" spans="2:10" x14ac:dyDescent="0.2">
      <c r="B54" s="94"/>
      <c r="F54" s="100"/>
      <c r="G54" s="100"/>
      <c r="H54" s="100"/>
      <c r="I54" s="100"/>
      <c r="J54" s="100"/>
    </row>
    <row r="55" spans="2:10" x14ac:dyDescent="0.2">
      <c r="B55" s="101"/>
    </row>
    <row r="56" spans="2:10" x14ac:dyDescent="0.2">
      <c r="F56" s="106"/>
      <c r="G56" s="106"/>
      <c r="H56" s="106"/>
      <c r="I56" s="106"/>
      <c r="J56" s="106"/>
    </row>
    <row r="57" spans="2:10" x14ac:dyDescent="0.2">
      <c r="B57" s="94"/>
      <c r="F57" s="98"/>
      <c r="G57" s="98"/>
      <c r="H57" s="98"/>
      <c r="I57" s="98"/>
      <c r="J57" s="98"/>
    </row>
    <row r="58" spans="2:10" x14ac:dyDescent="0.2">
      <c r="B58" s="94"/>
      <c r="F58" s="98"/>
      <c r="G58" s="98"/>
      <c r="H58" s="98"/>
      <c r="I58" s="98"/>
      <c r="J58" s="98"/>
    </row>
    <row r="59" spans="2:10" x14ac:dyDescent="0.2">
      <c r="B59" s="94"/>
      <c r="F59" s="98"/>
      <c r="G59" s="98"/>
      <c r="H59" s="98"/>
      <c r="I59" s="98"/>
      <c r="J59" s="98"/>
    </row>
    <row r="60" spans="2:10" x14ac:dyDescent="0.2">
      <c r="B60" s="94"/>
      <c r="F60" s="98"/>
      <c r="G60" s="98"/>
      <c r="H60" s="98"/>
      <c r="I60" s="98"/>
      <c r="J60" s="98"/>
    </row>
    <row r="61" spans="2:10" x14ac:dyDescent="0.2">
      <c r="B61" s="94"/>
      <c r="F61" s="98"/>
      <c r="G61" s="98"/>
      <c r="H61" s="98"/>
      <c r="I61" s="98"/>
      <c r="J61" s="98"/>
    </row>
    <row r="62" spans="2:10" x14ac:dyDescent="0.2">
      <c r="B62" s="94"/>
      <c r="F62" s="98"/>
      <c r="G62" s="98"/>
      <c r="H62" s="98"/>
      <c r="I62" s="98"/>
      <c r="J62" s="98"/>
    </row>
    <row r="63" spans="2:10" x14ac:dyDescent="0.2">
      <c r="B63" s="94"/>
      <c r="F63" s="98"/>
      <c r="G63" s="98"/>
      <c r="H63" s="98"/>
      <c r="I63" s="98"/>
      <c r="J63" s="98"/>
    </row>
    <row r="64" spans="2:10" x14ac:dyDescent="0.2">
      <c r="B64" s="94"/>
      <c r="F64" s="99"/>
      <c r="G64" s="99"/>
      <c r="H64" s="99"/>
      <c r="I64" s="99"/>
      <c r="J64" s="99"/>
    </row>
    <row r="65" spans="2:10" x14ac:dyDescent="0.2">
      <c r="B65" s="94"/>
      <c r="F65" s="99"/>
      <c r="G65" s="99"/>
      <c r="H65" s="99"/>
      <c r="I65" s="99"/>
      <c r="J65" s="99"/>
    </row>
    <row r="66" spans="2:10" x14ac:dyDescent="0.2">
      <c r="B66" s="94"/>
      <c r="F66" s="98"/>
      <c r="G66" s="98"/>
      <c r="H66" s="98"/>
      <c r="I66" s="98"/>
      <c r="J66" s="98"/>
    </row>
    <row r="67" spans="2:10" x14ac:dyDescent="0.2">
      <c r="B67" s="94"/>
      <c r="F67" s="98"/>
      <c r="G67" s="98"/>
      <c r="H67" s="98"/>
      <c r="I67" s="98"/>
      <c r="J67" s="98"/>
    </row>
    <row r="68" spans="2:10" x14ac:dyDescent="0.2">
      <c r="B68" s="94"/>
      <c r="F68" s="100"/>
      <c r="G68" s="100"/>
      <c r="H68" s="100"/>
      <c r="I68" s="100"/>
      <c r="J68" s="100"/>
    </row>
    <row r="69" spans="2:10" x14ac:dyDescent="0.2">
      <c r="B69" s="101"/>
    </row>
    <row r="70" spans="2:10" x14ac:dyDescent="0.2">
      <c r="F70" s="106"/>
      <c r="G70" s="106"/>
      <c r="H70" s="106"/>
      <c r="I70" s="106"/>
      <c r="J70" s="106"/>
    </row>
    <row r="71" spans="2:10" x14ac:dyDescent="0.2">
      <c r="B71" s="94"/>
      <c r="F71" s="98"/>
      <c r="G71" s="98"/>
      <c r="H71" s="98"/>
      <c r="I71" s="98"/>
      <c r="J71" s="98"/>
    </row>
    <row r="72" spans="2:10" x14ac:dyDescent="0.2">
      <c r="B72" s="94"/>
      <c r="F72" s="98"/>
      <c r="G72" s="98"/>
      <c r="H72" s="98"/>
      <c r="I72" s="98"/>
      <c r="J72" s="98"/>
    </row>
    <row r="73" spans="2:10" x14ac:dyDescent="0.2">
      <c r="B73" s="94"/>
      <c r="F73" s="98"/>
      <c r="G73" s="98"/>
      <c r="H73" s="98"/>
      <c r="I73" s="98"/>
      <c r="J73" s="98"/>
    </row>
    <row r="74" spans="2:10" x14ac:dyDescent="0.2">
      <c r="B74" s="94"/>
      <c r="F74" s="98"/>
      <c r="G74" s="98"/>
      <c r="H74" s="98"/>
      <c r="I74" s="98"/>
      <c r="J74" s="98"/>
    </row>
    <row r="75" spans="2:10" x14ac:dyDescent="0.2">
      <c r="B75" s="94"/>
      <c r="F75" s="98"/>
      <c r="G75" s="98"/>
      <c r="H75" s="98"/>
      <c r="I75" s="98"/>
      <c r="J75" s="98"/>
    </row>
    <row r="76" spans="2:10" x14ac:dyDescent="0.2">
      <c r="B76" s="94"/>
      <c r="F76" s="98"/>
      <c r="G76" s="98"/>
      <c r="H76" s="98"/>
      <c r="I76" s="98"/>
      <c r="J76" s="98"/>
    </row>
    <row r="77" spans="2:10" x14ac:dyDescent="0.2">
      <c r="B77" s="94"/>
      <c r="F77" s="98"/>
      <c r="G77" s="98"/>
      <c r="H77" s="98"/>
      <c r="I77" s="98"/>
      <c r="J77" s="98"/>
    </row>
    <row r="78" spans="2:10" x14ac:dyDescent="0.2">
      <c r="B78" s="94"/>
      <c r="F78" s="99"/>
      <c r="G78" s="99"/>
      <c r="H78" s="99"/>
      <c r="I78" s="99"/>
      <c r="J78" s="99"/>
    </row>
    <row r="79" spans="2:10" x14ac:dyDescent="0.2">
      <c r="B79" s="94"/>
      <c r="F79" s="99"/>
      <c r="G79" s="99"/>
      <c r="H79" s="99"/>
      <c r="I79" s="99"/>
      <c r="J79" s="99"/>
    </row>
    <row r="80" spans="2:10" x14ac:dyDescent="0.2">
      <c r="B80" s="94"/>
      <c r="F80" s="98"/>
      <c r="G80" s="98"/>
      <c r="H80" s="98"/>
      <c r="I80" s="98"/>
      <c r="J80" s="98"/>
    </row>
    <row r="81" spans="2:10" x14ac:dyDescent="0.2">
      <c r="B81" s="94"/>
      <c r="F81" s="98"/>
      <c r="G81" s="98"/>
      <c r="H81" s="98"/>
      <c r="I81" s="98"/>
      <c r="J81" s="98"/>
    </row>
    <row r="82" spans="2:10" x14ac:dyDescent="0.2">
      <c r="B82" s="94"/>
      <c r="F82" s="100"/>
      <c r="G82" s="100"/>
      <c r="H82" s="100"/>
      <c r="I82" s="100"/>
      <c r="J82" s="100"/>
    </row>
  </sheetData>
  <dataValidations count="1">
    <dataValidation type="list" allowBlank="1" showInputMessage="1" showErrorMessage="1" promptTitle="Scenario Selection" prompt="Select Bull, Base, or Bear case" sqref="C6" xr:uid="{E676D845-7138-824E-915D-8F72F59F0DD7}">
      <formula1>"Bull,Base,Bear"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A8AC-005F-A74D-9206-047F8758E1BE}">
  <sheetPr>
    <tabColor rgb="FF2E75B6"/>
  </sheetPr>
  <dimension ref="A1:N275"/>
  <sheetViews>
    <sheetView topLeftCell="A3" zoomScale="167" workbookViewId="0">
      <selection activeCell="E23" sqref="E23"/>
    </sheetView>
  </sheetViews>
  <sheetFormatPr baseColWidth="10" defaultRowHeight="16" x14ac:dyDescent="0.2"/>
  <cols>
    <col min="1" max="1" width="2.5" style="1" customWidth="1"/>
    <col min="2" max="2" width="30.83203125" style="1" customWidth="1"/>
    <col min="3" max="3" width="9.5" style="1" customWidth="1"/>
    <col min="4" max="4" width="10.33203125" style="1" customWidth="1"/>
    <col min="5" max="5" width="9.1640625" style="1" customWidth="1"/>
    <col min="6" max="7" width="11.1640625" style="1" customWidth="1"/>
    <col min="8" max="8" width="13" style="1" customWidth="1"/>
    <col min="9" max="10" width="14.1640625" style="1" customWidth="1"/>
    <col min="11" max="16384" width="10.83203125" style="1"/>
  </cols>
  <sheetData>
    <row r="1" spans="1:14" x14ac:dyDescent="0.2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4" ht="28" customHeight="1" x14ac:dyDescent="0.25">
      <c r="A2" s="138"/>
      <c r="B2" s="81" t="s">
        <v>248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x14ac:dyDescent="0.2">
      <c r="A3" s="138"/>
      <c r="B3" s="83" t="s">
        <v>249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4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</row>
    <row r="5" spans="1:14" x14ac:dyDescent="0.2">
      <c r="A5" s="138"/>
      <c r="B5" s="133" t="s">
        <v>247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</row>
    <row r="6" spans="1:14" x14ac:dyDescent="0.2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</row>
    <row r="7" spans="1:14" x14ac:dyDescent="0.2">
      <c r="A7" s="138"/>
      <c r="B7" s="134" t="s">
        <v>263</v>
      </c>
      <c r="C7" s="7"/>
      <c r="D7" s="7"/>
      <c r="E7" s="7"/>
      <c r="F7" s="7"/>
      <c r="G7" s="7"/>
      <c r="H7" s="7"/>
      <c r="I7" s="7"/>
      <c r="J7" s="138"/>
      <c r="K7" s="138"/>
    </row>
    <row r="8" spans="1:14" x14ac:dyDescent="0.2">
      <c r="A8" s="138"/>
      <c r="B8" s="135"/>
      <c r="C8" s="125" t="s">
        <v>210</v>
      </c>
      <c r="D8" s="125" t="s">
        <v>211</v>
      </c>
      <c r="E8" s="125" t="s">
        <v>212</v>
      </c>
      <c r="F8" s="125" t="s">
        <v>213</v>
      </c>
      <c r="G8" s="125" t="s">
        <v>214</v>
      </c>
      <c r="H8" s="125" t="s">
        <v>264</v>
      </c>
      <c r="I8" s="125" t="s">
        <v>265</v>
      </c>
      <c r="J8" s="138"/>
      <c r="K8" s="138"/>
    </row>
    <row r="9" spans="1:14" x14ac:dyDescent="0.2">
      <c r="A9" s="138"/>
      <c r="B9" s="164" t="s">
        <v>230</v>
      </c>
      <c r="C9" s="232">
        <v>0.35</v>
      </c>
      <c r="D9" s="232">
        <v>0.3</v>
      </c>
      <c r="E9" s="232">
        <v>0.27</v>
      </c>
      <c r="F9" s="232">
        <v>0.24</v>
      </c>
      <c r="G9" s="232">
        <v>0.22</v>
      </c>
      <c r="H9" s="233">
        <f>AVERAGE(C9:G9)</f>
        <v>0.27599999999999997</v>
      </c>
      <c r="I9" s="156" t="s">
        <v>266</v>
      </c>
      <c r="J9"/>
      <c r="K9" s="138"/>
    </row>
    <row r="10" spans="1:14" x14ac:dyDescent="0.2">
      <c r="A10" s="138"/>
      <c r="B10" s="158" t="s">
        <v>267</v>
      </c>
      <c r="C10" s="150">
        <f>C9-$G$19</f>
        <v>-5.8397665223121786E-2</v>
      </c>
      <c r="D10" s="150">
        <f>D9-C9</f>
        <v>-4.9999999999999989E-2</v>
      </c>
      <c r="E10" s="150">
        <f>E9-D9</f>
        <v>-2.9999999999999971E-2</v>
      </c>
      <c r="F10" s="159">
        <f>F9-E9</f>
        <v>-3.0000000000000027E-2</v>
      </c>
      <c r="G10" s="159">
        <f>G9-F9</f>
        <v>-1.999999999999999E-2</v>
      </c>
      <c r="H10" s="159">
        <f>AVERAGE(D10:G10)</f>
        <v>-3.2499999999999994E-2</v>
      </c>
      <c r="I10"/>
      <c r="J10" s="138"/>
      <c r="K10" s="138"/>
    </row>
    <row r="11" spans="1:14" x14ac:dyDescent="0.2">
      <c r="A11" s="138"/>
      <c r="B11" s="163" t="s">
        <v>232</v>
      </c>
      <c r="C11" s="160">
        <v>0.28000000000000003</v>
      </c>
      <c r="D11" s="160">
        <v>0.24</v>
      </c>
      <c r="E11" s="160">
        <v>0.21</v>
      </c>
      <c r="F11" s="160">
        <v>0.18</v>
      </c>
      <c r="G11" s="160">
        <v>0.16</v>
      </c>
      <c r="H11" s="141">
        <f>AVERAGE(C11:G11)</f>
        <v>0.21399999999999997</v>
      </c>
      <c r="I11" s="161" t="s">
        <v>268</v>
      </c>
      <c r="J11" s="138"/>
      <c r="K11" s="138"/>
    </row>
    <row r="12" spans="1:14" x14ac:dyDescent="0.2">
      <c r="A12" s="138"/>
      <c r="B12" s="158" t="s">
        <v>267</v>
      </c>
      <c r="C12" s="150">
        <f>C11-$G$19</f>
        <v>-0.12839766522312174</v>
      </c>
      <c r="D12" s="150">
        <f>D11-C11</f>
        <v>-4.0000000000000036E-2</v>
      </c>
      <c r="E12" s="150">
        <f>E11-D11</f>
        <v>-0.03</v>
      </c>
      <c r="F12" s="150">
        <f>F11-E11</f>
        <v>-0.03</v>
      </c>
      <c r="G12" s="150">
        <f>G11-F11</f>
        <v>-1.999999999999999E-2</v>
      </c>
      <c r="H12" s="150">
        <f>AVERAGE(D12:G12)</f>
        <v>-3.0000000000000006E-2</v>
      </c>
      <c r="I12" s="138"/>
      <c r="J12" s="138"/>
      <c r="K12" s="138"/>
    </row>
    <row r="13" spans="1:14" x14ac:dyDescent="0.2">
      <c r="A13" s="138"/>
      <c r="B13" s="165" t="s">
        <v>228</v>
      </c>
      <c r="C13" s="160">
        <v>0.2</v>
      </c>
      <c r="D13" s="160">
        <v>0.17</v>
      </c>
      <c r="E13" s="160">
        <v>0.14000000000000001</v>
      </c>
      <c r="F13" s="160">
        <v>0.12</v>
      </c>
      <c r="G13" s="160">
        <v>0.1</v>
      </c>
      <c r="H13" s="141">
        <f>AVERAGE(C13:G13)</f>
        <v>0.14599999999999999</v>
      </c>
      <c r="I13" s="155" t="s">
        <v>269</v>
      </c>
      <c r="J13" s="138"/>
      <c r="K13" s="138"/>
    </row>
    <row r="14" spans="1:14" x14ac:dyDescent="0.2">
      <c r="A14" s="138"/>
      <c r="B14" s="174" t="s">
        <v>267</v>
      </c>
      <c r="C14" s="137">
        <f>C13-$G$19</f>
        <v>-0.20839766522312175</v>
      </c>
      <c r="D14" s="137">
        <f>D13-C13</f>
        <v>-0.03</v>
      </c>
      <c r="E14" s="137">
        <f>E13-D13</f>
        <v>-0.03</v>
      </c>
      <c r="F14" s="137">
        <f>F13-E13</f>
        <v>-2.0000000000000018E-2</v>
      </c>
      <c r="G14" s="137">
        <f>G13-F13</f>
        <v>-1.999999999999999E-2</v>
      </c>
      <c r="H14" s="137">
        <f>AVERAGE(D14:G14)</f>
        <v>-2.5000000000000001E-2</v>
      </c>
      <c r="I14" s="157"/>
      <c r="J14"/>
      <c r="K14" s="138"/>
    </row>
    <row r="15" spans="1:14" x14ac:dyDescent="0.2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</row>
    <row r="16" spans="1:14" x14ac:dyDescent="0.2">
      <c r="A16" s="138"/>
      <c r="B16" s="126" t="s">
        <v>15</v>
      </c>
      <c r="C16" s="7"/>
      <c r="D16" s="7"/>
      <c r="E16" s="7"/>
      <c r="F16" s="7"/>
      <c r="G16" s="7"/>
      <c r="H16" s="7"/>
      <c r="I16" s="138"/>
      <c r="J16" s="138"/>
      <c r="K16" s="138"/>
    </row>
    <row r="17" spans="1:11" x14ac:dyDescent="0.2">
      <c r="A17" s="138"/>
      <c r="B17" s="124"/>
      <c r="C17" s="125" t="s">
        <v>58</v>
      </c>
      <c r="D17" s="125" t="s">
        <v>59</v>
      </c>
      <c r="E17" s="125" t="s">
        <v>60</v>
      </c>
      <c r="F17" s="125" t="s">
        <v>61</v>
      </c>
      <c r="G17" s="125" t="s">
        <v>132</v>
      </c>
      <c r="H17" s="125" t="s">
        <v>144</v>
      </c>
      <c r="I17" s="138"/>
      <c r="J17" s="138"/>
      <c r="K17" s="138"/>
    </row>
    <row r="18" spans="1:11" x14ac:dyDescent="0.2">
      <c r="A18" s="138"/>
      <c r="B18" s="139" t="s">
        <v>229</v>
      </c>
      <c r="C18" s="140">
        <v>161.69999999999999</v>
      </c>
      <c r="D18" s="140">
        <v>250.8</v>
      </c>
      <c r="E18" s="140">
        <v>369.5</v>
      </c>
      <c r="F18" s="140">
        <v>531.1</v>
      </c>
      <c r="G18" s="140">
        <v>748</v>
      </c>
      <c r="H18" s="141">
        <f>(G18/C18)^(1/4)-1</f>
        <v>0.46655344523826736</v>
      </c>
      <c r="I18" s="138"/>
      <c r="J18" s="138"/>
      <c r="K18" s="138"/>
    </row>
    <row r="19" spans="1:11" x14ac:dyDescent="0.2">
      <c r="A19" s="138"/>
      <c r="B19" s="139" t="s">
        <v>233</v>
      </c>
      <c r="C19" s="142"/>
      <c r="D19" s="141">
        <f>(D18-C18)/C18</f>
        <v>0.55102040816326547</v>
      </c>
      <c r="E19" s="141">
        <f>(E18-D18)/D18</f>
        <v>0.47328548644338109</v>
      </c>
      <c r="F19" s="141">
        <f>(F18-E18)/E18</f>
        <v>0.43734776725304469</v>
      </c>
      <c r="G19" s="141">
        <f>(G18-F18)/F18</f>
        <v>0.40839766522312176</v>
      </c>
      <c r="H19" s="142"/>
      <c r="I19" s="138"/>
      <c r="J19" s="138"/>
      <c r="K19" s="138"/>
    </row>
    <row r="20" spans="1:11" x14ac:dyDescent="0.2">
      <c r="A20" s="138"/>
      <c r="B20" s="143" t="s">
        <v>250</v>
      </c>
      <c r="C20" s="138"/>
      <c r="D20" s="144"/>
      <c r="E20" s="145">
        <f>E19-D19</f>
        <v>-7.7734921719884387E-2</v>
      </c>
      <c r="F20" s="145">
        <f>F19-E19</f>
        <v>-3.5937719190336392E-2</v>
      </c>
      <c r="G20" s="145">
        <f>G19-F19</f>
        <v>-2.8950102029922931E-2</v>
      </c>
      <c r="H20" s="145">
        <f>AVERAGE(E20:G20)</f>
        <v>-4.7540914313381234E-2</v>
      </c>
      <c r="I20" s="146" t="s">
        <v>251</v>
      </c>
      <c r="J20" s="138"/>
      <c r="K20" s="138"/>
    </row>
    <row r="21" spans="1:11" x14ac:dyDescent="0.2">
      <c r="A21" s="138"/>
      <c r="B21" s="146" t="s">
        <v>252</v>
      </c>
      <c r="C21" s="138"/>
      <c r="D21" s="138"/>
      <c r="E21" s="138"/>
      <c r="F21" s="138"/>
      <c r="G21" s="138"/>
      <c r="H21" s="138"/>
      <c r="I21" s="138"/>
      <c r="J21" s="138"/>
      <c r="K21" s="138"/>
    </row>
    <row r="22" spans="1:1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</row>
    <row r="23" spans="1:11" x14ac:dyDescent="0.2">
      <c r="A23" s="138"/>
      <c r="B23" s="126" t="s">
        <v>253</v>
      </c>
      <c r="C23" s="7"/>
      <c r="D23" s="7"/>
      <c r="E23" s="138"/>
      <c r="F23" s="138"/>
      <c r="G23" s="138"/>
      <c r="H23" s="138"/>
      <c r="I23" s="138"/>
      <c r="J23" s="138"/>
      <c r="K23" s="138"/>
    </row>
    <row r="24" spans="1:11" x14ac:dyDescent="0.2">
      <c r="A24" s="138"/>
      <c r="B24" s="147" t="s">
        <v>254</v>
      </c>
      <c r="C24" s="138"/>
      <c r="D24" s="138"/>
      <c r="E24" s="138"/>
      <c r="F24" s="138"/>
      <c r="G24" s="138"/>
      <c r="H24" s="138"/>
      <c r="I24" s="138"/>
      <c r="J24" s="138"/>
      <c r="K24" s="138"/>
    </row>
    <row r="25" spans="1:11" x14ac:dyDescent="0.2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</row>
    <row r="26" spans="1:11" x14ac:dyDescent="0.2">
      <c r="A26" s="138"/>
      <c r="B26" s="124"/>
      <c r="C26" s="125" t="s">
        <v>58</v>
      </c>
      <c r="D26" s="125" t="s">
        <v>59</v>
      </c>
      <c r="E26" s="125" t="s">
        <v>60</v>
      </c>
      <c r="F26" s="125" t="s">
        <v>61</v>
      </c>
      <c r="G26" s="125" t="s">
        <v>132</v>
      </c>
      <c r="H26" s="125" t="s">
        <v>255</v>
      </c>
      <c r="I26" s="125" t="s">
        <v>146</v>
      </c>
      <c r="J26" s="138"/>
      <c r="K26" s="138"/>
    </row>
    <row r="27" spans="1:11" x14ac:dyDescent="0.2">
      <c r="A27" s="138"/>
      <c r="B27" s="139" t="s">
        <v>234</v>
      </c>
      <c r="C27" s="148">
        <v>37</v>
      </c>
      <c r="D27" s="148">
        <v>42</v>
      </c>
      <c r="E27" s="148">
        <v>60</v>
      </c>
      <c r="F27" s="148">
        <v>88</v>
      </c>
      <c r="G27" s="148">
        <v>117</v>
      </c>
      <c r="H27" s="141">
        <f>(G27/C27)^(1/4)-1</f>
        <v>0.33350925572020595</v>
      </c>
      <c r="I27" s="146" t="s">
        <v>256</v>
      </c>
      <c r="J27" s="138"/>
      <c r="K27" s="138"/>
    </row>
    <row r="28" spans="1:11" x14ac:dyDescent="0.2">
      <c r="A28" s="138"/>
      <c r="B28" s="149" t="s">
        <v>257</v>
      </c>
      <c r="C28" s="138"/>
      <c r="D28" s="150">
        <f>(D27-C27)/C27</f>
        <v>0.13513513513513514</v>
      </c>
      <c r="E28" s="150">
        <f>(E27-D27)/D27</f>
        <v>0.42857142857142855</v>
      </c>
      <c r="F28" s="150">
        <f>(F27-E27)/E27</f>
        <v>0.46666666666666667</v>
      </c>
      <c r="G28" s="150">
        <f>(G27-F27)/F27</f>
        <v>0.32954545454545453</v>
      </c>
      <c r="H28" s="138"/>
      <c r="I28" s="138"/>
      <c r="J28" s="138"/>
      <c r="K28" s="138"/>
    </row>
    <row r="29" spans="1:11" x14ac:dyDescent="0.2">
      <c r="A29" s="138"/>
      <c r="B29" s="139" t="s">
        <v>235</v>
      </c>
      <c r="C29" s="148">
        <v>9</v>
      </c>
      <c r="D29" s="148">
        <v>11</v>
      </c>
      <c r="E29" s="148">
        <v>16</v>
      </c>
      <c r="F29" s="148">
        <v>27</v>
      </c>
      <c r="G29" s="148">
        <v>37</v>
      </c>
      <c r="H29" s="141">
        <f>(G29/C29)^(1/4)-1</f>
        <v>0.42393381521031603</v>
      </c>
      <c r="I29" s="151" t="s">
        <v>258</v>
      </c>
      <c r="J29" s="138"/>
      <c r="K29" s="138"/>
    </row>
    <row r="30" spans="1:11" x14ac:dyDescent="0.2">
      <c r="A30" s="138"/>
      <c r="B30" s="139" t="s">
        <v>236</v>
      </c>
      <c r="C30" s="141">
        <f>C29/C27</f>
        <v>0.24324324324324326</v>
      </c>
      <c r="D30" s="141">
        <f>D29/D27</f>
        <v>0.26190476190476192</v>
      </c>
      <c r="E30" s="141">
        <f>E29/E27</f>
        <v>0.26666666666666666</v>
      </c>
      <c r="F30" s="141">
        <f>F29/F27</f>
        <v>0.30681818181818182</v>
      </c>
      <c r="G30" s="141">
        <f>G29/G27</f>
        <v>0.31623931623931623</v>
      </c>
      <c r="H30" s="152">
        <f>G30-C30</f>
        <v>7.2996072996072969E-2</v>
      </c>
      <c r="I30" s="151" t="s">
        <v>259</v>
      </c>
      <c r="J30" s="138"/>
      <c r="K30" s="138"/>
    </row>
    <row r="31" spans="1:11" x14ac:dyDescent="0.2">
      <c r="A31" s="138"/>
      <c r="B31" s="139" t="s">
        <v>237</v>
      </c>
      <c r="C31" s="140">
        <v>1.8</v>
      </c>
      <c r="D31" s="140">
        <v>2.9</v>
      </c>
      <c r="E31" s="140">
        <v>4.8</v>
      </c>
      <c r="F31" s="140">
        <v>7.6</v>
      </c>
      <c r="G31" s="140">
        <v>12.1</v>
      </c>
      <c r="H31" s="141">
        <f>(G31/C31)^(1/4)-1</f>
        <v>0.61019404555807322</v>
      </c>
      <c r="I31" s="151" t="s">
        <v>260</v>
      </c>
      <c r="J31" s="138"/>
      <c r="K31" s="138"/>
    </row>
    <row r="32" spans="1:11" x14ac:dyDescent="0.2">
      <c r="A32" s="138"/>
      <c r="B32" s="139" t="s">
        <v>238</v>
      </c>
      <c r="C32" s="141">
        <f>C31/C27</f>
        <v>4.8648648648648651E-2</v>
      </c>
      <c r="D32" s="141">
        <f>D31/D27</f>
        <v>6.9047619047619052E-2</v>
      </c>
      <c r="E32" s="141">
        <f>E31/E27</f>
        <v>0.08</v>
      </c>
      <c r="F32" s="141">
        <f>F31/F27</f>
        <v>8.6363636363636365E-2</v>
      </c>
      <c r="G32" s="141">
        <f>G31/G27</f>
        <v>0.10341880341880341</v>
      </c>
      <c r="H32" s="152">
        <f>G32-C32</f>
        <v>5.4770154770154761E-2</v>
      </c>
      <c r="I32" s="153" t="s">
        <v>261</v>
      </c>
      <c r="J32" s="138"/>
      <c r="K32" s="138"/>
    </row>
    <row r="33" spans="1:14" x14ac:dyDescent="0.2">
      <c r="A33" s="138"/>
      <c r="B33" s="139" t="s">
        <v>239</v>
      </c>
      <c r="C33" s="154">
        <f>C18/C31</f>
        <v>89.833333333333329</v>
      </c>
      <c r="D33" s="154">
        <f>D18/D31</f>
        <v>86.482758620689665</v>
      </c>
      <c r="E33" s="154">
        <f>E18/E31</f>
        <v>76.979166666666671</v>
      </c>
      <c r="F33" s="154">
        <f>F18/F31</f>
        <v>69.881578947368425</v>
      </c>
      <c r="G33" s="154">
        <f>G18/G31</f>
        <v>61.81818181818182</v>
      </c>
      <c r="H33" s="141">
        <f>(G33/C33)^(1/4)-1</f>
        <v>-8.9207012481543391E-2</v>
      </c>
      <c r="I33" s="155" t="s">
        <v>262</v>
      </c>
      <c r="J33" s="138"/>
      <c r="K33" s="138"/>
    </row>
    <row r="34" spans="1:14" x14ac:dyDescent="0.2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</row>
    <row r="35" spans="1:14" x14ac:dyDescent="0.2">
      <c r="A35" s="138"/>
      <c r="B35" s="143" t="s">
        <v>286</v>
      </c>
      <c r="C35" s="138"/>
      <c r="D35" s="138"/>
      <c r="E35" s="138"/>
      <c r="F35" s="138"/>
      <c r="G35" s="138"/>
      <c r="H35" s="138"/>
      <c r="I35" s="138"/>
      <c r="J35" s="138"/>
      <c r="K35" s="138"/>
    </row>
    <row r="36" spans="1:14" x14ac:dyDescent="0.2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</row>
    <row r="37" spans="1:14" x14ac:dyDescent="0.2">
      <c r="A37" s="138"/>
      <c r="B37" s="126" t="s">
        <v>270</v>
      </c>
      <c r="C37" s="7"/>
      <c r="D37" s="7"/>
      <c r="E37" s="7"/>
      <c r="F37" s="7"/>
      <c r="G37" s="7"/>
      <c r="H37" s="7"/>
      <c r="I37" s="7"/>
      <c r="J37" s="7"/>
      <c r="K37" s="138"/>
    </row>
    <row r="38" spans="1:14" x14ac:dyDescent="0.2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</row>
    <row r="39" spans="1:14" x14ac:dyDescent="0.2">
      <c r="A39" s="138"/>
      <c r="B39" s="172" t="s">
        <v>271</v>
      </c>
      <c r="C39" s="138"/>
      <c r="D39" s="138"/>
      <c r="E39" s="171" t="s">
        <v>276</v>
      </c>
      <c r="G39" s="138"/>
      <c r="H39" s="173" t="s">
        <v>278</v>
      </c>
      <c r="J39" s="138"/>
      <c r="K39" s="138"/>
    </row>
    <row r="40" spans="1:14" x14ac:dyDescent="0.2">
      <c r="A40" s="138"/>
      <c r="B40" s="146" t="s">
        <v>272</v>
      </c>
      <c r="C40" s="138"/>
      <c r="D40" s="138"/>
      <c r="E40" s="146" t="s">
        <v>285</v>
      </c>
      <c r="G40" s="138"/>
      <c r="H40" s="146" t="s">
        <v>279</v>
      </c>
      <c r="J40" s="138"/>
      <c r="K40" s="138"/>
    </row>
    <row r="41" spans="1:14" x14ac:dyDescent="0.2">
      <c r="A41" s="138"/>
      <c r="B41" s="146" t="s">
        <v>273</v>
      </c>
      <c r="C41" s="138"/>
      <c r="D41" s="138"/>
      <c r="E41" s="146" t="s">
        <v>284</v>
      </c>
      <c r="G41" s="138"/>
      <c r="H41" s="146" t="s">
        <v>280</v>
      </c>
      <c r="J41" s="138"/>
      <c r="K41" s="138"/>
    </row>
    <row r="42" spans="1:14" x14ac:dyDescent="0.2">
      <c r="A42" s="138"/>
      <c r="B42" s="146" t="s">
        <v>274</v>
      </c>
      <c r="C42" s="138"/>
      <c r="D42" s="138"/>
      <c r="E42" s="146" t="s">
        <v>277</v>
      </c>
      <c r="G42" s="138"/>
      <c r="H42" s="146" t="s">
        <v>281</v>
      </c>
      <c r="J42" s="138"/>
      <c r="K42" s="138"/>
    </row>
    <row r="43" spans="1:14" x14ac:dyDescent="0.2">
      <c r="A43" s="138"/>
      <c r="B43" s="146" t="s">
        <v>275</v>
      </c>
      <c r="C43" s="138"/>
      <c r="D43" s="138"/>
      <c r="E43" s="138"/>
      <c r="F43" s="138"/>
      <c r="G43" s="138"/>
      <c r="H43" s="146" t="s">
        <v>282</v>
      </c>
      <c r="J43" s="138"/>
      <c r="K43" s="138"/>
    </row>
    <row r="44" spans="1:14" x14ac:dyDescent="0.2">
      <c r="A44" s="138"/>
      <c r="B44" s="138"/>
      <c r="C44" s="138"/>
      <c r="D44" s="138"/>
      <c r="E44" s="138"/>
      <c r="F44" s="138"/>
      <c r="G44" s="138"/>
      <c r="H44" s="138"/>
      <c r="J44" s="138"/>
      <c r="K44" s="138"/>
    </row>
    <row r="45" spans="1:14" x14ac:dyDescent="0.2">
      <c r="A45" s="138"/>
      <c r="B45" s="162" t="s">
        <v>283</v>
      </c>
      <c r="C45" s="138"/>
      <c r="D45" s="138"/>
      <c r="E45" s="138"/>
      <c r="F45" s="138"/>
      <c r="G45" s="138"/>
      <c r="H45" s="138"/>
      <c r="I45" s="138"/>
      <c r="J45" s="138"/>
      <c r="K45" s="138"/>
    </row>
    <row r="46" spans="1:14" x14ac:dyDescent="0.2">
      <c r="A46" s="138"/>
      <c r="E46" s="138"/>
      <c r="F46" s="138"/>
      <c r="G46" s="138"/>
      <c r="H46" s="138"/>
      <c r="I46" s="138"/>
      <c r="J46" s="138"/>
      <c r="K46" s="138"/>
    </row>
    <row r="47" spans="1:14" x14ac:dyDescent="0.2">
      <c r="A47" s="138"/>
      <c r="E47" s="138"/>
      <c r="F47" s="138"/>
      <c r="G47" s="138"/>
      <c r="H47" s="138"/>
      <c r="I47" s="138"/>
      <c r="J47" s="138"/>
      <c r="K47" s="138"/>
    </row>
    <row r="48" spans="1:14" x14ac:dyDescent="0.2">
      <c r="A48" s="138"/>
      <c r="B48" s="133" t="s">
        <v>296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</row>
    <row r="49" spans="1:14" x14ac:dyDescent="0.2">
      <c r="A49" s="138"/>
      <c r="B49"/>
      <c r="C49" s="157"/>
      <c r="D49" s="157"/>
      <c r="E49" s="157"/>
      <c r="F49"/>
      <c r="G49" s="138"/>
      <c r="H49" s="138"/>
      <c r="I49" s="138"/>
      <c r="J49" s="138"/>
      <c r="K49" s="138"/>
    </row>
    <row r="50" spans="1:14" x14ac:dyDescent="0.2">
      <c r="A50" s="138"/>
      <c r="B50" s="134" t="s">
        <v>287</v>
      </c>
      <c r="C50" s="7"/>
      <c r="D50" s="7"/>
      <c r="E50" s="7"/>
      <c r="F50" s="7"/>
      <c r="G50" s="7"/>
      <c r="H50" s="7"/>
      <c r="I50" s="7"/>
      <c r="J50" s="138"/>
      <c r="K50" s="138"/>
    </row>
    <row r="51" spans="1:14" x14ac:dyDescent="0.2">
      <c r="A51" s="138"/>
      <c r="B51" s="135"/>
      <c r="C51" s="125" t="s">
        <v>210</v>
      </c>
      <c r="D51" s="125" t="s">
        <v>211</v>
      </c>
      <c r="E51" s="125" t="s">
        <v>212</v>
      </c>
      <c r="F51" s="125" t="s">
        <v>213</v>
      </c>
      <c r="G51" s="125" t="s">
        <v>214</v>
      </c>
      <c r="H51" s="125" t="s">
        <v>264</v>
      </c>
      <c r="I51" s="125" t="s">
        <v>265</v>
      </c>
      <c r="J51" s="138"/>
      <c r="K51" s="138"/>
    </row>
    <row r="52" spans="1:14" x14ac:dyDescent="0.2">
      <c r="A52" s="138"/>
      <c r="B52" s="164" t="s">
        <v>230</v>
      </c>
      <c r="C52" s="181">
        <v>0.745</v>
      </c>
      <c r="D52" s="182">
        <v>0.75</v>
      </c>
      <c r="E52" s="182">
        <v>0.755</v>
      </c>
      <c r="F52" s="182">
        <v>0.75800000000000001</v>
      </c>
      <c r="G52" s="182">
        <v>0.76</v>
      </c>
      <c r="H52" s="175">
        <f>AVERAGE(C52:G52)</f>
        <v>0.75359999999999994</v>
      </c>
      <c r="I52" s="151" t="s">
        <v>290</v>
      </c>
      <c r="J52" s="138"/>
      <c r="K52" s="138"/>
    </row>
    <row r="53" spans="1:14" x14ac:dyDescent="0.2">
      <c r="A53" s="138"/>
      <c r="B53" s="158"/>
      <c r="C53" s="183"/>
      <c r="D53" s="183">
        <f>D52-C52</f>
        <v>5.0000000000000044E-3</v>
      </c>
      <c r="E53" s="183">
        <f>E52-D52</f>
        <v>5.0000000000000044E-3</v>
      </c>
      <c r="F53" s="183">
        <f>F52-E52</f>
        <v>3.0000000000000027E-3</v>
      </c>
      <c r="G53" s="183">
        <f>G52-F52</f>
        <v>2.0000000000000018E-3</v>
      </c>
      <c r="H53" s="183">
        <f>AVERAGE(D53:G53)</f>
        <v>3.7500000000000033E-3</v>
      </c>
      <c r="I53" s="146" t="s">
        <v>291</v>
      </c>
      <c r="J53" s="138"/>
      <c r="K53" s="138"/>
    </row>
    <row r="54" spans="1:14" x14ac:dyDescent="0.2">
      <c r="A54" s="138"/>
      <c r="B54" s="163" t="s">
        <v>232</v>
      </c>
      <c r="C54" s="181">
        <v>0.73799999999999999</v>
      </c>
      <c r="D54" s="181">
        <v>0.74</v>
      </c>
      <c r="E54" s="181">
        <v>0.74199999999999999</v>
      </c>
      <c r="F54" s="181">
        <v>0.74399999999999999</v>
      </c>
      <c r="G54" s="181">
        <v>0.745</v>
      </c>
      <c r="H54" s="184">
        <f>AVERAGE(C54:G54)</f>
        <v>0.7417999999999999</v>
      </c>
      <c r="I54" s="161" t="s">
        <v>292</v>
      </c>
      <c r="J54" s="138"/>
      <c r="K54" s="138"/>
    </row>
    <row r="55" spans="1:14" x14ac:dyDescent="0.2">
      <c r="A55" s="138"/>
      <c r="B55" s="158"/>
      <c r="C55" s="183"/>
      <c r="D55" s="183">
        <f>D54-C54</f>
        <v>2.0000000000000018E-3</v>
      </c>
      <c r="E55" s="183">
        <f>E54-D54</f>
        <v>2.0000000000000018E-3</v>
      </c>
      <c r="F55" s="183">
        <f>F54-E54</f>
        <v>2.0000000000000018E-3</v>
      </c>
      <c r="G55" s="183">
        <f>G54-F54</f>
        <v>1.0000000000000009E-3</v>
      </c>
      <c r="H55" s="183">
        <f>AVERAGE(D55:G55)</f>
        <v>1.7500000000000016E-3</v>
      </c>
      <c r="I55" s="146" t="s">
        <v>293</v>
      </c>
      <c r="J55" s="138"/>
      <c r="K55" s="138"/>
    </row>
    <row r="56" spans="1:14" x14ac:dyDescent="0.2">
      <c r="B56" s="165" t="s">
        <v>228</v>
      </c>
      <c r="C56" s="181">
        <v>0.73</v>
      </c>
      <c r="D56" s="181">
        <v>0.72499999999999998</v>
      </c>
      <c r="E56" s="181">
        <v>0.72</v>
      </c>
      <c r="F56" s="181">
        <v>0.71499999999999997</v>
      </c>
      <c r="G56" s="181">
        <v>0.71</v>
      </c>
      <c r="H56" s="184">
        <f>AVERAGE(C56:G56)</f>
        <v>0.72</v>
      </c>
      <c r="I56" s="177" t="s">
        <v>294</v>
      </c>
    </row>
    <row r="57" spans="1:14" x14ac:dyDescent="0.2">
      <c r="B57" s="47"/>
      <c r="C57" s="185"/>
      <c r="D57" s="185">
        <f>D56-C56</f>
        <v>-5.0000000000000044E-3</v>
      </c>
      <c r="E57" s="185">
        <f>E56-D56</f>
        <v>-5.0000000000000044E-3</v>
      </c>
      <c r="F57" s="185">
        <f>F56-E56</f>
        <v>-5.0000000000000044E-3</v>
      </c>
      <c r="G57" s="185">
        <f>G56-F56</f>
        <v>-5.0000000000000044E-3</v>
      </c>
      <c r="H57" s="185">
        <f>AVERAGE(D57:G57)</f>
        <v>-5.0000000000000044E-3</v>
      </c>
      <c r="I57" s="129" t="s">
        <v>295</v>
      </c>
    </row>
    <row r="58" spans="1:14" x14ac:dyDescent="0.2">
      <c r="B58" s="126" t="s">
        <v>15</v>
      </c>
      <c r="C58" s="7"/>
      <c r="D58" s="7"/>
      <c r="E58" s="7"/>
      <c r="F58" s="7"/>
      <c r="G58" s="7"/>
    </row>
    <row r="59" spans="1:14" x14ac:dyDescent="0.2">
      <c r="B59" s="124"/>
      <c r="C59" s="125" t="s">
        <v>58</v>
      </c>
      <c r="D59" s="125" t="s">
        <v>59</v>
      </c>
      <c r="E59" s="125" t="s">
        <v>60</v>
      </c>
      <c r="F59" s="125" t="s">
        <v>61</v>
      </c>
      <c r="G59" s="125" t="s">
        <v>132</v>
      </c>
      <c r="H59" s="127"/>
      <c r="I59" s="127"/>
    </row>
    <row r="60" spans="1:14" x14ac:dyDescent="0.2">
      <c r="B60" s="139" t="s">
        <v>288</v>
      </c>
      <c r="C60" s="140">
        <v>117.419</v>
      </c>
      <c r="D60" s="140">
        <v>183.61899999999997</v>
      </c>
      <c r="E60" s="140">
        <v>270.93399999999997</v>
      </c>
      <c r="F60" s="140">
        <v>391.024</v>
      </c>
      <c r="G60" s="140">
        <v>549.68899999999996</v>
      </c>
    </row>
    <row r="61" spans="1:14" x14ac:dyDescent="0.2">
      <c r="B61" s="139" t="s">
        <v>289</v>
      </c>
      <c r="C61" s="175">
        <v>0.72617133386107258</v>
      </c>
      <c r="D61" s="175">
        <v>0.73221492032603308</v>
      </c>
      <c r="E61" s="175">
        <v>0.73325484783285289</v>
      </c>
      <c r="F61" s="175">
        <v>0.73624058338307197</v>
      </c>
      <c r="G61" s="175">
        <v>0.73485476401826677</v>
      </c>
      <c r="H61" s="167"/>
      <c r="I61" s="128"/>
    </row>
    <row r="62" spans="1:14" x14ac:dyDescent="0.2">
      <c r="B62" s="130"/>
      <c r="D62" s="131"/>
      <c r="E62" s="131"/>
      <c r="F62" s="131"/>
      <c r="G62" s="131"/>
      <c r="H62" s="131"/>
    </row>
    <row r="63" spans="1:14" x14ac:dyDescent="0.2">
      <c r="A63" s="138"/>
      <c r="B63" s="133" t="s">
        <v>297</v>
      </c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</row>
    <row r="64" spans="1:14" x14ac:dyDescent="0.2">
      <c r="B64" s="47"/>
      <c r="C64" s="132"/>
      <c r="D64" s="168"/>
      <c r="E64" s="168"/>
      <c r="F64" s="168"/>
      <c r="G64" s="168"/>
      <c r="H64" s="168"/>
      <c r="I64" s="128"/>
    </row>
    <row r="65" spans="2:9" x14ac:dyDescent="0.2">
      <c r="B65" s="126" t="s">
        <v>298</v>
      </c>
      <c r="C65" s="7"/>
      <c r="D65" s="7"/>
      <c r="E65" s="7"/>
      <c r="F65" s="7"/>
      <c r="G65" s="7"/>
      <c r="H65" s="7"/>
      <c r="I65" s="7"/>
    </row>
    <row r="66" spans="2:9" x14ac:dyDescent="0.2">
      <c r="B66" s="187"/>
      <c r="C66" s="188" t="s">
        <v>210</v>
      </c>
      <c r="D66" s="125" t="s">
        <v>211</v>
      </c>
      <c r="E66" s="125" t="s">
        <v>212</v>
      </c>
      <c r="F66" s="125" t="s">
        <v>213</v>
      </c>
      <c r="G66" s="125" t="s">
        <v>214</v>
      </c>
      <c r="H66" s="125" t="s">
        <v>264</v>
      </c>
      <c r="I66" s="189" t="s">
        <v>265</v>
      </c>
    </row>
    <row r="67" spans="2:9" x14ac:dyDescent="0.2">
      <c r="B67" s="209" t="s">
        <v>230</v>
      </c>
      <c r="C67" s="181">
        <f>G75-1%</f>
        <v>0.30140712062714597</v>
      </c>
      <c r="D67" s="136">
        <f>C67-1%</f>
        <v>0.29140712062714597</v>
      </c>
      <c r="E67" s="136">
        <f t="shared" ref="E67:G67" si="0">D67-1%</f>
        <v>0.28140712062714596</v>
      </c>
      <c r="F67" s="136">
        <f t="shared" si="0"/>
        <v>0.27140712062714595</v>
      </c>
      <c r="G67" s="136">
        <f t="shared" si="0"/>
        <v>0.26140712062714594</v>
      </c>
      <c r="H67" s="128">
        <f>AVERAGE(C67:G67)</f>
        <v>0.28140712062714596</v>
      </c>
      <c r="I67" s="190" t="s">
        <v>299</v>
      </c>
    </row>
    <row r="68" spans="2:9" x14ac:dyDescent="0.2">
      <c r="B68" s="210"/>
      <c r="C68" s="191"/>
      <c r="D68" s="191">
        <f>D67-C67</f>
        <v>-1.0000000000000009E-2</v>
      </c>
      <c r="E68" s="191">
        <f>E67-D67</f>
        <v>-1.0000000000000009E-2</v>
      </c>
      <c r="F68" s="191">
        <f>F67-E67</f>
        <v>-1.0000000000000009E-2</v>
      </c>
      <c r="G68" s="191">
        <f>G67-F67</f>
        <v>-1.0000000000000009E-2</v>
      </c>
      <c r="H68" s="191"/>
      <c r="I68" s="192" t="s">
        <v>300</v>
      </c>
    </row>
    <row r="69" spans="2:9" x14ac:dyDescent="0.2">
      <c r="B69" s="211" t="s">
        <v>232</v>
      </c>
      <c r="C69" s="136">
        <f>G75-0.5%</f>
        <v>0.30640712062714598</v>
      </c>
      <c r="D69" s="136">
        <f>C69-0.5%</f>
        <v>0.30140712062714597</v>
      </c>
      <c r="E69" s="136">
        <f t="shared" ref="E69:G69" si="1">D69-0.5%</f>
        <v>0.29640712062714597</v>
      </c>
      <c r="F69" s="136">
        <f t="shared" si="1"/>
        <v>0.29140712062714597</v>
      </c>
      <c r="G69" s="136">
        <f t="shared" si="1"/>
        <v>0.28640712062714596</v>
      </c>
      <c r="H69" s="217">
        <f>AVERAGE(C69:G69)</f>
        <v>0.29640712062714597</v>
      </c>
      <c r="I69" s="194" t="s">
        <v>301</v>
      </c>
    </row>
    <row r="70" spans="2:9" x14ac:dyDescent="0.2">
      <c r="B70" s="210"/>
      <c r="C70" s="195"/>
      <c r="D70" s="213">
        <f>D69-C69</f>
        <v>-5.0000000000000044E-3</v>
      </c>
      <c r="E70" s="213">
        <f>E69-D69</f>
        <v>-5.0000000000000044E-3</v>
      </c>
      <c r="F70" s="213">
        <f>F69-E69</f>
        <v>-5.0000000000000044E-3</v>
      </c>
      <c r="G70" s="213">
        <f>G69-F69</f>
        <v>-5.0000000000000044E-3</v>
      </c>
      <c r="H70" s="195"/>
      <c r="I70" s="214" t="s">
        <v>302</v>
      </c>
    </row>
    <row r="71" spans="2:9" x14ac:dyDescent="0.2">
      <c r="B71" s="212" t="s">
        <v>228</v>
      </c>
      <c r="C71" s="216">
        <f>33%</f>
        <v>0.33</v>
      </c>
      <c r="D71" s="216">
        <f>C71</f>
        <v>0.33</v>
      </c>
      <c r="E71" s="216">
        <f t="shared" ref="E71:G71" si="2">D71</f>
        <v>0.33</v>
      </c>
      <c r="F71" s="216">
        <f t="shared" si="2"/>
        <v>0.33</v>
      </c>
      <c r="G71" s="216">
        <f t="shared" si="2"/>
        <v>0.33</v>
      </c>
      <c r="H71" s="128">
        <f>AVERAGE(C71:G71)</f>
        <v>0.33</v>
      </c>
      <c r="I71" s="177" t="s">
        <v>310</v>
      </c>
    </row>
    <row r="72" spans="2:9" x14ac:dyDescent="0.2">
      <c r="B72" s="210"/>
      <c r="C72" s="206"/>
      <c r="D72" s="191">
        <f>D71-C71</f>
        <v>0</v>
      </c>
      <c r="E72" s="191">
        <f>E71-D71</f>
        <v>0</v>
      </c>
      <c r="F72" s="191">
        <f>F71-E71</f>
        <v>0</v>
      </c>
      <c r="G72" s="191">
        <f>G71-F71</f>
        <v>0</v>
      </c>
      <c r="H72" s="206"/>
      <c r="I72" s="129"/>
    </row>
    <row r="73" spans="2:9" x14ac:dyDescent="0.2">
      <c r="B73" s="126" t="s">
        <v>15</v>
      </c>
      <c r="C73" s="196"/>
      <c r="D73" s="197"/>
      <c r="E73" s="197"/>
      <c r="F73" s="197"/>
      <c r="G73" s="197"/>
      <c r="H73" s="197"/>
    </row>
    <row r="74" spans="2:9" x14ac:dyDescent="0.2">
      <c r="B74" s="124"/>
      <c r="C74" s="125" t="s">
        <v>58</v>
      </c>
      <c r="D74" s="125" t="s">
        <v>59</v>
      </c>
      <c r="E74" s="125" t="s">
        <v>60</v>
      </c>
      <c r="F74" s="125" t="s">
        <v>61</v>
      </c>
      <c r="G74" s="125" t="s">
        <v>132</v>
      </c>
      <c r="H74" s="125" t="s">
        <v>264</v>
      </c>
    </row>
    <row r="75" spans="2:9" x14ac:dyDescent="0.2">
      <c r="B75" s="47" t="s">
        <v>303</v>
      </c>
      <c r="C75" s="208">
        <v>0.32792400554126261</v>
      </c>
      <c r="D75" s="208">
        <v>0.41386996953407879</v>
      </c>
      <c r="E75" s="208">
        <v>0.40310153046725933</v>
      </c>
      <c r="F75" s="208">
        <v>0.36282947568201629</v>
      </c>
      <c r="G75" s="208">
        <v>0.31140712062714598</v>
      </c>
      <c r="H75" s="215">
        <f>AVERAGE(C75:G75)</f>
        <v>0.36382642037035262</v>
      </c>
      <c r="I75" s="170"/>
    </row>
    <row r="76" spans="2:9" x14ac:dyDescent="0.2">
      <c r="B76" s="169"/>
      <c r="D76" s="131"/>
      <c r="E76" s="131"/>
      <c r="F76" s="131"/>
      <c r="G76" s="131"/>
      <c r="H76" s="131"/>
    </row>
    <row r="77" spans="2:9" x14ac:dyDescent="0.2">
      <c r="B77" s="126" t="s">
        <v>304</v>
      </c>
      <c r="C77" s="7"/>
      <c r="D77" s="7"/>
      <c r="E77" s="7"/>
      <c r="F77" s="7"/>
      <c r="G77" s="7"/>
      <c r="H77" s="7"/>
      <c r="I77" s="7"/>
    </row>
    <row r="78" spans="2:9" x14ac:dyDescent="0.2">
      <c r="B78" s="187"/>
      <c r="C78" s="188" t="s">
        <v>210</v>
      </c>
      <c r="D78" s="125" t="s">
        <v>211</v>
      </c>
      <c r="E78" s="125" t="s">
        <v>212</v>
      </c>
      <c r="F78" s="125" t="s">
        <v>213</v>
      </c>
      <c r="G78" s="125" t="s">
        <v>214</v>
      </c>
      <c r="H78" s="125" t="s">
        <v>264</v>
      </c>
      <c r="I78" s="125" t="s">
        <v>265</v>
      </c>
    </row>
    <row r="79" spans="2:9" x14ac:dyDescent="0.2">
      <c r="B79" s="198" t="s">
        <v>230</v>
      </c>
      <c r="C79" s="178">
        <f>G88-0.5%</f>
        <v>0.31895484636856569</v>
      </c>
      <c r="D79" s="178">
        <f>C79-0.5%</f>
        <v>0.31395484636856569</v>
      </c>
      <c r="E79" s="178">
        <f t="shared" ref="E79:G79" si="3">D79-0.5%</f>
        <v>0.30895484636856568</v>
      </c>
      <c r="F79" s="178">
        <f t="shared" si="3"/>
        <v>0.30395484636856568</v>
      </c>
      <c r="G79" s="178">
        <f t="shared" si="3"/>
        <v>0.29895484636856567</v>
      </c>
      <c r="H79" s="179">
        <f>AVERAGE(C79:G79)</f>
        <v>0.30895484636856568</v>
      </c>
      <c r="I79" s="190" t="s">
        <v>305</v>
      </c>
    </row>
    <row r="80" spans="2:9" x14ac:dyDescent="0.2">
      <c r="B80" s="169"/>
      <c r="C80" s="180"/>
      <c r="D80" s="185">
        <f>D79-C79</f>
        <v>-5.0000000000000044E-3</v>
      </c>
      <c r="E80" s="185">
        <f>E79-D79</f>
        <v>-5.0000000000000044E-3</v>
      </c>
      <c r="F80" s="219">
        <f>F79-E79</f>
        <v>-5.0000000000000044E-3</v>
      </c>
      <c r="G80" s="185">
        <f>G79-F79</f>
        <v>-5.0000000000000044E-3</v>
      </c>
      <c r="H80" s="185">
        <f>AVERAGE(D80:G80)</f>
        <v>-5.0000000000000044E-3</v>
      </c>
      <c r="I80" s="129" t="s">
        <v>302</v>
      </c>
    </row>
    <row r="81" spans="1:11" x14ac:dyDescent="0.2">
      <c r="B81" s="193" t="s">
        <v>232</v>
      </c>
      <c r="C81" s="178">
        <f>$G$88</f>
        <v>0.3239548463685657</v>
      </c>
      <c r="D81" s="178">
        <f t="shared" ref="D81:G81" si="4">$G$88</f>
        <v>0.3239548463685657</v>
      </c>
      <c r="E81" s="178">
        <f t="shared" si="4"/>
        <v>0.3239548463685657</v>
      </c>
      <c r="F81" s="178">
        <f t="shared" si="4"/>
        <v>0.3239548463685657</v>
      </c>
      <c r="G81" s="178">
        <f t="shared" si="4"/>
        <v>0.3239548463685657</v>
      </c>
      <c r="H81" s="179">
        <f>AVERAGE(C81:G81)</f>
        <v>0.3239548463685657</v>
      </c>
      <c r="I81" s="199" t="s">
        <v>311</v>
      </c>
    </row>
    <row r="82" spans="1:11" x14ac:dyDescent="0.2">
      <c r="B82" s="169"/>
      <c r="C82" s="180"/>
      <c r="D82" s="180">
        <f>D81-C81</f>
        <v>0</v>
      </c>
      <c r="E82" s="180">
        <f>E81-D81</f>
        <v>0</v>
      </c>
      <c r="F82" s="218">
        <f>F81-E81</f>
        <v>0</v>
      </c>
      <c r="G82" s="180">
        <f>G81-F81</f>
        <v>0</v>
      </c>
      <c r="H82" s="180">
        <f>AVERAGE(D82:G82)</f>
        <v>0</v>
      </c>
      <c r="I82" s="129"/>
    </row>
    <row r="83" spans="1:11" x14ac:dyDescent="0.2">
      <c r="B83" s="200" t="s">
        <v>228</v>
      </c>
      <c r="C83" s="178">
        <f>35%</f>
        <v>0.35</v>
      </c>
      <c r="D83" s="178">
        <f>35%</f>
        <v>0.35</v>
      </c>
      <c r="E83" s="178">
        <f>35%</f>
        <v>0.35</v>
      </c>
      <c r="F83" s="178">
        <f>35%</f>
        <v>0.35</v>
      </c>
      <c r="G83" s="178">
        <f>35%</f>
        <v>0.35</v>
      </c>
      <c r="H83" s="179">
        <f>AVERAGE(C83:G83)</f>
        <v>0.35</v>
      </c>
      <c r="I83" s="177" t="s">
        <v>312</v>
      </c>
    </row>
    <row r="84" spans="1:11" x14ac:dyDescent="0.2">
      <c r="B84" s="169"/>
      <c r="C84" s="180"/>
      <c r="D84" s="180">
        <f>D83-C83</f>
        <v>0</v>
      </c>
      <c r="E84" s="180">
        <f>E83-D83</f>
        <v>0</v>
      </c>
      <c r="F84" s="218">
        <f>F83-E83</f>
        <v>0</v>
      </c>
      <c r="G84" s="180">
        <f>G83-F83</f>
        <v>0</v>
      </c>
      <c r="H84" s="180">
        <f>AVERAGE(D84:G84)</f>
        <v>0</v>
      </c>
      <c r="I84" s="129"/>
    </row>
    <row r="85" spans="1:11" x14ac:dyDescent="0.2">
      <c r="B85" s="166"/>
    </row>
    <row r="86" spans="1:11" x14ac:dyDescent="0.2">
      <c r="B86" s="126" t="s">
        <v>15</v>
      </c>
      <c r="C86" s="7"/>
      <c r="D86" s="7"/>
      <c r="E86" s="7"/>
      <c r="F86" s="7"/>
      <c r="G86" s="7"/>
      <c r="H86" s="7"/>
    </row>
    <row r="87" spans="1:11" x14ac:dyDescent="0.2">
      <c r="B87" s="124"/>
      <c r="C87" s="125" t="s">
        <v>58</v>
      </c>
      <c r="D87" s="125" t="s">
        <v>59</v>
      </c>
      <c r="E87" s="125" t="s">
        <v>60</v>
      </c>
      <c r="F87" s="125" t="s">
        <v>61</v>
      </c>
      <c r="G87" s="125" t="s">
        <v>132</v>
      </c>
      <c r="H87" s="125" t="s">
        <v>264</v>
      </c>
    </row>
    <row r="88" spans="1:11" x14ac:dyDescent="0.2">
      <c r="B88" s="47" t="s">
        <v>52</v>
      </c>
      <c r="C88" s="179">
        <v>0.48157035424500294</v>
      </c>
      <c r="D88" s="179">
        <v>0.53117572934777413</v>
      </c>
      <c r="E88" s="179">
        <v>0.49169542213020473</v>
      </c>
      <c r="F88" s="179">
        <v>0.38438060737061502</v>
      </c>
      <c r="G88" s="179">
        <v>0.3239548463685657</v>
      </c>
      <c r="H88" s="234">
        <f>AVERAGE(C88:G88)</f>
        <v>0.44255539189243248</v>
      </c>
    </row>
    <row r="90" spans="1:11" x14ac:dyDescent="0.2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</row>
    <row r="91" spans="1:11" x14ac:dyDescent="0.2">
      <c r="A91" s="138"/>
      <c r="B91" s="126" t="s">
        <v>306</v>
      </c>
      <c r="C91" s="7"/>
      <c r="D91" s="7"/>
      <c r="E91" s="7"/>
      <c r="F91" s="7"/>
      <c r="G91" s="7"/>
      <c r="H91" s="7"/>
      <c r="I91" s="7"/>
      <c r="J91" s="138"/>
      <c r="K91" s="138"/>
    </row>
    <row r="92" spans="1:11" x14ac:dyDescent="0.2">
      <c r="B92" s="187"/>
      <c r="C92" s="125" t="s">
        <v>210</v>
      </c>
      <c r="D92" s="125" t="s">
        <v>211</v>
      </c>
      <c r="E92" s="125" t="s">
        <v>212</v>
      </c>
      <c r="F92" s="125" t="s">
        <v>213</v>
      </c>
      <c r="G92" s="125" t="s">
        <v>214</v>
      </c>
      <c r="H92" s="125" t="s">
        <v>264</v>
      </c>
      <c r="I92" s="125" t="s">
        <v>265</v>
      </c>
    </row>
    <row r="93" spans="1:11" x14ac:dyDescent="0.2">
      <c r="B93" s="201" t="s">
        <v>307</v>
      </c>
      <c r="C93" s="181">
        <v>1.4999999999999999E-2</v>
      </c>
      <c r="D93" s="181">
        <v>1.4999999999999999E-2</v>
      </c>
      <c r="E93" s="181">
        <v>1.4999999999999999E-2</v>
      </c>
      <c r="F93" s="181">
        <v>1.4999999999999999E-2</v>
      </c>
      <c r="G93" s="181">
        <v>1.4999999999999999E-2</v>
      </c>
      <c r="H93" s="184">
        <f>AVERAGE(C93:G93)</f>
        <v>1.4999999999999999E-2</v>
      </c>
      <c r="I93" s="202" t="s">
        <v>308</v>
      </c>
    </row>
    <row r="94" spans="1:11" x14ac:dyDescent="0.2">
      <c r="B94" s="129" t="s">
        <v>309</v>
      </c>
    </row>
    <row r="95" spans="1:11" x14ac:dyDescent="0.2">
      <c r="B95" s="105"/>
    </row>
    <row r="96" spans="1:11" x14ac:dyDescent="0.2">
      <c r="B96" s="224" t="s">
        <v>15</v>
      </c>
      <c r="C96" s="203"/>
      <c r="D96" s="203"/>
      <c r="E96" s="203"/>
      <c r="F96" s="203"/>
      <c r="G96" s="7"/>
    </row>
    <row r="97" spans="1:14" x14ac:dyDescent="0.2">
      <c r="B97" s="204"/>
      <c r="C97" s="125" t="s">
        <v>58</v>
      </c>
      <c r="D97" s="125" t="s">
        <v>59</v>
      </c>
      <c r="E97" s="125" t="s">
        <v>60</v>
      </c>
      <c r="F97" s="205" t="s">
        <v>61</v>
      </c>
      <c r="G97" s="125" t="s">
        <v>132</v>
      </c>
    </row>
    <row r="98" spans="1:14" x14ac:dyDescent="0.2">
      <c r="B98" s="94" t="s">
        <v>53</v>
      </c>
      <c r="C98" s="220">
        <v>1.3952107658816543E-2</v>
      </c>
      <c r="D98" s="220">
        <v>1.0870432105657728E-2</v>
      </c>
      <c r="E98" s="220">
        <v>1.3180151287568168E-2</v>
      </c>
      <c r="F98" s="221">
        <v>1.3358839710869142E-2</v>
      </c>
      <c r="G98" s="220">
        <v>1.4510229618301016E-2</v>
      </c>
    </row>
    <row r="99" spans="1:14" x14ac:dyDescent="0.2">
      <c r="B99" s="94"/>
      <c r="F99" s="108"/>
    </row>
    <row r="100" spans="1:14" x14ac:dyDescent="0.2">
      <c r="A100" s="138"/>
      <c r="B100" s="133" t="s">
        <v>313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</row>
    <row r="102" spans="1:14" x14ac:dyDescent="0.2">
      <c r="B102" s="129" t="s">
        <v>314</v>
      </c>
    </row>
    <row r="103" spans="1:14" x14ac:dyDescent="0.2">
      <c r="B103" s="224" t="s">
        <v>324</v>
      </c>
      <c r="C103" s="203"/>
      <c r="D103" s="203"/>
      <c r="E103" s="203"/>
      <c r="F103" s="203"/>
      <c r="G103" s="7"/>
    </row>
    <row r="104" spans="1:14" x14ac:dyDescent="0.2">
      <c r="B104" s="129" t="s">
        <v>315</v>
      </c>
    </row>
    <row r="105" spans="1:14" x14ac:dyDescent="0.2">
      <c r="B105" s="93"/>
    </row>
    <row r="106" spans="1:14" x14ac:dyDescent="0.2">
      <c r="B106" s="106" t="s">
        <v>316</v>
      </c>
      <c r="C106" s="106" t="s">
        <v>210</v>
      </c>
      <c r="D106" s="106" t="s">
        <v>211</v>
      </c>
      <c r="E106" s="106" t="s">
        <v>212</v>
      </c>
      <c r="F106" s="106" t="s">
        <v>213</v>
      </c>
      <c r="G106" s="106" t="s">
        <v>214</v>
      </c>
      <c r="H106" s="106" t="s">
        <v>264</v>
      </c>
      <c r="I106" s="106" t="s">
        <v>317</v>
      </c>
      <c r="J106" s="106"/>
    </row>
    <row r="107" spans="1:14" x14ac:dyDescent="0.2">
      <c r="B107" s="225" t="s">
        <v>318</v>
      </c>
      <c r="C107" s="226">
        <v>0.15</v>
      </c>
      <c r="D107" s="226">
        <v>0.17</v>
      </c>
      <c r="E107" s="226">
        <v>0.18</v>
      </c>
      <c r="F107" s="98">
        <v>0.19</v>
      </c>
      <c r="G107" s="98">
        <v>0.2</v>
      </c>
      <c r="H107" s="227">
        <f>AVERAGE(C107:G107)</f>
        <v>0.17799999999999999</v>
      </c>
      <c r="I107" s="495" t="s">
        <v>319</v>
      </c>
      <c r="J107" s="495"/>
    </row>
    <row r="108" spans="1:14" x14ac:dyDescent="0.2">
      <c r="B108" s="94"/>
      <c r="F108" s="96"/>
      <c r="G108" s="96"/>
      <c r="H108" s="96"/>
      <c r="I108" s="96"/>
      <c r="J108" s="96"/>
    </row>
    <row r="109" spans="1:14" x14ac:dyDescent="0.2">
      <c r="B109" s="228" t="s">
        <v>320</v>
      </c>
      <c r="D109" s="229">
        <f>D107-C107</f>
        <v>2.0000000000000018E-2</v>
      </c>
      <c r="E109" s="229">
        <f>E107-D107</f>
        <v>9.9999999999999811E-3</v>
      </c>
      <c r="F109" s="214">
        <f>F107-E107</f>
        <v>1.0000000000000009E-2</v>
      </c>
      <c r="G109" s="214">
        <f>G107-F107</f>
        <v>1.0000000000000009E-2</v>
      </c>
      <c r="H109" s="96"/>
      <c r="I109" s="96"/>
      <c r="J109" s="96"/>
    </row>
    <row r="110" spans="1:14" x14ac:dyDescent="0.2">
      <c r="B110" s="94"/>
      <c r="F110" s="96"/>
      <c r="G110" s="96"/>
      <c r="H110" s="96"/>
      <c r="I110" s="96"/>
      <c r="J110" s="96"/>
    </row>
    <row r="111" spans="1:14" x14ac:dyDescent="0.2">
      <c r="B111" s="114" t="s">
        <v>321</v>
      </c>
    </row>
    <row r="112" spans="1:14" x14ac:dyDescent="0.2">
      <c r="B112" s="230" t="s">
        <v>322</v>
      </c>
    </row>
    <row r="113" spans="1:14" x14ac:dyDescent="0.2">
      <c r="B113" s="231" t="s">
        <v>323</v>
      </c>
    </row>
    <row r="114" spans="1:14" x14ac:dyDescent="0.2">
      <c r="B114" s="106"/>
      <c r="C114" s="106"/>
      <c r="D114" s="106"/>
      <c r="E114" s="106"/>
      <c r="F114" s="106"/>
      <c r="G114" s="106"/>
      <c r="H114" s="106"/>
      <c r="I114" s="106"/>
      <c r="J114" s="106"/>
    </row>
    <row r="115" spans="1:14" x14ac:dyDescent="0.2">
      <c r="B115" s="104"/>
    </row>
    <row r="116" spans="1:14" x14ac:dyDescent="0.2">
      <c r="A116" s="138"/>
      <c r="B116" s="133" t="s">
        <v>342</v>
      </c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</row>
    <row r="117" spans="1:14" x14ac:dyDescent="0.2">
      <c r="B117" s="103"/>
      <c r="F117" s="98"/>
      <c r="G117" s="98"/>
      <c r="H117" s="98"/>
      <c r="I117" s="98"/>
      <c r="J117" s="98"/>
    </row>
    <row r="118" spans="1:14" x14ac:dyDescent="0.2">
      <c r="B118" s="102"/>
      <c r="F118" s="98"/>
      <c r="G118" s="98"/>
      <c r="H118" s="98"/>
      <c r="I118" s="98"/>
      <c r="J118" s="98"/>
    </row>
    <row r="119" spans="1:14" x14ac:dyDescent="0.2">
      <c r="B119" s="134" t="s">
        <v>344</v>
      </c>
      <c r="C119" s="7"/>
      <c r="D119" s="7"/>
      <c r="E119" s="7"/>
      <c r="F119" s="7"/>
      <c r="G119" s="7"/>
      <c r="H119" s="7"/>
    </row>
    <row r="120" spans="1:14" x14ac:dyDescent="0.2">
      <c r="B120" s="245" t="s">
        <v>343</v>
      </c>
      <c r="C120" s="135"/>
      <c r="D120" s="135"/>
      <c r="E120" s="135"/>
      <c r="F120" s="135"/>
      <c r="G120" s="135"/>
      <c r="H120" s="135"/>
    </row>
    <row r="121" spans="1:14" x14ac:dyDescent="0.2">
      <c r="B121" s="164"/>
      <c r="C121" s="45" t="s">
        <v>210</v>
      </c>
      <c r="D121" s="45" t="s">
        <v>211</v>
      </c>
      <c r="E121" s="45" t="s">
        <v>212</v>
      </c>
      <c r="F121" s="45" t="s">
        <v>213</v>
      </c>
      <c r="G121" s="45" t="s">
        <v>214</v>
      </c>
      <c r="H121" s="99"/>
      <c r="I121" s="99"/>
      <c r="J121" s="99"/>
    </row>
    <row r="122" spans="1:14" x14ac:dyDescent="0.2">
      <c r="B122" s="244" t="s">
        <v>164</v>
      </c>
      <c r="C122" s="207">
        <f>H134</f>
        <v>62.027778509587549</v>
      </c>
      <c r="D122" s="207">
        <f t="shared" ref="D122:G122" si="5">I134</f>
        <v>62.027778509587549</v>
      </c>
      <c r="E122" s="207">
        <f t="shared" si="5"/>
        <v>62.027778509587549</v>
      </c>
      <c r="F122" s="207">
        <f t="shared" si="5"/>
        <v>62.027778509587549</v>
      </c>
      <c r="G122" s="207">
        <f t="shared" si="5"/>
        <v>62.027778509587549</v>
      </c>
      <c r="H122" s="99"/>
      <c r="I122" s="99"/>
      <c r="J122" s="99"/>
    </row>
    <row r="123" spans="1:14" x14ac:dyDescent="0.2">
      <c r="B123" s="244" t="s">
        <v>165</v>
      </c>
      <c r="C123" s="207">
        <f>H142</f>
        <v>11.743086192553005</v>
      </c>
      <c r="D123" s="207">
        <f t="shared" ref="D123:G123" si="6">I142</f>
        <v>11.743086192553005</v>
      </c>
      <c r="E123" s="207">
        <f t="shared" si="6"/>
        <v>11.743086192553005</v>
      </c>
      <c r="F123" s="207">
        <f t="shared" si="6"/>
        <v>11.743086192553005</v>
      </c>
      <c r="G123" s="207">
        <f t="shared" si="6"/>
        <v>11.743086192553005</v>
      </c>
      <c r="H123" s="99"/>
      <c r="I123" s="99"/>
      <c r="J123" s="99"/>
    </row>
    <row r="124" spans="1:14" x14ac:dyDescent="0.2">
      <c r="B124" s="244"/>
      <c r="F124" s="99"/>
      <c r="G124" s="99"/>
      <c r="H124" s="99"/>
      <c r="I124" s="99"/>
      <c r="J124" s="99"/>
    </row>
    <row r="125" spans="1:14" x14ac:dyDescent="0.2">
      <c r="B125" s="246" t="s">
        <v>346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1:14" x14ac:dyDescent="0.2">
      <c r="B126" s="165"/>
      <c r="C126" s="52" t="s">
        <v>58</v>
      </c>
      <c r="D126" s="52" t="s">
        <v>59</v>
      </c>
      <c r="E126" s="52" t="s">
        <v>60</v>
      </c>
      <c r="F126" s="52" t="s">
        <v>61</v>
      </c>
      <c r="G126" s="52" t="s">
        <v>132</v>
      </c>
      <c r="H126" s="52" t="s">
        <v>210</v>
      </c>
      <c r="I126" s="52" t="s">
        <v>211</v>
      </c>
      <c r="J126" s="52" t="s">
        <v>212</v>
      </c>
      <c r="K126" s="52" t="s">
        <v>213</v>
      </c>
      <c r="L126" s="52" t="s">
        <v>214</v>
      </c>
    </row>
    <row r="127" spans="1:14" x14ac:dyDescent="0.2">
      <c r="B127" s="94" t="s">
        <v>345</v>
      </c>
      <c r="C127" s="77">
        <v>365</v>
      </c>
      <c r="D127" s="77">
        <v>365</v>
      </c>
      <c r="E127" s="77">
        <v>365</v>
      </c>
      <c r="F127" s="77">
        <v>365</v>
      </c>
      <c r="G127" s="77">
        <v>365</v>
      </c>
      <c r="H127" s="77">
        <v>365</v>
      </c>
      <c r="I127" s="77">
        <v>365</v>
      </c>
      <c r="J127" s="77">
        <v>365</v>
      </c>
      <c r="K127" s="77">
        <v>365</v>
      </c>
      <c r="L127" s="77">
        <v>365</v>
      </c>
    </row>
    <row r="128" spans="1:14" x14ac:dyDescent="0.2">
      <c r="B128" s="103"/>
      <c r="F128" s="99"/>
      <c r="G128" s="99"/>
      <c r="H128" s="99"/>
      <c r="I128" s="99"/>
      <c r="J128" s="99"/>
    </row>
    <row r="129" spans="2:12" x14ac:dyDescent="0.2">
      <c r="B129" s="63" t="s">
        <v>351</v>
      </c>
      <c r="F129" s="99"/>
      <c r="G129" s="99"/>
      <c r="H129" s="99"/>
      <c r="I129" s="99"/>
      <c r="J129" s="99"/>
    </row>
    <row r="131" spans="2:12" x14ac:dyDescent="0.2">
      <c r="B131" s="46" t="s">
        <v>348</v>
      </c>
      <c r="C131" s="247">
        <f>'Historical Financials'!F38</f>
        <v>20.45</v>
      </c>
      <c r="D131" s="247">
        <f>'Historical Financials'!G38</f>
        <v>33.162999999999997</v>
      </c>
      <c r="E131" s="247">
        <f>'Historical Financials'!H38</f>
        <v>46.728000000000002</v>
      </c>
      <c r="F131" s="247">
        <f>'Historical Financials'!I38</f>
        <v>88.974999999999994</v>
      </c>
      <c r="G131" s="247">
        <f>'Historical Financials'!J38</f>
        <v>128.923</v>
      </c>
      <c r="H131" s="251">
        <f>H134*H133</f>
        <v>171.61002860001432</v>
      </c>
      <c r="I131" s="251">
        <f t="shared" ref="I131:L131" si="7">I134*I133</f>
        <v>223.09303718001863</v>
      </c>
      <c r="J131" s="251">
        <f t="shared" si="7"/>
        <v>283.32815721862363</v>
      </c>
      <c r="K131" s="251">
        <f t="shared" si="7"/>
        <v>351.32691495109333</v>
      </c>
      <c r="L131" s="251">
        <f t="shared" si="7"/>
        <v>428.61883624033379</v>
      </c>
    </row>
    <row r="132" spans="2:12" x14ac:dyDescent="0.2">
      <c r="B132" s="46" t="s">
        <v>347</v>
      </c>
      <c r="C132" s="247">
        <f>'Historical Financials'!F10</f>
        <v>161.696</v>
      </c>
      <c r="D132" s="247">
        <f>'Historical Financials'!G10</f>
        <v>250.77199999999999</v>
      </c>
      <c r="E132" s="247">
        <f>'Historical Financials'!H10</f>
        <v>369.495</v>
      </c>
      <c r="F132" s="247">
        <f>'Historical Financials'!I10</f>
        <v>531.10900000000004</v>
      </c>
      <c r="G132" s="247">
        <f>'Historical Financials'!J10</f>
        <v>748.024</v>
      </c>
      <c r="H132" s="75">
        <f>'Forecast Model'!H8</f>
        <v>1009.8324000000001</v>
      </c>
      <c r="I132" s="75">
        <f>'Forecast Model'!I8</f>
        <v>1312.7821200000003</v>
      </c>
      <c r="J132" s="75">
        <f>'Forecast Model'!J8</f>
        <v>1667.2332924000004</v>
      </c>
      <c r="K132" s="75">
        <f>'Forecast Model'!K8</f>
        <v>2067.3692825760004</v>
      </c>
      <c r="L132" s="75">
        <f>'Forecast Model'!L8</f>
        <v>2522.1905247427203</v>
      </c>
    </row>
    <row r="133" spans="2:12" x14ac:dyDescent="0.2">
      <c r="B133" s="46" t="s">
        <v>349</v>
      </c>
      <c r="C133" s="248">
        <f>C132/C127</f>
        <v>0.44300273972602738</v>
      </c>
      <c r="D133" s="248">
        <f t="shared" ref="D133:G133" si="8">D132/D127</f>
        <v>0.68704657534246572</v>
      </c>
      <c r="E133" s="248">
        <f t="shared" si="8"/>
        <v>1.0123150684931508</v>
      </c>
      <c r="F133" s="248">
        <f t="shared" si="8"/>
        <v>1.4550931506849316</v>
      </c>
      <c r="G133" s="248">
        <f t="shared" si="8"/>
        <v>2.0493808219178082</v>
      </c>
      <c r="H133" s="67">
        <f>H132/H127</f>
        <v>2.7666641095890414</v>
      </c>
      <c r="I133" s="67">
        <f t="shared" ref="I133:L133" si="9">I132/I127</f>
        <v>3.5966633424657544</v>
      </c>
      <c r="J133" s="67">
        <f t="shared" si="9"/>
        <v>4.5677624449315077</v>
      </c>
      <c r="K133" s="67">
        <f t="shared" si="9"/>
        <v>5.6640254317150696</v>
      </c>
      <c r="L133" s="67">
        <f t="shared" si="9"/>
        <v>6.910111026692384</v>
      </c>
    </row>
    <row r="134" spans="2:12" x14ac:dyDescent="0.2">
      <c r="B134" s="1" t="s">
        <v>350</v>
      </c>
      <c r="C134" s="249">
        <f>C131/C133</f>
        <v>46.162242727092817</v>
      </c>
      <c r="D134" s="249">
        <f t="shared" ref="D134:G134" si="10">D131/D133</f>
        <v>48.268925557877274</v>
      </c>
      <c r="E134" s="249">
        <f t="shared" si="10"/>
        <v>46.159542077700642</v>
      </c>
      <c r="F134" s="249">
        <f t="shared" si="10"/>
        <v>61.147288033153259</v>
      </c>
      <c r="G134" s="249">
        <f t="shared" si="10"/>
        <v>62.908268986021838</v>
      </c>
      <c r="H134" s="250">
        <f>AVERAGE(F134:G134)</f>
        <v>62.027778509587549</v>
      </c>
      <c r="I134" s="250">
        <f>H134</f>
        <v>62.027778509587549</v>
      </c>
      <c r="J134" s="250">
        <f t="shared" ref="J134:L134" si="11">AVERAGE(H134:I134)</f>
        <v>62.027778509587549</v>
      </c>
      <c r="K134" s="250">
        <f t="shared" si="11"/>
        <v>62.027778509587549</v>
      </c>
      <c r="L134" s="250">
        <f t="shared" si="11"/>
        <v>62.027778509587549</v>
      </c>
    </row>
    <row r="135" spans="2:12" x14ac:dyDescent="0.2">
      <c r="B135" s="252" t="s">
        <v>352</v>
      </c>
    </row>
    <row r="137" spans="2:12" x14ac:dyDescent="0.2">
      <c r="B137" s="63" t="s">
        <v>353</v>
      </c>
    </row>
    <row r="139" spans="2:12" x14ac:dyDescent="0.2">
      <c r="B139" s="46" t="s">
        <v>354</v>
      </c>
      <c r="C139" s="51">
        <f>'Historical Financials'!F55</f>
        <v>2.1960000000000002</v>
      </c>
      <c r="D139" s="51">
        <f>'Historical Financials'!G55</f>
        <v>7.8179999999999996</v>
      </c>
      <c r="E139" s="51">
        <f>'Historical Financials'!H55</f>
        <v>1.177</v>
      </c>
      <c r="F139" s="51">
        <f>'Historical Financials'!I55</f>
        <v>2.4470000000000001</v>
      </c>
      <c r="G139" s="51">
        <f>'Historical Financials'!J55</f>
        <v>6.3810000000000002</v>
      </c>
      <c r="H139" s="251">
        <f>H142*H141</f>
        <v>8.2847396517104936</v>
      </c>
      <c r="I139" s="251">
        <f t="shared" ref="I139:L139" si="12">I142*I141</f>
        <v>10.558981909042785</v>
      </c>
      <c r="J139" s="251">
        <f t="shared" si="12"/>
        <v>13.141708883994649</v>
      </c>
      <c r="K139" s="251">
        <f t="shared" si="12"/>
        <v>16.096179599629039</v>
      </c>
      <c r="L139" s="251">
        <f t="shared" si="12"/>
        <v>19.475047052774304</v>
      </c>
    </row>
    <row r="140" spans="2:12" x14ac:dyDescent="0.2">
      <c r="B140" s="46" t="s">
        <v>355</v>
      </c>
      <c r="C140" s="51">
        <f>'Historical Financials'!F11*-1</f>
        <v>44.277000000000001</v>
      </c>
      <c r="D140" s="51">
        <f>'Historical Financials'!G11*-1</f>
        <v>67.153000000000006</v>
      </c>
      <c r="E140" s="51">
        <f>'Historical Financials'!H11*-1</f>
        <v>98.561000000000007</v>
      </c>
      <c r="F140" s="51">
        <f>'Historical Financials'!I11*-1</f>
        <v>140.08500000000001</v>
      </c>
      <c r="G140" s="51">
        <f>'Historical Financials'!J11*-1</f>
        <v>198.33500000000001</v>
      </c>
      <c r="H140" s="75">
        <f>'Forecast Model'!H9*-1</f>
        <v>257.50726200000008</v>
      </c>
      <c r="I140" s="75">
        <f>'Forecast Model'!I9*-1</f>
        <v>328.19553000000008</v>
      </c>
      <c r="J140" s="75">
        <f>'Forecast Model'!J9*-1</f>
        <v>408.47215663800011</v>
      </c>
      <c r="K140" s="75">
        <f>'Forecast Model'!K9*-1</f>
        <v>500.30336638339213</v>
      </c>
      <c r="L140" s="75">
        <f>'Forecast Model'!L9*-1</f>
        <v>605.32572593825284</v>
      </c>
    </row>
    <row r="141" spans="2:12" x14ac:dyDescent="0.2">
      <c r="B141" s="46" t="s">
        <v>357</v>
      </c>
      <c r="C141" s="79">
        <f>C140/C127</f>
        <v>0.12130684931506849</v>
      </c>
      <c r="D141" s="79">
        <f t="shared" ref="D141:G141" si="13">D140/D127</f>
        <v>0.18398082191780823</v>
      </c>
      <c r="E141" s="79">
        <f t="shared" si="13"/>
        <v>0.27003013698630141</v>
      </c>
      <c r="F141" s="79">
        <f t="shared" si="13"/>
        <v>0.38379452054794522</v>
      </c>
      <c r="G141" s="79">
        <f t="shared" si="13"/>
        <v>0.54338356164383561</v>
      </c>
      <c r="H141" s="67">
        <f>H140/H127</f>
        <v>0.70549934794520575</v>
      </c>
      <c r="I141" s="67">
        <f t="shared" ref="I141:L141" si="14">I140/I127</f>
        <v>0.89916583561643859</v>
      </c>
      <c r="J141" s="67">
        <f t="shared" si="14"/>
        <v>1.1191017990082195</v>
      </c>
      <c r="K141" s="67">
        <f t="shared" si="14"/>
        <v>1.3706941544750468</v>
      </c>
      <c r="L141" s="67">
        <f t="shared" si="14"/>
        <v>1.6584266464061721</v>
      </c>
    </row>
    <row r="142" spans="2:12" x14ac:dyDescent="0.2">
      <c r="B142" s="1" t="s">
        <v>356</v>
      </c>
      <c r="C142" s="67">
        <f>C139/C141</f>
        <v>18.102852496781626</v>
      </c>
      <c r="D142" s="67">
        <f t="shared" ref="D142:G142" si="15">D139/D141</f>
        <v>42.493559483567367</v>
      </c>
      <c r="E142" s="67">
        <f t="shared" si="15"/>
        <v>4.3587727397246372</v>
      </c>
      <c r="F142" s="67">
        <f t="shared" si="15"/>
        <v>6.3758075454188532</v>
      </c>
      <c r="G142" s="67">
        <f t="shared" si="15"/>
        <v>11.743086192553005</v>
      </c>
      <c r="H142" s="250">
        <f>G142</f>
        <v>11.743086192553005</v>
      </c>
      <c r="I142" s="250">
        <f t="shared" ref="I142:L142" si="16">H142</f>
        <v>11.743086192553005</v>
      </c>
      <c r="J142" s="250">
        <f t="shared" si="16"/>
        <v>11.743086192553005</v>
      </c>
      <c r="K142" s="250">
        <f t="shared" si="16"/>
        <v>11.743086192553005</v>
      </c>
      <c r="L142" s="250">
        <f t="shared" si="16"/>
        <v>11.743086192553005</v>
      </c>
    </row>
    <row r="144" spans="2:12" x14ac:dyDescent="0.2">
      <c r="B144" s="63" t="s">
        <v>424</v>
      </c>
    </row>
    <row r="146" spans="1:14" x14ac:dyDescent="0.2">
      <c r="B146" s="46" t="s">
        <v>422</v>
      </c>
      <c r="C146" s="51">
        <f>'Historical Financials'!F94</f>
        <v>-8.4410000000000007</v>
      </c>
      <c r="D146" s="51">
        <f>'Historical Financials'!G94</f>
        <v>-14.317</v>
      </c>
      <c r="E146" s="51">
        <f>'Historical Financials'!H94</f>
        <v>-13.243</v>
      </c>
      <c r="F146" s="51">
        <f>'Historical Financials'!I94</f>
        <v>-19.202000000000002</v>
      </c>
      <c r="G146" s="51">
        <f>'Historical Financials'!J94</f>
        <v>-28.638000000000002</v>
      </c>
    </row>
    <row r="147" spans="1:14" x14ac:dyDescent="0.2">
      <c r="B147" s="46" t="s">
        <v>423</v>
      </c>
      <c r="C147" s="66">
        <f>C146/'Historical Financials'!F10</f>
        <v>-5.2202899267761733E-2</v>
      </c>
      <c r="D147" s="66">
        <f>D146/'Historical Financials'!G10</f>
        <v>-5.7091700827843622E-2</v>
      </c>
      <c r="E147" s="66">
        <f>E146/'Historical Financials'!H10</f>
        <v>-3.5840809753853231E-2</v>
      </c>
      <c r="F147" s="66">
        <f>F146/'Historical Financials'!I10</f>
        <v>-3.6154537015942116E-2</v>
      </c>
      <c r="G147" s="66">
        <f>G146/'Historical Financials'!J10</f>
        <v>-3.8284867865202188E-2</v>
      </c>
      <c r="H147" s="268">
        <f>AVERAGE(C147:G147)</f>
        <v>-4.391496294612058E-2</v>
      </c>
      <c r="I147" s="268">
        <f t="shared" ref="I147:L147" si="17">AVERAGE(D147:H147)</f>
        <v>-4.2257375681792345E-2</v>
      </c>
      <c r="J147" s="268">
        <f t="shared" si="17"/>
        <v>-3.9290510652582086E-2</v>
      </c>
      <c r="K147" s="268">
        <f t="shared" si="17"/>
        <v>-3.998045083232786E-2</v>
      </c>
      <c r="L147" s="268">
        <f t="shared" si="17"/>
        <v>-4.0745633595605013E-2</v>
      </c>
    </row>
    <row r="148" spans="1:14" x14ac:dyDescent="0.2">
      <c r="B148" s="46" t="s">
        <v>425</v>
      </c>
      <c r="C148" s="51">
        <f>'Historical Financials'!F95</f>
        <v>6.2130000000000001</v>
      </c>
      <c r="D148" s="51">
        <f>'Historical Financials'!G95</f>
        <v>3.7080000000000002</v>
      </c>
      <c r="E148" s="51">
        <f>'Historical Financials'!H95</f>
        <v>8.7200000000000006</v>
      </c>
      <c r="F148" s="51">
        <f>'Historical Financials'!I95</f>
        <v>3.444</v>
      </c>
      <c r="G148" s="51">
        <f>'Historical Financials'!J95</f>
        <v>16.850000000000001</v>
      </c>
    </row>
    <row r="149" spans="1:14" x14ac:dyDescent="0.2">
      <c r="B149" s="46" t="s">
        <v>423</v>
      </c>
      <c r="C149" s="66">
        <f>C148/'Historical Financials'!F10</f>
        <v>3.8423956065703542E-2</v>
      </c>
      <c r="D149" s="66">
        <f>D148/'Historical Financials'!G10</f>
        <v>1.4786339782750867E-2</v>
      </c>
      <c r="E149" s="66">
        <f>E148/'Historical Financials'!H10</f>
        <v>2.3599778075481401E-2</v>
      </c>
      <c r="F149" s="66">
        <f>F148/'Historical Financials'!I10</f>
        <v>6.484544603838383E-3</v>
      </c>
      <c r="G149" s="66">
        <f>G148/'Historical Financials'!J10</f>
        <v>2.2526015208068191E-2</v>
      </c>
      <c r="H149" s="268">
        <f>AVERAGE(C149:G149)</f>
        <v>2.1164126747168478E-2</v>
      </c>
      <c r="I149" s="268">
        <f t="shared" ref="I149:L149" si="18">AVERAGE(D149:H149)</f>
        <v>1.7712160883461465E-2</v>
      </c>
      <c r="J149" s="268">
        <f t="shared" si="18"/>
        <v>1.829732510360358E-2</v>
      </c>
      <c r="K149" s="268">
        <f t="shared" si="18"/>
        <v>1.723683450922802E-2</v>
      </c>
      <c r="L149" s="268">
        <f t="shared" si="18"/>
        <v>1.9387292490305946E-2</v>
      </c>
    </row>
    <row r="150" spans="1:14" x14ac:dyDescent="0.2">
      <c r="B150" s="121"/>
    </row>
    <row r="151" spans="1:14" x14ac:dyDescent="0.2">
      <c r="A151" s="138"/>
      <c r="B151" s="133" t="s">
        <v>358</v>
      </c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</row>
    <row r="152" spans="1:14" x14ac:dyDescent="0.2">
      <c r="B152" s="105"/>
    </row>
    <row r="153" spans="1:14" x14ac:dyDescent="0.2">
      <c r="B153" s="106"/>
      <c r="C153" s="106"/>
      <c r="D153" s="106"/>
      <c r="E153" s="106"/>
      <c r="F153" s="106"/>
      <c r="G153" s="106"/>
    </row>
    <row r="154" spans="1:14" x14ac:dyDescent="0.2">
      <c r="B154" s="134" t="s">
        <v>359</v>
      </c>
      <c r="C154" s="7"/>
      <c r="D154" s="7"/>
      <c r="E154" s="7"/>
      <c r="F154" s="7"/>
      <c r="G154" s="7"/>
      <c r="H154" s="7"/>
    </row>
    <row r="155" spans="1:14" x14ac:dyDescent="0.2">
      <c r="B155" s="245" t="s">
        <v>343</v>
      </c>
      <c r="C155" s="135"/>
      <c r="D155" s="135"/>
      <c r="E155" s="135"/>
      <c r="F155" s="135"/>
      <c r="G155" s="135"/>
      <c r="H155" s="135"/>
    </row>
    <row r="156" spans="1:14" x14ac:dyDescent="0.2">
      <c r="B156" s="164" t="s">
        <v>365</v>
      </c>
      <c r="C156" s="45" t="s">
        <v>210</v>
      </c>
      <c r="D156" s="45" t="s">
        <v>211</v>
      </c>
      <c r="E156" s="45" t="s">
        <v>212</v>
      </c>
      <c r="F156" s="45" t="s">
        <v>213</v>
      </c>
      <c r="G156" s="45" t="s">
        <v>214</v>
      </c>
      <c r="H156" s="99"/>
    </row>
    <row r="157" spans="1:14" x14ac:dyDescent="0.2">
      <c r="B157" s="244" t="s">
        <v>78</v>
      </c>
      <c r="C157" s="178">
        <f>$H$164</f>
        <v>9.6827486395898485E-2</v>
      </c>
      <c r="D157" s="178">
        <f t="shared" ref="D157:G157" si="19">$H$164</f>
        <v>9.6827486395898485E-2</v>
      </c>
      <c r="E157" s="178">
        <f t="shared" si="19"/>
        <v>9.6827486395898485E-2</v>
      </c>
      <c r="F157" s="178">
        <f t="shared" si="19"/>
        <v>9.6827486395898485E-2</v>
      </c>
      <c r="G157" s="178">
        <f t="shared" si="19"/>
        <v>9.6827486395898485E-2</v>
      </c>
      <c r="H157" s="99"/>
    </row>
    <row r="158" spans="1:14" x14ac:dyDescent="0.2">
      <c r="B158" s="244" t="s">
        <v>360</v>
      </c>
      <c r="C158" s="178">
        <f>$H$165</f>
        <v>2.1752586915610578E-2</v>
      </c>
      <c r="D158" s="178">
        <f t="shared" ref="D158:G158" si="20">$H$165</f>
        <v>2.1752586915610578E-2</v>
      </c>
      <c r="E158" s="178">
        <f t="shared" si="20"/>
        <v>2.1752586915610578E-2</v>
      </c>
      <c r="F158" s="178">
        <f t="shared" si="20"/>
        <v>2.1752586915610578E-2</v>
      </c>
      <c r="G158" s="178">
        <f t="shared" si="20"/>
        <v>2.1752586915610578E-2</v>
      </c>
      <c r="H158" s="99"/>
    </row>
    <row r="160" spans="1:14" x14ac:dyDescent="0.2">
      <c r="B160" s="105"/>
    </row>
    <row r="161" spans="1:14" x14ac:dyDescent="0.2">
      <c r="B161" s="126" t="s">
        <v>15</v>
      </c>
      <c r="C161" s="7"/>
      <c r="D161" s="7"/>
      <c r="E161" s="7"/>
      <c r="F161" s="7"/>
      <c r="G161" s="7"/>
      <c r="H161" s="7"/>
    </row>
    <row r="162" spans="1:14" x14ac:dyDescent="0.2">
      <c r="B162" s="124"/>
      <c r="C162" s="256" t="s">
        <v>58</v>
      </c>
      <c r="D162" s="256" t="s">
        <v>59</v>
      </c>
      <c r="E162" s="256" t="s">
        <v>60</v>
      </c>
      <c r="F162" s="256" t="s">
        <v>61</v>
      </c>
      <c r="G162" s="256" t="s">
        <v>132</v>
      </c>
      <c r="H162" s="125" t="s">
        <v>364</v>
      </c>
    </row>
    <row r="163" spans="1:14" x14ac:dyDescent="0.2">
      <c r="B163" s="94" t="s">
        <v>361</v>
      </c>
      <c r="C163" s="253">
        <f>'Historical Financials'!F10</f>
        <v>161.696</v>
      </c>
      <c r="D163" s="253">
        <f>'Historical Financials'!G10</f>
        <v>250.77199999999999</v>
      </c>
      <c r="E163" s="253">
        <f>'Historical Financials'!H10</f>
        <v>369.495</v>
      </c>
      <c r="F163" s="253">
        <f>'Historical Financials'!I10</f>
        <v>531.10900000000004</v>
      </c>
      <c r="G163" s="253">
        <f>'Historical Financials'!J10</f>
        <v>748.024</v>
      </c>
      <c r="H163" s="234"/>
    </row>
    <row r="164" spans="1:14" x14ac:dyDescent="0.2">
      <c r="B164" s="94" t="s">
        <v>362</v>
      </c>
      <c r="C164" s="66">
        <f>'Historical Financials'!F39/'Historical Financials'!F10</f>
        <v>8.40156837522264E-2</v>
      </c>
      <c r="D164" s="66">
        <f>'Historical Financials'!G39/'Historical Financials'!G10</f>
        <v>9.6577767852870339E-2</v>
      </c>
      <c r="E164" s="66">
        <f>'Historical Financials'!H39/'Historical Financials'!H10</f>
        <v>9.4834842149420145E-2</v>
      </c>
      <c r="F164" s="66">
        <f>'Historical Financials'!I39/'Historical Financials'!I10</f>
        <v>0.10154412747665732</v>
      </c>
      <c r="G164" s="66">
        <f>'Historical Financials'!J39/'Historical Financials'!J10</f>
        <v>0.10716501074831825</v>
      </c>
      <c r="H164" s="254">
        <f>AVERAGE(C164:G164)</f>
        <v>9.6827486395898485E-2</v>
      </c>
    </row>
    <row r="165" spans="1:14" x14ac:dyDescent="0.2">
      <c r="B165" s="94" t="s">
        <v>363</v>
      </c>
      <c r="C165" s="66">
        <f>'Historical Financials'!F41/'Historical Financials'!F10</f>
        <v>2.3841035028695823E-2</v>
      </c>
      <c r="D165" s="66">
        <f>'Historical Financials'!G41/'Historical Financials'!G10</f>
        <v>3.1769894565581484E-2</v>
      </c>
      <c r="E165" s="66">
        <f>'Historical Financials'!H41/'Historical Financials'!H10</f>
        <v>1.9578072775003719E-2</v>
      </c>
      <c r="F165" s="66">
        <f>'Historical Financials'!I41/'Historical Financials'!I10</f>
        <v>1.3710933160612981E-2</v>
      </c>
      <c r="G165" s="66">
        <f>'Historical Financials'!J41/'Historical Financials'!J10</f>
        <v>1.9862999048158882E-2</v>
      </c>
      <c r="H165" s="254">
        <f>AVERAGE(C165:G165)</f>
        <v>2.1752586915610578E-2</v>
      </c>
    </row>
    <row r="166" spans="1:14" x14ac:dyDescent="0.2">
      <c r="B166" s="106"/>
      <c r="C166" s="106"/>
      <c r="D166" s="106"/>
      <c r="E166" s="106"/>
      <c r="F166" s="118"/>
      <c r="G166" s="119"/>
      <c r="H166" s="120"/>
    </row>
    <row r="167" spans="1:14" x14ac:dyDescent="0.2">
      <c r="B167" s="122"/>
      <c r="C167" s="106"/>
      <c r="D167" s="106"/>
      <c r="E167" s="106"/>
      <c r="F167" s="118"/>
      <c r="G167" s="119"/>
      <c r="H167" s="120"/>
    </row>
    <row r="168" spans="1:14" x14ac:dyDescent="0.2">
      <c r="A168" s="138"/>
      <c r="B168" s="133" t="s">
        <v>368</v>
      </c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</row>
    <row r="169" spans="1:14" x14ac:dyDescent="0.2">
      <c r="B169" s="123"/>
      <c r="C169" s="106"/>
      <c r="D169" s="106"/>
      <c r="E169" s="106"/>
      <c r="F169" s="118"/>
      <c r="G169" s="119"/>
      <c r="H169" s="120"/>
    </row>
    <row r="170" spans="1:14" x14ac:dyDescent="0.2">
      <c r="B170" s="134" t="s">
        <v>369</v>
      </c>
      <c r="C170" s="7"/>
      <c r="D170" s="7"/>
      <c r="E170" s="7"/>
      <c r="F170" s="7"/>
      <c r="G170" s="7"/>
      <c r="H170" s="7"/>
    </row>
    <row r="171" spans="1:14" x14ac:dyDescent="0.2">
      <c r="B171" s="245" t="s">
        <v>343</v>
      </c>
      <c r="C171" s="135"/>
      <c r="D171" s="135"/>
      <c r="E171" s="135"/>
      <c r="F171" s="135"/>
      <c r="G171" s="135"/>
      <c r="H171" s="135"/>
    </row>
    <row r="172" spans="1:14" x14ac:dyDescent="0.2">
      <c r="B172" s="94"/>
      <c r="C172" s="52" t="s">
        <v>210</v>
      </c>
      <c r="D172" s="52" t="s">
        <v>211</v>
      </c>
      <c r="E172" s="52" t="s">
        <v>212</v>
      </c>
      <c r="F172" s="52" t="s">
        <v>213</v>
      </c>
      <c r="G172" s="52" t="s">
        <v>214</v>
      </c>
      <c r="H172" s="98"/>
    </row>
    <row r="173" spans="1:14" x14ac:dyDescent="0.2">
      <c r="B173" s="46" t="s">
        <v>370</v>
      </c>
      <c r="C173" s="254">
        <f>$H$179</f>
        <v>2.6199516275641477E-2</v>
      </c>
      <c r="D173" s="254">
        <f t="shared" ref="D173:G173" si="21">$H$179</f>
        <v>2.6199516275641477E-2</v>
      </c>
      <c r="E173" s="254">
        <f t="shared" si="21"/>
        <v>2.6199516275641477E-2</v>
      </c>
      <c r="F173" s="254">
        <f t="shared" si="21"/>
        <v>2.6199516275641477E-2</v>
      </c>
      <c r="G173" s="254">
        <f t="shared" si="21"/>
        <v>2.6199516275641477E-2</v>
      </c>
      <c r="H173" s="100"/>
    </row>
    <row r="174" spans="1:14" x14ac:dyDescent="0.2">
      <c r="B174" s="46" t="s">
        <v>371</v>
      </c>
      <c r="C174" s="254">
        <f>$H$180</f>
        <v>1.3174352076242521E-2</v>
      </c>
      <c r="D174" s="254">
        <f t="shared" ref="D174:G174" si="22">$H$180</f>
        <v>1.3174352076242521E-2</v>
      </c>
      <c r="E174" s="254">
        <f t="shared" si="22"/>
        <v>1.3174352076242521E-2</v>
      </c>
      <c r="F174" s="254">
        <f t="shared" si="22"/>
        <v>1.3174352076242521E-2</v>
      </c>
      <c r="G174" s="254">
        <f t="shared" si="22"/>
        <v>1.3174352076242521E-2</v>
      </c>
    </row>
    <row r="175" spans="1:14" x14ac:dyDescent="0.2">
      <c r="B175" s="92"/>
    </row>
    <row r="176" spans="1:14" x14ac:dyDescent="0.2">
      <c r="B176" s="126" t="s">
        <v>15</v>
      </c>
      <c r="C176" s="7"/>
      <c r="D176" s="7"/>
      <c r="E176" s="7"/>
      <c r="F176" s="7"/>
      <c r="G176" s="7"/>
      <c r="H176" s="7"/>
    </row>
    <row r="177" spans="1:14" x14ac:dyDescent="0.2">
      <c r="B177" s="124"/>
      <c r="C177" s="256" t="s">
        <v>58</v>
      </c>
      <c r="D177" s="256" t="s">
        <v>59</v>
      </c>
      <c r="E177" s="256" t="s">
        <v>60</v>
      </c>
      <c r="F177" s="256" t="s">
        <v>61</v>
      </c>
      <c r="G177" s="256" t="s">
        <v>132</v>
      </c>
      <c r="H177" s="125" t="s">
        <v>364</v>
      </c>
    </row>
    <row r="178" spans="1:14" x14ac:dyDescent="0.2">
      <c r="B178" s="46" t="s">
        <v>361</v>
      </c>
      <c r="C178" s="253">
        <f>'Historical Financials'!F10</f>
        <v>161.696</v>
      </c>
      <c r="D178" s="253">
        <f>'Historical Financials'!G10</f>
        <v>250.77199999999999</v>
      </c>
      <c r="E178" s="253">
        <f>'Historical Financials'!H10</f>
        <v>369.495</v>
      </c>
      <c r="F178" s="253">
        <f>'Historical Financials'!I10</f>
        <v>531.10900000000004</v>
      </c>
      <c r="G178" s="253">
        <f>'Historical Financials'!J10</f>
        <v>748.024</v>
      </c>
      <c r="H178" s="234"/>
    </row>
    <row r="179" spans="1:14" x14ac:dyDescent="0.2">
      <c r="B179" s="46" t="s">
        <v>372</v>
      </c>
      <c r="C179" s="66">
        <f>-1*'Historical Financials'!F99/'Historical Financials'!F10</f>
        <v>2.4824361765287951E-2</v>
      </c>
      <c r="D179" s="66">
        <f>-1*'Historical Financials'!G99/'Historical Financials'!G10</f>
        <v>2.474757947458249E-2</v>
      </c>
      <c r="E179" s="66">
        <f>-1*'Historical Financials'!H99/'Historical Financials'!H10</f>
        <v>2.7399558857359368E-2</v>
      </c>
      <c r="F179" s="66">
        <f>-1*'Historical Financials'!I99/'Historical Financials'!I10</f>
        <v>2.5764955969490251E-2</v>
      </c>
      <c r="G179" s="66">
        <f>-1*'Historical Financials'!J99/'Historical Financials'!J10</f>
        <v>2.8261125311487334E-2</v>
      </c>
      <c r="H179" s="234">
        <f>AVERAGE(C179:G179)</f>
        <v>2.6199516275641477E-2</v>
      </c>
    </row>
    <row r="180" spans="1:14" x14ac:dyDescent="0.2">
      <c r="B180" s="46" t="s">
        <v>373</v>
      </c>
      <c r="C180" s="66">
        <f>-1*'Historical Financials'!F16/'Historical Financials'!F10</f>
        <v>1.3952107658816543E-2</v>
      </c>
      <c r="D180" s="66">
        <f>-1*'Historical Financials'!G16/'Historical Financials'!G10</f>
        <v>1.0870432105657728E-2</v>
      </c>
      <c r="E180" s="66">
        <f>-1*'Historical Financials'!H16/'Historical Financials'!H10</f>
        <v>1.3180151287568168E-2</v>
      </c>
      <c r="F180" s="66">
        <f>-1*'Historical Financials'!I16/'Historical Financials'!I10</f>
        <v>1.3358839710869142E-2</v>
      </c>
      <c r="G180" s="66">
        <f>-1*'Historical Financials'!J16/'Historical Financials'!J10</f>
        <v>1.4510229618301016E-2</v>
      </c>
      <c r="H180" s="234">
        <f>AVERAGE(C180:G180)</f>
        <v>1.3174352076242521E-2</v>
      </c>
    </row>
    <row r="181" spans="1:14" x14ac:dyDescent="0.2">
      <c r="B181" s="106"/>
      <c r="C181" s="106"/>
      <c r="D181" s="106"/>
      <c r="E181" s="106"/>
      <c r="F181" s="118"/>
      <c r="G181" s="119"/>
      <c r="H181" s="120"/>
    </row>
    <row r="182" spans="1:14" x14ac:dyDescent="0.2">
      <c r="B182" s="110"/>
    </row>
    <row r="183" spans="1:14" x14ac:dyDescent="0.2">
      <c r="B183" s="126" t="s">
        <v>374</v>
      </c>
      <c r="C183" s="7"/>
      <c r="D183" s="7"/>
      <c r="E183" s="7"/>
      <c r="F183" s="7"/>
      <c r="G183" s="7"/>
      <c r="H183" s="7"/>
    </row>
    <row r="184" spans="1:14" x14ac:dyDescent="0.2">
      <c r="B184" s="113"/>
      <c r="C184" s="258" t="s">
        <v>132</v>
      </c>
      <c r="D184" s="52" t="s">
        <v>210</v>
      </c>
      <c r="E184" s="52" t="s">
        <v>211</v>
      </c>
      <c r="F184" s="52" t="s">
        <v>212</v>
      </c>
      <c r="G184" s="52" t="s">
        <v>213</v>
      </c>
      <c r="H184" s="52" t="s">
        <v>214</v>
      </c>
    </row>
    <row r="185" spans="1:14" x14ac:dyDescent="0.2">
      <c r="B185" s="46" t="s">
        <v>375</v>
      </c>
      <c r="C185" s="77" t="s">
        <v>379</v>
      </c>
      <c r="D185" s="247">
        <f>C188</f>
        <v>66.438000000000002</v>
      </c>
      <c r="E185" s="247">
        <f t="shared" ref="E185:H185" si="23">D188</f>
        <v>77.747634399470101</v>
      </c>
      <c r="F185" s="247">
        <f t="shared" si="23"/>
        <v>92.450159118781229</v>
      </c>
      <c r="G185" s="247">
        <f t="shared" si="23"/>
        <v>111.12236551230635</v>
      </c>
      <c r="H185" s="247">
        <f t="shared" si="23"/>
        <v>134.27590144027752</v>
      </c>
    </row>
    <row r="186" spans="1:14" x14ac:dyDescent="0.2">
      <c r="B186" s="46" t="s">
        <v>376</v>
      </c>
      <c r="C186" s="77"/>
      <c r="D186" s="260">
        <f>C173*'Forecast Model'!H8</f>
        <v>26.457120399470099</v>
      </c>
      <c r="E186" s="260">
        <f>D173*'Forecast Model'!I8</f>
        <v>34.394256519311128</v>
      </c>
      <c r="F186" s="260">
        <f>E173*'Forecast Model'!J8</f>
        <v>43.680705779525141</v>
      </c>
      <c r="G186" s="260">
        <f>F173*'Forecast Model'!K8</f>
        <v>54.16407516661117</v>
      </c>
      <c r="H186" s="260">
        <f>G173*'Forecast Model'!L8</f>
        <v>66.08017170326562</v>
      </c>
    </row>
    <row r="187" spans="1:14" x14ac:dyDescent="0.2">
      <c r="B187" s="257" t="s">
        <v>377</v>
      </c>
      <c r="C187" s="77"/>
      <c r="D187" s="260">
        <f>'Forecast Model'!H14</f>
        <v>-15.147486000000001</v>
      </c>
      <c r="E187" s="260">
        <f>'Forecast Model'!I14</f>
        <v>-19.691731800000003</v>
      </c>
      <c r="F187" s="260">
        <f>'Forecast Model'!J14</f>
        <v>-25.008499386000004</v>
      </c>
      <c r="G187" s="260">
        <f>'Forecast Model'!K14</f>
        <v>-31.010539238640003</v>
      </c>
      <c r="H187" s="260">
        <f>'Forecast Model'!L14</f>
        <v>-37.832857871140803</v>
      </c>
    </row>
    <row r="188" spans="1:14" x14ac:dyDescent="0.2">
      <c r="B188" s="46" t="s">
        <v>378</v>
      </c>
      <c r="C188" s="259">
        <f>'Historical Financials'!J44</f>
        <v>66.438000000000002</v>
      </c>
      <c r="D188" s="261">
        <f>SUM(D185:D187)</f>
        <v>77.747634399470101</v>
      </c>
      <c r="E188" s="261">
        <f t="shared" ref="E188:H188" si="24">SUM(E185:E187)</f>
        <v>92.450159118781229</v>
      </c>
      <c r="F188" s="261">
        <f t="shared" si="24"/>
        <v>111.12236551230635</v>
      </c>
      <c r="G188" s="261">
        <f t="shared" si="24"/>
        <v>134.27590144027752</v>
      </c>
      <c r="H188" s="261">
        <f t="shared" si="24"/>
        <v>162.52321527240235</v>
      </c>
    </row>
    <row r="189" spans="1:14" x14ac:dyDescent="0.2">
      <c r="B189" s="113"/>
      <c r="F189" s="95"/>
      <c r="G189" s="95"/>
      <c r="H189" s="95"/>
    </row>
    <row r="190" spans="1:14" x14ac:dyDescent="0.2">
      <c r="B190" s="113"/>
      <c r="F190" s="95"/>
      <c r="G190" s="95"/>
      <c r="H190" s="95"/>
    </row>
    <row r="191" spans="1:14" x14ac:dyDescent="0.2">
      <c r="B191" s="113"/>
      <c r="F191" s="95"/>
      <c r="G191" s="95"/>
      <c r="H191" s="95"/>
    </row>
    <row r="192" spans="1:14" x14ac:dyDescent="0.2">
      <c r="A192" s="138"/>
      <c r="B192" s="133" t="s">
        <v>384</v>
      </c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</row>
    <row r="193" spans="2:8" x14ac:dyDescent="0.2">
      <c r="B193" s="89"/>
    </row>
    <row r="194" spans="2:8" x14ac:dyDescent="0.2">
      <c r="B194" s="126" t="s">
        <v>380</v>
      </c>
      <c r="C194" s="7"/>
      <c r="D194" s="7"/>
      <c r="E194" s="7"/>
      <c r="F194" s="7"/>
      <c r="G194" s="7"/>
    </row>
    <row r="195" spans="2:8" x14ac:dyDescent="0.2">
      <c r="B195" s="124"/>
      <c r="C195" s="256" t="s">
        <v>58</v>
      </c>
      <c r="D195" s="256" t="s">
        <v>59</v>
      </c>
      <c r="E195" s="256" t="s">
        <v>60</v>
      </c>
      <c r="F195" s="256" t="s">
        <v>61</v>
      </c>
      <c r="G195" s="256" t="s">
        <v>132</v>
      </c>
      <c r="H195" s="106"/>
    </row>
    <row r="196" spans="2:8" x14ac:dyDescent="0.2">
      <c r="B196" s="111"/>
      <c r="F196" s="112"/>
      <c r="G196" s="107"/>
      <c r="H196" s="107"/>
    </row>
    <row r="197" spans="2:8" x14ac:dyDescent="0.2">
      <c r="B197" s="46" t="s">
        <v>381</v>
      </c>
      <c r="C197" s="51">
        <f>'Historical Financials'!F56</f>
        <v>1.111</v>
      </c>
      <c r="D197" s="51">
        <f>'Historical Financials'!G56</f>
        <v>3.3359999999999999</v>
      </c>
      <c r="E197" s="51">
        <f>'Historical Financials'!H56</f>
        <v>4.9029999999999996</v>
      </c>
      <c r="F197" s="51">
        <f>'Historical Financials'!I56</f>
        <v>3.944</v>
      </c>
      <c r="G197" s="51">
        <f>'Historical Financials'!J56</f>
        <v>2.581</v>
      </c>
      <c r="H197" s="95"/>
    </row>
    <row r="198" spans="2:8" ht="17" thickBot="1" x14ac:dyDescent="0.25">
      <c r="B198" s="70" t="s">
        <v>382</v>
      </c>
      <c r="C198" s="262">
        <f>'Historical Financials'!F61</f>
        <v>8.1310000000000002</v>
      </c>
      <c r="D198" s="262">
        <f>'Historical Financials'!G61</f>
        <v>29.123999999999999</v>
      </c>
      <c r="E198" s="262">
        <f>'Historical Financials'!H61</f>
        <v>23.503</v>
      </c>
      <c r="F198" s="262">
        <f>'Historical Financials'!I61</f>
        <v>21.094000000000001</v>
      </c>
      <c r="G198" s="262">
        <f>'Historical Financials'!J61</f>
        <v>54.655999999999999</v>
      </c>
      <c r="H198" s="95"/>
    </row>
    <row r="199" spans="2:8" x14ac:dyDescent="0.2">
      <c r="B199" s="46" t="s">
        <v>383</v>
      </c>
      <c r="C199" s="51">
        <f>SUM(C197:C198)</f>
        <v>9.2420000000000009</v>
      </c>
      <c r="D199" s="51">
        <f t="shared" ref="D199:G199" si="25">SUM(D197:D198)</f>
        <v>32.46</v>
      </c>
      <c r="E199" s="51">
        <f t="shared" si="25"/>
        <v>28.405999999999999</v>
      </c>
      <c r="F199" s="51">
        <f t="shared" si="25"/>
        <v>25.038</v>
      </c>
      <c r="G199" s="51">
        <f t="shared" si="25"/>
        <v>57.237000000000002</v>
      </c>
      <c r="H199" s="95"/>
    </row>
    <row r="200" spans="2:8" x14ac:dyDescent="0.2">
      <c r="B200" s="94"/>
      <c r="F200" s="97"/>
      <c r="G200" s="95"/>
      <c r="H200" s="95"/>
    </row>
    <row r="201" spans="2:8" x14ac:dyDescent="0.2">
      <c r="B201" s="126" t="s">
        <v>385</v>
      </c>
      <c r="C201" s="7"/>
      <c r="D201" s="7"/>
      <c r="E201" s="7"/>
      <c r="F201" s="7"/>
      <c r="G201" s="7"/>
      <c r="H201" s="7"/>
    </row>
    <row r="202" spans="2:8" x14ac:dyDescent="0.2">
      <c r="B202" s="104"/>
      <c r="C202" s="258" t="s">
        <v>132</v>
      </c>
      <c r="D202" s="52" t="s">
        <v>210</v>
      </c>
      <c r="E202" s="52" t="s">
        <v>211</v>
      </c>
      <c r="F202" s="52" t="s">
        <v>212</v>
      </c>
      <c r="G202" s="52" t="s">
        <v>213</v>
      </c>
      <c r="H202" s="52" t="s">
        <v>214</v>
      </c>
    </row>
    <row r="203" spans="2:8" x14ac:dyDescent="0.2">
      <c r="B203" s="46" t="s">
        <v>381</v>
      </c>
      <c r="C203" s="51">
        <f>G197</f>
        <v>2.581</v>
      </c>
      <c r="D203" s="261">
        <f>$C$203</f>
        <v>2.581</v>
      </c>
      <c r="E203" s="261">
        <f t="shared" ref="E203:H203" si="26">$C$203</f>
        <v>2.581</v>
      </c>
      <c r="F203" s="261">
        <f t="shared" si="26"/>
        <v>2.581</v>
      </c>
      <c r="G203" s="261">
        <f t="shared" si="26"/>
        <v>2.581</v>
      </c>
      <c r="H203" s="261">
        <f t="shared" si="26"/>
        <v>2.581</v>
      </c>
    </row>
    <row r="204" spans="2:8" x14ac:dyDescent="0.2">
      <c r="B204" s="46"/>
    </row>
    <row r="205" spans="2:8" x14ac:dyDescent="0.2">
      <c r="B205" s="46" t="s">
        <v>386</v>
      </c>
      <c r="D205" s="51">
        <f>C208</f>
        <v>54.655999999999999</v>
      </c>
      <c r="E205" s="51">
        <f t="shared" ref="E205:H205" si="27">D208</f>
        <v>52.074999999999996</v>
      </c>
      <c r="F205" s="51">
        <f t="shared" si="27"/>
        <v>49.493999999999993</v>
      </c>
      <c r="G205" s="51">
        <f t="shared" si="27"/>
        <v>46.91299999999999</v>
      </c>
      <c r="H205" s="51">
        <f t="shared" si="27"/>
        <v>44.331999999999987</v>
      </c>
    </row>
    <row r="206" spans="2:8" x14ac:dyDescent="0.2">
      <c r="B206" s="263" t="s">
        <v>387</v>
      </c>
      <c r="C206" s="106"/>
      <c r="D206" s="264">
        <f>D203*-1</f>
        <v>-2.581</v>
      </c>
      <c r="E206" s="264">
        <f t="shared" ref="E206:H206" si="28">E203*-1</f>
        <v>-2.581</v>
      </c>
      <c r="F206" s="264">
        <f t="shared" si="28"/>
        <v>-2.581</v>
      </c>
      <c r="G206" s="264">
        <f t="shared" si="28"/>
        <v>-2.581</v>
      </c>
      <c r="H206" s="264">
        <f t="shared" si="28"/>
        <v>-2.581</v>
      </c>
    </row>
    <row r="207" spans="2:8" x14ac:dyDescent="0.2">
      <c r="B207" s="94" t="s">
        <v>388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</row>
    <row r="208" spans="2:8" x14ac:dyDescent="0.2">
      <c r="B208" s="94" t="s">
        <v>389</v>
      </c>
      <c r="C208" s="51">
        <f>'Historical Financials'!J61</f>
        <v>54.655999999999999</v>
      </c>
      <c r="D208" s="261">
        <f>SUM(D205:D207)</f>
        <v>52.074999999999996</v>
      </c>
      <c r="E208" s="261">
        <f t="shared" ref="E208:H208" si="29">SUM(E205:E207)</f>
        <v>49.493999999999993</v>
      </c>
      <c r="F208" s="261">
        <f t="shared" si="29"/>
        <v>46.91299999999999</v>
      </c>
      <c r="G208" s="261">
        <f t="shared" si="29"/>
        <v>44.331999999999987</v>
      </c>
      <c r="H208" s="261">
        <f t="shared" si="29"/>
        <v>41.750999999999983</v>
      </c>
    </row>
    <row r="209" spans="1:14" x14ac:dyDescent="0.2">
      <c r="B209" s="94"/>
      <c r="F209" s="109"/>
      <c r="G209" s="109"/>
      <c r="H209" s="109"/>
    </row>
    <row r="210" spans="1:14" x14ac:dyDescent="0.2">
      <c r="B210" s="93"/>
      <c r="F210" s="107"/>
      <c r="G210" s="107"/>
      <c r="H210" s="107"/>
    </row>
    <row r="211" spans="1:14" x14ac:dyDescent="0.2">
      <c r="A211" s="138"/>
      <c r="B211" s="133" t="s">
        <v>390</v>
      </c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</row>
    <row r="213" spans="1:14" x14ac:dyDescent="0.2">
      <c r="B213" s="126" t="s">
        <v>391</v>
      </c>
      <c r="C213" s="7"/>
      <c r="D213" s="7"/>
      <c r="E213" s="7"/>
      <c r="F213" s="7"/>
      <c r="G213" s="7"/>
    </row>
    <row r="214" spans="1:14" x14ac:dyDescent="0.2">
      <c r="C214" s="52" t="s">
        <v>210</v>
      </c>
      <c r="D214" s="52" t="s">
        <v>211</v>
      </c>
      <c r="E214" s="52" t="s">
        <v>212</v>
      </c>
      <c r="F214" s="52" t="s">
        <v>213</v>
      </c>
      <c r="G214" s="52" t="s">
        <v>214</v>
      </c>
    </row>
    <row r="215" spans="1:14" x14ac:dyDescent="0.2">
      <c r="B215" s="46" t="s">
        <v>392</v>
      </c>
      <c r="C215" s="254">
        <f>G222*-1</f>
        <v>0.47997378386251094</v>
      </c>
      <c r="D215" s="254">
        <f>$C$215*-1</f>
        <v>-0.47997378386251094</v>
      </c>
      <c r="E215" s="254">
        <f t="shared" ref="E215:G215" si="30">$C$215*-1</f>
        <v>-0.47997378386251094</v>
      </c>
      <c r="F215" s="254">
        <f t="shared" si="30"/>
        <v>-0.47997378386251094</v>
      </c>
      <c r="G215" s="254">
        <f t="shared" si="30"/>
        <v>-0.47997378386251094</v>
      </c>
    </row>
    <row r="218" spans="1:14" x14ac:dyDescent="0.2">
      <c r="B218" s="126" t="s">
        <v>15</v>
      </c>
      <c r="C218" s="7"/>
      <c r="D218" s="7"/>
      <c r="E218" s="7"/>
      <c r="F218" s="7"/>
      <c r="G218" s="7"/>
    </row>
    <row r="219" spans="1:14" x14ac:dyDescent="0.2">
      <c r="B219" s="124"/>
      <c r="C219" s="256" t="s">
        <v>58</v>
      </c>
      <c r="D219" s="256" t="s">
        <v>59</v>
      </c>
      <c r="E219" s="256" t="s">
        <v>60</v>
      </c>
      <c r="F219" s="256" t="s">
        <v>61</v>
      </c>
      <c r="G219" s="256" t="s">
        <v>132</v>
      </c>
    </row>
    <row r="220" spans="1:14" x14ac:dyDescent="0.2">
      <c r="B220" s="46" t="s">
        <v>393</v>
      </c>
      <c r="C220" s="51">
        <f>'Historical Financials'!F57</f>
        <v>6.8000000000000005E-2</v>
      </c>
      <c r="D220" s="51">
        <f>'Historical Financials'!G57</f>
        <v>0.113</v>
      </c>
      <c r="E220" s="51">
        <f>'Historical Financials'!H57</f>
        <v>1.069</v>
      </c>
      <c r="F220" s="51">
        <f>'Historical Financials'!I57</f>
        <v>0.79200000000000004</v>
      </c>
      <c r="G220" s="261">
        <f>'Historical Financials'!J57</f>
        <v>6.5910000000000002</v>
      </c>
    </row>
    <row r="221" spans="1:14" x14ac:dyDescent="0.2">
      <c r="B221" s="46" t="s">
        <v>394</v>
      </c>
      <c r="C221" s="51">
        <f>'Historical Financials'!F24</f>
        <v>-6.8000000000000005E-2</v>
      </c>
      <c r="D221" s="51">
        <f>'Historical Financials'!G24</f>
        <v>-0.17699999999999999</v>
      </c>
      <c r="E221" s="51">
        <f>'Historical Financials'!H24</f>
        <v>-0.93799999999999994</v>
      </c>
      <c r="F221" s="51">
        <f>'Historical Financials'!I24</f>
        <v>-1.71</v>
      </c>
      <c r="G221" s="261">
        <f>'Historical Financials'!J24</f>
        <v>-13.731999999999999</v>
      </c>
    </row>
    <row r="222" spans="1:14" x14ac:dyDescent="0.2">
      <c r="B222" s="46" t="s">
        <v>395</v>
      </c>
      <c r="C222" s="66">
        <f>C220/C221</f>
        <v>-1</v>
      </c>
      <c r="D222" s="66">
        <f t="shared" ref="D222:G222" si="31">D220/D221</f>
        <v>-0.6384180790960452</v>
      </c>
      <c r="E222" s="66">
        <f t="shared" si="31"/>
        <v>-1.1396588486140724</v>
      </c>
      <c r="F222" s="66">
        <f t="shared" si="31"/>
        <v>-0.46315789473684216</v>
      </c>
      <c r="G222" s="265">
        <f t="shared" si="31"/>
        <v>-0.47997378386251094</v>
      </c>
    </row>
    <row r="225" spans="1:14" x14ac:dyDescent="0.2">
      <c r="A225" s="138"/>
      <c r="B225" s="133" t="s">
        <v>397</v>
      </c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</row>
    <row r="228" spans="1:14" x14ac:dyDescent="0.2">
      <c r="B228" s="126" t="s">
        <v>391</v>
      </c>
      <c r="C228" s="7"/>
      <c r="D228" s="7"/>
      <c r="E228" s="7"/>
      <c r="F228" s="7"/>
      <c r="G228" s="7"/>
    </row>
    <row r="229" spans="1:14" x14ac:dyDescent="0.2">
      <c r="C229" s="52" t="s">
        <v>210</v>
      </c>
      <c r="D229" s="52" t="s">
        <v>211</v>
      </c>
      <c r="E229" s="52" t="s">
        <v>212</v>
      </c>
      <c r="F229" s="52" t="s">
        <v>213</v>
      </c>
      <c r="G229" s="52" t="s">
        <v>214</v>
      </c>
    </row>
    <row r="230" spans="1:14" x14ac:dyDescent="0.2">
      <c r="B230" s="46" t="s">
        <v>398</v>
      </c>
      <c r="C230" s="254">
        <f>G237</f>
        <v>0.54366972182710716</v>
      </c>
      <c r="D230" s="254">
        <f>$C$230</f>
        <v>0.54366972182710716</v>
      </c>
      <c r="E230" s="254">
        <f t="shared" ref="E230:G230" si="32">$C$230</f>
        <v>0.54366972182710716</v>
      </c>
      <c r="F230" s="254">
        <f t="shared" si="32"/>
        <v>0.54366972182710716</v>
      </c>
      <c r="G230" s="254">
        <f t="shared" si="32"/>
        <v>0.54366972182710716</v>
      </c>
    </row>
    <row r="233" spans="1:14" x14ac:dyDescent="0.2">
      <c r="B233" s="126" t="s">
        <v>15</v>
      </c>
      <c r="C233" s="7"/>
      <c r="D233" s="7"/>
      <c r="E233" s="7"/>
      <c r="F233" s="7"/>
      <c r="G233" s="7"/>
    </row>
    <row r="234" spans="1:14" x14ac:dyDescent="0.2">
      <c r="B234" s="124"/>
      <c r="C234" s="256" t="s">
        <v>58</v>
      </c>
      <c r="D234" s="256" t="s">
        <v>59</v>
      </c>
      <c r="E234" s="256" t="s">
        <v>60</v>
      </c>
      <c r="F234" s="256" t="s">
        <v>61</v>
      </c>
      <c r="G234" s="256" t="s">
        <v>132</v>
      </c>
    </row>
    <row r="235" spans="1:14" x14ac:dyDescent="0.2">
      <c r="B235" s="46" t="s">
        <v>62</v>
      </c>
      <c r="C235" s="51">
        <f>'Historical Financials'!F10</f>
        <v>161.696</v>
      </c>
      <c r="D235" s="51">
        <f>'Historical Financials'!G10</f>
        <v>250.77199999999999</v>
      </c>
      <c r="E235" s="51">
        <f>'Historical Financials'!H10</f>
        <v>369.495</v>
      </c>
      <c r="F235" s="51">
        <f>'Historical Financials'!I10</f>
        <v>531.10900000000004</v>
      </c>
      <c r="G235" s="261">
        <f>'Historical Financials'!J10</f>
        <v>748.024</v>
      </c>
    </row>
    <row r="236" spans="1:14" x14ac:dyDescent="0.2">
      <c r="B236" s="46" t="s">
        <v>399</v>
      </c>
      <c r="C236" s="51">
        <f>'Historical Financials'!F58</f>
        <v>62.314999999999998</v>
      </c>
      <c r="D236" s="51">
        <f>'Historical Financials'!G58</f>
        <v>107.864</v>
      </c>
      <c r="E236" s="51">
        <f>'Historical Financials'!H58</f>
        <v>174.61699999999999</v>
      </c>
      <c r="F236" s="51">
        <f>'Historical Financials'!I58</f>
        <v>270.17899999999997</v>
      </c>
      <c r="G236" s="261">
        <f>'Historical Financials'!J58</f>
        <v>406.678</v>
      </c>
    </row>
    <row r="237" spans="1:14" x14ac:dyDescent="0.2">
      <c r="B237" s="46" t="s">
        <v>400</v>
      </c>
      <c r="C237" s="66">
        <f>C236/C235</f>
        <v>0.38538368296061742</v>
      </c>
      <c r="D237" s="66">
        <f t="shared" ref="D237:G237" si="33">D236/D235</f>
        <v>0.43012776546025877</v>
      </c>
      <c r="E237" s="66">
        <f t="shared" si="33"/>
        <v>0.47258284956494673</v>
      </c>
      <c r="F237" s="66">
        <f t="shared" si="33"/>
        <v>0.50870725218363833</v>
      </c>
      <c r="G237" s="265">
        <f t="shared" si="33"/>
        <v>0.54366972182710716</v>
      </c>
    </row>
    <row r="240" spans="1:14" x14ac:dyDescent="0.2">
      <c r="A240" s="138"/>
      <c r="B240" s="133" t="s">
        <v>402</v>
      </c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</row>
    <row r="243" spans="2:7" x14ac:dyDescent="0.2">
      <c r="B243" s="126" t="s">
        <v>403</v>
      </c>
      <c r="C243" s="7"/>
      <c r="D243" s="7"/>
      <c r="E243" s="7"/>
      <c r="F243" s="7"/>
      <c r="G243" s="7"/>
    </row>
    <row r="244" spans="2:7" x14ac:dyDescent="0.2">
      <c r="B244" s="124"/>
      <c r="C244" s="256" t="s">
        <v>58</v>
      </c>
      <c r="D244" s="256" t="s">
        <v>59</v>
      </c>
      <c r="E244" s="256" t="s">
        <v>60</v>
      </c>
      <c r="F244" s="256" t="s">
        <v>61</v>
      </c>
      <c r="G244" s="256" t="s">
        <v>132</v>
      </c>
    </row>
    <row r="245" spans="2:7" x14ac:dyDescent="0.2">
      <c r="B245" s="46" t="s">
        <v>127</v>
      </c>
      <c r="C245" s="51">
        <f>'Historical Financials'!F108</f>
        <v>2.0299999999999998</v>
      </c>
      <c r="D245" s="51">
        <f>'Historical Financials'!G108</f>
        <v>438.67099999999999</v>
      </c>
      <c r="E245" s="51">
        <f>'Historical Financials'!H108</f>
        <v>14.776</v>
      </c>
      <c r="F245" s="51">
        <f>'Historical Financials'!I108</f>
        <v>13.617000000000001</v>
      </c>
      <c r="G245" s="261">
        <f>'Historical Financials'!J108</f>
        <v>19.356000000000002</v>
      </c>
    </row>
    <row r="246" spans="2:7" x14ac:dyDescent="0.2">
      <c r="B246" s="46" t="s">
        <v>404</v>
      </c>
      <c r="C246" s="51">
        <f>'Historical Financials'!F89</f>
        <v>17.030999999999999</v>
      </c>
      <c r="D246" s="51">
        <f>'Historical Financials'!G89</f>
        <v>40.804000000000002</v>
      </c>
      <c r="E246" s="51">
        <f>'Historical Financials'!H89</f>
        <v>73.819999999999993</v>
      </c>
      <c r="F246" s="51">
        <f>'Historical Financials'!I89</f>
        <v>95.554000000000002</v>
      </c>
      <c r="G246" s="51">
        <f>'Historical Financials'!J89</f>
        <v>110.164</v>
      </c>
    </row>
    <row r="247" spans="2:7" x14ac:dyDescent="0.2">
      <c r="B247" s="74" t="s">
        <v>405</v>
      </c>
      <c r="C247" s="265">
        <f>C246/'Historical Financials'!F10</f>
        <v>0.10532728082327329</v>
      </c>
      <c r="D247" s="66">
        <f>D246/'Historical Financials'!G10</f>
        <v>0.16271354058666837</v>
      </c>
      <c r="E247" s="66">
        <f>E246/'Historical Financials'!H10</f>
        <v>0.19978619467110514</v>
      </c>
      <c r="F247" s="66">
        <f>F246/'Historical Financials'!I10</f>
        <v>0.17991410426108387</v>
      </c>
      <c r="G247" s="66">
        <f>G246/'Historical Financials'!J10</f>
        <v>0.14727334951819729</v>
      </c>
    </row>
    <row r="250" spans="2:7" x14ac:dyDescent="0.2">
      <c r="B250" s="126" t="s">
        <v>406</v>
      </c>
      <c r="C250" s="7"/>
      <c r="D250" s="7"/>
      <c r="E250" s="7"/>
      <c r="F250" s="7"/>
      <c r="G250" s="7"/>
    </row>
    <row r="251" spans="2:7" x14ac:dyDescent="0.2">
      <c r="B251" s="124"/>
      <c r="C251" s="256" t="s">
        <v>210</v>
      </c>
      <c r="D251" s="256" t="s">
        <v>211</v>
      </c>
      <c r="E251" s="256" t="s">
        <v>212</v>
      </c>
      <c r="F251" s="256" t="s">
        <v>213</v>
      </c>
      <c r="G251" s="256" t="s">
        <v>214</v>
      </c>
    </row>
    <row r="253" spans="2:7" x14ac:dyDescent="0.2">
      <c r="B253" s="46" t="s">
        <v>407</v>
      </c>
      <c r="C253" s="51">
        <f>'Historical Financials'!J68</f>
        <v>950.39300000000003</v>
      </c>
      <c r="D253" s="51">
        <f>C257</f>
        <v>1076.1119007792402</v>
      </c>
      <c r="E253" s="51">
        <f t="shared" ref="E253:G253" si="34">D257</f>
        <v>1233.7396717922522</v>
      </c>
      <c r="F253" s="51">
        <f t="shared" si="34"/>
        <v>1428.7008209787775</v>
      </c>
      <c r="G253" s="51">
        <f t="shared" si="34"/>
        <v>1665.8072059700689</v>
      </c>
    </row>
    <row r="254" spans="2:7" x14ac:dyDescent="0.2">
      <c r="B254" s="46" t="s">
        <v>408</v>
      </c>
      <c r="C254" s="51">
        <f>$G$245</f>
        <v>19.356000000000002</v>
      </c>
      <c r="D254" s="51">
        <f>C254</f>
        <v>19.356000000000002</v>
      </c>
      <c r="E254" s="51">
        <f t="shared" ref="E254:G254" si="35">D254</f>
        <v>19.356000000000002</v>
      </c>
      <c r="F254" s="51">
        <f t="shared" si="35"/>
        <v>19.356000000000002</v>
      </c>
      <c r="G254" s="51">
        <f t="shared" si="35"/>
        <v>19.356000000000002</v>
      </c>
    </row>
    <row r="255" spans="2:7" x14ac:dyDescent="0.2">
      <c r="B255" s="46" t="s">
        <v>409</v>
      </c>
      <c r="C255" s="251">
        <f>$C$247*'Forecast Model'!H8</f>
        <v>106.36290077924005</v>
      </c>
      <c r="D255" s="251">
        <f>$C$247*'Forecast Model'!I8</f>
        <v>138.27177101301208</v>
      </c>
      <c r="E255" s="251">
        <f>$C$247*'Forecast Model'!J8</f>
        <v>175.60514918652535</v>
      </c>
      <c r="F255" s="251">
        <f>$C$247*'Forecast Model'!K8</f>
        <v>217.75038499129144</v>
      </c>
      <c r="G255" s="251">
        <f>$C$247*'Forecast Model'!L8</f>
        <v>265.65546968937554</v>
      </c>
    </row>
    <row r="256" spans="2:7" x14ac:dyDescent="0.2">
      <c r="B256" s="46" t="s">
        <v>410</v>
      </c>
      <c r="C256" s="1">
        <v>0</v>
      </c>
      <c r="D256" s="1">
        <f>0</f>
        <v>0</v>
      </c>
      <c r="E256" s="1">
        <f>0</f>
        <v>0</v>
      </c>
      <c r="F256" s="1">
        <f>0</f>
        <v>0</v>
      </c>
      <c r="G256" s="1">
        <f>0</f>
        <v>0</v>
      </c>
    </row>
    <row r="257" spans="1:14" x14ac:dyDescent="0.2">
      <c r="B257" s="46" t="s">
        <v>411</v>
      </c>
      <c r="C257" s="261">
        <f>SUM(C253:C256)</f>
        <v>1076.1119007792402</v>
      </c>
      <c r="D257" s="261">
        <f>SUM(D253:D256)</f>
        <v>1233.7396717922522</v>
      </c>
      <c r="E257" s="261">
        <f t="shared" ref="E257:G257" si="36">SUM(E253:E256)</f>
        <v>1428.7008209787775</v>
      </c>
      <c r="F257" s="261">
        <f t="shared" si="36"/>
        <v>1665.8072059700689</v>
      </c>
      <c r="G257" s="261">
        <f t="shared" si="36"/>
        <v>1950.8186756594446</v>
      </c>
    </row>
    <row r="260" spans="1:14" x14ac:dyDescent="0.2">
      <c r="B260" s="126" t="s">
        <v>412</v>
      </c>
      <c r="C260" s="7"/>
      <c r="D260" s="7"/>
      <c r="E260" s="7"/>
      <c r="F260" s="7"/>
      <c r="G260" s="7"/>
    </row>
    <row r="261" spans="1:14" x14ac:dyDescent="0.2">
      <c r="B261" s="124"/>
      <c r="C261" s="256" t="s">
        <v>210</v>
      </c>
      <c r="D261" s="256" t="s">
        <v>211</v>
      </c>
      <c r="E261" s="256" t="s">
        <v>212</v>
      </c>
      <c r="F261" s="256" t="s">
        <v>213</v>
      </c>
      <c r="G261" s="256" t="s">
        <v>214</v>
      </c>
    </row>
    <row r="263" spans="1:14" x14ac:dyDescent="0.2">
      <c r="B263" s="46" t="s">
        <v>413</v>
      </c>
      <c r="C263" s="51">
        <f>'Historical Financials'!J69</f>
        <v>-125.84699999999999</v>
      </c>
      <c r="D263" s="51">
        <f>C266</f>
        <v>0.22647021666641365</v>
      </c>
      <c r="E263" s="51">
        <f>D266</f>
        <v>184.59812083938994</v>
      </c>
      <c r="F263" s="51">
        <f t="shared" ref="F263" si="37">E266</f>
        <v>446.87703297254023</v>
      </c>
      <c r="G263" s="51">
        <f>F266</f>
        <v>804.28583912978775</v>
      </c>
    </row>
    <row r="264" spans="1:14" x14ac:dyDescent="0.2">
      <c r="B264" s="46" t="s">
        <v>414</v>
      </c>
      <c r="C264" s="75">
        <f>'Forecast Model'!H24</f>
        <v>126.07347021666641</v>
      </c>
      <c r="D264" s="75">
        <f>'Forecast Model'!I24</f>
        <v>184.37165062272351</v>
      </c>
      <c r="E264" s="75">
        <f>'Forecast Model'!J24</f>
        <v>262.2789121331503</v>
      </c>
      <c r="F264" s="75">
        <f>'Forecast Model'!K24</f>
        <v>357.40880615724757</v>
      </c>
      <c r="G264" s="75">
        <f>'Forecast Model'!L24</f>
        <v>472.99595194939968</v>
      </c>
    </row>
    <row r="265" spans="1:14" x14ac:dyDescent="0.2">
      <c r="B265" s="46" t="s">
        <v>415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</row>
    <row r="266" spans="1:14" x14ac:dyDescent="0.2">
      <c r="B266" s="46" t="s">
        <v>416</v>
      </c>
      <c r="C266" s="261">
        <f>SUM(C263:C265)</f>
        <v>0.22647021666641365</v>
      </c>
      <c r="D266" s="261">
        <f>SUM(D263:D265)</f>
        <v>184.59812083938994</v>
      </c>
      <c r="E266" s="261">
        <f t="shared" ref="E266:G266" si="38">SUM(E263:E265)</f>
        <v>446.87703297254023</v>
      </c>
      <c r="F266" s="261">
        <f t="shared" si="38"/>
        <v>804.28583912978775</v>
      </c>
      <c r="G266" s="261">
        <f t="shared" si="38"/>
        <v>1277.2817910791873</v>
      </c>
    </row>
    <row r="269" spans="1:14" x14ac:dyDescent="0.2">
      <c r="A269" s="138"/>
      <c r="B269" s="133" t="s">
        <v>419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</row>
    <row r="272" spans="1:14" x14ac:dyDescent="0.2">
      <c r="C272" s="256" t="s">
        <v>210</v>
      </c>
      <c r="D272" s="256" t="s">
        <v>211</v>
      </c>
      <c r="E272" s="256" t="s">
        <v>212</v>
      </c>
      <c r="F272" s="256" t="s">
        <v>213</v>
      </c>
      <c r="G272" s="256" t="s">
        <v>214</v>
      </c>
    </row>
    <row r="273" spans="2:7" x14ac:dyDescent="0.2">
      <c r="B273" s="46" t="s">
        <v>420</v>
      </c>
      <c r="C273" s="51">
        <f>'Forecast Model'!G34</f>
        <v>877.64499999999998</v>
      </c>
      <c r="D273" s="51">
        <f>'Forecast Model'!H34</f>
        <v>1196.4623288963667</v>
      </c>
      <c r="E273" s="51">
        <f>'Forecast Model'!I34</f>
        <v>1608.1968549496228</v>
      </c>
      <c r="F273" s="51">
        <f>'Forecast Model'!J34</f>
        <v>2146.7133864850557</v>
      </c>
      <c r="G273" s="51">
        <f>'Forecast Model'!K34</f>
        <v>2833.149076218247</v>
      </c>
    </row>
    <row r="274" spans="2:7" x14ac:dyDescent="0.2">
      <c r="B274" s="46" t="s">
        <v>421</v>
      </c>
      <c r="C274" s="78">
        <f>'Master Assumptions'!F32</f>
        <v>4.4999999999999998E-2</v>
      </c>
      <c r="D274" s="78">
        <f>'Master Assumptions'!G32</f>
        <v>4.4999999999999998E-2</v>
      </c>
      <c r="E274" s="78">
        <f>'Master Assumptions'!H32</f>
        <v>4.4999999999999998E-2</v>
      </c>
      <c r="F274" s="78">
        <f>'Master Assumptions'!I32</f>
        <v>4.4999999999999998E-2</v>
      </c>
      <c r="G274" s="78">
        <f>'Master Assumptions'!J32</f>
        <v>4.4999999999999998E-2</v>
      </c>
    </row>
    <row r="275" spans="2:7" x14ac:dyDescent="0.2">
      <c r="B275" s="46" t="s">
        <v>69</v>
      </c>
      <c r="C275" s="267">
        <f>C273*C274</f>
        <v>39.494025000000001</v>
      </c>
      <c r="D275" s="267">
        <f t="shared" ref="D275:G275" si="39">D273*D274</f>
        <v>53.8408048003365</v>
      </c>
      <c r="E275" s="267">
        <f t="shared" si="39"/>
        <v>72.368858472733024</v>
      </c>
      <c r="F275" s="267">
        <f t="shared" si="39"/>
        <v>96.602102391827501</v>
      </c>
      <c r="G275" s="267">
        <f t="shared" si="39"/>
        <v>127.49170842982112</v>
      </c>
    </row>
  </sheetData>
  <mergeCells count="1">
    <mergeCell ref="I107:J107"/>
  </mergeCells>
  <pageMargins left="0.7" right="0.7" top="0.75" bottom="0.75" header="0.3" footer="0.3"/>
  <ignoredErrors>
    <ignoredError sqref="H30 H32 I13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E258-AB41-1742-929B-40699BF92EDB}">
  <sheetPr>
    <tabColor rgb="FFBF8F00"/>
  </sheetPr>
  <dimension ref="B3:L110"/>
  <sheetViews>
    <sheetView zoomScale="137" workbookViewId="0">
      <selection activeCell="J16" sqref="J16"/>
    </sheetView>
  </sheetViews>
  <sheetFormatPr baseColWidth="10" defaultRowHeight="16" x14ac:dyDescent="0.2"/>
  <cols>
    <col min="1" max="1" width="3.1640625" style="1" customWidth="1"/>
    <col min="2" max="3" width="10.83203125" style="1"/>
    <col min="4" max="4" width="13" style="1" customWidth="1"/>
    <col min="5" max="16384" width="10.83203125" style="1"/>
  </cols>
  <sheetData>
    <row r="3" spans="2:12" ht="19" x14ac:dyDescent="0.25">
      <c r="B3" s="496" t="s">
        <v>240</v>
      </c>
      <c r="C3" s="496"/>
      <c r="D3" s="496"/>
      <c r="E3" s="496"/>
      <c r="F3" s="496"/>
      <c r="G3" s="496"/>
      <c r="H3" s="496"/>
      <c r="I3" s="496"/>
      <c r="J3" s="496"/>
      <c r="K3" s="496"/>
      <c r="L3" s="496"/>
    </row>
    <row r="4" spans="2:12" x14ac:dyDescent="0.2">
      <c r="H4" s="116"/>
      <c r="I4" s="116"/>
      <c r="J4" s="116"/>
      <c r="K4" s="116"/>
      <c r="L4" s="116"/>
    </row>
    <row r="5" spans="2:12" x14ac:dyDescent="0.2">
      <c r="B5" s="49" t="s">
        <v>241</v>
      </c>
      <c r="E5" s="117" t="s">
        <v>60</v>
      </c>
      <c r="F5" s="117" t="s">
        <v>61</v>
      </c>
      <c r="G5" s="117" t="s">
        <v>132</v>
      </c>
      <c r="H5" s="117" t="s">
        <v>210</v>
      </c>
      <c r="I5" s="117" t="s">
        <v>211</v>
      </c>
      <c r="J5" s="117" t="s">
        <v>212</v>
      </c>
      <c r="K5" s="117" t="s">
        <v>213</v>
      </c>
      <c r="L5" s="117" t="s">
        <v>214</v>
      </c>
    </row>
    <row r="6" spans="2:12" x14ac:dyDescent="0.2">
      <c r="B6" s="49" t="s">
        <v>242</v>
      </c>
    </row>
    <row r="8" spans="2:12" x14ac:dyDescent="0.2">
      <c r="B8" s="1" t="s">
        <v>62</v>
      </c>
      <c r="E8" s="54">
        <v>369.495</v>
      </c>
      <c r="F8" s="54">
        <v>531.10900000000004</v>
      </c>
      <c r="G8" s="54">
        <v>748.024</v>
      </c>
      <c r="H8" s="186">
        <f>G8*(1+'Master Assumptions'!F11)</f>
        <v>1009.8324000000001</v>
      </c>
      <c r="I8" s="186">
        <f>H8*(1+'Master Assumptions'!G11)</f>
        <v>1312.7821200000003</v>
      </c>
      <c r="J8" s="186">
        <f>I8*(1+'Master Assumptions'!H11)</f>
        <v>1667.2332924000004</v>
      </c>
      <c r="K8" s="186">
        <f>J8*(1+'Master Assumptions'!I11)</f>
        <v>2067.3692825760004</v>
      </c>
      <c r="L8" s="186">
        <f>K8*(1+'Master Assumptions'!J11)</f>
        <v>2522.1905247427203</v>
      </c>
    </row>
    <row r="9" spans="2:12" x14ac:dyDescent="0.2">
      <c r="B9" s="1" t="s">
        <v>63</v>
      </c>
      <c r="E9" s="55">
        <v>-98.561000000000007</v>
      </c>
      <c r="F9" s="55">
        <v>-140.08500000000001</v>
      </c>
      <c r="G9" s="55">
        <v>-198.33500000000001</v>
      </c>
      <c r="H9" s="186">
        <f>H10-H8</f>
        <v>-257.50726200000008</v>
      </c>
      <c r="I9" s="186">
        <f t="shared" ref="I9:L9" si="0">I10-I8</f>
        <v>-328.19553000000008</v>
      </c>
      <c r="J9" s="186">
        <f t="shared" si="0"/>
        <v>-408.47215663800011</v>
      </c>
      <c r="K9" s="186">
        <f t="shared" si="0"/>
        <v>-500.30336638339213</v>
      </c>
      <c r="L9" s="186">
        <f t="shared" si="0"/>
        <v>-605.32572593825284</v>
      </c>
    </row>
    <row r="10" spans="2:12" x14ac:dyDescent="0.2">
      <c r="B10" s="46" t="s">
        <v>64</v>
      </c>
      <c r="E10" s="56">
        <f t="shared" ref="E10:G10" si="1">SUM(E8:E9)</f>
        <v>270.93399999999997</v>
      </c>
      <c r="F10" s="56">
        <f t="shared" si="1"/>
        <v>391.024</v>
      </c>
      <c r="G10" s="56">
        <f t="shared" si="1"/>
        <v>549.68899999999996</v>
      </c>
      <c r="H10" s="222">
        <f>H8*'Master Assumptions'!F12</f>
        <v>752.32513800000004</v>
      </c>
      <c r="I10" s="222">
        <f>I8*'Master Assumptions'!G12</f>
        <v>984.58659000000023</v>
      </c>
      <c r="J10" s="222">
        <f>J8*'Master Assumptions'!H12</f>
        <v>1258.7611357620003</v>
      </c>
      <c r="K10" s="222">
        <f>K8*'Master Assumptions'!I12</f>
        <v>1567.0659161926083</v>
      </c>
      <c r="L10" s="222">
        <f>L8*'Master Assumptions'!J12</f>
        <v>1916.8647988044675</v>
      </c>
    </row>
    <row r="11" spans="2:12" x14ac:dyDescent="0.2">
      <c r="E11" s="54"/>
      <c r="F11" s="54"/>
      <c r="G11" s="54"/>
    </row>
    <row r="12" spans="2:12" x14ac:dyDescent="0.2">
      <c r="B12" s="1" t="s">
        <v>65</v>
      </c>
      <c r="E12" s="54">
        <v>-148.94399999999999</v>
      </c>
      <c r="F12" s="54">
        <v>-192.702</v>
      </c>
      <c r="G12" s="54">
        <v>-232.94</v>
      </c>
      <c r="H12" s="186">
        <f>-H8*'Master Assumptions'!F15</f>
        <v>-304.37067600000034</v>
      </c>
      <c r="I12" s="186">
        <f>-I8*'Master Assumptions'!G15</f>
        <v>-382.55405760000048</v>
      </c>
      <c r="J12" s="186">
        <f>-J8*'Master Assumptions'!H15</f>
        <v>-469.17132022800064</v>
      </c>
      <c r="K12" s="186">
        <f>-K8*'Master Assumptions'!I15</f>
        <v>-561.09874425696069</v>
      </c>
      <c r="L12" s="186">
        <f>-L8*'Master Assumptions'!J15</f>
        <v>-659.3185627460648</v>
      </c>
    </row>
    <row r="13" spans="2:12" x14ac:dyDescent="0.2">
      <c r="B13" s="1" t="s">
        <v>66</v>
      </c>
      <c r="E13" s="54">
        <v>-181.679</v>
      </c>
      <c r="F13" s="54">
        <v>-204.148</v>
      </c>
      <c r="G13" s="54">
        <v>-242.32599999999999</v>
      </c>
      <c r="H13" s="186">
        <f>-H8*'Master Assumptions'!F16</f>
        <v>-322.09093799999999</v>
      </c>
      <c r="I13" s="186">
        <f>-I8*'Master Assumptions'!G16</f>
        <v>-412.15430880000008</v>
      </c>
      <c r="J13" s="186">
        <f>-J8*'Master Assumptions'!H16</f>
        <v>-515.09980571400013</v>
      </c>
      <c r="K13" s="186">
        <f>-K8*'Master Assumptions'!I16</f>
        <v>-628.38691267248009</v>
      </c>
      <c r="L13" s="186">
        <f>-L8*'Master Assumptions'!J16</f>
        <v>-754.02108083671203</v>
      </c>
    </row>
    <row r="14" spans="2:12" x14ac:dyDescent="0.2">
      <c r="B14" s="1" t="s">
        <v>67</v>
      </c>
      <c r="E14" s="54">
        <v>-4.87</v>
      </c>
      <c r="F14" s="54">
        <v>-7.0949999999999998</v>
      </c>
      <c r="G14" s="54">
        <v>-10.853999999999999</v>
      </c>
      <c r="H14" s="186">
        <f>-H8*'Master Assumptions'!F17</f>
        <v>-15.147486000000001</v>
      </c>
      <c r="I14" s="186">
        <f>-I8*'Master Assumptions'!G17</f>
        <v>-19.691731800000003</v>
      </c>
      <c r="J14" s="186">
        <f>-J8*'Master Assumptions'!H17</f>
        <v>-25.008499386000004</v>
      </c>
      <c r="K14" s="186">
        <f>-K8*'Master Assumptions'!I17</f>
        <v>-31.010539238640003</v>
      </c>
      <c r="L14" s="186">
        <f>-L8*'Master Assumptions'!J17</f>
        <v>-37.832857871140803</v>
      </c>
    </row>
    <row r="15" spans="2:12" x14ac:dyDescent="0.2">
      <c r="B15" s="47" t="s">
        <v>68</v>
      </c>
      <c r="E15" s="56">
        <f t="shared" ref="E15:G15" si="2">SUM(E10:E14)</f>
        <v>-64.559000000000026</v>
      </c>
      <c r="F15" s="56">
        <f t="shared" si="2"/>
        <v>-12.920999999999992</v>
      </c>
      <c r="G15" s="56">
        <f t="shared" si="2"/>
        <v>63.568999999999974</v>
      </c>
      <c r="H15" s="222">
        <f>SUM(H10:H14)</f>
        <v>110.7160379999997</v>
      </c>
      <c r="I15" s="222">
        <f t="shared" ref="I15:L15" si="3">SUM(I10:I14)</f>
        <v>170.18649179999971</v>
      </c>
      <c r="J15" s="222">
        <f t="shared" si="3"/>
        <v>249.48151043399949</v>
      </c>
      <c r="K15" s="222">
        <f t="shared" si="3"/>
        <v>346.5697200245275</v>
      </c>
      <c r="L15" s="222">
        <f t="shared" si="3"/>
        <v>465.69229735054984</v>
      </c>
    </row>
    <row r="16" spans="2:12" x14ac:dyDescent="0.2">
      <c r="E16" s="54"/>
      <c r="F16" s="54"/>
      <c r="G16" s="54"/>
      <c r="H16" s="79"/>
      <c r="I16" s="79"/>
      <c r="J16" s="79"/>
      <c r="K16" s="79"/>
      <c r="L16" s="79"/>
    </row>
    <row r="17" spans="2:12" x14ac:dyDescent="0.2">
      <c r="B17" s="1" t="s">
        <v>69</v>
      </c>
      <c r="E17" s="54">
        <v>7.2350000000000003</v>
      </c>
      <c r="F17" s="54">
        <v>31.091000000000001</v>
      </c>
      <c r="G17" s="54">
        <v>42.697000000000003</v>
      </c>
      <c r="H17" s="186">
        <f>'Supporting Schedules'!C275</f>
        <v>39.494025000000001</v>
      </c>
      <c r="I17" s="186">
        <f>'Supporting Schedules'!D275</f>
        <v>53.8408048003365</v>
      </c>
      <c r="J17" s="186">
        <f>'Supporting Schedules'!E275</f>
        <v>72.368858472733024</v>
      </c>
      <c r="K17" s="186">
        <f>'Supporting Schedules'!F275</f>
        <v>96.602102391827501</v>
      </c>
      <c r="L17" s="186">
        <f>'Supporting Schedules'!G275</f>
        <v>127.49170842982112</v>
      </c>
    </row>
    <row r="18" spans="2:12" x14ac:dyDescent="0.2">
      <c r="B18" s="1" t="s">
        <v>135</v>
      </c>
      <c r="E18" s="54">
        <v>-0.63600000000000001</v>
      </c>
      <c r="F18" s="54">
        <v>-0.33800000000000002</v>
      </c>
      <c r="G18" s="54">
        <v>-0.97399999999999998</v>
      </c>
      <c r="H18" s="186">
        <f>AVERAGE(E18:G18)</f>
        <v>-0.64933333333333332</v>
      </c>
      <c r="I18" s="186">
        <f t="shared" ref="I18:L18" si="4">AVERAGE(F18:H18)</f>
        <v>-0.65377777777777779</v>
      </c>
      <c r="J18" s="186">
        <f t="shared" si="4"/>
        <v>-0.75903703703703707</v>
      </c>
      <c r="K18" s="186">
        <f t="shared" si="4"/>
        <v>-0.68738271604938272</v>
      </c>
      <c r="L18" s="186">
        <f t="shared" si="4"/>
        <v>-0.70006584362139923</v>
      </c>
    </row>
    <row r="19" spans="2:12" x14ac:dyDescent="0.2">
      <c r="B19" s="1" t="s">
        <v>136</v>
      </c>
      <c r="E19" s="54">
        <v>-0.67600000000000005</v>
      </c>
      <c r="F19" s="54">
        <v>-5.5E-2</v>
      </c>
      <c r="G19" s="54">
        <v>-2.9860000000000002</v>
      </c>
      <c r="H19" s="186">
        <f>AVERAGE(E19:G19)</f>
        <v>-1.2390000000000001</v>
      </c>
      <c r="I19" s="186">
        <f t="shared" ref="I19:L19" si="5">H19</f>
        <v>-1.2390000000000001</v>
      </c>
      <c r="J19" s="186">
        <f t="shared" si="5"/>
        <v>-1.2390000000000001</v>
      </c>
      <c r="K19" s="186">
        <f t="shared" si="5"/>
        <v>-1.2390000000000001</v>
      </c>
      <c r="L19" s="186">
        <f t="shared" si="5"/>
        <v>-1.2390000000000001</v>
      </c>
    </row>
    <row r="20" spans="2:12" x14ac:dyDescent="0.2">
      <c r="B20" s="47" t="s">
        <v>70</v>
      </c>
      <c r="E20" s="56">
        <f t="shared" ref="E20:G20" si="6">SUM(E15:E19)</f>
        <v>-58.636000000000031</v>
      </c>
      <c r="F20" s="56">
        <f t="shared" si="6"/>
        <v>17.777000000000008</v>
      </c>
      <c r="G20" s="56">
        <f t="shared" si="6"/>
        <v>102.30599999999997</v>
      </c>
      <c r="H20" s="223">
        <f>SUM(H15:H19)</f>
        <v>148.32172966666636</v>
      </c>
      <c r="I20" s="223">
        <f t="shared" ref="I20:L20" si="7">SUM(I15:I19)</f>
        <v>222.13451882255845</v>
      </c>
      <c r="J20" s="223">
        <f t="shared" si="7"/>
        <v>319.85233186969549</v>
      </c>
      <c r="K20" s="223">
        <f t="shared" si="7"/>
        <v>441.24543970030561</v>
      </c>
      <c r="L20" s="223">
        <f t="shared" si="7"/>
        <v>591.24493993674957</v>
      </c>
    </row>
    <row r="21" spans="2:12" x14ac:dyDescent="0.2">
      <c r="E21" s="54"/>
      <c r="F21" s="54"/>
      <c r="G21" s="54"/>
      <c r="H21" s="79"/>
      <c r="I21" s="79"/>
      <c r="J21" s="79"/>
      <c r="K21" s="79"/>
      <c r="L21" s="79"/>
    </row>
    <row r="22" spans="2:12" x14ac:dyDescent="0.2">
      <c r="B22" s="1" t="s">
        <v>71</v>
      </c>
      <c r="E22" s="54">
        <v>-0.93799999999999994</v>
      </c>
      <c r="F22" s="54">
        <v>-1.71</v>
      </c>
      <c r="G22" s="54">
        <v>-13.731999999999999</v>
      </c>
      <c r="H22" s="186">
        <f>-H20*'Master Assumptions'!F20</f>
        <v>-22.248259449999953</v>
      </c>
      <c r="I22" s="186">
        <f>-I20*'Master Assumptions'!G20</f>
        <v>-37.762868199834941</v>
      </c>
      <c r="J22" s="186">
        <f>-J20*'Master Assumptions'!H20</f>
        <v>-57.573419736545183</v>
      </c>
      <c r="K22" s="186">
        <f>-K20*'Master Assumptions'!I20</f>
        <v>-83.83663354305807</v>
      </c>
      <c r="L22" s="186">
        <f>-L20*'Master Assumptions'!J20</f>
        <v>-118.24898798734992</v>
      </c>
    </row>
    <row r="23" spans="2:12" x14ac:dyDescent="0.2">
      <c r="B23" s="1" t="s">
        <v>72</v>
      </c>
      <c r="E23" s="54">
        <v>0</v>
      </c>
      <c r="F23" s="54">
        <v>0</v>
      </c>
      <c r="G23" s="54">
        <v>0</v>
      </c>
      <c r="H23" s="79">
        <f>G23</f>
        <v>0</v>
      </c>
      <c r="I23" s="79">
        <f t="shared" ref="I23:L23" si="8">H23</f>
        <v>0</v>
      </c>
      <c r="J23" s="79">
        <f t="shared" si="8"/>
        <v>0</v>
      </c>
      <c r="K23" s="79">
        <f t="shared" si="8"/>
        <v>0</v>
      </c>
      <c r="L23" s="79">
        <f t="shared" si="8"/>
        <v>0</v>
      </c>
    </row>
    <row r="24" spans="2:12" x14ac:dyDescent="0.2">
      <c r="B24" s="47" t="s">
        <v>73</v>
      </c>
      <c r="E24" s="56">
        <f t="shared" ref="E24:F24" si="9">SUM(E20:E23)</f>
        <v>-59.574000000000034</v>
      </c>
      <c r="F24" s="56">
        <f t="shared" si="9"/>
        <v>16.067000000000007</v>
      </c>
      <c r="G24" s="56">
        <f>SUM(G20:G23)</f>
        <v>88.57399999999997</v>
      </c>
      <c r="H24" s="222">
        <f>SUM(H20:H23)</f>
        <v>126.07347021666641</v>
      </c>
      <c r="I24" s="222">
        <f t="shared" ref="I24:L24" si="10">SUM(I20:I23)</f>
        <v>184.37165062272351</v>
      </c>
      <c r="J24" s="222">
        <f t="shared" si="10"/>
        <v>262.2789121331503</v>
      </c>
      <c r="K24" s="222">
        <f t="shared" si="10"/>
        <v>357.40880615724757</v>
      </c>
      <c r="L24" s="222">
        <f t="shared" si="10"/>
        <v>472.99595194939968</v>
      </c>
    </row>
    <row r="28" spans="2:12" ht="19" x14ac:dyDescent="0.25">
      <c r="B28" s="496" t="s">
        <v>325</v>
      </c>
      <c r="C28" s="496"/>
      <c r="D28" s="496"/>
      <c r="E28" s="496"/>
      <c r="F28" s="496"/>
      <c r="G28" s="496"/>
      <c r="H28" s="496"/>
      <c r="I28" s="496"/>
      <c r="J28" s="496"/>
      <c r="K28" s="496"/>
      <c r="L28" s="496"/>
    </row>
    <row r="29" spans="2:12" x14ac:dyDescent="0.2">
      <c r="H29" s="116"/>
      <c r="I29" s="116"/>
      <c r="J29" s="116"/>
      <c r="K29" s="116"/>
      <c r="L29" s="116"/>
    </row>
    <row r="30" spans="2:12" x14ac:dyDescent="0.2">
      <c r="B30" s="49" t="s">
        <v>241</v>
      </c>
      <c r="E30" s="117" t="s">
        <v>60</v>
      </c>
      <c r="F30" s="117" t="s">
        <v>61</v>
      </c>
      <c r="G30" s="117" t="s">
        <v>132</v>
      </c>
      <c r="H30" s="117" t="s">
        <v>210</v>
      </c>
      <c r="I30" s="117" t="s">
        <v>211</v>
      </c>
      <c r="J30" s="117" t="s">
        <v>212</v>
      </c>
      <c r="K30" s="117" t="s">
        <v>213</v>
      </c>
      <c r="L30" s="117" t="s">
        <v>214</v>
      </c>
    </row>
    <row r="31" spans="2:12" x14ac:dyDescent="0.2">
      <c r="B31" s="49" t="s">
        <v>242</v>
      </c>
    </row>
    <row r="33" spans="2:12" x14ac:dyDescent="0.2">
      <c r="B33" s="48" t="s">
        <v>75</v>
      </c>
    </row>
    <row r="34" spans="2:12" x14ac:dyDescent="0.2">
      <c r="B34" s="1" t="s">
        <v>76</v>
      </c>
      <c r="E34" s="57">
        <v>608.17999999999995</v>
      </c>
      <c r="F34" s="57">
        <v>747.61</v>
      </c>
      <c r="G34" s="57">
        <v>877.64499999999998</v>
      </c>
      <c r="H34" s="186">
        <f>G34+H110</f>
        <v>1196.4623288963667</v>
      </c>
      <c r="I34" s="186">
        <f>H34+I110</f>
        <v>1608.1968549496228</v>
      </c>
      <c r="J34" s="186">
        <f t="shared" ref="J34:L34" si="11">I34+J110</f>
        <v>2146.7133864850557</v>
      </c>
      <c r="K34" s="186">
        <f t="shared" si="11"/>
        <v>2833.149076218247</v>
      </c>
      <c r="L34" s="186">
        <f t="shared" si="11"/>
        <v>3696.2719601331255</v>
      </c>
    </row>
    <row r="35" spans="2:12" x14ac:dyDescent="0.2">
      <c r="B35" s="1" t="s">
        <v>77</v>
      </c>
      <c r="E35" s="57">
        <v>46.728000000000002</v>
      </c>
      <c r="F35" s="57">
        <v>88.974999999999994</v>
      </c>
      <c r="G35" s="57">
        <v>128.923</v>
      </c>
      <c r="H35" s="186">
        <f>'Supporting Schedules'!H131</f>
        <v>171.61002860001432</v>
      </c>
      <c r="I35" s="186">
        <f>'Supporting Schedules'!I131</f>
        <v>223.09303718001863</v>
      </c>
      <c r="J35" s="186">
        <f>'Supporting Schedules'!J131</f>
        <v>283.32815721862363</v>
      </c>
      <c r="K35" s="186">
        <f>'Supporting Schedules'!K131</f>
        <v>351.32691495109333</v>
      </c>
      <c r="L35" s="186">
        <f>'Supporting Schedules'!L131</f>
        <v>428.61883624033379</v>
      </c>
    </row>
    <row r="36" spans="2:12" x14ac:dyDescent="0.2">
      <c r="B36" s="1" t="s">
        <v>78</v>
      </c>
      <c r="E36" s="57">
        <v>35.040999999999997</v>
      </c>
      <c r="F36" s="57">
        <v>53.930999999999997</v>
      </c>
      <c r="G36" s="57">
        <v>80.162000000000006</v>
      </c>
      <c r="H36" s="186">
        <f>'Master Assumptions'!F25*'Forecast Model'!H8</f>
        <v>97.779532973137535</v>
      </c>
      <c r="I36" s="186">
        <f>'Master Assumptions'!G25*'Forecast Model'!I8</f>
        <v>127.11339286507881</v>
      </c>
      <c r="J36" s="186">
        <f>'Master Assumptions'!H25*'Forecast Model'!J8</f>
        <v>161.43400893865009</v>
      </c>
      <c r="K36" s="186">
        <f>'Master Assumptions'!I25*'Forecast Model'!K8</f>
        <v>200.17817108392609</v>
      </c>
      <c r="L36" s="186">
        <f>'Master Assumptions'!J25*'Forecast Model'!L8</f>
        <v>244.21736872238981</v>
      </c>
    </row>
    <row r="37" spans="2:12" x14ac:dyDescent="0.2">
      <c r="B37" s="1" t="s">
        <v>79</v>
      </c>
      <c r="E37" s="57">
        <v>0</v>
      </c>
      <c r="F37" s="57">
        <v>0</v>
      </c>
      <c r="G37" s="57">
        <v>0</v>
      </c>
      <c r="H37" s="186">
        <f>G37</f>
        <v>0</v>
      </c>
      <c r="I37" s="186">
        <f t="shared" ref="I37:L37" si="12">H37</f>
        <v>0</v>
      </c>
      <c r="J37" s="186">
        <f t="shared" si="12"/>
        <v>0</v>
      </c>
      <c r="K37" s="186">
        <f t="shared" si="12"/>
        <v>0</v>
      </c>
      <c r="L37" s="186">
        <f t="shared" si="12"/>
        <v>0</v>
      </c>
    </row>
    <row r="38" spans="2:12" x14ac:dyDescent="0.2">
      <c r="B38" s="1" t="s">
        <v>80</v>
      </c>
      <c r="E38" s="57">
        <v>7.234</v>
      </c>
      <c r="F38" s="57">
        <v>7.282</v>
      </c>
      <c r="G38" s="57">
        <v>14.858000000000001</v>
      </c>
      <c r="H38" s="186">
        <f>'Master Assumptions'!F26*'Forecast Model'!H8</f>
        <v>21.966467051199629</v>
      </c>
      <c r="I38" s="186">
        <f>'Master Assumptions'!G26*'Forecast Model'!I8</f>
        <v>28.556407166559524</v>
      </c>
      <c r="J38" s="186">
        <f>'Master Assumptions'!H26*'Forecast Model'!J8</f>
        <v>36.266637101530591</v>
      </c>
      <c r="K38" s="186">
        <f>'Master Assumptions'!I26*'Forecast Model'!K8</f>
        <v>44.970630005897931</v>
      </c>
      <c r="L38" s="186">
        <f>'Master Assumptions'!J26*'Forecast Model'!L8</f>
        <v>54.864168607195474</v>
      </c>
    </row>
    <row r="39" spans="2:12" x14ac:dyDescent="0.2">
      <c r="B39" s="47" t="s">
        <v>81</v>
      </c>
      <c r="E39" s="58">
        <f t="shared" ref="E39:G39" si="13">SUM(E34:E38)</f>
        <v>697.18299999999988</v>
      </c>
      <c r="F39" s="58">
        <f t="shared" si="13"/>
        <v>897.79800000000012</v>
      </c>
      <c r="G39" s="58">
        <f t="shared" si="13"/>
        <v>1101.588</v>
      </c>
      <c r="H39" s="222">
        <f>SUM(H34:H38)</f>
        <v>1487.8183575207181</v>
      </c>
      <c r="I39" s="222">
        <f t="shared" ref="I39:L39" si="14">SUM(I34:I38)</f>
        <v>1986.9596921612797</v>
      </c>
      <c r="J39" s="222">
        <f t="shared" si="14"/>
        <v>2627.7421897438603</v>
      </c>
      <c r="K39" s="222">
        <f t="shared" si="14"/>
        <v>3429.6247922591642</v>
      </c>
      <c r="L39" s="222">
        <f t="shared" si="14"/>
        <v>4423.9723337030437</v>
      </c>
    </row>
    <row r="40" spans="2:12" x14ac:dyDescent="0.2">
      <c r="E40" s="57"/>
      <c r="F40" s="57"/>
      <c r="G40" s="57"/>
      <c r="H40" s="186"/>
      <c r="I40" s="186"/>
      <c r="J40" s="186"/>
      <c r="K40" s="186"/>
      <c r="L40" s="186"/>
    </row>
    <row r="41" spans="2:12" x14ac:dyDescent="0.2">
      <c r="B41" s="1" t="s">
        <v>82</v>
      </c>
      <c r="E41" s="57">
        <v>35.476999999999997</v>
      </c>
      <c r="F41" s="57">
        <v>30.895</v>
      </c>
      <c r="G41" s="57">
        <v>66.438000000000002</v>
      </c>
      <c r="H41" s="186">
        <f>'Supporting Schedules'!D188</f>
        <v>77.747634399470101</v>
      </c>
      <c r="I41" s="186">
        <f>'Supporting Schedules'!E188</f>
        <v>92.450159118781229</v>
      </c>
      <c r="J41" s="186">
        <f>'Supporting Schedules'!F188</f>
        <v>111.12236551230635</v>
      </c>
      <c r="K41" s="186">
        <f>'Supporting Schedules'!G188</f>
        <v>134.27590144027752</v>
      </c>
      <c r="L41" s="186">
        <f>'Supporting Schedules'!H188</f>
        <v>162.52321527240235</v>
      </c>
    </row>
    <row r="42" spans="2:12" x14ac:dyDescent="0.2">
      <c r="B42" s="1" t="s">
        <v>83</v>
      </c>
      <c r="E42" s="57">
        <v>4.05</v>
      </c>
      <c r="F42" s="57">
        <v>4.05</v>
      </c>
      <c r="G42" s="57">
        <v>10.538</v>
      </c>
      <c r="H42" s="186">
        <f>G42</f>
        <v>10.538</v>
      </c>
      <c r="I42" s="186">
        <f t="shared" ref="I42:L42" si="15">H42</f>
        <v>10.538</v>
      </c>
      <c r="J42" s="186">
        <f t="shared" si="15"/>
        <v>10.538</v>
      </c>
      <c r="K42" s="186">
        <f t="shared" si="15"/>
        <v>10.538</v>
      </c>
      <c r="L42" s="186">
        <f t="shared" si="15"/>
        <v>10.538</v>
      </c>
    </row>
    <row r="43" spans="2:12" x14ac:dyDescent="0.2">
      <c r="B43" s="1" t="s">
        <v>84</v>
      </c>
      <c r="E43" s="57">
        <v>8.4969999999999999</v>
      </c>
      <c r="F43" s="57">
        <v>15.994999999999999</v>
      </c>
      <c r="G43" s="57">
        <v>19.899000000000001</v>
      </c>
      <c r="H43" s="186">
        <f>G43</f>
        <v>19.899000000000001</v>
      </c>
      <c r="I43" s="186">
        <f t="shared" ref="I43:L43" si="16">H43</f>
        <v>19.899000000000001</v>
      </c>
      <c r="J43" s="186">
        <f t="shared" si="16"/>
        <v>19.899000000000001</v>
      </c>
      <c r="K43" s="186">
        <f t="shared" si="16"/>
        <v>19.899000000000001</v>
      </c>
      <c r="L43" s="186">
        <f t="shared" si="16"/>
        <v>19.899000000000001</v>
      </c>
    </row>
    <row r="44" spans="2:12" x14ac:dyDescent="0.2">
      <c r="B44" s="1" t="s">
        <v>85</v>
      </c>
      <c r="E44" s="57">
        <v>0</v>
      </c>
      <c r="F44" s="57">
        <v>2.7349999999999999</v>
      </c>
      <c r="G44" s="57">
        <v>101.027</v>
      </c>
      <c r="H44" s="186">
        <f>G44</f>
        <v>101.027</v>
      </c>
      <c r="I44" s="186">
        <f t="shared" ref="I44:L44" si="17">H44</f>
        <v>101.027</v>
      </c>
      <c r="J44" s="186">
        <f t="shared" si="17"/>
        <v>101.027</v>
      </c>
      <c r="K44" s="186">
        <f t="shared" si="17"/>
        <v>101.027</v>
      </c>
      <c r="L44" s="186">
        <f t="shared" si="17"/>
        <v>101.027</v>
      </c>
    </row>
    <row r="45" spans="2:12" x14ac:dyDescent="0.2">
      <c r="B45" s="1" t="s">
        <v>86</v>
      </c>
      <c r="E45" s="57">
        <v>10.247</v>
      </c>
      <c r="F45" s="57">
        <v>11.038</v>
      </c>
      <c r="G45" s="57">
        <v>0.67500000000000004</v>
      </c>
      <c r="H45" s="186">
        <f>G45</f>
        <v>0.67500000000000004</v>
      </c>
      <c r="I45" s="186">
        <f t="shared" ref="I45:L45" si="18">H45</f>
        <v>0.67500000000000004</v>
      </c>
      <c r="J45" s="186">
        <f t="shared" si="18"/>
        <v>0.67500000000000004</v>
      </c>
      <c r="K45" s="186">
        <f t="shared" si="18"/>
        <v>0.67500000000000004</v>
      </c>
      <c r="L45" s="186">
        <f t="shared" si="18"/>
        <v>0.67500000000000004</v>
      </c>
    </row>
    <row r="46" spans="2:12" x14ac:dyDescent="0.2">
      <c r="B46" s="1" t="s">
        <v>87</v>
      </c>
      <c r="E46" s="57">
        <v>1.5069999999999999</v>
      </c>
      <c r="F46" s="57">
        <v>1.718</v>
      </c>
      <c r="G46" s="57">
        <v>1.5629999999999999</v>
      </c>
      <c r="H46" s="186">
        <f>G46</f>
        <v>1.5629999999999999</v>
      </c>
      <c r="I46" s="186">
        <f t="shared" ref="I46:L46" si="19">H46</f>
        <v>1.5629999999999999</v>
      </c>
      <c r="J46" s="186">
        <f t="shared" si="19"/>
        <v>1.5629999999999999</v>
      </c>
      <c r="K46" s="186">
        <f t="shared" si="19"/>
        <v>1.5629999999999999</v>
      </c>
      <c r="L46" s="186">
        <f t="shared" si="19"/>
        <v>1.5629999999999999</v>
      </c>
    </row>
    <row r="47" spans="2:12" x14ac:dyDescent="0.2">
      <c r="B47" s="47" t="s">
        <v>88</v>
      </c>
      <c r="E47" s="58">
        <f t="shared" ref="E47:G47" si="20">SUM(E41:E46)</f>
        <v>59.777999999999992</v>
      </c>
      <c r="F47" s="58">
        <f t="shared" si="20"/>
        <v>66.430999999999997</v>
      </c>
      <c r="G47" s="58">
        <f t="shared" si="20"/>
        <v>200.14</v>
      </c>
      <c r="H47" s="186">
        <f>SUM(H41:H46)</f>
        <v>211.44963439947009</v>
      </c>
      <c r="I47" s="186">
        <f t="shared" ref="I47:L47" si="21">SUM(I41:I46)</f>
        <v>226.15215911878124</v>
      </c>
      <c r="J47" s="186">
        <f t="shared" si="21"/>
        <v>244.82436551230631</v>
      </c>
      <c r="K47" s="186">
        <f t="shared" si="21"/>
        <v>267.97790144027755</v>
      </c>
      <c r="L47" s="186">
        <f t="shared" si="21"/>
        <v>296.22521527240235</v>
      </c>
    </row>
    <row r="48" spans="2:12" x14ac:dyDescent="0.2">
      <c r="B48" s="47"/>
      <c r="E48" s="57"/>
      <c r="F48" s="57"/>
      <c r="G48" s="57"/>
      <c r="H48" s="186"/>
      <c r="I48" s="186"/>
      <c r="J48" s="186"/>
      <c r="K48" s="186"/>
      <c r="L48" s="186"/>
    </row>
    <row r="49" spans="2:12" x14ac:dyDescent="0.2">
      <c r="B49" s="47" t="s">
        <v>89</v>
      </c>
      <c r="E49" s="58">
        <f t="shared" ref="E49:G49" si="22">E39+E47</f>
        <v>756.9609999999999</v>
      </c>
      <c r="F49" s="58">
        <f t="shared" si="22"/>
        <v>964.22900000000016</v>
      </c>
      <c r="G49" s="58">
        <f t="shared" si="22"/>
        <v>1301.7280000000001</v>
      </c>
      <c r="H49" s="222">
        <f>H47+H39</f>
        <v>1699.2679919201883</v>
      </c>
      <c r="I49" s="222">
        <f t="shared" ref="I49:L49" si="23">I47+I39</f>
        <v>2213.1118512800608</v>
      </c>
      <c r="J49" s="222">
        <f t="shared" si="23"/>
        <v>2872.5665552561668</v>
      </c>
      <c r="K49" s="222">
        <f t="shared" si="23"/>
        <v>3697.6026936994417</v>
      </c>
      <c r="L49" s="222">
        <f t="shared" si="23"/>
        <v>4720.1975489754459</v>
      </c>
    </row>
    <row r="50" spans="2:12" x14ac:dyDescent="0.2">
      <c r="E50" s="57"/>
      <c r="F50" s="57"/>
      <c r="G50" s="57"/>
      <c r="H50" s="186"/>
      <c r="I50" s="186"/>
      <c r="J50" s="186"/>
      <c r="K50" s="186"/>
      <c r="L50" s="186"/>
    </row>
    <row r="51" spans="2:12" x14ac:dyDescent="0.2">
      <c r="B51" s="48" t="s">
        <v>90</v>
      </c>
      <c r="E51" s="57"/>
      <c r="F51" s="57"/>
      <c r="G51" s="57"/>
      <c r="H51" s="186"/>
      <c r="I51" s="186"/>
      <c r="J51" s="186"/>
      <c r="K51" s="186"/>
      <c r="L51" s="186"/>
    </row>
    <row r="52" spans="2:12" x14ac:dyDescent="0.2">
      <c r="B52" s="1" t="s">
        <v>91</v>
      </c>
      <c r="E52" s="57">
        <v>1.177</v>
      </c>
      <c r="F52" s="57">
        <v>2.4470000000000001</v>
      </c>
      <c r="G52" s="57">
        <v>6.3810000000000002</v>
      </c>
      <c r="H52" s="186">
        <f>'Supporting Schedules'!H139</f>
        <v>8.2847396517104936</v>
      </c>
      <c r="I52" s="186">
        <f>'Supporting Schedules'!I139</f>
        <v>10.558981909042785</v>
      </c>
      <c r="J52" s="186">
        <f>'Supporting Schedules'!J139</f>
        <v>13.141708883994649</v>
      </c>
      <c r="K52" s="186">
        <f>'Supporting Schedules'!K139</f>
        <v>16.096179599629039</v>
      </c>
      <c r="L52" s="186">
        <f>'Supporting Schedules'!L139</f>
        <v>19.475047052774304</v>
      </c>
    </row>
    <row r="53" spans="2:12" x14ac:dyDescent="0.2">
      <c r="B53" s="1" t="s">
        <v>137</v>
      </c>
      <c r="E53" s="57">
        <v>4.9029999999999996</v>
      </c>
      <c r="F53" s="57">
        <v>3.944</v>
      </c>
      <c r="G53" s="57">
        <v>2.581</v>
      </c>
      <c r="H53" s="186">
        <f>'Supporting Schedules'!D203</f>
        <v>2.581</v>
      </c>
      <c r="I53" s="186">
        <f>'Supporting Schedules'!E203</f>
        <v>2.581</v>
      </c>
      <c r="J53" s="186">
        <f>'Supporting Schedules'!F203</f>
        <v>2.581</v>
      </c>
      <c r="K53" s="186">
        <f>'Supporting Schedules'!G203</f>
        <v>2.581</v>
      </c>
      <c r="L53" s="186">
        <f>'Supporting Schedules'!H203</f>
        <v>2.581</v>
      </c>
    </row>
    <row r="54" spans="2:12" x14ac:dyDescent="0.2">
      <c r="B54" s="1" t="s">
        <v>92</v>
      </c>
      <c r="E54" s="57">
        <v>1.069</v>
      </c>
      <c r="F54" s="57">
        <v>0.79200000000000004</v>
      </c>
      <c r="G54" s="57">
        <v>6.5910000000000002</v>
      </c>
      <c r="H54" s="186">
        <f>'Master Assumptions'!F27*'Forecast Model'!H22*-1</f>
        <v>10.678581272571344</v>
      </c>
      <c r="I54" s="186">
        <f>'Master Assumptions'!G27*'Forecast Model'!I22*-1</f>
        <v>18.125186739376062</v>
      </c>
      <c r="J54" s="186">
        <f>'Master Assumptions'!H27*'Forecast Model'!J22*-1</f>
        <v>27.633732120854159</v>
      </c>
      <c r="K54" s="186">
        <f>'Master Assumptions'!I27*'Forecast Model'!K22*-1</f>
        <v>40.239386227956288</v>
      </c>
      <c r="L54" s="186">
        <f>'Master Assumptions'!J27*'Forecast Model'!L22*-1</f>
        <v>56.756414202200943</v>
      </c>
    </row>
    <row r="55" spans="2:12" x14ac:dyDescent="0.2">
      <c r="B55" s="1" t="s">
        <v>93</v>
      </c>
      <c r="E55" s="57">
        <v>174.61699999999999</v>
      </c>
      <c r="F55" s="57">
        <v>270.17899999999997</v>
      </c>
      <c r="G55" s="57">
        <v>406.678</v>
      </c>
      <c r="H55" s="186">
        <f>'Master Assumptions'!F28*'Forecast Model'!H8</f>
        <v>549.01530000000002</v>
      </c>
      <c r="I55" s="186">
        <f>'Master Assumptions'!G28*'Forecast Model'!I8</f>
        <v>713.71989000000019</v>
      </c>
      <c r="J55" s="186">
        <f>'Master Assumptions'!H28*'Forecast Model'!J8</f>
        <v>906.42426030000024</v>
      </c>
      <c r="K55" s="186">
        <f>'Master Assumptions'!I28*'Forecast Model'!K8</f>
        <v>1123.9660827720002</v>
      </c>
      <c r="L55" s="186">
        <f>'Master Assumptions'!J28*'Forecast Model'!L8</f>
        <v>1371.2386209818401</v>
      </c>
    </row>
    <row r="56" spans="2:12" x14ac:dyDescent="0.2">
      <c r="B56" s="47" t="s">
        <v>94</v>
      </c>
      <c r="E56" s="58">
        <f t="shared" ref="E56:G56" si="24">SUM(E52:E55)</f>
        <v>181.76599999999999</v>
      </c>
      <c r="F56" s="58">
        <f t="shared" si="24"/>
        <v>277.36199999999997</v>
      </c>
      <c r="G56" s="58">
        <f t="shared" si="24"/>
        <v>422.23099999999999</v>
      </c>
      <c r="H56" s="222">
        <f>SUM(H52:H55)</f>
        <v>570.55962092428183</v>
      </c>
      <c r="I56" s="222">
        <f t="shared" ref="I56:L56" si="25">SUM(I52:I55)</f>
        <v>744.985058648419</v>
      </c>
      <c r="J56" s="222">
        <f t="shared" si="25"/>
        <v>949.780701304849</v>
      </c>
      <c r="K56" s="222">
        <f t="shared" si="25"/>
        <v>1182.8826485995855</v>
      </c>
      <c r="L56" s="222">
        <f t="shared" si="25"/>
        <v>1450.0510822368153</v>
      </c>
    </row>
    <row r="57" spans="2:12" x14ac:dyDescent="0.2">
      <c r="E57" s="57"/>
      <c r="F57" s="57"/>
      <c r="G57" s="57"/>
      <c r="H57" s="186"/>
      <c r="I57" s="186"/>
      <c r="J57" s="186"/>
      <c r="K57" s="186"/>
      <c r="L57" s="186"/>
    </row>
    <row r="58" spans="2:12" x14ac:dyDescent="0.2">
      <c r="B58" s="1" t="s">
        <v>95</v>
      </c>
      <c r="E58" s="57">
        <v>23.503</v>
      </c>
      <c r="F58" s="57">
        <v>21.094000000000001</v>
      </c>
      <c r="G58" s="57">
        <v>54.655999999999999</v>
      </c>
      <c r="H58" s="186">
        <f>'Supporting Schedules'!D208</f>
        <v>52.074999999999996</v>
      </c>
      <c r="I58" s="186">
        <f>'Supporting Schedules'!E208</f>
        <v>49.493999999999993</v>
      </c>
      <c r="J58" s="186">
        <f>'Supporting Schedules'!F208</f>
        <v>46.91299999999999</v>
      </c>
      <c r="K58" s="186">
        <f>'Supporting Schedules'!G208</f>
        <v>44.331999999999987</v>
      </c>
      <c r="L58" s="186">
        <f>'Supporting Schedules'!H208</f>
        <v>41.750999999999983</v>
      </c>
    </row>
    <row r="59" spans="2:12" x14ac:dyDescent="0.2">
      <c r="B59" s="1" t="s">
        <v>96</v>
      </c>
      <c r="E59" s="57">
        <v>9.6140000000000008</v>
      </c>
      <c r="F59" s="57">
        <v>10.272</v>
      </c>
      <c r="G59" s="57">
        <v>0.29099999999999998</v>
      </c>
      <c r="H59" s="186">
        <f>G59</f>
        <v>0.29099999999999998</v>
      </c>
      <c r="I59" s="186">
        <f t="shared" ref="I59:L59" si="26">H59</f>
        <v>0.29099999999999998</v>
      </c>
      <c r="J59" s="186">
        <f t="shared" si="26"/>
        <v>0.29099999999999998</v>
      </c>
      <c r="K59" s="186">
        <f t="shared" si="26"/>
        <v>0.29099999999999998</v>
      </c>
      <c r="L59" s="186">
        <f t="shared" si="26"/>
        <v>0.29099999999999998</v>
      </c>
    </row>
    <row r="60" spans="2:12" x14ac:dyDescent="0.2">
      <c r="B60" s="1" t="s">
        <v>97</v>
      </c>
      <c r="E60" s="57">
        <v>0</v>
      </c>
      <c r="F60" s="57">
        <v>0</v>
      </c>
      <c r="G60" s="57">
        <v>0</v>
      </c>
      <c r="H60" s="186">
        <f>G60</f>
        <v>0</v>
      </c>
      <c r="I60" s="186">
        <f t="shared" ref="I60:L60" si="27">H60</f>
        <v>0</v>
      </c>
      <c r="J60" s="186">
        <f t="shared" si="27"/>
        <v>0</v>
      </c>
      <c r="K60" s="186">
        <f t="shared" si="27"/>
        <v>0</v>
      </c>
      <c r="L60" s="186">
        <f t="shared" si="27"/>
        <v>0</v>
      </c>
    </row>
    <row r="61" spans="2:12" x14ac:dyDescent="0.2">
      <c r="B61" s="47" t="s">
        <v>98</v>
      </c>
      <c r="E61" s="58">
        <f t="shared" ref="E61:G61" si="28">SUM(E58:E60)</f>
        <v>33.117000000000004</v>
      </c>
      <c r="F61" s="58">
        <f t="shared" si="28"/>
        <v>31.366</v>
      </c>
      <c r="G61" s="58">
        <f t="shared" si="28"/>
        <v>54.946999999999996</v>
      </c>
      <c r="H61" s="186">
        <f>SUM(H58:H60)</f>
        <v>52.365999999999993</v>
      </c>
      <c r="I61" s="186">
        <f t="shared" ref="I61:L61" si="29">SUM(I58:I60)</f>
        <v>49.784999999999989</v>
      </c>
      <c r="J61" s="186">
        <f t="shared" si="29"/>
        <v>47.203999999999986</v>
      </c>
      <c r="K61" s="186">
        <f t="shared" si="29"/>
        <v>44.622999999999983</v>
      </c>
      <c r="L61" s="186">
        <f t="shared" si="29"/>
        <v>42.04199999999998</v>
      </c>
    </row>
    <row r="62" spans="2:12" x14ac:dyDescent="0.2">
      <c r="B62" s="47" t="s">
        <v>99</v>
      </c>
      <c r="E62" s="58">
        <f t="shared" ref="E62:G62" si="30">E61+E56</f>
        <v>214.88299999999998</v>
      </c>
      <c r="F62" s="58">
        <f t="shared" si="30"/>
        <v>308.72799999999995</v>
      </c>
      <c r="G62" s="58">
        <f t="shared" si="30"/>
        <v>477.178</v>
      </c>
      <c r="H62" s="222">
        <f>H61+H56</f>
        <v>622.92562092428182</v>
      </c>
      <c r="I62" s="222">
        <f t="shared" ref="I62:L62" si="31">I61+I56</f>
        <v>794.77005864841897</v>
      </c>
      <c r="J62" s="222">
        <f t="shared" si="31"/>
        <v>996.98470130484895</v>
      </c>
      <c r="K62" s="222">
        <f t="shared" si="31"/>
        <v>1227.5056485995856</v>
      </c>
      <c r="L62" s="222">
        <f t="shared" si="31"/>
        <v>1492.0930822368152</v>
      </c>
    </row>
    <row r="63" spans="2:12" x14ac:dyDescent="0.2">
      <c r="E63" s="57"/>
      <c r="F63" s="57"/>
      <c r="G63" s="57"/>
      <c r="H63" s="186"/>
      <c r="I63" s="186"/>
      <c r="J63" s="186"/>
      <c r="K63" s="186"/>
      <c r="L63" s="186"/>
    </row>
    <row r="64" spans="2:12" x14ac:dyDescent="0.2">
      <c r="B64" s="48" t="s">
        <v>100</v>
      </c>
      <c r="E64" s="57"/>
      <c r="F64" s="57"/>
      <c r="G64" s="57"/>
      <c r="H64" s="186"/>
      <c r="I64" s="186"/>
      <c r="J64" s="186"/>
      <c r="K64" s="186"/>
      <c r="L64" s="186"/>
    </row>
    <row r="65" spans="2:12" x14ac:dyDescent="0.2">
      <c r="B65" s="1" t="s">
        <v>101</v>
      </c>
      <c r="E65" s="57">
        <v>772.56200000000001</v>
      </c>
      <c r="F65" s="57">
        <v>869.91800000000001</v>
      </c>
      <c r="G65" s="57">
        <v>950.39300000000003</v>
      </c>
      <c r="H65" s="186">
        <f>'Supporting Schedules'!C257</f>
        <v>1076.1119007792402</v>
      </c>
      <c r="I65" s="186">
        <f>'Supporting Schedules'!D257</f>
        <v>1233.7396717922522</v>
      </c>
      <c r="J65" s="186">
        <f>'Supporting Schedules'!E257</f>
        <v>1428.7008209787775</v>
      </c>
      <c r="K65" s="186">
        <f>'Supporting Schedules'!F257</f>
        <v>1665.8072059700689</v>
      </c>
      <c r="L65" s="186">
        <f>'Supporting Schedules'!G257</f>
        <v>1950.8186756594446</v>
      </c>
    </row>
    <row r="66" spans="2:12" x14ac:dyDescent="0.2">
      <c r="B66" s="1" t="s">
        <v>102</v>
      </c>
      <c r="E66" s="57">
        <v>-230.488</v>
      </c>
      <c r="F66" s="57">
        <v>-214.42099999999999</v>
      </c>
      <c r="G66" s="57">
        <v>-125.84699999999999</v>
      </c>
      <c r="H66" s="186">
        <f>'Supporting Schedules'!C266</f>
        <v>0.22647021666641365</v>
      </c>
      <c r="I66" s="186">
        <f>'Supporting Schedules'!D266</f>
        <v>184.59812083938994</v>
      </c>
      <c r="J66" s="186">
        <f>'Supporting Schedules'!E266</f>
        <v>446.87703297254023</v>
      </c>
      <c r="K66" s="186">
        <f>'Supporting Schedules'!F266</f>
        <v>804.28583912978775</v>
      </c>
      <c r="L66" s="186">
        <f>'Supporting Schedules'!G266</f>
        <v>1277.2817910791873</v>
      </c>
    </row>
    <row r="67" spans="2:12" x14ac:dyDescent="0.2">
      <c r="B67" s="1" t="s">
        <v>103</v>
      </c>
      <c r="E67" s="57">
        <v>0</v>
      </c>
      <c r="F67" s="57">
        <v>0</v>
      </c>
      <c r="G67" s="57">
        <v>0</v>
      </c>
      <c r="H67" s="186">
        <f>G67</f>
        <v>0</v>
      </c>
      <c r="I67" s="186">
        <f t="shared" ref="I67:L67" si="32">H67</f>
        <v>0</v>
      </c>
      <c r="J67" s="186">
        <f t="shared" si="32"/>
        <v>0</v>
      </c>
      <c r="K67" s="186">
        <f t="shared" si="32"/>
        <v>0</v>
      </c>
      <c r="L67" s="186">
        <f t="shared" si="32"/>
        <v>0</v>
      </c>
    </row>
    <row r="68" spans="2:12" x14ac:dyDescent="0.2">
      <c r="B68" s="1" t="s">
        <v>104</v>
      </c>
      <c r="E68" s="57">
        <v>0</v>
      </c>
      <c r="F68" s="57">
        <v>0</v>
      </c>
      <c r="G68" s="57">
        <v>0</v>
      </c>
      <c r="H68" s="186">
        <f>G68</f>
        <v>0</v>
      </c>
      <c r="I68" s="186">
        <f t="shared" ref="I68:L68" si="33">H68</f>
        <v>0</v>
      </c>
      <c r="J68" s="186">
        <f t="shared" si="33"/>
        <v>0</v>
      </c>
      <c r="K68" s="186">
        <f t="shared" si="33"/>
        <v>0</v>
      </c>
      <c r="L68" s="186">
        <f t="shared" si="33"/>
        <v>0</v>
      </c>
    </row>
    <row r="69" spans="2:12" x14ac:dyDescent="0.2">
      <c r="B69" s="1" t="s">
        <v>138</v>
      </c>
      <c r="E69" s="57">
        <v>0</v>
      </c>
      <c r="F69" s="57">
        <v>0</v>
      </c>
      <c r="G69" s="57">
        <v>0</v>
      </c>
      <c r="H69" s="186">
        <f>G69</f>
        <v>0</v>
      </c>
      <c r="I69" s="186">
        <f t="shared" ref="I69:L69" si="34">H69</f>
        <v>0</v>
      </c>
      <c r="J69" s="186">
        <f t="shared" si="34"/>
        <v>0</v>
      </c>
      <c r="K69" s="186">
        <f t="shared" si="34"/>
        <v>0</v>
      </c>
      <c r="L69" s="186">
        <f t="shared" si="34"/>
        <v>0</v>
      </c>
    </row>
    <row r="70" spans="2:12" x14ac:dyDescent="0.2">
      <c r="B70" s="47" t="s">
        <v>105</v>
      </c>
      <c r="E70" s="58">
        <f t="shared" ref="E70:G70" si="35">SUM(E65:E69)</f>
        <v>542.07400000000007</v>
      </c>
      <c r="F70" s="58">
        <f t="shared" si="35"/>
        <v>655.49700000000007</v>
      </c>
      <c r="G70" s="58">
        <f t="shared" si="35"/>
        <v>824.54600000000005</v>
      </c>
      <c r="H70" s="186">
        <f>SUM(H65:H69)</f>
        <v>1076.3383709959066</v>
      </c>
      <c r="I70" s="186">
        <f t="shared" ref="I70:L70" si="36">SUM(I65:I69)</f>
        <v>1418.3377926316421</v>
      </c>
      <c r="J70" s="186">
        <f t="shared" si="36"/>
        <v>1875.5778539513178</v>
      </c>
      <c r="K70" s="186">
        <f t="shared" si="36"/>
        <v>2470.0930450998567</v>
      </c>
      <c r="L70" s="186">
        <f t="shared" si="36"/>
        <v>3228.1004667386319</v>
      </c>
    </row>
    <row r="71" spans="2:12" x14ac:dyDescent="0.2">
      <c r="E71" s="57"/>
      <c r="F71" s="57"/>
      <c r="G71" s="57"/>
      <c r="H71" s="186"/>
      <c r="I71" s="186"/>
      <c r="J71" s="186"/>
      <c r="K71" s="186"/>
      <c r="L71" s="186"/>
    </row>
    <row r="72" spans="2:12" x14ac:dyDescent="0.2">
      <c r="B72" s="47" t="s">
        <v>106</v>
      </c>
      <c r="E72" s="58">
        <f t="shared" ref="E72:G72" si="37">E62+E70</f>
        <v>756.95700000000011</v>
      </c>
      <c r="F72" s="58">
        <f t="shared" si="37"/>
        <v>964.22500000000002</v>
      </c>
      <c r="G72" s="58">
        <f t="shared" si="37"/>
        <v>1301.7240000000002</v>
      </c>
      <c r="H72" s="222">
        <f>H62+H70</f>
        <v>1699.2639919201883</v>
      </c>
      <c r="I72" s="222">
        <f t="shared" ref="I72:L72" si="38">I62+I70</f>
        <v>2213.1078512800609</v>
      </c>
      <c r="J72" s="222">
        <f t="shared" si="38"/>
        <v>2872.5625552561669</v>
      </c>
      <c r="K72" s="222">
        <f t="shared" si="38"/>
        <v>3697.5986936994423</v>
      </c>
      <c r="L72" s="222">
        <f t="shared" si="38"/>
        <v>4720.1935489754469</v>
      </c>
    </row>
    <row r="76" spans="2:12" ht="19" x14ac:dyDescent="0.25">
      <c r="B76" s="496" t="s">
        <v>326</v>
      </c>
      <c r="C76" s="496"/>
      <c r="D76" s="496"/>
      <c r="E76" s="496"/>
      <c r="F76" s="496"/>
      <c r="G76" s="496"/>
      <c r="H76" s="496"/>
      <c r="I76" s="496"/>
      <c r="J76" s="496"/>
      <c r="K76" s="496"/>
      <c r="L76" s="496"/>
    </row>
    <row r="77" spans="2:12" x14ac:dyDescent="0.2">
      <c r="H77" s="116"/>
      <c r="I77" s="116"/>
      <c r="J77" s="116"/>
      <c r="K77" s="116"/>
      <c r="L77" s="116"/>
    </row>
    <row r="78" spans="2:12" x14ac:dyDescent="0.2">
      <c r="B78" s="49" t="s">
        <v>241</v>
      </c>
      <c r="E78" s="117" t="s">
        <v>60</v>
      </c>
      <c r="F78" s="117" t="s">
        <v>61</v>
      </c>
      <c r="G78" s="117" t="s">
        <v>132</v>
      </c>
      <c r="H78" s="117" t="s">
        <v>210</v>
      </c>
      <c r="I78" s="117" t="s">
        <v>211</v>
      </c>
      <c r="J78" s="117" t="s">
        <v>212</v>
      </c>
      <c r="K78" s="117" t="s">
        <v>213</v>
      </c>
      <c r="L78" s="117" t="s">
        <v>214</v>
      </c>
    </row>
    <row r="79" spans="2:12" x14ac:dyDescent="0.2">
      <c r="B79" s="49" t="s">
        <v>242</v>
      </c>
    </row>
    <row r="81" spans="2:12" x14ac:dyDescent="0.2">
      <c r="B81" s="48" t="s">
        <v>108</v>
      </c>
    </row>
    <row r="82" spans="2:12" x14ac:dyDescent="0.2">
      <c r="B82" s="1" t="s">
        <v>73</v>
      </c>
      <c r="E82" s="57">
        <v>-59.573999999999998</v>
      </c>
      <c r="F82" s="57">
        <v>16.067</v>
      </c>
      <c r="G82" s="57">
        <v>88.573999999999998</v>
      </c>
      <c r="H82" s="247">
        <f>H24</f>
        <v>126.07347021666641</v>
      </c>
      <c r="I82" s="51">
        <f t="shared" ref="I82:L82" si="39">I24</f>
        <v>184.37165062272351</v>
      </c>
      <c r="J82" s="51">
        <f t="shared" si="39"/>
        <v>262.2789121331503</v>
      </c>
      <c r="K82" s="51">
        <f t="shared" si="39"/>
        <v>357.40880615724757</v>
      </c>
      <c r="L82" s="51">
        <f t="shared" si="39"/>
        <v>472.99595194939968</v>
      </c>
    </row>
    <row r="83" spans="2:12" x14ac:dyDescent="0.2">
      <c r="B83" s="1" t="s">
        <v>109</v>
      </c>
      <c r="E83" s="57">
        <v>4.87</v>
      </c>
      <c r="F83" s="57">
        <v>7.0949999999999998</v>
      </c>
      <c r="G83" s="57">
        <v>10.853999999999999</v>
      </c>
      <c r="H83" s="247">
        <f>H14*-1</f>
        <v>15.147486000000001</v>
      </c>
      <c r="I83" s="51">
        <f t="shared" ref="I83:L83" si="40">I14*-1</f>
        <v>19.691731800000003</v>
      </c>
      <c r="J83" s="51">
        <f t="shared" si="40"/>
        <v>25.008499386000004</v>
      </c>
      <c r="K83" s="51">
        <f t="shared" si="40"/>
        <v>31.010539238640003</v>
      </c>
      <c r="L83" s="51">
        <f t="shared" si="40"/>
        <v>37.832857871140803</v>
      </c>
    </row>
    <row r="84" spans="2:12" x14ac:dyDescent="0.2">
      <c r="B84" s="1" t="s">
        <v>110</v>
      </c>
      <c r="E84" s="57">
        <v>0</v>
      </c>
      <c r="F84" s="57">
        <v>0</v>
      </c>
      <c r="G84" s="57">
        <v>0</v>
      </c>
      <c r="H84" s="247">
        <f>G84</f>
        <v>0</v>
      </c>
      <c r="I84" s="51">
        <f t="shared" ref="I84:L84" si="41">H84</f>
        <v>0</v>
      </c>
      <c r="J84" s="51">
        <f t="shared" si="41"/>
        <v>0</v>
      </c>
      <c r="K84" s="51">
        <f t="shared" si="41"/>
        <v>0</v>
      </c>
      <c r="L84" s="51">
        <f t="shared" si="41"/>
        <v>0</v>
      </c>
    </row>
    <row r="85" spans="2:12" x14ac:dyDescent="0.2">
      <c r="B85" s="1" t="s">
        <v>111</v>
      </c>
      <c r="E85" s="57">
        <v>73.819999999999993</v>
      </c>
      <c r="F85" s="57">
        <v>95.554000000000002</v>
      </c>
      <c r="G85" s="57">
        <v>110.164</v>
      </c>
      <c r="H85" s="247">
        <f>'Master Assumptions'!F29*'Forecast Model'!H8</f>
        <v>106.36290077924005</v>
      </c>
      <c r="I85" s="51">
        <f>'Master Assumptions'!G29*'Forecast Model'!I8</f>
        <v>138.27177101301208</v>
      </c>
      <c r="J85" s="51">
        <f>'Master Assumptions'!H29*'Forecast Model'!J8</f>
        <v>175.60514918652535</v>
      </c>
      <c r="K85" s="51">
        <f>'Master Assumptions'!I29*'Forecast Model'!K8</f>
        <v>217.75038499129144</v>
      </c>
      <c r="L85" s="51">
        <f>'Master Assumptions'!J29*'Forecast Model'!L8</f>
        <v>265.65546968937554</v>
      </c>
    </row>
    <row r="86" spans="2:12" x14ac:dyDescent="0.2">
      <c r="B86" s="1" t="s">
        <v>112</v>
      </c>
      <c r="E86" s="57"/>
      <c r="F86" s="57"/>
      <c r="G86" s="57"/>
      <c r="H86" s="247"/>
      <c r="I86" s="51"/>
      <c r="J86" s="51"/>
      <c r="K86" s="51"/>
      <c r="L86" s="51"/>
    </row>
    <row r="87" spans="2:12" x14ac:dyDescent="0.2">
      <c r="B87" s="1" t="s">
        <v>113</v>
      </c>
      <c r="E87" s="57">
        <v>45.718000000000004</v>
      </c>
      <c r="F87" s="57">
        <v>49.395000000000003</v>
      </c>
      <c r="G87" s="57">
        <v>83.775000000000006</v>
      </c>
      <c r="H87" s="247">
        <f>G35-H35</f>
        <v>-42.687028600014315</v>
      </c>
      <c r="I87" s="51">
        <f t="shared" ref="I87:L87" si="42">H35-I35</f>
        <v>-51.483008580004309</v>
      </c>
      <c r="J87" s="51">
        <f t="shared" si="42"/>
        <v>-60.235120038605004</v>
      </c>
      <c r="K87" s="51">
        <f t="shared" si="42"/>
        <v>-67.998757732469699</v>
      </c>
      <c r="L87" s="51">
        <f t="shared" si="42"/>
        <v>-77.291921289240463</v>
      </c>
    </row>
    <row r="88" spans="2:12" x14ac:dyDescent="0.2">
      <c r="B88" s="1" t="s">
        <v>114</v>
      </c>
      <c r="E88" s="57">
        <v>0</v>
      </c>
      <c r="F88" s="57">
        <v>0</v>
      </c>
      <c r="G88" s="57">
        <v>0</v>
      </c>
      <c r="H88" s="247">
        <f>0</f>
        <v>0</v>
      </c>
      <c r="I88" s="51">
        <f>0</f>
        <v>0</v>
      </c>
      <c r="J88" s="51">
        <f>0</f>
        <v>0</v>
      </c>
      <c r="K88" s="51">
        <f>0</f>
        <v>0</v>
      </c>
      <c r="L88" s="51">
        <f>0</f>
        <v>0</v>
      </c>
    </row>
    <row r="89" spans="2:12" x14ac:dyDescent="0.2">
      <c r="B89" s="1" t="s">
        <v>115</v>
      </c>
      <c r="E89" s="57">
        <v>-6.6550000000000002</v>
      </c>
      <c r="F89" s="57">
        <v>1.2609999999999999</v>
      </c>
      <c r="G89" s="57">
        <v>3.9340000000000002</v>
      </c>
      <c r="H89" s="247">
        <f>H52-G52</f>
        <v>1.9037396517104934</v>
      </c>
      <c r="I89" s="247">
        <f t="shared" ref="I89:L89" si="43">I52-H52</f>
        <v>2.2742422573322916</v>
      </c>
      <c r="J89" s="247">
        <f t="shared" si="43"/>
        <v>2.5827269749518642</v>
      </c>
      <c r="K89" s="247">
        <f t="shared" si="43"/>
        <v>2.9544707156343897</v>
      </c>
      <c r="L89" s="247">
        <f t="shared" si="43"/>
        <v>3.3788674531452649</v>
      </c>
    </row>
    <row r="90" spans="2:12" x14ac:dyDescent="0.2">
      <c r="B90" s="1" t="s">
        <v>116</v>
      </c>
      <c r="E90" s="57">
        <v>-13.243</v>
      </c>
      <c r="F90" s="57">
        <v>-19.202000000000002</v>
      </c>
      <c r="G90" s="57">
        <v>-28.638000000000002</v>
      </c>
      <c r="H90" s="247">
        <f>-(H36-G36)-(H38-G38)+(H54-G54)</f>
        <v>-20.638418751765812</v>
      </c>
      <c r="I90" s="247">
        <f>-(I36-H36)-(I38-H38)+(I54-H54)</f>
        <v>-28.477194540496448</v>
      </c>
      <c r="J90" s="247">
        <f>-(J36-I36)-(J38-I38)+(J54-I54)</f>
        <v>-32.522300627064254</v>
      </c>
      <c r="K90" s="247">
        <f>-(K36-J36)-(K38-J38)+(K54-J54)</f>
        <v>-34.842500942541207</v>
      </c>
      <c r="L90" s="247">
        <f>-(L36-K36)-(L38-K38)+(L54-K54)</f>
        <v>-37.415708265516606</v>
      </c>
    </row>
    <row r="91" spans="2:12" x14ac:dyDescent="0.2">
      <c r="B91" s="59" t="s">
        <v>139</v>
      </c>
      <c r="E91" s="57">
        <v>8.7200000000000006</v>
      </c>
      <c r="F91" s="57">
        <v>3.444</v>
      </c>
      <c r="G91" s="57">
        <v>16.850000000000001</v>
      </c>
      <c r="H91" s="247">
        <f>H55-G55</f>
        <v>142.33730000000003</v>
      </c>
      <c r="I91" s="247">
        <f>I55-H55</f>
        <v>164.70459000000017</v>
      </c>
      <c r="J91" s="247">
        <f>J55-I55</f>
        <v>192.70437030000005</v>
      </c>
      <c r="K91" s="247">
        <f>K55-J55</f>
        <v>217.54182247199992</v>
      </c>
      <c r="L91" s="247">
        <f>L55-K55</f>
        <v>247.27253820983992</v>
      </c>
    </row>
    <row r="92" spans="2:12" x14ac:dyDescent="0.2">
      <c r="B92" s="47" t="s">
        <v>117</v>
      </c>
      <c r="E92" s="58">
        <f t="shared" ref="E92:G92" si="44">SUM(E82:E91)</f>
        <v>53.655999999999999</v>
      </c>
      <c r="F92" s="58">
        <f t="shared" si="44"/>
        <v>153.614</v>
      </c>
      <c r="G92" s="58">
        <f t="shared" si="44"/>
        <v>285.51300000000003</v>
      </c>
      <c r="H92" s="266">
        <f>SUM(H82:H91)</f>
        <v>328.49944929583683</v>
      </c>
      <c r="I92" s="58">
        <f t="shared" ref="I92:L92" si="45">SUM(I82:I91)</f>
        <v>429.3537825725673</v>
      </c>
      <c r="J92" s="58">
        <f t="shared" si="45"/>
        <v>565.42223731495835</v>
      </c>
      <c r="K92" s="58">
        <f t="shared" si="45"/>
        <v>723.8247648998024</v>
      </c>
      <c r="L92" s="58">
        <f t="shared" si="45"/>
        <v>912.42805561814407</v>
      </c>
    </row>
    <row r="93" spans="2:12" x14ac:dyDescent="0.2">
      <c r="E93" s="57"/>
      <c r="F93" s="57"/>
      <c r="G93" s="57"/>
    </row>
    <row r="94" spans="2:12" x14ac:dyDescent="0.2">
      <c r="B94" s="48" t="s">
        <v>118</v>
      </c>
      <c r="E94" s="57"/>
      <c r="F94" s="57"/>
      <c r="G94" s="57"/>
    </row>
    <row r="95" spans="2:12" x14ac:dyDescent="0.2">
      <c r="B95" s="1" t="s">
        <v>119</v>
      </c>
      <c r="E95" s="57">
        <v>-10.124000000000001</v>
      </c>
      <c r="F95" s="57">
        <v>-13.683999999999999</v>
      </c>
      <c r="G95" s="57">
        <v>-21.14</v>
      </c>
      <c r="H95" s="51">
        <f>-'Supporting Schedules'!D186</f>
        <v>-26.457120399470099</v>
      </c>
      <c r="I95" s="51">
        <f>-'Supporting Schedules'!E186</f>
        <v>-34.394256519311128</v>
      </c>
      <c r="J95" s="51">
        <f>-'Supporting Schedules'!F186</f>
        <v>-43.680705779525141</v>
      </c>
      <c r="K95" s="51">
        <f>-'Supporting Schedules'!G186</f>
        <v>-54.16407516661117</v>
      </c>
      <c r="L95" s="51">
        <f>-'Supporting Schedules'!H186</f>
        <v>-66.08017170326562</v>
      </c>
    </row>
    <row r="96" spans="2:12" x14ac:dyDescent="0.2">
      <c r="B96" s="1" t="s">
        <v>120</v>
      </c>
      <c r="E96" s="57">
        <v>-4.05</v>
      </c>
      <c r="F96" s="57">
        <v>0</v>
      </c>
      <c r="G96" s="57">
        <v>-6.5949999999999998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</row>
    <row r="97" spans="2:12" x14ac:dyDescent="0.2">
      <c r="B97" s="1" t="s">
        <v>121</v>
      </c>
      <c r="E97" s="57">
        <v>0</v>
      </c>
      <c r="F97" s="57">
        <v>0</v>
      </c>
      <c r="G97" s="57">
        <v>-189.595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</row>
    <row r="98" spans="2:12" x14ac:dyDescent="0.2">
      <c r="B98" s="1" t="s">
        <v>122</v>
      </c>
      <c r="E98" s="57">
        <v>0</v>
      </c>
      <c r="F98" s="57">
        <v>0.1</v>
      </c>
      <c r="G98" s="57">
        <v>0</v>
      </c>
      <c r="H98" s="51">
        <f>G98</f>
        <v>0</v>
      </c>
      <c r="I98" s="51">
        <f t="shared" ref="I98:L98" si="46">H98</f>
        <v>0</v>
      </c>
      <c r="J98" s="51">
        <f t="shared" si="46"/>
        <v>0</v>
      </c>
      <c r="K98" s="51">
        <f t="shared" si="46"/>
        <v>0</v>
      </c>
      <c r="L98" s="51">
        <f t="shared" si="46"/>
        <v>0</v>
      </c>
    </row>
    <row r="99" spans="2:12" x14ac:dyDescent="0.2">
      <c r="B99" s="47" t="s">
        <v>123</v>
      </c>
      <c r="E99" s="58">
        <f t="shared" ref="E99:G99" si="47">SUM(E95:E98)</f>
        <v>-14.173999999999999</v>
      </c>
      <c r="F99" s="58">
        <f t="shared" si="47"/>
        <v>-13.584</v>
      </c>
      <c r="G99" s="58">
        <f t="shared" si="47"/>
        <v>-217.32999999999998</v>
      </c>
      <c r="H99" s="58">
        <f>SUM(H95:H98)</f>
        <v>-26.457120399470099</v>
      </c>
      <c r="I99" s="58">
        <f t="shared" ref="I99:L99" si="48">SUM(I95:I98)</f>
        <v>-34.394256519311128</v>
      </c>
      <c r="J99" s="58">
        <f t="shared" si="48"/>
        <v>-43.680705779525141</v>
      </c>
      <c r="K99" s="58">
        <f t="shared" si="48"/>
        <v>-54.16407516661117</v>
      </c>
      <c r="L99" s="58">
        <f t="shared" si="48"/>
        <v>-66.08017170326562</v>
      </c>
    </row>
    <row r="100" spans="2:12" x14ac:dyDescent="0.2">
      <c r="E100" s="57"/>
      <c r="F100" s="57"/>
      <c r="G100" s="57"/>
      <c r="H100" s="51"/>
      <c r="I100" s="51"/>
      <c r="J100" s="51"/>
      <c r="K100" s="51"/>
      <c r="L100" s="51"/>
    </row>
    <row r="101" spans="2:12" x14ac:dyDescent="0.2">
      <c r="B101" s="48" t="s">
        <v>124</v>
      </c>
      <c r="E101" s="57"/>
      <c r="F101" s="57"/>
      <c r="G101" s="57"/>
      <c r="H101" s="51"/>
      <c r="I101" s="51"/>
      <c r="J101" s="51"/>
      <c r="K101" s="51"/>
      <c r="L101" s="51"/>
    </row>
    <row r="102" spans="2:12" x14ac:dyDescent="0.2">
      <c r="B102" s="1" t="s">
        <v>125</v>
      </c>
      <c r="E102" s="57">
        <v>0</v>
      </c>
      <c r="F102" s="57">
        <v>0</v>
      </c>
      <c r="G102" s="57">
        <v>0</v>
      </c>
      <c r="H102" s="51">
        <f>-(G102)</f>
        <v>0</v>
      </c>
      <c r="I102" s="51">
        <f>-(H102)</f>
        <v>0</v>
      </c>
      <c r="J102" s="51">
        <f>-(I102)</f>
        <v>0</v>
      </c>
      <c r="K102" s="51">
        <f>-(J102)</f>
        <v>0</v>
      </c>
      <c r="L102" s="51">
        <f>-(K102)</f>
        <v>0</v>
      </c>
    </row>
    <row r="103" spans="2:12" x14ac:dyDescent="0.2">
      <c r="B103" s="1" t="s">
        <v>126</v>
      </c>
      <c r="E103" s="57">
        <v>0</v>
      </c>
      <c r="F103" s="57">
        <v>0</v>
      </c>
      <c r="G103" s="57">
        <v>0</v>
      </c>
      <c r="H103" s="51">
        <f>G103</f>
        <v>0</v>
      </c>
      <c r="I103" s="51">
        <f t="shared" ref="I103:L103" si="49">H103</f>
        <v>0</v>
      </c>
      <c r="J103" s="51">
        <f t="shared" si="49"/>
        <v>0</v>
      </c>
      <c r="K103" s="51">
        <f t="shared" si="49"/>
        <v>0</v>
      </c>
      <c r="L103" s="51">
        <f t="shared" si="49"/>
        <v>0</v>
      </c>
    </row>
    <row r="104" spans="2:12" x14ac:dyDescent="0.2">
      <c r="B104" s="1" t="s">
        <v>127</v>
      </c>
      <c r="E104" s="57">
        <v>14.776</v>
      </c>
      <c r="F104" s="57">
        <v>13.617000000000001</v>
      </c>
      <c r="G104" s="57">
        <v>19.356000000000002</v>
      </c>
      <c r="H104" s="51">
        <f>'Forecast Model'!G104</f>
        <v>19.356000000000002</v>
      </c>
      <c r="I104" s="51">
        <f>'Forecast Model'!H104</f>
        <v>19.356000000000002</v>
      </c>
      <c r="J104" s="51">
        <f>'Forecast Model'!I104</f>
        <v>19.356000000000002</v>
      </c>
      <c r="K104" s="51">
        <f>'Forecast Model'!J104</f>
        <v>19.356000000000002</v>
      </c>
      <c r="L104" s="51">
        <f>'Forecast Model'!K104</f>
        <v>19.356000000000002</v>
      </c>
    </row>
    <row r="105" spans="2:12" x14ac:dyDescent="0.2">
      <c r="B105" s="1" t="s">
        <v>128</v>
      </c>
      <c r="E105" s="57">
        <v>0</v>
      </c>
      <c r="F105" s="57">
        <v>0</v>
      </c>
      <c r="G105" s="57">
        <v>0</v>
      </c>
      <c r="H105" s="51">
        <f>H58-G58</f>
        <v>-2.5810000000000031</v>
      </c>
      <c r="I105" s="51">
        <f>I58-H58</f>
        <v>-2.5810000000000031</v>
      </c>
      <c r="J105" s="51">
        <f>J58-I58</f>
        <v>-2.5810000000000031</v>
      </c>
      <c r="K105" s="51">
        <f>K58-J58</f>
        <v>-2.5810000000000031</v>
      </c>
      <c r="L105" s="51">
        <f>L58-K58</f>
        <v>-2.5810000000000031</v>
      </c>
    </row>
    <row r="106" spans="2:12" x14ac:dyDescent="0.2">
      <c r="B106" s="1" t="s">
        <v>140</v>
      </c>
      <c r="E106" s="57">
        <v>0</v>
      </c>
      <c r="F106" s="57">
        <v>-11.481999999999999</v>
      </c>
      <c r="G106" s="57">
        <v>-49.357999999999997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</row>
    <row r="107" spans="2:12" x14ac:dyDescent="0.2">
      <c r="B107" s="47" t="s">
        <v>129</v>
      </c>
      <c r="E107" s="58">
        <f t="shared" ref="E107:G107" si="50">SUM(E102:E106)</f>
        <v>14.776</v>
      </c>
      <c r="F107" s="58">
        <f t="shared" si="50"/>
        <v>2.1350000000000016</v>
      </c>
      <c r="G107" s="58">
        <f t="shared" si="50"/>
        <v>-30.001999999999995</v>
      </c>
      <c r="H107" s="58">
        <f>SUM(H102:H106)</f>
        <v>16.774999999999999</v>
      </c>
      <c r="I107" s="58">
        <f t="shared" ref="I107:L107" si="51">SUM(I102:I106)</f>
        <v>16.774999999999999</v>
      </c>
      <c r="J107" s="58">
        <f t="shared" si="51"/>
        <v>16.774999999999999</v>
      </c>
      <c r="K107" s="58">
        <f t="shared" si="51"/>
        <v>16.774999999999999</v>
      </c>
      <c r="L107" s="58">
        <f t="shared" si="51"/>
        <v>16.774999999999999</v>
      </c>
    </row>
    <row r="108" spans="2:12" x14ac:dyDescent="0.2">
      <c r="E108" s="57"/>
      <c r="F108" s="57"/>
      <c r="G108" s="57"/>
      <c r="H108" s="51"/>
      <c r="I108" s="51"/>
      <c r="J108" s="51"/>
      <c r="K108" s="51"/>
      <c r="L108" s="51"/>
    </row>
    <row r="109" spans="2:12" x14ac:dyDescent="0.2">
      <c r="B109" s="1" t="s">
        <v>130</v>
      </c>
      <c r="E109" s="57">
        <v>0</v>
      </c>
      <c r="F109" s="57">
        <v>0</v>
      </c>
      <c r="G109" s="57">
        <v>0</v>
      </c>
      <c r="H109" s="51">
        <f>G109</f>
        <v>0</v>
      </c>
      <c r="I109" s="51">
        <f t="shared" ref="I109:L109" si="52">H109</f>
        <v>0</v>
      </c>
      <c r="J109" s="51">
        <f t="shared" si="52"/>
        <v>0</v>
      </c>
      <c r="K109" s="51">
        <f t="shared" si="52"/>
        <v>0</v>
      </c>
      <c r="L109" s="51">
        <f t="shared" si="52"/>
        <v>0</v>
      </c>
    </row>
    <row r="110" spans="2:12" x14ac:dyDescent="0.2">
      <c r="B110" s="47" t="s">
        <v>131</v>
      </c>
      <c r="E110" s="58">
        <f t="shared" ref="E110:G110" si="53">E92+E99+E107</f>
        <v>54.257999999999996</v>
      </c>
      <c r="F110" s="58">
        <f t="shared" si="53"/>
        <v>142.16499999999999</v>
      </c>
      <c r="G110" s="58">
        <f t="shared" si="53"/>
        <v>38.181000000000054</v>
      </c>
      <c r="H110" s="58">
        <f>H92+H99+H107</f>
        <v>318.81732889636669</v>
      </c>
      <c r="I110" s="58">
        <f>I92+I99+I107</f>
        <v>411.73452605325616</v>
      </c>
      <c r="J110" s="58">
        <f t="shared" ref="J110:L110" si="54">J92+J99+J107</f>
        <v>538.51653153543316</v>
      </c>
      <c r="K110" s="58">
        <f t="shared" si="54"/>
        <v>686.43568973319123</v>
      </c>
      <c r="L110" s="58">
        <f t="shared" si="54"/>
        <v>863.12288391487846</v>
      </c>
    </row>
  </sheetData>
  <mergeCells count="3">
    <mergeCell ref="B3:L3"/>
    <mergeCell ref="B28:L28"/>
    <mergeCell ref="B76:L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5C65-BB10-DD43-A244-F5AB8AB0A247}">
  <sheetPr>
    <tabColor rgb="FFBF8F00"/>
  </sheetPr>
  <dimension ref="B2:I18"/>
  <sheetViews>
    <sheetView zoomScale="150" workbookViewId="0">
      <selection activeCell="C24" sqref="C24"/>
    </sheetView>
  </sheetViews>
  <sheetFormatPr baseColWidth="10" defaultRowHeight="16" x14ac:dyDescent="0.2"/>
  <cols>
    <col min="1" max="1" width="4" style="1" customWidth="1"/>
    <col min="2" max="2" width="26.83203125" style="1" customWidth="1"/>
    <col min="3" max="3" width="28.33203125" style="1" customWidth="1"/>
    <col min="4" max="16384" width="10.83203125" style="1"/>
  </cols>
  <sheetData>
    <row r="2" spans="2:9" ht="19" x14ac:dyDescent="0.25">
      <c r="B2" s="239" t="s">
        <v>327</v>
      </c>
      <c r="C2" s="239"/>
      <c r="D2" s="239"/>
      <c r="E2" s="239"/>
      <c r="F2" s="239"/>
      <c r="G2" s="239"/>
      <c r="H2" s="239"/>
      <c r="I2" s="239"/>
    </row>
    <row r="3" spans="2:9" x14ac:dyDescent="0.2">
      <c r="B3" s="240" t="s">
        <v>337</v>
      </c>
      <c r="C3" s="240"/>
      <c r="D3" s="240"/>
      <c r="E3" s="240"/>
      <c r="F3" s="240"/>
      <c r="G3" s="240"/>
      <c r="H3" s="240"/>
      <c r="I3" s="240"/>
    </row>
    <row r="5" spans="2:9" x14ac:dyDescent="0.2">
      <c r="B5" s="241" t="s">
        <v>328</v>
      </c>
      <c r="C5" s="47" t="str">
        <f>IF(COUNTIF(D9:D15,"✗ FAIL")=0,"✓ ALL CHECKS PASSED",COUNTIF(D9:D15,"✗ FAIL")&amp;" CHECK(S) FAILED")</f>
        <v>✓ ALL CHECKS PASSED</v>
      </c>
    </row>
    <row r="7" spans="2:9" x14ac:dyDescent="0.2">
      <c r="B7" s="242" t="s">
        <v>329</v>
      </c>
      <c r="C7" s="242" t="s">
        <v>330</v>
      </c>
      <c r="D7" s="243" t="s">
        <v>328</v>
      </c>
      <c r="E7" s="243" t="s">
        <v>210</v>
      </c>
      <c r="F7" s="243" t="s">
        <v>211</v>
      </c>
      <c r="G7" s="243" t="s">
        <v>212</v>
      </c>
      <c r="H7" s="243" t="s">
        <v>213</v>
      </c>
      <c r="I7" s="243" t="s">
        <v>213</v>
      </c>
    </row>
    <row r="8" spans="2:9" x14ac:dyDescent="0.2">
      <c r="E8" s="176"/>
      <c r="F8" s="176"/>
      <c r="G8" s="176"/>
    </row>
    <row r="9" spans="2:9" x14ac:dyDescent="0.2">
      <c r="B9" s="235" t="s">
        <v>331</v>
      </c>
      <c r="C9" s="237" t="s">
        <v>332</v>
      </c>
      <c r="D9" s="236" t="str">
        <f>IF(AND(ABS(E9)&lt;0.01,ABS(F9)&lt;0.01,ABS(G9)&lt;0.01,ABS(H9)&lt;0.01,ABS(I9)&lt;0.01),"✓ OK","✗ FAIL")</f>
        <v>✓ OK</v>
      </c>
      <c r="E9" s="115">
        <f>'Forecast Model'!H49-'Forecast Model'!H72</f>
        <v>3.9999999999054126E-3</v>
      </c>
      <c r="F9" s="115">
        <f>'Forecast Model'!I49-'Forecast Model'!I72</f>
        <v>3.9999999999054126E-3</v>
      </c>
      <c r="G9" s="115">
        <f>'Forecast Model'!J49-'Forecast Model'!J72</f>
        <v>3.9999999999054126E-3</v>
      </c>
      <c r="H9" s="115">
        <f>'Forecast Model'!K49-'Forecast Model'!K72</f>
        <v>3.9999999994506652E-3</v>
      </c>
      <c r="I9" s="115">
        <f>'Forecast Model'!L49-'Forecast Model'!L72</f>
        <v>3.9999999989959178E-3</v>
      </c>
    </row>
    <row r="10" spans="2:9" x14ac:dyDescent="0.2">
      <c r="E10" s="176"/>
      <c r="F10" s="176"/>
      <c r="G10" s="176"/>
    </row>
    <row r="11" spans="2:9" x14ac:dyDescent="0.2">
      <c r="B11" s="235" t="s">
        <v>338</v>
      </c>
      <c r="C11" s="237" t="s">
        <v>333</v>
      </c>
      <c r="D11" s="236" t="str">
        <f>IF(AND(ABS(E11)&lt;0.01,ABS(F11)&lt;0.01,ABS(G11)&lt;0.01,ABS(H11)&lt;0.01,ABS(I11)&lt;0.01),"✓ OK","✗ FAIL")</f>
        <v>✓ OK</v>
      </c>
    </row>
    <row r="12" spans="2:9" x14ac:dyDescent="0.2">
      <c r="E12" s="176"/>
      <c r="F12" s="176"/>
      <c r="G12" s="176"/>
    </row>
    <row r="13" spans="2:9" x14ac:dyDescent="0.2">
      <c r="B13" s="235" t="s">
        <v>334</v>
      </c>
      <c r="C13" s="237" t="s">
        <v>335</v>
      </c>
      <c r="D13" s="236" t="str">
        <f>IF(AND(ABS(E13)&lt;0.01,ABS(F13)&lt;0.01,ABS(G13)&lt;0.01,ABS(H13)&lt;0.01,ABS(I13)&lt;0.01),"✓ OK","✗ FAIL")</f>
        <v>✓ OK</v>
      </c>
    </row>
    <row r="14" spans="2:9" x14ac:dyDescent="0.2">
      <c r="E14" s="176"/>
      <c r="F14" s="176"/>
      <c r="G14" s="176"/>
    </row>
    <row r="15" spans="2:9" x14ac:dyDescent="0.2">
      <c r="B15" s="235" t="s">
        <v>339</v>
      </c>
      <c r="C15" s="237" t="s">
        <v>340</v>
      </c>
      <c r="D15" s="236" t="str">
        <f>IF(AND(ABS(E15)&lt;0.01,ABS(F15)&lt;0.01,ABS(G15)&lt;0.01,ABS(H15)&lt;0.01,ABS(I15)&lt;0.01),"✓ OK","✗ FAIL")</f>
        <v>✓ OK</v>
      </c>
    </row>
    <row r="18" spans="2:3" x14ac:dyDescent="0.2">
      <c r="B18" s="238" t="s">
        <v>336</v>
      </c>
      <c r="C18" s="237" t="s">
        <v>341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0706-D37F-CA43-A6F0-EB69BEB4EAEF}">
  <sheetPr>
    <tabColor theme="5" tint="0.39997558519241921"/>
  </sheetPr>
  <dimension ref="B3:L84"/>
  <sheetViews>
    <sheetView topLeftCell="A31" zoomScale="158" workbookViewId="0">
      <selection activeCell="E56" sqref="E56"/>
    </sheetView>
  </sheetViews>
  <sheetFormatPr baseColWidth="10" defaultRowHeight="16" x14ac:dyDescent="0.2"/>
  <cols>
    <col min="1" max="1" width="4" style="1" customWidth="1"/>
    <col min="2" max="16384" width="10.83203125" style="1"/>
  </cols>
  <sheetData>
    <row r="3" spans="2:12" ht="19" x14ac:dyDescent="0.25">
      <c r="B3" s="497" t="s">
        <v>426</v>
      </c>
      <c r="C3" s="497"/>
      <c r="D3" s="497"/>
      <c r="E3" s="497"/>
      <c r="F3" s="497"/>
      <c r="G3" s="497"/>
      <c r="H3" s="497"/>
      <c r="I3" s="497"/>
      <c r="J3" s="497"/>
      <c r="K3" s="497"/>
      <c r="L3" s="497"/>
    </row>
    <row r="5" spans="2:12" x14ac:dyDescent="0.2">
      <c r="B5" s="270" t="s">
        <v>439</v>
      </c>
      <c r="C5" s="269"/>
      <c r="D5" s="269"/>
      <c r="E5" s="269"/>
    </row>
    <row r="7" spans="2:12" x14ac:dyDescent="0.2">
      <c r="B7" s="63" t="s">
        <v>431</v>
      </c>
      <c r="H7" s="63" t="s">
        <v>432</v>
      </c>
    </row>
    <row r="9" spans="2:12" x14ac:dyDescent="0.2">
      <c r="B9" s="68" t="s">
        <v>427</v>
      </c>
      <c r="E9" s="216">
        <v>4.0500000000000001E-2</v>
      </c>
      <c r="H9" s="1" t="s">
        <v>433</v>
      </c>
      <c r="K9" s="275">
        <v>0</v>
      </c>
    </row>
    <row r="10" spans="2:12" x14ac:dyDescent="0.2">
      <c r="B10" s="68" t="s">
        <v>428</v>
      </c>
      <c r="E10" s="216">
        <v>4.4600000000000001E-2</v>
      </c>
      <c r="H10" s="1" t="s">
        <v>434</v>
      </c>
      <c r="K10" s="275">
        <v>0</v>
      </c>
    </row>
    <row r="11" spans="2:12" x14ac:dyDescent="0.2">
      <c r="B11" s="68" t="s">
        <v>429</v>
      </c>
      <c r="E11" s="281">
        <v>1.59</v>
      </c>
      <c r="H11" s="46" t="s">
        <v>435</v>
      </c>
      <c r="K11" s="45">
        <v>0</v>
      </c>
    </row>
    <row r="12" spans="2:12" x14ac:dyDescent="0.2">
      <c r="B12" s="46" t="s">
        <v>430</v>
      </c>
      <c r="E12" s="280">
        <f>E9+E10*E11</f>
        <v>0.11141400000000001</v>
      </c>
    </row>
    <row r="15" spans="2:12" x14ac:dyDescent="0.2">
      <c r="B15" s="46" t="s">
        <v>436</v>
      </c>
      <c r="E15" s="271">
        <v>1</v>
      </c>
      <c r="H15" s="46" t="s">
        <v>437</v>
      </c>
      <c r="K15" s="274">
        <v>0</v>
      </c>
    </row>
    <row r="18" spans="2:9" x14ac:dyDescent="0.2">
      <c r="B18" s="272" t="s">
        <v>438</v>
      </c>
      <c r="C18" s="273"/>
      <c r="D18" s="273"/>
      <c r="E18" s="279">
        <f>IF('Sensitivity Analysis'!K8="",E15*E12,'Sensitivity Analysis'!K8)</f>
        <v>0.11141400000000001</v>
      </c>
    </row>
    <row r="21" spans="2:9" x14ac:dyDescent="0.2">
      <c r="B21" s="270" t="s">
        <v>440</v>
      </c>
      <c r="C21" s="269"/>
      <c r="D21" s="269"/>
      <c r="E21" s="269"/>
    </row>
    <row r="24" spans="2:9" x14ac:dyDescent="0.2">
      <c r="E24" s="52" t="s">
        <v>210</v>
      </c>
      <c r="F24" s="52" t="s">
        <v>211</v>
      </c>
      <c r="G24" s="52" t="s">
        <v>212</v>
      </c>
      <c r="H24" s="52" t="s">
        <v>213</v>
      </c>
      <c r="I24" s="52" t="s">
        <v>214</v>
      </c>
    </row>
    <row r="26" spans="2:9" x14ac:dyDescent="0.2">
      <c r="B26" s="1" t="s">
        <v>441</v>
      </c>
      <c r="E26" s="276">
        <f>'Forecast Model'!H15</f>
        <v>110.7160379999997</v>
      </c>
      <c r="F26" s="276">
        <f>'Forecast Model'!I15</f>
        <v>170.18649179999971</v>
      </c>
      <c r="G26" s="276">
        <f>'Forecast Model'!J15</f>
        <v>249.48151043399949</v>
      </c>
      <c r="H26" s="276">
        <f>'Forecast Model'!K15</f>
        <v>346.5697200245275</v>
      </c>
      <c r="I26" s="276">
        <f>'Forecast Model'!L15</f>
        <v>465.69229735054984</v>
      </c>
    </row>
    <row r="27" spans="2:9" x14ac:dyDescent="0.2">
      <c r="B27" s="49" t="s">
        <v>442</v>
      </c>
      <c r="E27" s="277">
        <f>E26/'Forecast Model'!H8</f>
        <v>0.10963803300428832</v>
      </c>
      <c r="F27" s="277">
        <f>F26/'Forecast Model'!I8</f>
        <v>0.12963803300428839</v>
      </c>
      <c r="G27" s="277">
        <f>G26/'Forecast Model'!J8</f>
        <v>0.1496380330042883</v>
      </c>
      <c r="H27" s="277">
        <f>H26/'Forecast Model'!K8</f>
        <v>0.16763803300428837</v>
      </c>
      <c r="I27" s="277">
        <f>I26/'Forecast Model'!L8</f>
        <v>0.18463803300428838</v>
      </c>
    </row>
    <row r="28" spans="2:9" x14ac:dyDescent="0.2">
      <c r="B28" s="1" t="s">
        <v>443</v>
      </c>
      <c r="E28" s="186">
        <f>-(E26*'Master Assumptions'!F20)</f>
        <v>-16.607405699999955</v>
      </c>
      <c r="F28" s="186">
        <f>-(F26*'Master Assumptions'!G20)</f>
        <v>-28.931703605999953</v>
      </c>
      <c r="G28" s="186">
        <f>-(G26*'Master Assumptions'!H20)</f>
        <v>-44.906671878119909</v>
      </c>
      <c r="H28" s="186">
        <f>-(H26*'Master Assumptions'!I20)</f>
        <v>-65.848246804660221</v>
      </c>
      <c r="I28" s="186">
        <f>-(I26*'Master Assumptions'!J20)</f>
        <v>-93.138459470109979</v>
      </c>
    </row>
    <row r="29" spans="2:9" x14ac:dyDescent="0.2">
      <c r="B29" s="46" t="s">
        <v>444</v>
      </c>
      <c r="E29" s="186">
        <f>E26+E28</f>
        <v>94.108632299999741</v>
      </c>
      <c r="F29" s="186">
        <f t="shared" ref="F29:I29" si="0">F26+F28</f>
        <v>141.25478819399976</v>
      </c>
      <c r="G29" s="186">
        <f t="shared" si="0"/>
        <v>204.57483855587958</v>
      </c>
      <c r="H29" s="186">
        <f t="shared" si="0"/>
        <v>280.72147321986728</v>
      </c>
      <c r="I29" s="186">
        <f t="shared" si="0"/>
        <v>372.55383788043986</v>
      </c>
    </row>
    <row r="30" spans="2:9" x14ac:dyDescent="0.2">
      <c r="E30" s="186"/>
      <c r="F30" s="186"/>
      <c r="G30" s="186"/>
      <c r="H30" s="186"/>
      <c r="I30" s="186"/>
    </row>
    <row r="31" spans="2:9" x14ac:dyDescent="0.2">
      <c r="E31" s="186"/>
      <c r="F31" s="186"/>
      <c r="G31" s="186"/>
      <c r="H31" s="186"/>
      <c r="I31" s="186"/>
    </row>
    <row r="32" spans="2:9" x14ac:dyDescent="0.2">
      <c r="B32" s="1" t="s">
        <v>445</v>
      </c>
      <c r="E32" s="186">
        <f>-'Forecast Model'!H14</f>
        <v>15.147486000000001</v>
      </c>
      <c r="F32" s="186">
        <f>-'Forecast Model'!I14</f>
        <v>19.691731800000003</v>
      </c>
      <c r="G32" s="186">
        <f>-'Forecast Model'!J14</f>
        <v>25.008499386000004</v>
      </c>
      <c r="H32" s="186">
        <f>-'Forecast Model'!K14</f>
        <v>31.010539238640003</v>
      </c>
      <c r="I32" s="186">
        <f>-'Forecast Model'!L14</f>
        <v>37.832857871140803</v>
      </c>
    </row>
    <row r="33" spans="2:9" x14ac:dyDescent="0.2">
      <c r="B33" s="1" t="s">
        <v>446</v>
      </c>
      <c r="E33" s="186">
        <f>'Forecast Model'!H95</f>
        <v>-26.457120399470099</v>
      </c>
      <c r="F33" s="186">
        <f>'Forecast Model'!I95</f>
        <v>-34.394256519311128</v>
      </c>
      <c r="G33" s="186">
        <f>'Forecast Model'!J95</f>
        <v>-43.680705779525141</v>
      </c>
      <c r="H33" s="186">
        <f>'Forecast Model'!K95</f>
        <v>-54.16407516661117</v>
      </c>
      <c r="I33" s="186">
        <f>'Forecast Model'!L95</f>
        <v>-66.08017170326562</v>
      </c>
    </row>
    <row r="34" spans="2:9" x14ac:dyDescent="0.2">
      <c r="B34" s="1" t="s">
        <v>447</v>
      </c>
      <c r="E34" s="186">
        <f>SUM('Forecast Model'!H87:H91)</f>
        <v>80.915592299930395</v>
      </c>
      <c r="F34" s="186">
        <f>SUM('Forecast Model'!I87:I91)</f>
        <v>87.018629136831692</v>
      </c>
      <c r="G34" s="186">
        <f>SUM('Forecast Model'!J87:J91)</f>
        <v>102.52967660928266</v>
      </c>
      <c r="H34" s="186">
        <f>SUM('Forecast Model'!K87:K91)</f>
        <v>117.6550345126234</v>
      </c>
      <c r="I34" s="186">
        <f>SUM('Forecast Model'!L87:L91)</f>
        <v>135.94377610822812</v>
      </c>
    </row>
    <row r="35" spans="2:9" x14ac:dyDescent="0.2">
      <c r="B35" s="1" t="s">
        <v>450</v>
      </c>
      <c r="E35" s="186">
        <f>'Forecast Model'!H85</f>
        <v>106.36290077924005</v>
      </c>
      <c r="F35" s="186">
        <f>'Forecast Model'!I85</f>
        <v>138.27177101301208</v>
      </c>
      <c r="G35" s="186">
        <f>'Forecast Model'!J85</f>
        <v>175.60514918652535</v>
      </c>
      <c r="H35" s="186">
        <f>'Forecast Model'!K85</f>
        <v>217.75038499129144</v>
      </c>
      <c r="I35" s="186">
        <f>'Forecast Model'!L85</f>
        <v>265.65546968937554</v>
      </c>
    </row>
    <row r="36" spans="2:9" x14ac:dyDescent="0.2">
      <c r="E36" s="186"/>
      <c r="F36" s="186"/>
      <c r="G36" s="186"/>
      <c r="H36" s="186"/>
      <c r="I36" s="186"/>
    </row>
    <row r="37" spans="2:9" x14ac:dyDescent="0.2">
      <c r="B37" s="272" t="s">
        <v>448</v>
      </c>
      <c r="C37" s="273"/>
      <c r="D37" s="273"/>
      <c r="E37" s="278">
        <f>SUM(E29:E35)</f>
        <v>270.07749097970009</v>
      </c>
      <c r="F37" s="278">
        <f t="shared" ref="F37:I37" si="1">SUM(F29:F35)</f>
        <v>351.84266362453241</v>
      </c>
      <c r="G37" s="278">
        <f t="shared" si="1"/>
        <v>464.03745795816246</v>
      </c>
      <c r="H37" s="278">
        <f t="shared" si="1"/>
        <v>592.9733567958109</v>
      </c>
      <c r="I37" s="278">
        <f t="shared" si="1"/>
        <v>745.90576984591871</v>
      </c>
    </row>
    <row r="38" spans="2:9" x14ac:dyDescent="0.2">
      <c r="B38" s="49" t="s">
        <v>449</v>
      </c>
      <c r="E38" s="66">
        <f>E37/E29</f>
        <v>2.8698482209235214</v>
      </c>
      <c r="F38" s="66">
        <f t="shared" ref="F38:I38" si="2">F37/F29</f>
        <v>2.4908370762009895</v>
      </c>
      <c r="G38" s="66">
        <f t="shared" si="2"/>
        <v>2.2683017189888224</v>
      </c>
      <c r="H38" s="66">
        <f t="shared" si="2"/>
        <v>2.1123191966557577</v>
      </c>
      <c r="I38" s="66">
        <f t="shared" si="2"/>
        <v>2.0021422248381056</v>
      </c>
    </row>
    <row r="42" spans="2:9" x14ac:dyDescent="0.2">
      <c r="B42" s="270" t="s">
        <v>451</v>
      </c>
      <c r="C42" s="269"/>
      <c r="D42" s="269"/>
      <c r="E42" s="269"/>
    </row>
    <row r="43" spans="2:9" x14ac:dyDescent="0.2">
      <c r="E43" s="52" t="s">
        <v>210</v>
      </c>
      <c r="F43" s="52" t="s">
        <v>211</v>
      </c>
      <c r="G43" s="52" t="s">
        <v>212</v>
      </c>
      <c r="H43" s="52" t="s">
        <v>213</v>
      </c>
      <c r="I43" s="52" t="s">
        <v>214</v>
      </c>
    </row>
    <row r="44" spans="2:9" x14ac:dyDescent="0.2">
      <c r="B44" s="46" t="s">
        <v>452</v>
      </c>
      <c r="E44" s="1">
        <v>0.5</v>
      </c>
      <c r="F44" s="1">
        <v>1.5</v>
      </c>
      <c r="G44" s="1">
        <v>2.5</v>
      </c>
      <c r="H44" s="1">
        <v>3.5</v>
      </c>
      <c r="I44" s="1">
        <v>4.5</v>
      </c>
    </row>
    <row r="45" spans="2:9" x14ac:dyDescent="0.2">
      <c r="B45" s="46" t="s">
        <v>453</v>
      </c>
      <c r="E45" s="1">
        <f>1/(1+$E$18)^E44</f>
        <v>0.9485540189475018</v>
      </c>
      <c r="F45" s="1">
        <f>1/(1+$E$18)^F44</f>
        <v>0.85346596223144744</v>
      </c>
      <c r="G45" s="1">
        <f t="shared" ref="G45:I45" si="3">1/(1+$E$18)^G44</f>
        <v>0.76791003373310718</v>
      </c>
      <c r="H45" s="1">
        <f t="shared" si="3"/>
        <v>0.69093068265570456</v>
      </c>
      <c r="I45" s="1">
        <f t="shared" si="3"/>
        <v>0.62166814765308387</v>
      </c>
    </row>
    <row r="47" spans="2:9" x14ac:dyDescent="0.2">
      <c r="B47" s="283" t="s">
        <v>454</v>
      </c>
      <c r="C47" s="282"/>
      <c r="D47" s="282"/>
      <c r="E47" s="284">
        <f>E45*E37</f>
        <v>256.18308949605216</v>
      </c>
      <c r="F47" s="284">
        <f>F45*F37</f>
        <v>300.28573746438707</v>
      </c>
      <c r="G47" s="284">
        <f t="shared" ref="G47:I47" si="4">G45*G37</f>
        <v>356.33901999407783</v>
      </c>
      <c r="H47" s="284">
        <f t="shared" si="4"/>
        <v>409.70348620757431</v>
      </c>
      <c r="I47" s="284">
        <f t="shared" si="4"/>
        <v>463.7058582638598</v>
      </c>
    </row>
    <row r="49" spans="2:9" x14ac:dyDescent="0.2">
      <c r="B49" s="283" t="s">
        <v>455</v>
      </c>
      <c r="C49" s="282"/>
      <c r="D49" s="282"/>
      <c r="E49" s="284">
        <f>SUM(E47:I47)</f>
        <v>1786.2171914259511</v>
      </c>
      <c r="F49" s="282"/>
      <c r="G49" s="282"/>
      <c r="H49" s="282"/>
      <c r="I49" s="282"/>
    </row>
    <row r="52" spans="2:9" x14ac:dyDescent="0.2">
      <c r="B52" s="270" t="s">
        <v>456</v>
      </c>
      <c r="C52" s="269"/>
      <c r="D52" s="269"/>
      <c r="E52" s="269"/>
    </row>
    <row r="53" spans="2:9" x14ac:dyDescent="0.2">
      <c r="B53" s="74" t="s">
        <v>457</v>
      </c>
    </row>
    <row r="55" spans="2:9" x14ac:dyDescent="0.2">
      <c r="B55" s="1" t="s">
        <v>458</v>
      </c>
      <c r="E55" s="186">
        <f>I37</f>
        <v>745.90576984591871</v>
      </c>
    </row>
    <row r="56" spans="2:9" x14ac:dyDescent="0.2">
      <c r="B56" s="1" t="s">
        <v>459</v>
      </c>
      <c r="E56" s="295">
        <f>IF('Sensitivity Analysis'!K9="",0.025,'Sensitivity Analysis'!K9)</f>
        <v>2.5000000000000001E-2</v>
      </c>
    </row>
    <row r="57" spans="2:9" x14ac:dyDescent="0.2">
      <c r="B57" s="47" t="s">
        <v>460</v>
      </c>
      <c r="E57" s="186">
        <f>E55*(1+E56)/(E18-E56)</f>
        <v>8847.5642151973807</v>
      </c>
    </row>
    <row r="58" spans="2:9" x14ac:dyDescent="0.2">
      <c r="B58" s="285" t="s">
        <v>461</v>
      </c>
      <c r="C58" s="286"/>
      <c r="D58" s="282"/>
      <c r="E58" s="289">
        <f>E57/(1+$E$18)^I44</f>
        <v>5500.2488569034667</v>
      </c>
    </row>
    <row r="59" spans="2:9" x14ac:dyDescent="0.2">
      <c r="B59" s="287"/>
    </row>
    <row r="61" spans="2:9" x14ac:dyDescent="0.2">
      <c r="B61" s="270" t="s">
        <v>462</v>
      </c>
      <c r="C61" s="269"/>
      <c r="D61" s="269"/>
      <c r="E61" s="269"/>
    </row>
    <row r="63" spans="2:9" x14ac:dyDescent="0.2">
      <c r="B63" s="47"/>
    </row>
    <row r="64" spans="2:9" x14ac:dyDescent="0.2">
      <c r="B64" s="1" t="s">
        <v>463</v>
      </c>
      <c r="E64" s="186">
        <f>E49</f>
        <v>1786.2171914259511</v>
      </c>
    </row>
    <row r="65" spans="2:5" x14ac:dyDescent="0.2">
      <c r="B65" s="1" t="s">
        <v>461</v>
      </c>
      <c r="E65" s="186">
        <f>E58</f>
        <v>5500.2488569034667</v>
      </c>
    </row>
    <row r="66" spans="2:5" x14ac:dyDescent="0.2">
      <c r="B66" s="288" t="s">
        <v>464</v>
      </c>
      <c r="C66" s="282"/>
      <c r="D66" s="282"/>
      <c r="E66" s="291">
        <f>SUM(E64:E65)</f>
        <v>7286.4660483294174</v>
      </c>
    </row>
    <row r="67" spans="2:5" x14ac:dyDescent="0.2">
      <c r="E67" s="186"/>
    </row>
    <row r="68" spans="2:5" x14ac:dyDescent="0.2">
      <c r="B68" s="1" t="s">
        <v>465</v>
      </c>
      <c r="E68" s="186">
        <v>0</v>
      </c>
    </row>
    <row r="69" spans="2:5" x14ac:dyDescent="0.2">
      <c r="B69" s="1" t="s">
        <v>466</v>
      </c>
      <c r="E69" s="186">
        <f>'Historical Financials'!J37</f>
        <v>877.64499999999998</v>
      </c>
    </row>
    <row r="70" spans="2:5" x14ac:dyDescent="0.2">
      <c r="B70" s="1" t="s">
        <v>467</v>
      </c>
      <c r="E70" s="186">
        <f>0</f>
        <v>0</v>
      </c>
    </row>
    <row r="71" spans="2:5" x14ac:dyDescent="0.2">
      <c r="B71" s="1" t="s">
        <v>468</v>
      </c>
      <c r="E71" s="186">
        <f>0</f>
        <v>0</v>
      </c>
    </row>
    <row r="72" spans="2:5" x14ac:dyDescent="0.2">
      <c r="B72" s="1" t="s">
        <v>469</v>
      </c>
      <c r="E72" s="186">
        <v>0</v>
      </c>
    </row>
    <row r="73" spans="2:5" x14ac:dyDescent="0.2">
      <c r="B73" s="288" t="s">
        <v>470</v>
      </c>
      <c r="C73" s="282"/>
      <c r="D73" s="282"/>
      <c r="E73" s="291">
        <f>SUM(E66:E72)</f>
        <v>8164.1110483294178</v>
      </c>
    </row>
    <row r="74" spans="2:5" x14ac:dyDescent="0.2">
      <c r="E74" s="186"/>
    </row>
    <row r="75" spans="2:5" x14ac:dyDescent="0.2">
      <c r="B75" s="46" t="s">
        <v>471</v>
      </c>
      <c r="E75" s="186">
        <v>46.13</v>
      </c>
    </row>
    <row r="76" spans="2:5" x14ac:dyDescent="0.2">
      <c r="B76" s="290" t="s">
        <v>472</v>
      </c>
      <c r="C76" s="282"/>
      <c r="D76" s="282"/>
      <c r="E76" s="291">
        <f>E73/E75</f>
        <v>176.98051264533746</v>
      </c>
    </row>
    <row r="77" spans="2:5" x14ac:dyDescent="0.2">
      <c r="B77" s="48"/>
    </row>
    <row r="78" spans="2:5" x14ac:dyDescent="0.2">
      <c r="B78" s="47" t="s">
        <v>473</v>
      </c>
      <c r="E78" s="186">
        <f>49.62</f>
        <v>49.62</v>
      </c>
    </row>
    <row r="79" spans="2:5" x14ac:dyDescent="0.2">
      <c r="B79" s="290" t="s">
        <v>474</v>
      </c>
      <c r="C79" s="282"/>
      <c r="D79" s="282"/>
      <c r="E79" s="292">
        <f>E73/E78</f>
        <v>164.53266925291049</v>
      </c>
    </row>
    <row r="80" spans="2:5" x14ac:dyDescent="0.2">
      <c r="B80" s="47"/>
    </row>
    <row r="81" spans="2:3" x14ac:dyDescent="0.2">
      <c r="B81" s="47"/>
    </row>
    <row r="82" spans="2:3" x14ac:dyDescent="0.2">
      <c r="B82" s="47"/>
    </row>
    <row r="84" spans="2:3" x14ac:dyDescent="0.2">
      <c r="C84"/>
    </row>
  </sheetData>
  <mergeCells count="1">
    <mergeCell ref="B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4B6A-E00C-EF4B-9B35-66203C831086}">
  <sheetPr>
    <tabColor theme="8" tint="-0.249977111117893"/>
  </sheetPr>
  <dimension ref="B2:L32"/>
  <sheetViews>
    <sheetView tabSelected="1" zoomScale="158" workbookViewId="0">
      <selection activeCell="G15" sqref="G15"/>
    </sheetView>
  </sheetViews>
  <sheetFormatPr baseColWidth="10" defaultRowHeight="16" x14ac:dyDescent="0.2"/>
  <cols>
    <col min="1" max="1" width="3.5" style="1" customWidth="1"/>
    <col min="2" max="2" width="10.33203125" style="1" customWidth="1"/>
    <col min="3" max="3" width="6.5" style="1" customWidth="1"/>
    <col min="4" max="4" width="17.33203125" style="1" customWidth="1"/>
    <col min="5" max="9" width="14.1640625" style="1" customWidth="1"/>
    <col min="10" max="16384" width="10.83203125" style="1"/>
  </cols>
  <sheetData>
    <row r="2" spans="2:12" ht="19" x14ac:dyDescent="0.25">
      <c r="B2" s="498" t="s">
        <v>475</v>
      </c>
      <c r="C2" s="498"/>
      <c r="D2" s="498"/>
      <c r="E2" s="498"/>
      <c r="F2" s="498"/>
      <c r="G2" s="498"/>
      <c r="H2" s="498"/>
      <c r="I2" s="498"/>
      <c r="J2" s="498"/>
      <c r="K2" s="498"/>
      <c r="L2" s="498"/>
    </row>
    <row r="4" spans="2:12" x14ac:dyDescent="0.2">
      <c r="B4" s="293" t="s">
        <v>479</v>
      </c>
      <c r="C4" s="294"/>
      <c r="D4" s="294"/>
      <c r="E4" s="294"/>
      <c r="F4" s="294"/>
      <c r="G4" s="294"/>
    </row>
    <row r="5" spans="2:12" x14ac:dyDescent="0.2">
      <c r="B5" s="325" t="s">
        <v>481</v>
      </c>
    </row>
    <row r="6" spans="2:12" ht="17" thickBot="1" x14ac:dyDescent="0.25">
      <c r="B6" s="325"/>
    </row>
    <row r="7" spans="2:12" ht="17" thickTop="1" x14ac:dyDescent="0.2">
      <c r="C7" s="294"/>
      <c r="D7" s="296" t="s">
        <v>480</v>
      </c>
      <c r="E7" s="501" t="s">
        <v>478</v>
      </c>
      <c r="F7" s="502"/>
      <c r="G7" s="501"/>
      <c r="H7" s="501"/>
      <c r="I7" s="503"/>
    </row>
    <row r="8" spans="2:12" ht="17" thickBot="1" x14ac:dyDescent="0.25">
      <c r="C8" s="294"/>
      <c r="D8" s="317">
        <f>'DCF Valuation'!E79</f>
        <v>164.53266925291049</v>
      </c>
      <c r="E8" s="315">
        <v>1.4999999999999999E-2</v>
      </c>
      <c r="F8" s="315">
        <v>0.02</v>
      </c>
      <c r="G8" s="315">
        <v>2.5000000000000001E-2</v>
      </c>
      <c r="H8" s="315">
        <v>0.03</v>
      </c>
      <c r="I8" s="316">
        <v>3.5000000000000003E-2</v>
      </c>
    </row>
    <row r="9" spans="2:12" ht="19" customHeight="1" x14ac:dyDescent="0.2">
      <c r="C9" s="499" t="s">
        <v>477</v>
      </c>
      <c r="D9" s="318">
        <v>9.1399999999999995E-2</v>
      </c>
      <c r="E9" s="297">
        <f t="dataTable" ref="E9:I13" dt2D="1" dtr="1" r1="K9" r2="K8"/>
        <v>190.30429109729525</v>
      </c>
      <c r="F9" s="298">
        <v>200.44951923562741</v>
      </c>
      <c r="G9" s="299">
        <v>212.1226431779252</v>
      </c>
      <c r="H9" s="299">
        <v>225.6969273714115</v>
      </c>
      <c r="I9" s="300">
        <v>241.67799954246641</v>
      </c>
    </row>
    <row r="10" spans="2:12" ht="20" customHeight="1" thickBot="1" x14ac:dyDescent="0.25">
      <c r="C10" s="499"/>
      <c r="D10" s="318">
        <v>0.1014</v>
      </c>
      <c r="E10" s="301">
        <v>168.95747057408252</v>
      </c>
      <c r="F10" s="302">
        <v>176.57916111014191</v>
      </c>
      <c r="G10" s="321">
        <v>185.19845511950751</v>
      </c>
      <c r="H10" s="303">
        <v>195.02493316379821</v>
      </c>
      <c r="I10" s="304">
        <v>206.3313024798195</v>
      </c>
    </row>
    <row r="11" spans="2:12" ht="18" customHeight="1" thickTop="1" thickBot="1" x14ac:dyDescent="0.25">
      <c r="C11" s="500"/>
      <c r="D11" s="318">
        <v>0.1114</v>
      </c>
      <c r="E11" s="305">
        <v>152.08750427046357</v>
      </c>
      <c r="F11" s="320">
        <v>157.98174145323551</v>
      </c>
      <c r="G11" s="323">
        <v>164.55818201364306</v>
      </c>
      <c r="H11" s="305">
        <v>171.94253910481325</v>
      </c>
      <c r="I11" s="306">
        <v>180.29343508226225</v>
      </c>
      <c r="J11" s="324"/>
    </row>
    <row r="12" spans="2:12" ht="22" customHeight="1" thickTop="1" x14ac:dyDescent="0.2">
      <c r="C12" s="499"/>
      <c r="D12" s="318">
        <v>0.12139999999999999</v>
      </c>
      <c r="E12" s="307">
        <v>138.43020078232396</v>
      </c>
      <c r="F12" s="308">
        <v>143.0952442727293</v>
      </c>
      <c r="G12" s="322">
        <v>148.24421343641316</v>
      </c>
      <c r="H12" s="309">
        <v>153.95652714754607</v>
      </c>
      <c r="I12" s="310">
        <v>160.32998827894895</v>
      </c>
    </row>
    <row r="13" spans="2:12" ht="20" customHeight="1" thickBot="1" x14ac:dyDescent="0.25">
      <c r="C13" s="499"/>
      <c r="D13" s="319">
        <v>0.13139999999999999</v>
      </c>
      <c r="E13" s="311">
        <v>127.15589178631561</v>
      </c>
      <c r="F13" s="312">
        <v>130.91861635741171</v>
      </c>
      <c r="G13" s="313">
        <v>135.03498045586642</v>
      </c>
      <c r="H13" s="313">
        <v>139.55729762122994</v>
      </c>
      <c r="I13" s="314">
        <v>144.5487348244942</v>
      </c>
    </row>
    <row r="14" spans="2:12" ht="17" thickTop="1" x14ac:dyDescent="0.2"/>
    <row r="15" spans="2:12" x14ac:dyDescent="0.2">
      <c r="B15" s="236"/>
      <c r="D15" s="330"/>
      <c r="E15" s="326"/>
      <c r="F15" s="329"/>
      <c r="G15" s="327"/>
      <c r="H15" s="331"/>
      <c r="I15" s="328"/>
    </row>
    <row r="16" spans="2:12" x14ac:dyDescent="0.2">
      <c r="B16" s="236"/>
    </row>
    <row r="18" spans="2:9" x14ac:dyDescent="0.2">
      <c r="B18" s="332" t="s">
        <v>483</v>
      </c>
      <c r="C18" s="294"/>
      <c r="D18" s="294"/>
      <c r="E18" s="294"/>
      <c r="F18" s="294"/>
      <c r="G18" s="294"/>
      <c r="H18" s="294"/>
      <c r="I18" s="294"/>
    </row>
    <row r="19" spans="2:9" x14ac:dyDescent="0.2">
      <c r="B19" s="333" t="s">
        <v>484</v>
      </c>
    </row>
    <row r="20" spans="2:9" ht="17" thickBot="1" x14ac:dyDescent="0.25">
      <c r="B20" s="333"/>
    </row>
    <row r="21" spans="2:9" ht="17" thickTop="1" x14ac:dyDescent="0.2">
      <c r="C21" s="504" t="s">
        <v>485</v>
      </c>
      <c r="D21" s="336" t="s">
        <v>480</v>
      </c>
      <c r="E21" s="507" t="s">
        <v>490</v>
      </c>
      <c r="F21" s="507"/>
      <c r="G21" s="507"/>
      <c r="H21" s="507"/>
      <c r="I21" s="508"/>
    </row>
    <row r="22" spans="2:9" ht="17" thickBot="1" x14ac:dyDescent="0.25">
      <c r="C22" s="505"/>
      <c r="D22" s="376">
        <f>'DCF Valuation'!E79</f>
        <v>164.53266925291049</v>
      </c>
      <c r="E22" s="356">
        <v>0.2</v>
      </c>
      <c r="F22" s="356">
        <v>0.24</v>
      </c>
      <c r="G22" s="356">
        <v>0.27500000000000002</v>
      </c>
      <c r="H22" s="356">
        <v>0.31</v>
      </c>
      <c r="I22" s="357">
        <v>0.35</v>
      </c>
    </row>
    <row r="23" spans="2:9" x14ac:dyDescent="0.2">
      <c r="C23" s="505"/>
      <c r="D23" s="335">
        <v>0.12</v>
      </c>
      <c r="E23" s="339">
        <f>('DCF Valuation'!$E$49+(('Forecast Model'!$G$8*(1+E$22)^5*$D23*(1-'Master Assumptions'!$J$20)+'Forecast Model'!$G$8*(1+E$22)^5*SUM('DCF Valuation'!$I$32:$I$35)/'Forecast Model'!$L$8)*(1+'DCF Valuation'!$E$56)/('DCF Valuation'!$E$18-'DCF Valuation'!$E$56))/(1+'DCF Valuation'!$E$18)^'DCF Valuation'!$I$44+SUM('DCF Valuation'!$E$68:$E$72))/'DCF Valuation'!$E$78</f>
        <v>121.18482059124462</v>
      </c>
      <c r="F23" s="340">
        <f>('DCF Valuation'!$E$49+(('Forecast Model'!$G$8*(1+F$22)^5*$D23*(1-'Master Assumptions'!$J$20)+'Forecast Model'!$G$8*(1+F$22)^5*SUM('DCF Valuation'!$I$32:$I$35)/'Forecast Model'!$L$8)*(1+'DCF Valuation'!$E$56)/('DCF Valuation'!$E$18-'DCF Valuation'!$E$56))/(1+'DCF Valuation'!$E$18)^'DCF Valuation'!$I$44+SUM('DCF Valuation'!$E$68:$E$72))/'DCF Valuation'!$E$78</f>
        <v>133.21016322434471</v>
      </c>
      <c r="G23" s="341">
        <f>('DCF Valuation'!$E$49+(('Forecast Model'!$G$8*(1+G$22)^5*$D23*(1-'Master Assumptions'!$J$20)+'Forecast Model'!$G$8*(1+G$22)^5*SUM('DCF Valuation'!$I$32:$I$35)/'Forecast Model'!$L$8)*(1+'DCF Valuation'!$E$56)/('DCF Valuation'!$E$18-'DCF Valuation'!$E$56))/(1+'DCF Valuation'!$E$18)^'DCF Valuation'!$I$44+SUM('DCF Valuation'!$E$68:$E$72))/'DCF Valuation'!$E$78</f>
        <v>145.08514581517383</v>
      </c>
      <c r="H23" s="342">
        <f>('DCF Valuation'!$E$49+(('Forecast Model'!$G$8*(1+H$22)^5*$D23*(1-'Master Assumptions'!$J$20)+'Forecast Model'!$G$8*(1+H$22)^5*SUM('DCF Valuation'!$I$32:$I$35)/'Forecast Model'!$L$8)*(1+'DCF Valuation'!$E$56)/('DCF Valuation'!$E$18-'DCF Valuation'!$E$56))/(1+'DCF Valuation'!$E$18)^'DCF Valuation'!$I$44+SUM('DCF Valuation'!$E$68:$E$72))/'DCF Valuation'!$E$78</f>
        <v>158.33814678241819</v>
      </c>
      <c r="I23" s="343">
        <f>('DCF Valuation'!$E$49+(('Forecast Model'!$G$8*(1+I$22)^5*$D23*(1-'Master Assumptions'!$J$20)+'Forecast Model'!$G$8*(1+I$22)^5*SUM('DCF Valuation'!$I$32:$I$35)/'Forecast Model'!$L$8)*(1+'DCF Valuation'!$E$56)/('DCF Valuation'!$E$18-'DCF Valuation'!$E$56))/(1+'DCF Valuation'!$E$18)^'DCF Valuation'!$I$44+SUM('DCF Valuation'!$E$68:$E$72))/'DCF Valuation'!$E$78</f>
        <v>175.32166656699545</v>
      </c>
    </row>
    <row r="24" spans="2:9" x14ac:dyDescent="0.2">
      <c r="C24" s="505"/>
      <c r="D24" s="335">
        <v>0.14000000000000001</v>
      </c>
      <c r="E24" s="344">
        <f>('DCF Valuation'!$E$49+(('Forecast Model'!$G$8*(1+E$22)^5*$D24*(1-'Master Assumptions'!$J$20)+'Forecast Model'!$G$8*(1+E$22)^5*SUM('DCF Valuation'!$I$32:$I$35)/'Forecast Model'!$L$8)*(1+'DCF Valuation'!$E$56)/('DCF Valuation'!$E$18-'DCF Valuation'!$E$56))/(1+'DCF Valuation'!$E$18)^'DCF Valuation'!$I$44+SUM('DCF Valuation'!$E$68:$E$72))/'DCF Valuation'!$E$78</f>
        <v>125.61053472034287</v>
      </c>
      <c r="F24" s="345">
        <f>('DCF Valuation'!$E$49+(('Forecast Model'!$G$8*(1+F$22)^5*$D24*(1-'Master Assumptions'!$J$20)+'Forecast Model'!$G$8*(1+F$22)^5*SUM('DCF Valuation'!$I$32:$I$35)/'Forecast Model'!$L$8)*(1+'DCF Valuation'!$E$56)/('DCF Valuation'!$E$18-'DCF Valuation'!$E$56))/(1+'DCF Valuation'!$E$18)^'DCF Valuation'!$I$44+SUM('DCF Valuation'!$E$68:$E$72))/'DCF Valuation'!$E$78</f>
        <v>138.42433763112604</v>
      </c>
      <c r="G24" s="346">
        <f>('DCF Valuation'!$E$49+(('Forecast Model'!$G$8*(1+G$22)^5*$D24*(1-'Master Assumptions'!$J$20)+'Forecast Model'!$G$8*(1+G$22)^5*SUM('DCF Valuation'!$I$32:$I$35)/'Forecast Model'!$L$8)*(1+'DCF Valuation'!$E$56)/('DCF Valuation'!$E$18-'DCF Valuation'!$E$56))/(1+'DCF Valuation'!$E$18)^'DCF Valuation'!$I$44+SUM('DCF Valuation'!$E$68:$E$72))/'DCF Valuation'!$E$78</f>
        <v>151.07792190980035</v>
      </c>
      <c r="H24" s="347">
        <f>('DCF Valuation'!$E$49+(('Forecast Model'!$G$8*(1+H$22)^5*$D24*(1-'Master Assumptions'!$J$20)+'Forecast Model'!$G$8*(1+H$22)^5*SUM('DCF Valuation'!$I$32:$I$35)/'Forecast Model'!$L$8)*(1+'DCF Valuation'!$E$56)/('DCF Valuation'!$E$18-'DCF Valuation'!$E$56))/(1+'DCF Valuation'!$E$18)^'DCF Valuation'!$I$44+SUM('DCF Valuation'!$E$68:$E$72))/'DCF Valuation'!$E$78</f>
        <v>165.19987648124427</v>
      </c>
      <c r="I24" s="348">
        <f>('DCF Valuation'!$E$49+(('Forecast Model'!$G$8*(1+I$22)^5*$D24*(1-'Master Assumptions'!$J$20)+'Forecast Model'!$G$8*(1+I$22)^5*SUM('DCF Valuation'!$I$32:$I$35)/'Forecast Model'!$L$8)*(1+'DCF Valuation'!$E$56)/('DCF Valuation'!$E$18-'DCF Valuation'!$E$56))/(1+'DCF Valuation'!$E$18)^'DCF Valuation'!$I$44+SUM('DCF Valuation'!$E$68:$E$72))/'DCF Valuation'!$E$78</f>
        <v>183.29694713368011</v>
      </c>
    </row>
    <row r="25" spans="2:9" ht="17" thickBot="1" x14ac:dyDescent="0.25">
      <c r="C25" s="505"/>
      <c r="D25" s="335">
        <v>0.16</v>
      </c>
      <c r="E25" s="344">
        <f>('DCF Valuation'!$E$49+(('Forecast Model'!$G$8*(1+E$22)^5*$D25*(1-'Master Assumptions'!$J$20)+'Forecast Model'!$G$8*(1+E$22)^5*SUM('DCF Valuation'!$I$32:$I$35)/'Forecast Model'!$L$8)*(1+'DCF Valuation'!$E$56)/('DCF Valuation'!$E$18-'DCF Valuation'!$E$56))/(1+'DCF Valuation'!$E$18)^'DCF Valuation'!$I$44+SUM('DCF Valuation'!$E$68:$E$72))/'DCF Valuation'!$E$78</f>
        <v>130.03624884944111</v>
      </c>
      <c r="F25" s="346">
        <f>('DCF Valuation'!$E$49+(('Forecast Model'!$G$8*(1+F$22)^5*$D25*(1-'Master Assumptions'!$J$20)+'Forecast Model'!$G$8*(1+F$22)^5*SUM('DCF Valuation'!$I$32:$I$35)/'Forecast Model'!$L$8)*(1+'DCF Valuation'!$E$56)/('DCF Valuation'!$E$18-'DCF Valuation'!$E$56))/(1+'DCF Valuation'!$E$18)^'DCF Valuation'!$I$44+SUM('DCF Valuation'!$E$68:$E$72))/'DCF Valuation'!$E$78</f>
        <v>143.63851203790739</v>
      </c>
      <c r="G25" s="373">
        <f>('DCF Valuation'!$E$49+(('Forecast Model'!$G$8*(1+G$22)^5*$D25*(1-'Master Assumptions'!$J$20)+'Forecast Model'!$G$8*(1+G$22)^5*SUM('DCF Valuation'!$I$32:$I$35)/'Forecast Model'!$L$8)*(1+'DCF Valuation'!$E$56)/('DCF Valuation'!$E$18-'DCF Valuation'!$E$56))/(1+'DCF Valuation'!$E$18)^'DCF Valuation'!$I$44+SUM('DCF Valuation'!$E$68:$E$72))/'DCF Valuation'!$E$78</f>
        <v>157.07069800442679</v>
      </c>
      <c r="H25" s="349">
        <f>('DCF Valuation'!$E$49+(('Forecast Model'!$G$8*(1+H$22)^5*$D25*(1-'Master Assumptions'!$J$20)+'Forecast Model'!$G$8*(1+H$22)^5*SUM('DCF Valuation'!$I$32:$I$35)/'Forecast Model'!$L$8)*(1+'DCF Valuation'!$E$56)/('DCF Valuation'!$E$18-'DCF Valuation'!$E$56))/(1+'DCF Valuation'!$E$18)^'DCF Valuation'!$I$44+SUM('DCF Valuation'!$E$68:$E$72))/'DCF Valuation'!$E$78</f>
        <v>172.06160618007041</v>
      </c>
      <c r="I25" s="348">
        <f>('DCF Valuation'!$E$49+(('Forecast Model'!$G$8*(1+I$22)^5*$D25*(1-'Master Assumptions'!$J$20)+'Forecast Model'!$G$8*(1+I$22)^5*SUM('DCF Valuation'!$I$32:$I$35)/'Forecast Model'!$L$8)*(1+'DCF Valuation'!$E$56)/('DCF Valuation'!$E$18-'DCF Valuation'!$E$56))/(1+'DCF Valuation'!$E$18)^'DCF Valuation'!$I$44+SUM('DCF Valuation'!$E$68:$E$72))/'DCF Valuation'!$E$78</f>
        <v>191.27222770036468</v>
      </c>
    </row>
    <row r="26" spans="2:9" ht="18" thickTop="1" thickBot="1" x14ac:dyDescent="0.25">
      <c r="C26" s="505"/>
      <c r="D26" s="335">
        <v>0.185</v>
      </c>
      <c r="E26" s="350">
        <f>('DCF Valuation'!$E$49+(('Forecast Model'!$G$8*(1+E$22)^5*$D26*(1-'Master Assumptions'!$J$20)+'Forecast Model'!$G$8*(1+E$22)^5*SUM('DCF Valuation'!$I$32:$I$35)/'Forecast Model'!$L$8)*(1+'DCF Valuation'!$E$56)/('DCF Valuation'!$E$18-'DCF Valuation'!$E$56))/(1+'DCF Valuation'!$E$18)^'DCF Valuation'!$I$44+SUM('DCF Valuation'!$E$68:$E$72))/'DCF Valuation'!$E$78</f>
        <v>135.56839151081388</v>
      </c>
      <c r="F26" s="371">
        <f>('DCF Valuation'!$E$49+(('Forecast Model'!$G$8*(1+F$22)^5*$D26*(1-'Master Assumptions'!$J$20)+'Forecast Model'!$G$8*(1+F$22)^5*SUM('DCF Valuation'!$I$32:$I$35)/'Forecast Model'!$L$8)*(1+'DCF Valuation'!$E$56)/('DCF Valuation'!$E$18-'DCF Valuation'!$E$56))/(1+'DCF Valuation'!$E$18)^'DCF Valuation'!$I$44+SUM('DCF Valuation'!$E$68:$E$72))/'DCF Valuation'!$E$78</f>
        <v>150.15623004638411</v>
      </c>
      <c r="G26" s="334">
        <f>('DCF Valuation'!$E$49+(('Forecast Model'!$G$8*(1+G$22)^5*$D26*(1-'Master Assumptions'!$J$20)+'Forecast Model'!$G$8*(1+G$22)^5*SUM('DCF Valuation'!$I$32:$I$35)/'Forecast Model'!$L$8)*(1+'DCF Valuation'!$E$56)/('DCF Valuation'!$E$18-'DCF Valuation'!$E$56))/(1+'DCF Valuation'!$E$18)^'DCF Valuation'!$I$44+SUM('DCF Valuation'!$E$68:$E$72))/'DCF Valuation'!$E$78</f>
        <v>164.56166812270985</v>
      </c>
      <c r="H26" s="372">
        <f>('DCF Valuation'!$E$49+(('Forecast Model'!$G$8*(1+H$22)^5*$D26*(1-'Master Assumptions'!$J$20)+'Forecast Model'!$G$8*(1+H$22)^5*SUM('DCF Valuation'!$I$32:$I$35)/'Forecast Model'!$L$8)*(1+'DCF Valuation'!$E$56)/('DCF Valuation'!$E$18-'DCF Valuation'!$E$56))/(1+'DCF Valuation'!$E$18)^'DCF Valuation'!$I$44+SUM('DCF Valuation'!$E$68:$E$72))/'DCF Valuation'!$E$78</f>
        <v>180.638768303603</v>
      </c>
      <c r="I26" s="352">
        <f>('DCF Valuation'!$E$49+(('Forecast Model'!$G$8*(1+I$22)^5*$D26*(1-'Master Assumptions'!$J$20)+'Forecast Model'!$G$8*(1+I$22)^5*SUM('DCF Valuation'!$I$32:$I$35)/'Forecast Model'!$L$8)*(1+'DCF Valuation'!$E$56)/('DCF Valuation'!$E$18-'DCF Valuation'!$E$56))/(1+'DCF Valuation'!$E$18)^'DCF Valuation'!$I$44+SUM('DCF Valuation'!$E$68:$E$72))/'DCF Valuation'!$E$78</f>
        <v>201.24132840872051</v>
      </c>
    </row>
    <row r="27" spans="2:9" ht="17" thickTop="1" x14ac:dyDescent="0.2">
      <c r="C27" s="505"/>
      <c r="D27" s="335">
        <v>0.21</v>
      </c>
      <c r="E27" s="350">
        <f>('DCF Valuation'!$E$49+(('Forecast Model'!$G$8*(1+E$22)^5*$D27*(1-'Master Assumptions'!$J$20)+'Forecast Model'!$G$8*(1+E$22)^5*SUM('DCF Valuation'!$I$32:$I$35)/'Forecast Model'!$L$8)*(1+'DCF Valuation'!$E$56)/('DCF Valuation'!$E$18-'DCF Valuation'!$E$56))/(1+'DCF Valuation'!$E$18)^'DCF Valuation'!$I$44+SUM('DCF Valuation'!$E$68:$E$72))/'DCF Valuation'!$E$78</f>
        <v>141.10053417218671</v>
      </c>
      <c r="F27" s="347">
        <f>('DCF Valuation'!$E$49+(('Forecast Model'!$G$8*(1+F$22)^5*$D27*(1-'Master Assumptions'!$J$20)+'Forecast Model'!$G$8*(1+F$22)^5*SUM('DCF Valuation'!$I$32:$I$35)/'Forecast Model'!$L$8)*(1+'DCF Valuation'!$E$56)/('DCF Valuation'!$E$18-'DCF Valuation'!$E$56))/(1+'DCF Valuation'!$E$18)^'DCF Valuation'!$I$44+SUM('DCF Valuation'!$E$68:$E$72))/'DCF Valuation'!$E$78</f>
        <v>156.67394805486077</v>
      </c>
      <c r="G27" s="374">
        <f>('DCF Valuation'!$E$49+(('Forecast Model'!$G$8*(1+G$22)^5*$D27*(1-'Master Assumptions'!$J$20)+'Forecast Model'!$G$8*(1+G$22)^5*SUM('DCF Valuation'!$I$32:$I$35)/'Forecast Model'!$L$8)*(1+'DCF Valuation'!$E$56)/('DCF Valuation'!$E$18-'DCF Valuation'!$E$56))/(1+'DCF Valuation'!$E$18)^'DCF Valuation'!$I$44+SUM('DCF Valuation'!$E$68:$E$72))/'DCF Valuation'!$E$78</f>
        <v>172.05263824099293</v>
      </c>
      <c r="H27" s="351">
        <f>('DCF Valuation'!$E$49+(('Forecast Model'!$G$8*(1+H$22)^5*$D27*(1-'Master Assumptions'!$J$20)+'Forecast Model'!$G$8*(1+H$22)^5*SUM('DCF Valuation'!$I$32:$I$35)/'Forecast Model'!$L$8)*(1+'DCF Valuation'!$E$56)/('DCF Valuation'!$E$18-'DCF Valuation'!$E$56))/(1+'DCF Valuation'!$E$18)^'DCF Valuation'!$I$44+SUM('DCF Valuation'!$E$68:$E$72))/'DCF Valuation'!$E$78</f>
        <v>189.21593042713567</v>
      </c>
      <c r="I27" s="353">
        <f>('DCF Valuation'!$E$49+(('Forecast Model'!$G$8*(1+I$22)^5*$D27*(1-'Master Assumptions'!$J$20)+'Forecast Model'!$G$8*(1+I$22)^5*SUM('DCF Valuation'!$I$32:$I$35)/'Forecast Model'!$L$8)*(1+'DCF Valuation'!$E$56)/('DCF Valuation'!$E$18-'DCF Valuation'!$E$56))/(1+'DCF Valuation'!$E$18)^'DCF Valuation'!$I$44+SUM('DCF Valuation'!$E$68:$E$72))/'DCF Valuation'!$E$78</f>
        <v>211.21042911707625</v>
      </c>
    </row>
    <row r="28" spans="2:9" x14ac:dyDescent="0.2">
      <c r="C28" s="505"/>
      <c r="D28" s="335">
        <v>0.23</v>
      </c>
      <c r="E28" s="354">
        <f>('DCF Valuation'!$E$49+(('Forecast Model'!$G$8*(1+E$22)^5*$D28*(1-'Master Assumptions'!$J$20)+'Forecast Model'!$G$8*(1+E$22)^5*SUM('DCF Valuation'!$I$32:$I$35)/'Forecast Model'!$L$8)*(1+'DCF Valuation'!$E$56)/('DCF Valuation'!$E$18-'DCF Valuation'!$E$56))/(1+'DCF Valuation'!$E$18)^'DCF Valuation'!$I$44+SUM('DCF Valuation'!$E$68:$E$72))/'DCF Valuation'!$E$78</f>
        <v>145.52624830128491</v>
      </c>
      <c r="F28" s="347">
        <f>('DCF Valuation'!$E$49+(('Forecast Model'!$G$8*(1+F$22)^5*$D28*(1-'Master Assumptions'!$J$20)+'Forecast Model'!$G$8*(1+F$22)^5*SUM('DCF Valuation'!$I$32:$I$35)/'Forecast Model'!$L$8)*(1+'DCF Valuation'!$E$56)/('DCF Valuation'!$E$18-'DCF Valuation'!$E$56))/(1+'DCF Valuation'!$E$18)^'DCF Valuation'!$I$44+SUM('DCF Valuation'!$E$68:$E$72))/'DCF Valuation'!$E$78</f>
        <v>161.88812246164213</v>
      </c>
      <c r="G28" s="351">
        <f>('DCF Valuation'!$E$49+(('Forecast Model'!$G$8*(1+G$22)^5*$D28*(1-'Master Assumptions'!$J$20)+'Forecast Model'!$G$8*(1+G$22)^5*SUM('DCF Valuation'!$I$32:$I$35)/'Forecast Model'!$L$8)*(1+'DCF Valuation'!$E$56)/('DCF Valuation'!$E$18-'DCF Valuation'!$E$56))/(1+'DCF Valuation'!$E$18)^'DCF Valuation'!$I$44+SUM('DCF Valuation'!$E$68:$E$72))/'DCF Valuation'!$E$78</f>
        <v>178.0454143356194</v>
      </c>
      <c r="H28" s="355">
        <f>('DCF Valuation'!$E$49+(('Forecast Model'!$G$8*(1+H$22)^5*$D28*(1-'Master Assumptions'!$J$20)+'Forecast Model'!$G$8*(1+H$22)^5*SUM('DCF Valuation'!$I$32:$I$35)/'Forecast Model'!$L$8)*(1+'DCF Valuation'!$E$56)/('DCF Valuation'!$E$18-'DCF Valuation'!$E$56))/(1+'DCF Valuation'!$E$18)^'DCF Valuation'!$I$44+SUM('DCF Valuation'!$E$68:$E$72))/'DCF Valuation'!$E$78</f>
        <v>196.07766012596178</v>
      </c>
      <c r="I28" s="353">
        <f>('DCF Valuation'!$E$49+(('Forecast Model'!$G$8*(1+I$22)^5*$D28*(1-'Master Assumptions'!$J$20)+'Forecast Model'!$G$8*(1+I$22)^5*SUM('DCF Valuation'!$I$32:$I$35)/'Forecast Model'!$L$8)*(1+'DCF Valuation'!$E$56)/('DCF Valuation'!$E$18-'DCF Valuation'!$E$56))/(1+'DCF Valuation'!$E$18)^'DCF Valuation'!$I$44+SUM('DCF Valuation'!$E$68:$E$72))/'DCF Valuation'!$E$78</f>
        <v>219.18570968376088</v>
      </c>
    </row>
    <row r="29" spans="2:9" ht="17" thickBot="1" x14ac:dyDescent="0.25">
      <c r="C29" s="506"/>
      <c r="D29" s="335">
        <v>0.25</v>
      </c>
      <c r="E29" s="358">
        <f>('DCF Valuation'!$E$49+(('Forecast Model'!$G$8*(1+E$22)^5*$D29*(1-'Master Assumptions'!$J$20)+'Forecast Model'!$G$8*(1+E$22)^5*SUM('DCF Valuation'!$I$32:$I$35)/'Forecast Model'!$L$8)*(1+'DCF Valuation'!$E$56)/('DCF Valuation'!$E$18-'DCF Valuation'!$E$56))/(1+'DCF Valuation'!$E$18)^'DCF Valuation'!$I$44+SUM('DCF Valuation'!$E$68:$E$72))/'DCF Valuation'!$E$78</f>
        <v>149.95196243038313</v>
      </c>
      <c r="F29" s="359">
        <f>('DCF Valuation'!$E$49+(('Forecast Model'!$G$8*(1+F$22)^5*$D29*(1-'Master Assumptions'!$J$20)+'Forecast Model'!$G$8*(1+F$22)^5*SUM('DCF Valuation'!$I$32:$I$35)/'Forecast Model'!$L$8)*(1+'DCF Valuation'!$E$56)/('DCF Valuation'!$E$18-'DCF Valuation'!$E$56))/(1+'DCF Valuation'!$E$18)^'DCF Valuation'!$I$44+SUM('DCF Valuation'!$E$68:$E$72))/'DCF Valuation'!$E$78</f>
        <v>167.10229686842348</v>
      </c>
      <c r="G29" s="360">
        <f>('DCF Valuation'!$E$49+(('Forecast Model'!$G$8*(1+G$22)^5*$D29*(1-'Master Assumptions'!$J$20)+'Forecast Model'!$G$8*(1+G$22)^5*SUM('DCF Valuation'!$I$32:$I$35)/'Forecast Model'!$L$8)*(1+'DCF Valuation'!$E$56)/('DCF Valuation'!$E$18-'DCF Valuation'!$E$56))/(1+'DCF Valuation'!$E$18)^'DCF Valuation'!$I$44+SUM('DCF Valuation'!$E$68:$E$72))/'DCF Valuation'!$E$78</f>
        <v>184.03819043024581</v>
      </c>
      <c r="H29" s="361">
        <f>('DCF Valuation'!$E$49+(('Forecast Model'!$G$8*(1+H$22)^5*$D29*(1-'Master Assumptions'!$J$20)+'Forecast Model'!$G$8*(1+H$22)^5*SUM('DCF Valuation'!$I$32:$I$35)/'Forecast Model'!$L$8)*(1+'DCF Valuation'!$E$56)/('DCF Valuation'!$E$18-'DCF Valuation'!$E$56))/(1+'DCF Valuation'!$E$18)^'DCF Valuation'!$I$44+SUM('DCF Valuation'!$E$68:$E$72))/'DCF Valuation'!$E$78</f>
        <v>202.93938982478787</v>
      </c>
      <c r="I29" s="362">
        <f>('DCF Valuation'!$E$49+(('Forecast Model'!$G$8*(1+I$22)^5*$D29*(1-'Master Assumptions'!$J$20)+'Forecast Model'!$G$8*(1+I$22)^5*SUM('DCF Valuation'!$I$32:$I$35)/'Forecast Model'!$L$8)*(1+'DCF Valuation'!$E$56)/('DCF Valuation'!$E$18-'DCF Valuation'!$E$56))/(1+'DCF Valuation'!$E$18)^'DCF Valuation'!$I$44+SUM('DCF Valuation'!$E$68:$E$72))/'DCF Valuation'!$E$78</f>
        <v>227.16099025044548</v>
      </c>
    </row>
    <row r="30" spans="2:9" x14ac:dyDescent="0.2">
      <c r="C30" s="366" t="s">
        <v>486</v>
      </c>
      <c r="D30" s="375" t="s">
        <v>487</v>
      </c>
      <c r="E30" s="367">
        <f>MIN(E23:I29)</f>
        <v>121.18482059124462</v>
      </c>
      <c r="F30" s="368"/>
      <c r="G30" s="369">
        <f>G26</f>
        <v>164.56166812270985</v>
      </c>
      <c r="H30" s="368"/>
      <c r="I30" s="370">
        <f>MAX(E23:I29)</f>
        <v>227.16099025044548</v>
      </c>
    </row>
    <row r="31" spans="2:9" ht="17" thickBot="1" x14ac:dyDescent="0.25">
      <c r="C31" s="338"/>
      <c r="D31" s="337"/>
      <c r="E31" s="363" t="s">
        <v>488</v>
      </c>
      <c r="F31" s="364"/>
      <c r="G31" s="363" t="s">
        <v>482</v>
      </c>
      <c r="H31" s="364"/>
      <c r="I31" s="365" t="s">
        <v>489</v>
      </c>
    </row>
    <row r="32" spans="2:9" ht="17" thickTop="1" x14ac:dyDescent="0.2"/>
  </sheetData>
  <mergeCells count="5">
    <mergeCell ref="B2:L2"/>
    <mergeCell ref="C9:C13"/>
    <mergeCell ref="E7:I7"/>
    <mergeCell ref="C21:C29"/>
    <mergeCell ref="E21:I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69F3-4203-6747-8169-918F1B1A3364}">
  <sheetPr>
    <tabColor rgb="FF782170"/>
  </sheetPr>
  <dimension ref="B3:L93"/>
  <sheetViews>
    <sheetView topLeftCell="A72" zoomScale="116" workbookViewId="0">
      <selection activeCell="K42" sqref="K42"/>
    </sheetView>
  </sheetViews>
  <sheetFormatPr baseColWidth="10" defaultRowHeight="16" x14ac:dyDescent="0.2"/>
  <cols>
    <col min="1" max="1" width="5.83203125" style="1" customWidth="1"/>
    <col min="2" max="2" width="30" style="1" customWidth="1"/>
    <col min="3" max="9" width="16.6640625" style="1" customWidth="1"/>
    <col min="10" max="16384" width="10.83203125" style="1"/>
  </cols>
  <sheetData>
    <row r="3" spans="2:12" ht="27" x14ac:dyDescent="0.35">
      <c r="B3" s="509" t="s">
        <v>502</v>
      </c>
      <c r="C3" s="498"/>
      <c r="D3" s="498"/>
      <c r="E3" s="498"/>
      <c r="F3" s="498"/>
      <c r="G3" s="498"/>
      <c r="H3" s="498"/>
      <c r="I3" s="498"/>
      <c r="J3" s="498"/>
      <c r="K3" s="498"/>
      <c r="L3" s="498"/>
    </row>
    <row r="5" spans="2:12" x14ac:dyDescent="0.2">
      <c r="B5" s="377" t="s">
        <v>504</v>
      </c>
    </row>
    <row r="8" spans="2:12" ht="19" x14ac:dyDescent="0.25">
      <c r="B8" s="378" t="s">
        <v>505</v>
      </c>
      <c r="J8" s="395" t="s">
        <v>548</v>
      </c>
    </row>
    <row r="10" spans="2:12" ht="19" x14ac:dyDescent="0.25">
      <c r="B10" s="379" t="s">
        <v>501</v>
      </c>
      <c r="C10" s="379" t="s">
        <v>506</v>
      </c>
      <c r="D10" s="379" t="s">
        <v>464</v>
      </c>
      <c r="E10" s="379" t="s">
        <v>470</v>
      </c>
      <c r="F10" s="379" t="s">
        <v>507</v>
      </c>
      <c r="G10" s="379" t="s">
        <v>500</v>
      </c>
      <c r="H10" s="379" t="s">
        <v>508</v>
      </c>
      <c r="I10" s="379" t="s">
        <v>496</v>
      </c>
      <c r="J10" s="410" t="s">
        <v>549</v>
      </c>
      <c r="K10" s="411" t="s">
        <v>550</v>
      </c>
    </row>
    <row r="11" spans="2:12" x14ac:dyDescent="0.2">
      <c r="B11" s="381" t="s">
        <v>509</v>
      </c>
      <c r="C11" s="382">
        <v>165</v>
      </c>
      <c r="D11" s="383" t="s">
        <v>510</v>
      </c>
      <c r="E11" s="383" t="s">
        <v>511</v>
      </c>
      <c r="F11" s="383" t="s">
        <v>512</v>
      </c>
      <c r="G11" s="383" t="s">
        <v>513</v>
      </c>
      <c r="H11" s="383" t="s">
        <v>514</v>
      </c>
      <c r="I11" s="384">
        <v>0.185</v>
      </c>
    </row>
    <row r="12" spans="2:12" ht="19" x14ac:dyDescent="0.25">
      <c r="B12" s="386" t="s">
        <v>515</v>
      </c>
      <c r="C12" s="387">
        <v>97</v>
      </c>
      <c r="D12" s="388" t="s">
        <v>516</v>
      </c>
      <c r="E12" s="388" t="s">
        <v>517</v>
      </c>
      <c r="F12" s="388" t="s">
        <v>518</v>
      </c>
      <c r="G12" s="388" t="s">
        <v>519</v>
      </c>
      <c r="H12" s="388" t="s">
        <v>520</v>
      </c>
      <c r="I12" s="389">
        <v>0.113</v>
      </c>
      <c r="J12" s="412" t="s">
        <v>551</v>
      </c>
      <c r="K12" s="413">
        <v>0.47</v>
      </c>
    </row>
    <row r="13" spans="2:12" ht="19" x14ac:dyDescent="0.25">
      <c r="B13" s="391" t="s">
        <v>521</v>
      </c>
      <c r="C13" s="392">
        <v>60</v>
      </c>
      <c r="D13" s="393" t="s">
        <v>522</v>
      </c>
      <c r="E13" s="393" t="s">
        <v>523</v>
      </c>
      <c r="F13" s="393" t="s">
        <v>524</v>
      </c>
      <c r="G13" s="393" t="s">
        <v>525</v>
      </c>
      <c r="H13" s="393" t="s">
        <v>526</v>
      </c>
      <c r="I13" s="394">
        <v>1.4999999999999999E-2</v>
      </c>
      <c r="J13" s="414" t="s">
        <v>552</v>
      </c>
      <c r="K13" s="415">
        <v>-0.46</v>
      </c>
    </row>
    <row r="14" spans="2:12" ht="19" x14ac:dyDescent="0.25">
      <c r="J14" s="416" t="s">
        <v>553</v>
      </c>
      <c r="K14" s="417">
        <v>-0.13</v>
      </c>
    </row>
    <row r="16" spans="2:12" x14ac:dyDescent="0.2">
      <c r="B16" s="395" t="s">
        <v>527</v>
      </c>
    </row>
    <row r="18" spans="2:5" x14ac:dyDescent="0.2">
      <c r="B18" s="379" t="s">
        <v>501</v>
      </c>
      <c r="C18" s="379" t="s">
        <v>528</v>
      </c>
    </row>
    <row r="19" spans="2:5" x14ac:dyDescent="0.2">
      <c r="B19" s="1" t="s">
        <v>231</v>
      </c>
      <c r="C19" s="1">
        <v>165</v>
      </c>
    </row>
    <row r="20" spans="2:5" x14ac:dyDescent="0.2">
      <c r="B20" s="1" t="s">
        <v>492</v>
      </c>
      <c r="C20" s="1">
        <v>97</v>
      </c>
    </row>
    <row r="21" spans="2:5" x14ac:dyDescent="0.2">
      <c r="B21" s="1" t="s">
        <v>493</v>
      </c>
      <c r="C21" s="1">
        <v>60</v>
      </c>
    </row>
    <row r="24" spans="2:5" x14ac:dyDescent="0.2">
      <c r="B24" s="395" t="s">
        <v>529</v>
      </c>
    </row>
    <row r="26" spans="2:5" x14ac:dyDescent="0.2">
      <c r="B26" s="379" t="s">
        <v>316</v>
      </c>
      <c r="C26" s="396" t="s">
        <v>231</v>
      </c>
      <c r="D26" s="397" t="s">
        <v>492</v>
      </c>
      <c r="E26" s="398" t="s">
        <v>493</v>
      </c>
    </row>
    <row r="27" spans="2:5" x14ac:dyDescent="0.2">
      <c r="B27" s="1" t="s">
        <v>132</v>
      </c>
      <c r="C27" s="1">
        <v>748</v>
      </c>
      <c r="D27" s="1">
        <v>748</v>
      </c>
      <c r="E27" s="1">
        <v>748</v>
      </c>
    </row>
    <row r="28" spans="2:5" x14ac:dyDescent="0.2">
      <c r="B28" s="1" t="s">
        <v>210</v>
      </c>
      <c r="C28" s="1">
        <v>1010</v>
      </c>
      <c r="D28" s="1">
        <v>957</v>
      </c>
      <c r="E28" s="1">
        <v>898</v>
      </c>
    </row>
    <row r="29" spans="2:5" x14ac:dyDescent="0.2">
      <c r="B29" s="1" t="s">
        <v>211</v>
      </c>
      <c r="C29" s="1">
        <v>1313</v>
      </c>
      <c r="D29" s="1">
        <v>1187</v>
      </c>
      <c r="E29" s="1">
        <v>1050</v>
      </c>
    </row>
    <row r="30" spans="2:5" x14ac:dyDescent="0.2">
      <c r="B30" s="1" t="s">
        <v>212</v>
      </c>
      <c r="C30" s="1">
        <v>1667</v>
      </c>
      <c r="D30" s="1">
        <v>1437</v>
      </c>
      <c r="E30" s="1">
        <v>1197</v>
      </c>
    </row>
    <row r="31" spans="2:5" x14ac:dyDescent="0.2">
      <c r="B31" s="1" t="s">
        <v>213</v>
      </c>
      <c r="C31" s="1">
        <v>2068</v>
      </c>
      <c r="D31" s="1">
        <v>1695</v>
      </c>
      <c r="E31" s="1">
        <v>1341</v>
      </c>
    </row>
    <row r="32" spans="2:5" x14ac:dyDescent="0.2">
      <c r="B32" s="1" t="s">
        <v>214</v>
      </c>
      <c r="C32" s="1">
        <v>2522</v>
      </c>
      <c r="D32" s="1">
        <v>1963</v>
      </c>
      <c r="E32" s="1">
        <v>1475</v>
      </c>
    </row>
    <row r="35" spans="2:5" x14ac:dyDescent="0.2">
      <c r="B35" s="395" t="s">
        <v>530</v>
      </c>
    </row>
    <row r="37" spans="2:5" x14ac:dyDescent="0.2">
      <c r="B37" s="379" t="s">
        <v>316</v>
      </c>
      <c r="C37" s="396" t="s">
        <v>231</v>
      </c>
      <c r="D37" s="397" t="s">
        <v>492</v>
      </c>
      <c r="E37" s="398" t="s">
        <v>493</v>
      </c>
    </row>
    <row r="38" spans="2:5" x14ac:dyDescent="0.2">
      <c r="B38" s="1" t="s">
        <v>210</v>
      </c>
      <c r="C38" s="1">
        <v>0.11</v>
      </c>
      <c r="D38" s="1">
        <v>6.4000000000000001E-2</v>
      </c>
      <c r="E38" s="1">
        <v>3.5000000000000003E-2</v>
      </c>
    </row>
    <row r="39" spans="2:5" x14ac:dyDescent="0.2">
      <c r="B39" s="1" t="s">
        <v>211</v>
      </c>
      <c r="C39" s="1">
        <v>0.13</v>
      </c>
      <c r="D39" s="1">
        <v>7.9000000000000001E-2</v>
      </c>
      <c r="E39" s="1">
        <v>0.03</v>
      </c>
    </row>
    <row r="40" spans="2:5" x14ac:dyDescent="0.2">
      <c r="B40" s="1" t="s">
        <v>212</v>
      </c>
      <c r="C40" s="1">
        <v>0.15</v>
      </c>
      <c r="D40" s="1">
        <v>9.5000000000000001E-2</v>
      </c>
      <c r="E40" s="1">
        <v>2.4E-2</v>
      </c>
    </row>
    <row r="41" spans="2:5" x14ac:dyDescent="0.2">
      <c r="B41" s="1" t="s">
        <v>213</v>
      </c>
      <c r="C41" s="1">
        <v>0.16800000000000001</v>
      </c>
      <c r="D41" s="1">
        <v>0.108</v>
      </c>
      <c r="E41" s="1">
        <v>1.9E-2</v>
      </c>
    </row>
    <row r="42" spans="2:5" x14ac:dyDescent="0.2">
      <c r="B42" s="1" t="s">
        <v>214</v>
      </c>
      <c r="C42" s="1">
        <v>0.185</v>
      </c>
      <c r="D42" s="1">
        <v>0.11799999999999999</v>
      </c>
      <c r="E42" s="1">
        <v>1.4999999999999999E-2</v>
      </c>
    </row>
    <row r="45" spans="2:5" x14ac:dyDescent="0.2">
      <c r="B45" s="395" t="s">
        <v>531</v>
      </c>
    </row>
    <row r="47" spans="2:5" x14ac:dyDescent="0.2">
      <c r="B47" s="379" t="s">
        <v>499</v>
      </c>
      <c r="C47" s="396" t="s">
        <v>231</v>
      </c>
      <c r="D47" s="397" t="s">
        <v>492</v>
      </c>
      <c r="E47" s="398" t="s">
        <v>493</v>
      </c>
    </row>
    <row r="48" spans="2:5" x14ac:dyDescent="0.2">
      <c r="B48" s="1" t="s">
        <v>500</v>
      </c>
      <c r="C48" s="1">
        <v>1786</v>
      </c>
      <c r="D48" s="1">
        <v>1234</v>
      </c>
      <c r="E48" s="1">
        <v>677</v>
      </c>
    </row>
    <row r="49" spans="2:5" x14ac:dyDescent="0.2">
      <c r="B49" s="1" t="s">
        <v>461</v>
      </c>
      <c r="C49" s="1">
        <v>5500</v>
      </c>
      <c r="D49" s="1">
        <v>2702</v>
      </c>
      <c r="E49" s="1">
        <v>1426</v>
      </c>
    </row>
    <row r="70" spans="2:10" ht="19" x14ac:dyDescent="0.25">
      <c r="B70" s="378" t="s">
        <v>532</v>
      </c>
    </row>
    <row r="72" spans="2:10" ht="19" x14ac:dyDescent="0.25">
      <c r="B72" s="379" t="s">
        <v>533</v>
      </c>
      <c r="C72" s="399" t="s">
        <v>231</v>
      </c>
      <c r="D72" s="400" t="s">
        <v>492</v>
      </c>
      <c r="E72" s="401" t="s">
        <v>493</v>
      </c>
      <c r="G72" s="378" t="s">
        <v>534</v>
      </c>
    </row>
    <row r="73" spans="2:10" x14ac:dyDescent="0.2">
      <c r="B73" s="1" t="s">
        <v>535</v>
      </c>
      <c r="C73" s="402">
        <v>0.27600000000000002</v>
      </c>
      <c r="D73" s="403">
        <v>0.214</v>
      </c>
      <c r="E73" s="404">
        <v>0.14599999999999999</v>
      </c>
    </row>
    <row r="74" spans="2:10" x14ac:dyDescent="0.2">
      <c r="B74" s="1" t="s">
        <v>536</v>
      </c>
      <c r="C74" s="217">
        <v>0.185</v>
      </c>
      <c r="D74" s="217">
        <v>0.113</v>
      </c>
      <c r="E74" s="217">
        <v>1.4999999999999999E-2</v>
      </c>
      <c r="G74" s="379" t="s">
        <v>501</v>
      </c>
      <c r="H74" s="405" t="s">
        <v>537</v>
      </c>
      <c r="I74" s="405" t="s">
        <v>538</v>
      </c>
      <c r="J74" s="405" t="s">
        <v>539</v>
      </c>
    </row>
    <row r="75" spans="2:10" x14ac:dyDescent="0.2">
      <c r="B75" s="1" t="s">
        <v>540</v>
      </c>
      <c r="C75" s="217">
        <v>0.26100000000000001</v>
      </c>
      <c r="D75" s="217">
        <v>0.28599999999999998</v>
      </c>
      <c r="E75" s="217">
        <v>0.33</v>
      </c>
      <c r="G75" s="380" t="s">
        <v>231</v>
      </c>
      <c r="H75" s="234">
        <v>0.25</v>
      </c>
      <c r="I75" s="132">
        <v>165</v>
      </c>
      <c r="J75" s="406">
        <f>H75*I75</f>
        <v>41.25</v>
      </c>
    </row>
    <row r="76" spans="2:10" x14ac:dyDescent="0.2">
      <c r="B76" s="1" t="s">
        <v>541</v>
      </c>
      <c r="C76" s="217">
        <v>0.29899999999999999</v>
      </c>
      <c r="D76" s="217">
        <v>0.32400000000000001</v>
      </c>
      <c r="E76" s="217">
        <v>0.35</v>
      </c>
      <c r="G76" s="385" t="s">
        <v>492</v>
      </c>
      <c r="H76" s="234">
        <v>0.5</v>
      </c>
      <c r="I76" s="132">
        <v>97</v>
      </c>
      <c r="J76" s="406">
        <f>H76*I76</f>
        <v>48.5</v>
      </c>
    </row>
    <row r="77" spans="2:10" x14ac:dyDescent="0.2">
      <c r="B77" s="1" t="s">
        <v>542</v>
      </c>
      <c r="C77" s="217">
        <v>0.76</v>
      </c>
      <c r="D77" s="217">
        <v>0.745</v>
      </c>
      <c r="E77" s="217">
        <v>0.71</v>
      </c>
      <c r="G77" s="390" t="s">
        <v>493</v>
      </c>
      <c r="H77" s="234">
        <v>0.25</v>
      </c>
      <c r="I77" s="132">
        <v>60</v>
      </c>
      <c r="J77" s="406">
        <f>H77*I77</f>
        <v>15</v>
      </c>
    </row>
    <row r="79" spans="2:10" ht="19" x14ac:dyDescent="0.25">
      <c r="G79" s="407" t="s">
        <v>543</v>
      </c>
      <c r="H79" s="408">
        <f>SUM(H75:H77)</f>
        <v>1</v>
      </c>
      <c r="J79" s="409">
        <f>SUM(J75:J77)</f>
        <v>104.75</v>
      </c>
    </row>
    <row r="82" spans="2:5" x14ac:dyDescent="0.2">
      <c r="B82" s="395" t="s">
        <v>544</v>
      </c>
    </row>
    <row r="84" spans="2:5" x14ac:dyDescent="0.2">
      <c r="B84" s="379" t="s">
        <v>545</v>
      </c>
      <c r="C84" s="401" t="s">
        <v>493</v>
      </c>
      <c r="D84" s="400" t="s">
        <v>492</v>
      </c>
      <c r="E84" s="399" t="s">
        <v>231</v>
      </c>
    </row>
    <row r="85" spans="2:5" x14ac:dyDescent="0.2">
      <c r="B85" s="1" t="s">
        <v>528</v>
      </c>
      <c r="C85" s="1">
        <v>60</v>
      </c>
      <c r="D85" s="1">
        <v>97</v>
      </c>
      <c r="E85" s="1">
        <v>165</v>
      </c>
    </row>
    <row r="86" spans="2:5" x14ac:dyDescent="0.2">
      <c r="B86" s="1" t="s">
        <v>494</v>
      </c>
      <c r="C86" s="1">
        <v>2103</v>
      </c>
      <c r="D86" s="1">
        <v>3935</v>
      </c>
      <c r="E86" s="1">
        <v>7286</v>
      </c>
    </row>
    <row r="87" spans="2:5" x14ac:dyDescent="0.2">
      <c r="B87" s="1" t="s">
        <v>495</v>
      </c>
      <c r="C87" s="1">
        <v>1475</v>
      </c>
      <c r="D87" s="1">
        <v>1899</v>
      </c>
      <c r="E87" s="1">
        <v>2522</v>
      </c>
    </row>
    <row r="90" spans="2:5" ht="19" x14ac:dyDescent="0.25">
      <c r="B90" s="378" t="s">
        <v>546</v>
      </c>
    </row>
    <row r="92" spans="2:5" x14ac:dyDescent="0.2">
      <c r="B92" s="379" t="s">
        <v>547</v>
      </c>
      <c r="C92" s="405" t="s">
        <v>497</v>
      </c>
      <c r="D92" s="405" t="s">
        <v>503</v>
      </c>
      <c r="E92" s="405" t="s">
        <v>498</v>
      </c>
    </row>
    <row r="93" spans="2:5" x14ac:dyDescent="0.2">
      <c r="B93" s="1" t="s">
        <v>20</v>
      </c>
      <c r="C93" s="1">
        <v>60</v>
      </c>
      <c r="D93" s="1">
        <v>105</v>
      </c>
      <c r="E93" s="1">
        <v>165</v>
      </c>
    </row>
  </sheetData>
  <mergeCells count="1">
    <mergeCell ref="B3:L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6E4D-8F9D-BF49-BCC5-81F2904B09DC}">
  <sheetPr>
    <tabColor rgb="FF404040"/>
  </sheetPr>
  <dimension ref="A1:K100"/>
  <sheetViews>
    <sheetView workbookViewId="0">
      <pane ySplit="3" topLeftCell="A4" activePane="bottomLeft" state="frozen"/>
      <selection pane="bottomLeft" activeCell="H21" sqref="H21"/>
    </sheetView>
  </sheetViews>
  <sheetFormatPr baseColWidth="10" defaultRowHeight="16" x14ac:dyDescent="0.2"/>
  <cols>
    <col min="1" max="1" width="2.5" style="1" customWidth="1"/>
    <col min="2" max="3" width="31.6640625" style="1" customWidth="1"/>
    <col min="4" max="4" width="15.83203125" style="1" customWidth="1"/>
    <col min="5" max="5" width="50" style="1" customWidth="1"/>
    <col min="6" max="6" width="26.6640625" style="1" customWidth="1"/>
    <col min="7" max="7" width="15.83203125" style="1" customWidth="1"/>
    <col min="8" max="8" width="35" style="1" customWidth="1"/>
    <col min="9" max="16384" width="10.83203125" style="1"/>
  </cols>
  <sheetData>
    <row r="1" spans="1:11" x14ac:dyDescent="0.2">
      <c r="A1" s="418"/>
      <c r="B1" s="418"/>
      <c r="C1" s="418"/>
      <c r="D1" s="418"/>
      <c r="E1" s="418"/>
      <c r="F1" s="418"/>
      <c r="G1" s="418"/>
      <c r="H1" s="418"/>
      <c r="I1" s="418"/>
      <c r="J1" s="418"/>
      <c r="K1"/>
    </row>
    <row r="2" spans="1:11" ht="19" x14ac:dyDescent="0.25">
      <c r="A2" s="418"/>
      <c r="B2" s="81" t="s">
        <v>554</v>
      </c>
      <c r="C2" s="419"/>
      <c r="D2" s="419"/>
      <c r="E2" s="419"/>
      <c r="F2" s="419"/>
      <c r="G2" s="419"/>
      <c r="H2" s="419"/>
      <c r="I2" s="418"/>
      <c r="J2" s="418"/>
      <c r="K2"/>
    </row>
    <row r="3" spans="1:11" x14ac:dyDescent="0.2">
      <c r="A3" s="418"/>
      <c r="B3" s="420" t="s">
        <v>629</v>
      </c>
      <c r="C3" s="421"/>
      <c r="D3" s="421"/>
      <c r="E3" s="421"/>
      <c r="F3" s="421"/>
      <c r="G3" s="421"/>
      <c r="H3" s="421"/>
      <c r="I3" s="418"/>
      <c r="J3" s="418"/>
      <c r="K3"/>
    </row>
    <row r="4" spans="1:11" x14ac:dyDescent="0.2">
      <c r="A4" s="418"/>
      <c r="B4" s="418"/>
      <c r="C4" s="418"/>
      <c r="D4" s="418"/>
      <c r="E4" s="418"/>
      <c r="F4" s="418"/>
      <c r="G4" s="418"/>
      <c r="H4" s="418"/>
      <c r="I4" s="418"/>
      <c r="J4" s="418"/>
      <c r="K4"/>
    </row>
    <row r="5" spans="1:11" x14ac:dyDescent="0.2">
      <c r="A5" s="418"/>
      <c r="B5" s="422" t="s">
        <v>563</v>
      </c>
      <c r="C5" s="423"/>
      <c r="D5" s="423"/>
      <c r="E5" s="423"/>
      <c r="F5" s="423"/>
      <c r="G5" s="423"/>
      <c r="H5" s="423"/>
      <c r="I5" s="418"/>
      <c r="J5" s="418"/>
      <c r="K5"/>
    </row>
    <row r="6" spans="1:11" x14ac:dyDescent="0.2">
      <c r="A6" s="418"/>
      <c r="B6" s="91" t="s">
        <v>564</v>
      </c>
      <c r="C6" s="90" t="s">
        <v>565</v>
      </c>
      <c r="D6" s="91" t="s">
        <v>561</v>
      </c>
      <c r="E6" s="90" t="s">
        <v>630</v>
      </c>
      <c r="F6" s="90" t="s">
        <v>631</v>
      </c>
      <c r="G6" s="91" t="s">
        <v>566</v>
      </c>
      <c r="H6" s="90" t="s">
        <v>567</v>
      </c>
      <c r="I6" s="418"/>
      <c r="J6" s="418"/>
      <c r="K6"/>
    </row>
    <row r="7" spans="1:11" x14ac:dyDescent="0.2">
      <c r="A7" s="418"/>
      <c r="B7" s="426" t="s">
        <v>568</v>
      </c>
      <c r="C7" s="424" t="s">
        <v>642</v>
      </c>
      <c r="D7" s="431" t="s">
        <v>643</v>
      </c>
      <c r="E7" s="424" t="s">
        <v>644</v>
      </c>
      <c r="F7" s="424" t="s">
        <v>45</v>
      </c>
      <c r="G7" s="434">
        <v>45689</v>
      </c>
      <c r="H7" s="424" t="s">
        <v>645</v>
      </c>
      <c r="I7" s="418"/>
      <c r="J7" s="418"/>
      <c r="K7"/>
    </row>
    <row r="8" spans="1:11" x14ac:dyDescent="0.2">
      <c r="A8" s="418"/>
      <c r="B8" s="426" t="s">
        <v>569</v>
      </c>
      <c r="C8" s="424" t="s">
        <v>646</v>
      </c>
      <c r="D8" s="431" t="s">
        <v>643</v>
      </c>
      <c r="E8" s="424" t="s">
        <v>647</v>
      </c>
      <c r="F8" s="424" t="s">
        <v>45</v>
      </c>
      <c r="G8" s="434">
        <v>45323</v>
      </c>
      <c r="H8" s="424" t="s">
        <v>645</v>
      </c>
      <c r="I8" s="418"/>
      <c r="J8" s="418"/>
      <c r="K8"/>
    </row>
    <row r="9" spans="1:11" x14ac:dyDescent="0.2">
      <c r="A9" s="418"/>
      <c r="B9" s="426" t="s">
        <v>570</v>
      </c>
      <c r="C9" s="424" t="s">
        <v>648</v>
      </c>
      <c r="D9" s="431" t="s">
        <v>643</v>
      </c>
      <c r="E9" s="424" t="s">
        <v>649</v>
      </c>
      <c r="F9" s="424" t="s">
        <v>45</v>
      </c>
      <c r="G9" s="431" t="s">
        <v>650</v>
      </c>
      <c r="H9" s="424" t="s">
        <v>645</v>
      </c>
      <c r="I9" s="418"/>
      <c r="J9" s="418"/>
      <c r="K9"/>
    </row>
    <row r="10" spans="1:11" x14ac:dyDescent="0.2">
      <c r="A10" s="418"/>
      <c r="B10" s="426" t="s">
        <v>571</v>
      </c>
      <c r="C10" s="424" t="s">
        <v>651</v>
      </c>
      <c r="D10" s="431" t="s">
        <v>652</v>
      </c>
      <c r="E10" s="424" t="s">
        <v>653</v>
      </c>
      <c r="F10" s="424" t="s">
        <v>20</v>
      </c>
      <c r="G10" s="434">
        <v>45689</v>
      </c>
      <c r="H10" s="424" t="s">
        <v>654</v>
      </c>
      <c r="I10" s="418"/>
      <c r="J10" s="418"/>
      <c r="K10"/>
    </row>
    <row r="11" spans="1:11" x14ac:dyDescent="0.2">
      <c r="A11" s="418"/>
      <c r="B11" s="426" t="s">
        <v>572</v>
      </c>
      <c r="C11" s="424" t="s">
        <v>655</v>
      </c>
      <c r="D11" s="431" t="s">
        <v>652</v>
      </c>
      <c r="E11" s="424" t="s">
        <v>656</v>
      </c>
      <c r="F11" s="424" t="s">
        <v>657</v>
      </c>
      <c r="G11" s="434">
        <v>45689</v>
      </c>
      <c r="H11" s="424" t="s">
        <v>654</v>
      </c>
      <c r="I11" s="418"/>
      <c r="J11" s="418"/>
      <c r="K11"/>
    </row>
    <row r="12" spans="1:11" x14ac:dyDescent="0.2">
      <c r="A12" s="418"/>
      <c r="B12" s="426" t="s">
        <v>573</v>
      </c>
      <c r="C12" s="424" t="s">
        <v>658</v>
      </c>
      <c r="D12" s="431" t="s">
        <v>659</v>
      </c>
      <c r="E12" s="424" t="s">
        <v>660</v>
      </c>
      <c r="F12" s="424" t="s">
        <v>661</v>
      </c>
      <c r="G12" s="431" t="s">
        <v>185</v>
      </c>
      <c r="H12" s="424" t="s">
        <v>662</v>
      </c>
      <c r="I12" s="418"/>
      <c r="J12" s="418"/>
      <c r="K12"/>
    </row>
    <row r="13" spans="1:11" x14ac:dyDescent="0.2">
      <c r="A13" s="418"/>
      <c r="B13" s="426" t="s">
        <v>574</v>
      </c>
      <c r="C13" s="424" t="s">
        <v>663</v>
      </c>
      <c r="D13" s="431" t="s">
        <v>664</v>
      </c>
      <c r="E13" s="424" t="s">
        <v>665</v>
      </c>
      <c r="F13" s="424" t="s">
        <v>20</v>
      </c>
      <c r="G13" s="434">
        <v>45689</v>
      </c>
      <c r="H13" s="424" t="s">
        <v>666</v>
      </c>
      <c r="I13" s="418"/>
      <c r="J13" s="418"/>
      <c r="K13"/>
    </row>
    <row r="14" spans="1:11" x14ac:dyDescent="0.2">
      <c r="A14" s="418"/>
      <c r="B14" s="426" t="s">
        <v>575</v>
      </c>
      <c r="C14" s="424" t="s">
        <v>667</v>
      </c>
      <c r="D14" s="431" t="s">
        <v>668</v>
      </c>
      <c r="E14" s="424" t="s">
        <v>669</v>
      </c>
      <c r="F14" s="424" t="s">
        <v>670</v>
      </c>
      <c r="G14" s="434">
        <v>45689</v>
      </c>
      <c r="H14" s="424" t="s">
        <v>671</v>
      </c>
      <c r="I14" s="418"/>
      <c r="J14" s="418"/>
      <c r="K14"/>
    </row>
    <row r="15" spans="1:11" x14ac:dyDescent="0.2">
      <c r="A15" s="418"/>
      <c r="B15" s="426" t="s">
        <v>576</v>
      </c>
      <c r="C15" s="424" t="s">
        <v>672</v>
      </c>
      <c r="D15" s="431" t="s">
        <v>652</v>
      </c>
      <c r="E15" s="424" t="s">
        <v>673</v>
      </c>
      <c r="F15" s="424" t="s">
        <v>674</v>
      </c>
      <c r="G15" s="434">
        <v>45689</v>
      </c>
      <c r="H15" s="424" t="s">
        <v>675</v>
      </c>
      <c r="I15" s="418"/>
      <c r="J15" s="418"/>
      <c r="K15"/>
    </row>
    <row r="16" spans="1:11" x14ac:dyDescent="0.2">
      <c r="A16" s="418"/>
      <c r="B16" s="426" t="s">
        <v>577</v>
      </c>
      <c r="C16" s="428" t="s">
        <v>676</v>
      </c>
      <c r="D16" s="432" t="s">
        <v>676</v>
      </c>
      <c r="E16" s="432" t="s">
        <v>677</v>
      </c>
      <c r="F16" s="432" t="s">
        <v>676</v>
      </c>
      <c r="G16" s="432" t="s">
        <v>676</v>
      </c>
      <c r="H16" s="432" t="s">
        <v>676</v>
      </c>
      <c r="I16" s="418"/>
      <c r="J16" s="418"/>
      <c r="K16"/>
    </row>
    <row r="17" spans="1:11" x14ac:dyDescent="0.2">
      <c r="A17" s="418"/>
      <c r="B17" s="418"/>
      <c r="C17" s="418"/>
      <c r="D17" s="418"/>
      <c r="E17" s="418"/>
      <c r="F17" s="418"/>
      <c r="G17" s="418"/>
      <c r="H17" s="418"/>
      <c r="I17" s="418"/>
      <c r="J17" s="418"/>
      <c r="K17"/>
    </row>
    <row r="18" spans="1:11" x14ac:dyDescent="0.2">
      <c r="A18" s="418"/>
      <c r="B18" s="422" t="s">
        <v>632</v>
      </c>
      <c r="C18" s="423"/>
      <c r="D18" s="423"/>
      <c r="E18" s="423"/>
      <c r="F18" s="423"/>
      <c r="G18" s="423"/>
      <c r="H18" s="423"/>
      <c r="I18" s="418"/>
      <c r="J18" s="418"/>
      <c r="K18"/>
    </row>
    <row r="19" spans="1:11" x14ac:dyDescent="0.2">
      <c r="A19" s="418"/>
      <c r="B19" s="90" t="s">
        <v>555</v>
      </c>
      <c r="C19" s="418" t="s">
        <v>633</v>
      </c>
      <c r="D19" s="91" t="s">
        <v>556</v>
      </c>
      <c r="E19" s="90" t="s">
        <v>634</v>
      </c>
      <c r="F19" s="90" t="s">
        <v>557</v>
      </c>
      <c r="G19" s="91" t="s">
        <v>581</v>
      </c>
      <c r="H19" s="91"/>
      <c r="I19" s="418"/>
      <c r="J19" s="418"/>
      <c r="K19"/>
    </row>
    <row r="20" spans="1:11" ht="45" x14ac:dyDescent="0.2">
      <c r="A20" s="418"/>
      <c r="B20" s="438" t="s">
        <v>427</v>
      </c>
      <c r="C20" s="435">
        <v>4.0500000000000001E-2</v>
      </c>
      <c r="D20" s="436" t="s">
        <v>678</v>
      </c>
      <c r="E20" s="424" t="s">
        <v>679</v>
      </c>
      <c r="F20" s="433" t="s">
        <v>744</v>
      </c>
      <c r="G20" s="431" t="s">
        <v>680</v>
      </c>
      <c r="H20" s="429"/>
      <c r="I20" s="418"/>
      <c r="J20" s="418"/>
      <c r="K20"/>
    </row>
    <row r="21" spans="1:11" ht="75" x14ac:dyDescent="0.2">
      <c r="A21" s="418"/>
      <c r="B21" s="437" t="s">
        <v>558</v>
      </c>
      <c r="C21" s="435">
        <v>4.4600000000000001E-2</v>
      </c>
      <c r="D21" s="436" t="s">
        <v>681</v>
      </c>
      <c r="E21" s="424" t="s">
        <v>682</v>
      </c>
      <c r="F21" s="433" t="s">
        <v>744</v>
      </c>
      <c r="G21" s="431" t="s">
        <v>571</v>
      </c>
      <c r="H21" s="429"/>
      <c r="I21" s="418"/>
      <c r="J21" s="418"/>
    </row>
    <row r="22" spans="1:11" x14ac:dyDescent="0.2">
      <c r="A22" s="418"/>
      <c r="B22" s="424" t="s">
        <v>559</v>
      </c>
      <c r="C22" s="418" t="s">
        <v>683</v>
      </c>
      <c r="D22" s="431" t="s">
        <v>684</v>
      </c>
      <c r="E22" s="424" t="s">
        <v>685</v>
      </c>
      <c r="F22" s="433" t="s">
        <v>744</v>
      </c>
      <c r="G22" s="431" t="s">
        <v>571</v>
      </c>
      <c r="H22" s="429"/>
      <c r="I22" s="418"/>
      <c r="J22" s="418"/>
    </row>
    <row r="23" spans="1:11" x14ac:dyDescent="0.2">
      <c r="A23" s="418"/>
      <c r="B23" s="424" t="s">
        <v>605</v>
      </c>
      <c r="C23" s="435">
        <v>2.5000000000000001E-2</v>
      </c>
      <c r="D23" s="431" t="s">
        <v>686</v>
      </c>
      <c r="E23" s="424" t="s">
        <v>687</v>
      </c>
      <c r="F23" s="424" t="s">
        <v>688</v>
      </c>
      <c r="G23" s="431" t="s">
        <v>573</v>
      </c>
      <c r="H23" s="429"/>
      <c r="I23" s="418"/>
      <c r="J23" s="418"/>
    </row>
    <row r="24" spans="1:11" x14ac:dyDescent="0.2">
      <c r="A24" s="418"/>
      <c r="B24" s="424" t="s">
        <v>560</v>
      </c>
      <c r="C24" s="418" t="s">
        <v>689</v>
      </c>
      <c r="D24" s="431" t="s">
        <v>690</v>
      </c>
      <c r="E24" s="424" t="s">
        <v>691</v>
      </c>
      <c r="F24" s="424" t="s">
        <v>692</v>
      </c>
      <c r="G24" s="418" t="s">
        <v>693</v>
      </c>
      <c r="H24" s="429"/>
      <c r="I24" s="418"/>
      <c r="J24" s="418"/>
    </row>
    <row r="25" spans="1:11" x14ac:dyDescent="0.2">
      <c r="A25" s="418"/>
      <c r="B25" s="424" t="s">
        <v>635</v>
      </c>
      <c r="C25" s="418" t="s">
        <v>185</v>
      </c>
      <c r="D25" s="431" t="s">
        <v>694</v>
      </c>
      <c r="E25" s="424" t="s">
        <v>46</v>
      </c>
      <c r="F25" s="424" t="s">
        <v>185</v>
      </c>
      <c r="G25" s="431" t="s">
        <v>573</v>
      </c>
      <c r="H25" s="429"/>
      <c r="I25" s="418"/>
      <c r="J25" s="418"/>
    </row>
    <row r="26" spans="1:11" x14ac:dyDescent="0.2">
      <c r="A26" s="418"/>
      <c r="B26" s="424" t="s">
        <v>636</v>
      </c>
      <c r="C26" s="418" t="s">
        <v>185</v>
      </c>
      <c r="D26" s="431" t="s">
        <v>695</v>
      </c>
      <c r="E26" s="424" t="s">
        <v>657</v>
      </c>
      <c r="F26" s="433" t="s">
        <v>744</v>
      </c>
      <c r="G26" s="431" t="s">
        <v>572</v>
      </c>
      <c r="H26" s="429"/>
      <c r="I26" s="418"/>
      <c r="J26" s="418"/>
    </row>
    <row r="27" spans="1:11" x14ac:dyDescent="0.2">
      <c r="A27" s="418"/>
      <c r="B27" s="424" t="s">
        <v>637</v>
      </c>
      <c r="C27" s="418" t="s">
        <v>185</v>
      </c>
      <c r="D27" s="431" t="s">
        <v>696</v>
      </c>
      <c r="E27" s="424" t="s">
        <v>657</v>
      </c>
      <c r="F27" s="433" t="s">
        <v>744</v>
      </c>
      <c r="G27" s="431" t="s">
        <v>572</v>
      </c>
      <c r="H27" s="429"/>
      <c r="I27" s="418"/>
      <c r="J27" s="418"/>
    </row>
    <row r="28" spans="1:11" x14ac:dyDescent="0.2">
      <c r="A28" s="418"/>
      <c r="B28" s="428" t="s">
        <v>562</v>
      </c>
      <c r="C28" s="432" t="s">
        <v>676</v>
      </c>
      <c r="D28" s="432" t="s">
        <v>676</v>
      </c>
      <c r="E28" s="432" t="s">
        <v>676</v>
      </c>
      <c r="F28" s="432" t="s">
        <v>676</v>
      </c>
      <c r="G28" s="432" t="s">
        <v>676</v>
      </c>
      <c r="H28" s="418"/>
      <c r="I28" s="418"/>
      <c r="J28" s="418"/>
    </row>
    <row r="29" spans="1:11" x14ac:dyDescent="0.2">
      <c r="A29" s="418"/>
      <c r="B29" s="418"/>
      <c r="C29" s="418"/>
      <c r="D29" s="418"/>
      <c r="E29" s="418"/>
      <c r="F29" s="418"/>
      <c r="G29" s="418"/>
      <c r="H29" s="418"/>
      <c r="I29" s="418"/>
      <c r="J29" s="418"/>
    </row>
    <row r="30" spans="1:11" x14ac:dyDescent="0.2">
      <c r="A30" s="418"/>
      <c r="B30" s="422" t="s">
        <v>638</v>
      </c>
      <c r="C30" s="423"/>
      <c r="D30" s="423"/>
      <c r="E30" s="423"/>
      <c r="F30" s="423"/>
      <c r="G30" s="423"/>
      <c r="H30" s="423"/>
      <c r="I30" s="418"/>
      <c r="J30" s="418"/>
    </row>
    <row r="31" spans="1:11" x14ac:dyDescent="0.2">
      <c r="A31" s="418"/>
      <c r="B31" s="91" t="s">
        <v>578</v>
      </c>
      <c r="C31" s="90" t="s">
        <v>579</v>
      </c>
      <c r="D31" s="90" t="s">
        <v>580</v>
      </c>
      <c r="E31" s="91" t="s">
        <v>581</v>
      </c>
      <c r="F31" s="90" t="s">
        <v>582</v>
      </c>
      <c r="G31" s="418"/>
      <c r="H31" s="418"/>
      <c r="I31" s="418"/>
      <c r="J31" s="418"/>
    </row>
    <row r="32" spans="1:11" x14ac:dyDescent="0.2">
      <c r="A32" s="418"/>
      <c r="B32" s="426" t="s">
        <v>583</v>
      </c>
      <c r="C32" s="424" t="s">
        <v>697</v>
      </c>
      <c r="D32" s="424" t="s">
        <v>698</v>
      </c>
      <c r="E32" s="431" t="s">
        <v>571</v>
      </c>
      <c r="F32" s="424" t="s">
        <v>699</v>
      </c>
      <c r="G32" s="418"/>
      <c r="H32" s="418"/>
      <c r="I32" s="418"/>
      <c r="J32" s="418"/>
    </row>
    <row r="33" spans="1:10" x14ac:dyDescent="0.2">
      <c r="A33" s="418"/>
      <c r="B33" s="426" t="s">
        <v>584</v>
      </c>
      <c r="C33" s="424" t="s">
        <v>700</v>
      </c>
      <c r="D33" s="424" t="s">
        <v>701</v>
      </c>
      <c r="E33" s="431" t="s">
        <v>568</v>
      </c>
      <c r="F33" s="424" t="s">
        <v>702</v>
      </c>
      <c r="G33" s="418"/>
      <c r="H33" s="418"/>
      <c r="I33" s="418"/>
      <c r="J33" s="418"/>
    </row>
    <row r="34" spans="1:10" x14ac:dyDescent="0.2">
      <c r="A34" s="418"/>
      <c r="B34" s="426" t="s">
        <v>585</v>
      </c>
      <c r="C34" s="424" t="s">
        <v>703</v>
      </c>
      <c r="D34" s="424" t="s">
        <v>704</v>
      </c>
      <c r="E34" s="431" t="s">
        <v>693</v>
      </c>
      <c r="F34" s="424" t="s">
        <v>705</v>
      </c>
      <c r="G34" s="418"/>
      <c r="H34" s="418"/>
      <c r="I34" s="418"/>
      <c r="J34" s="418"/>
    </row>
    <row r="35" spans="1:10" x14ac:dyDescent="0.2">
      <c r="A35" s="418"/>
      <c r="B35" s="426" t="s">
        <v>586</v>
      </c>
      <c r="C35" s="424" t="s">
        <v>706</v>
      </c>
      <c r="D35" s="424" t="s">
        <v>707</v>
      </c>
      <c r="E35" s="431" t="s">
        <v>708</v>
      </c>
      <c r="F35" s="424" t="s">
        <v>709</v>
      </c>
      <c r="G35" s="418"/>
      <c r="H35" s="418"/>
      <c r="I35" s="418"/>
      <c r="J35" s="418"/>
    </row>
    <row r="36" spans="1:10" x14ac:dyDescent="0.2">
      <c r="A36" s="418"/>
      <c r="B36" s="426" t="s">
        <v>587</v>
      </c>
      <c r="C36" s="424" t="s">
        <v>710</v>
      </c>
      <c r="D36" s="424" t="s">
        <v>711</v>
      </c>
      <c r="E36" s="431" t="s">
        <v>573</v>
      </c>
      <c r="F36" s="424" t="s">
        <v>712</v>
      </c>
      <c r="G36" s="418"/>
      <c r="H36" s="418"/>
      <c r="I36" s="418"/>
      <c r="J36" s="418"/>
    </row>
    <row r="37" spans="1:10" x14ac:dyDescent="0.2">
      <c r="A37" s="418"/>
      <c r="B37" s="426" t="s">
        <v>588</v>
      </c>
      <c r="C37" s="424" t="s">
        <v>713</v>
      </c>
      <c r="D37" s="424" t="s">
        <v>714</v>
      </c>
      <c r="E37" s="431" t="s">
        <v>568</v>
      </c>
      <c r="F37" s="424" t="s">
        <v>715</v>
      </c>
      <c r="G37" s="418"/>
      <c r="H37" s="418"/>
      <c r="I37" s="418"/>
      <c r="J37" s="418"/>
    </row>
    <row r="38" spans="1:10" x14ac:dyDescent="0.2">
      <c r="A38" s="418"/>
      <c r="B38" s="426" t="s">
        <v>589</v>
      </c>
      <c r="C38" s="424" t="s">
        <v>716</v>
      </c>
      <c r="D38" s="424" t="s">
        <v>717</v>
      </c>
      <c r="E38" s="431" t="s">
        <v>573</v>
      </c>
      <c r="F38" s="424" t="s">
        <v>718</v>
      </c>
      <c r="G38" s="418"/>
      <c r="H38" s="418"/>
      <c r="I38" s="418"/>
      <c r="J38" s="418"/>
    </row>
    <row r="39" spans="1:10" x14ac:dyDescent="0.2">
      <c r="A39" s="418"/>
      <c r="B39" s="426" t="s">
        <v>590</v>
      </c>
      <c r="C39" s="424" t="s">
        <v>719</v>
      </c>
      <c r="D39" s="424" t="s">
        <v>720</v>
      </c>
      <c r="E39" s="431" t="s">
        <v>573</v>
      </c>
      <c r="F39" s="424" t="s">
        <v>721</v>
      </c>
      <c r="G39" s="418"/>
      <c r="H39" s="418"/>
      <c r="I39" s="418"/>
      <c r="J39" s="418"/>
    </row>
    <row r="40" spans="1:10" x14ac:dyDescent="0.2">
      <c r="A40" s="418"/>
      <c r="B40" s="426" t="s">
        <v>591</v>
      </c>
      <c r="C40" s="424" t="s">
        <v>722</v>
      </c>
      <c r="D40" s="424" t="s">
        <v>723</v>
      </c>
      <c r="E40" s="431" t="s">
        <v>680</v>
      </c>
      <c r="F40" s="424" t="s">
        <v>724</v>
      </c>
      <c r="G40" s="418"/>
      <c r="H40" s="418"/>
      <c r="I40" s="418"/>
      <c r="J40" s="418"/>
    </row>
    <row r="41" spans="1:10" x14ac:dyDescent="0.2">
      <c r="A41" s="418"/>
      <c r="B41" s="426" t="s">
        <v>592</v>
      </c>
      <c r="C41" s="428" t="s">
        <v>676</v>
      </c>
      <c r="D41" s="432" t="s">
        <v>725</v>
      </c>
      <c r="E41" s="432" t="s">
        <v>676</v>
      </c>
      <c r="F41" s="432" t="s">
        <v>676</v>
      </c>
      <c r="G41" s="418"/>
      <c r="H41" s="418"/>
      <c r="I41" s="418"/>
      <c r="J41" s="418"/>
    </row>
    <row r="42" spans="1:10" x14ac:dyDescent="0.2">
      <c r="A42" s="418"/>
      <c r="B42" s="418"/>
      <c r="C42" s="418"/>
      <c r="D42" s="418"/>
      <c r="E42" s="418"/>
      <c r="F42" s="418"/>
      <c r="G42" s="418"/>
      <c r="H42" s="418"/>
      <c r="I42" s="418"/>
      <c r="J42" s="418"/>
    </row>
    <row r="43" spans="1:10" x14ac:dyDescent="0.2">
      <c r="A43" s="418"/>
      <c r="B43" s="422" t="s">
        <v>639</v>
      </c>
      <c r="C43" s="423"/>
      <c r="D43" s="423"/>
      <c r="E43" s="423"/>
      <c r="F43" s="423"/>
      <c r="G43" s="423"/>
      <c r="H43" s="423"/>
      <c r="I43" s="418"/>
      <c r="J43" s="418"/>
    </row>
    <row r="44" spans="1:10" x14ac:dyDescent="0.2">
      <c r="A44" s="418"/>
      <c r="B44" s="90" t="s">
        <v>593</v>
      </c>
      <c r="C44" s="90" t="s">
        <v>594</v>
      </c>
      <c r="D44" s="90" t="s">
        <v>595</v>
      </c>
      <c r="E44" s="418"/>
      <c r="F44" s="418"/>
      <c r="G44" s="418"/>
      <c r="H44" s="418"/>
      <c r="I44" s="418"/>
      <c r="J44" s="418"/>
    </row>
    <row r="45" spans="1:10" x14ac:dyDescent="0.2">
      <c r="A45" s="418"/>
      <c r="B45" s="425" t="s">
        <v>596</v>
      </c>
      <c r="C45" s="424" t="s">
        <v>726</v>
      </c>
      <c r="D45" s="424" t="s">
        <v>20</v>
      </c>
      <c r="E45" s="418"/>
      <c r="F45" s="418"/>
      <c r="G45" s="418"/>
      <c r="H45" s="418"/>
      <c r="I45" s="418"/>
      <c r="J45" s="418"/>
    </row>
    <row r="46" spans="1:10" x14ac:dyDescent="0.2">
      <c r="A46" s="418"/>
      <c r="B46" s="425" t="s">
        <v>597</v>
      </c>
      <c r="C46" s="424" t="s">
        <v>727</v>
      </c>
      <c r="D46" s="424" t="s">
        <v>20</v>
      </c>
      <c r="E46" s="418"/>
      <c r="F46" s="418"/>
      <c r="G46" s="418"/>
      <c r="H46" s="418"/>
      <c r="I46" s="418"/>
      <c r="J46" s="418"/>
    </row>
    <row r="47" spans="1:10" x14ac:dyDescent="0.2">
      <c r="A47" s="418"/>
      <c r="B47" s="425" t="s">
        <v>598</v>
      </c>
      <c r="C47" s="424" t="s">
        <v>728</v>
      </c>
      <c r="D47" s="424" t="s">
        <v>729</v>
      </c>
      <c r="E47" s="418"/>
      <c r="F47" s="418"/>
      <c r="G47" s="418"/>
      <c r="H47" s="418"/>
      <c r="I47" s="418"/>
      <c r="J47" s="418"/>
    </row>
    <row r="48" spans="1:10" x14ac:dyDescent="0.2">
      <c r="A48" s="418"/>
      <c r="B48" s="425" t="s">
        <v>599</v>
      </c>
      <c r="C48" s="424" t="s">
        <v>730</v>
      </c>
      <c r="D48" s="424" t="s">
        <v>731</v>
      </c>
      <c r="E48" s="418"/>
      <c r="F48" s="418"/>
      <c r="G48" s="418"/>
      <c r="H48" s="418"/>
      <c r="I48" s="418"/>
      <c r="J48" s="418"/>
    </row>
    <row r="49" spans="1:10" x14ac:dyDescent="0.2">
      <c r="A49" s="418"/>
      <c r="B49" s="425" t="s">
        <v>600</v>
      </c>
      <c r="C49" s="424" t="s">
        <v>732</v>
      </c>
      <c r="D49" s="424" t="s">
        <v>48</v>
      </c>
      <c r="E49" s="418"/>
      <c r="F49" s="418"/>
      <c r="G49" s="418"/>
      <c r="H49" s="418"/>
      <c r="I49" s="418"/>
      <c r="J49" s="418"/>
    </row>
    <row r="50" spans="1:10" x14ac:dyDescent="0.2">
      <c r="A50" s="418"/>
      <c r="B50" s="425" t="s">
        <v>601</v>
      </c>
      <c r="C50" s="424" t="s">
        <v>733</v>
      </c>
      <c r="D50" s="424" t="s">
        <v>48</v>
      </c>
      <c r="E50" s="418"/>
      <c r="F50" s="418"/>
      <c r="G50" s="418"/>
      <c r="H50" s="418"/>
      <c r="I50" s="418"/>
      <c r="J50" s="418"/>
    </row>
    <row r="51" spans="1:10" x14ac:dyDescent="0.2">
      <c r="A51" s="418"/>
      <c r="B51" s="425" t="s">
        <v>602</v>
      </c>
      <c r="C51" s="424" t="s">
        <v>734</v>
      </c>
      <c r="D51" s="424" t="s">
        <v>20</v>
      </c>
      <c r="E51" s="418"/>
      <c r="F51" s="418"/>
      <c r="G51" s="418"/>
      <c r="H51" s="418"/>
      <c r="I51" s="418"/>
      <c r="J51" s="418"/>
    </row>
    <row r="52" spans="1:10" x14ac:dyDescent="0.2">
      <c r="A52" s="418"/>
      <c r="B52" s="425" t="s">
        <v>603</v>
      </c>
      <c r="C52" s="424" t="s">
        <v>735</v>
      </c>
      <c r="D52" s="424" t="s">
        <v>43</v>
      </c>
      <c r="E52" s="418"/>
      <c r="F52" s="418"/>
      <c r="G52" s="418"/>
      <c r="H52" s="418"/>
      <c r="I52" s="418"/>
      <c r="J52" s="418"/>
    </row>
    <row r="53" spans="1:10" x14ac:dyDescent="0.2">
      <c r="A53" s="418"/>
      <c r="B53" s="425" t="s">
        <v>507</v>
      </c>
      <c r="C53" s="424" t="s">
        <v>736</v>
      </c>
      <c r="D53" s="424" t="s">
        <v>737</v>
      </c>
      <c r="E53" s="418"/>
      <c r="F53" s="418"/>
      <c r="G53" s="418"/>
      <c r="H53" s="418"/>
      <c r="I53" s="418"/>
      <c r="J53" s="418"/>
    </row>
    <row r="54" spans="1:10" x14ac:dyDescent="0.2">
      <c r="A54" s="418"/>
      <c r="B54" s="425" t="s">
        <v>604</v>
      </c>
      <c r="C54" s="424" t="s">
        <v>738</v>
      </c>
      <c r="D54" s="424" t="s">
        <v>739</v>
      </c>
      <c r="E54" s="418"/>
      <c r="F54" s="418"/>
      <c r="G54" s="418"/>
      <c r="H54" s="418"/>
      <c r="I54" s="418"/>
      <c r="J54" s="418"/>
    </row>
    <row r="55" spans="1:10" x14ac:dyDescent="0.2">
      <c r="A55" s="418"/>
      <c r="B55" s="418"/>
      <c r="C55" s="418"/>
      <c r="D55" s="418"/>
      <c r="E55" s="418"/>
      <c r="F55" s="418"/>
      <c r="G55" s="418"/>
      <c r="H55" s="418"/>
      <c r="I55" s="418"/>
      <c r="J55" s="418"/>
    </row>
    <row r="56" spans="1:10" x14ac:dyDescent="0.2">
      <c r="A56" s="418"/>
      <c r="B56" s="422" t="s">
        <v>606</v>
      </c>
      <c r="C56" s="423"/>
      <c r="D56" s="423"/>
      <c r="E56" s="423"/>
      <c r="F56" s="423"/>
      <c r="G56" s="423"/>
      <c r="H56" s="423"/>
      <c r="I56" s="418"/>
      <c r="J56" s="418"/>
    </row>
    <row r="57" spans="1:10" x14ac:dyDescent="0.2">
      <c r="A57" s="418"/>
      <c r="B57" s="91" t="s">
        <v>607</v>
      </c>
      <c r="C57" s="91" t="s">
        <v>608</v>
      </c>
      <c r="D57" s="91" t="s">
        <v>609</v>
      </c>
      <c r="E57" s="90" t="s">
        <v>610</v>
      </c>
      <c r="F57" s="90" t="s">
        <v>611</v>
      </c>
      <c r="G57" s="418"/>
      <c r="H57" s="418"/>
      <c r="I57" s="418"/>
      <c r="J57" s="418"/>
    </row>
    <row r="58" spans="1:10" x14ac:dyDescent="0.2">
      <c r="A58" s="418"/>
      <c r="B58" s="426" t="s">
        <v>612</v>
      </c>
      <c r="C58" s="434">
        <v>45689</v>
      </c>
      <c r="D58" s="431" t="s">
        <v>708</v>
      </c>
      <c r="E58" s="424" t="s">
        <v>740</v>
      </c>
      <c r="F58" s="424" t="s">
        <v>741</v>
      </c>
      <c r="G58" s="418"/>
      <c r="H58" s="418"/>
      <c r="I58" s="418"/>
      <c r="J58" s="418"/>
    </row>
    <row r="59" spans="1:10" x14ac:dyDescent="0.2">
      <c r="A59" s="418"/>
      <c r="B59" s="426" t="s">
        <v>613</v>
      </c>
      <c r="C59" s="429" t="s">
        <v>676</v>
      </c>
      <c r="D59" s="429" t="s">
        <v>676</v>
      </c>
      <c r="E59" s="428" t="s">
        <v>614</v>
      </c>
      <c r="F59" s="428" t="s">
        <v>676</v>
      </c>
      <c r="G59" s="418"/>
      <c r="H59" s="418"/>
      <c r="I59" s="418"/>
      <c r="J59" s="418"/>
    </row>
    <row r="60" spans="1:10" x14ac:dyDescent="0.2">
      <c r="A60" s="418"/>
      <c r="B60" s="426" t="s">
        <v>615</v>
      </c>
      <c r="C60" s="429" t="s">
        <v>676</v>
      </c>
      <c r="D60" s="429" t="s">
        <v>676</v>
      </c>
      <c r="E60" s="428" t="s">
        <v>742</v>
      </c>
      <c r="F60" s="428" t="s">
        <v>676</v>
      </c>
      <c r="G60" s="418"/>
      <c r="H60" s="418"/>
      <c r="I60" s="418"/>
      <c r="J60" s="418"/>
    </row>
    <row r="61" spans="1:10" x14ac:dyDescent="0.2">
      <c r="A61" s="418"/>
      <c r="B61" s="426" t="s">
        <v>616</v>
      </c>
      <c r="C61" s="429" t="s">
        <v>676</v>
      </c>
      <c r="D61" s="429" t="s">
        <v>676</v>
      </c>
      <c r="E61" s="428" t="s">
        <v>743</v>
      </c>
      <c r="F61" s="428" t="s">
        <v>676</v>
      </c>
      <c r="G61" s="418"/>
      <c r="H61" s="418"/>
      <c r="I61" s="418"/>
      <c r="J61" s="418"/>
    </row>
    <row r="62" spans="1:10" x14ac:dyDescent="0.2">
      <c r="A62" s="418"/>
      <c r="B62" s="426" t="s">
        <v>617</v>
      </c>
      <c r="C62" s="429" t="s">
        <v>676</v>
      </c>
      <c r="D62" s="429" t="s">
        <v>676</v>
      </c>
      <c r="E62" s="428" t="s">
        <v>618</v>
      </c>
      <c r="F62" s="428" t="s">
        <v>676</v>
      </c>
      <c r="G62" s="418"/>
      <c r="H62" s="418"/>
      <c r="I62" s="418"/>
      <c r="J62" s="418"/>
    </row>
    <row r="63" spans="1:10" x14ac:dyDescent="0.2">
      <c r="A63" s="418"/>
      <c r="B63" s="426" t="s">
        <v>619</v>
      </c>
      <c r="C63" s="429" t="s">
        <v>676</v>
      </c>
      <c r="D63" s="429" t="s">
        <v>676</v>
      </c>
      <c r="E63" s="428" t="s">
        <v>618</v>
      </c>
      <c r="F63" s="428" t="s">
        <v>676</v>
      </c>
      <c r="G63" s="418"/>
      <c r="H63" s="418"/>
      <c r="I63" s="418"/>
      <c r="J63" s="418"/>
    </row>
    <row r="64" spans="1:10" x14ac:dyDescent="0.2">
      <c r="A64" s="418"/>
      <c r="B64" s="429" t="s">
        <v>640</v>
      </c>
      <c r="C64" s="418" t="s">
        <v>676</v>
      </c>
      <c r="D64" s="418" t="s">
        <v>676</v>
      </c>
      <c r="E64" s="418" t="s">
        <v>640</v>
      </c>
      <c r="F64" s="418" t="s">
        <v>676</v>
      </c>
      <c r="G64" s="418"/>
      <c r="H64" s="418"/>
      <c r="I64" s="418"/>
      <c r="J64" s="418"/>
    </row>
    <row r="65" spans="1:10" x14ac:dyDescent="0.2">
      <c r="A65" s="418"/>
      <c r="B65" s="418"/>
      <c r="C65" s="418"/>
      <c r="D65" s="418"/>
      <c r="E65" s="418"/>
      <c r="F65" s="418"/>
      <c r="G65" s="418"/>
      <c r="H65" s="418"/>
      <c r="I65" s="418"/>
      <c r="J65" s="418"/>
    </row>
    <row r="66" spans="1:10" x14ac:dyDescent="0.2">
      <c r="A66" s="418"/>
      <c r="B66" s="422" t="s">
        <v>620</v>
      </c>
      <c r="C66" s="423"/>
      <c r="D66" s="423"/>
      <c r="E66" s="423"/>
      <c r="F66" s="423"/>
      <c r="G66" s="423"/>
      <c r="H66" s="423"/>
      <c r="I66" s="418"/>
      <c r="J66" s="418"/>
    </row>
    <row r="67" spans="1:10" x14ac:dyDescent="0.2">
      <c r="A67" s="418"/>
      <c r="B67" s="430" t="s">
        <v>621</v>
      </c>
      <c r="C67" s="418"/>
      <c r="D67" s="418"/>
      <c r="E67" s="418"/>
      <c r="F67" s="418"/>
      <c r="G67" s="418"/>
      <c r="H67" s="418"/>
      <c r="I67" s="418"/>
      <c r="J67" s="418"/>
    </row>
    <row r="68" spans="1:10" x14ac:dyDescent="0.2">
      <c r="A68" s="418"/>
      <c r="B68" s="427" t="s">
        <v>622</v>
      </c>
      <c r="C68" s="418"/>
      <c r="D68" s="418"/>
      <c r="E68" s="418"/>
      <c r="F68" s="418"/>
      <c r="G68" s="418"/>
      <c r="H68" s="418"/>
      <c r="I68" s="418"/>
      <c r="J68" s="418"/>
    </row>
    <row r="69" spans="1:10" x14ac:dyDescent="0.2">
      <c r="A69" s="418"/>
      <c r="B69" s="427" t="s">
        <v>623</v>
      </c>
      <c r="C69" s="418"/>
      <c r="D69" s="418"/>
      <c r="E69" s="418"/>
      <c r="F69" s="418"/>
      <c r="G69" s="418"/>
      <c r="H69" s="418"/>
      <c r="I69" s="418"/>
      <c r="J69" s="418"/>
    </row>
    <row r="70" spans="1:10" x14ac:dyDescent="0.2">
      <c r="A70" s="418"/>
      <c r="B70" s="427" t="s">
        <v>624</v>
      </c>
      <c r="C70" s="418"/>
      <c r="D70" s="418"/>
      <c r="E70" s="418"/>
      <c r="F70" s="418"/>
      <c r="G70" s="418"/>
      <c r="H70" s="418"/>
      <c r="I70" s="418"/>
      <c r="J70" s="418"/>
    </row>
    <row r="71" spans="1:10" x14ac:dyDescent="0.2">
      <c r="A71" s="418"/>
      <c r="B71" s="427" t="s">
        <v>625</v>
      </c>
      <c r="C71" s="418"/>
      <c r="D71" s="418"/>
      <c r="E71" s="418"/>
      <c r="F71" s="418"/>
      <c r="G71" s="418"/>
      <c r="H71" s="418"/>
      <c r="I71" s="418"/>
      <c r="J71" s="418"/>
    </row>
    <row r="72" spans="1:10" x14ac:dyDescent="0.2">
      <c r="A72" s="418"/>
      <c r="B72" s="427" t="s">
        <v>626</v>
      </c>
      <c r="C72" s="418"/>
      <c r="D72" s="418"/>
      <c r="E72" s="418"/>
      <c r="F72" s="418"/>
      <c r="G72" s="418"/>
      <c r="H72" s="418"/>
      <c r="I72" s="418"/>
      <c r="J72" s="418"/>
    </row>
    <row r="73" spans="1:10" x14ac:dyDescent="0.2">
      <c r="A73" s="418"/>
      <c r="B73" s="427" t="s">
        <v>627</v>
      </c>
      <c r="C73" s="418"/>
      <c r="D73" s="418"/>
      <c r="E73" s="418"/>
      <c r="F73" s="418"/>
      <c r="G73" s="418"/>
      <c r="H73" s="418"/>
      <c r="I73" s="418"/>
      <c r="J73" s="418"/>
    </row>
    <row r="74" spans="1:10" x14ac:dyDescent="0.2">
      <c r="A74" s="418"/>
      <c r="B74" s="427" t="s">
        <v>628</v>
      </c>
      <c r="C74" s="418"/>
      <c r="D74" s="418"/>
      <c r="E74" s="418"/>
      <c r="F74" s="418"/>
      <c r="G74" s="418"/>
      <c r="H74" s="418"/>
      <c r="I74" s="418"/>
      <c r="J74" s="418"/>
    </row>
    <row r="75" spans="1:10" x14ac:dyDescent="0.2">
      <c r="A75" s="418"/>
      <c r="B75" s="418"/>
      <c r="C75" s="418"/>
      <c r="D75" s="418"/>
      <c r="E75" s="418"/>
      <c r="F75" s="418"/>
      <c r="G75" s="418"/>
      <c r="H75" s="418"/>
      <c r="I75" s="418"/>
      <c r="J75" s="418"/>
    </row>
    <row r="76" spans="1:10" x14ac:dyDescent="0.2">
      <c r="A76" s="418"/>
      <c r="B76" s="418"/>
      <c r="C76" s="418"/>
      <c r="D76" s="418"/>
      <c r="E76" s="418"/>
      <c r="F76" s="418"/>
      <c r="G76" s="418"/>
      <c r="H76" s="418"/>
      <c r="I76" s="418"/>
      <c r="J76" s="418"/>
    </row>
    <row r="77" spans="1:10" x14ac:dyDescent="0.2">
      <c r="A77" s="418"/>
      <c r="B77" s="418"/>
      <c r="C77" s="418"/>
      <c r="D77" s="418"/>
      <c r="E77" s="418"/>
      <c r="F77" s="418"/>
      <c r="G77" s="418"/>
      <c r="H77" s="418"/>
      <c r="I77" s="418"/>
      <c r="J77" s="418"/>
    </row>
    <row r="78" spans="1:10" x14ac:dyDescent="0.2">
      <c r="A78" s="418"/>
      <c r="B78" s="418"/>
      <c r="C78" s="418"/>
      <c r="D78" s="418"/>
      <c r="E78" s="418"/>
      <c r="F78" s="418"/>
      <c r="G78" s="418"/>
      <c r="H78" s="418"/>
      <c r="I78" s="418"/>
      <c r="J78" s="418"/>
    </row>
    <row r="79" spans="1:10" x14ac:dyDescent="0.2">
      <c r="A79" s="418"/>
      <c r="B79" s="418"/>
      <c r="C79" s="418"/>
      <c r="D79" s="418"/>
      <c r="E79" s="418"/>
      <c r="F79" s="418"/>
      <c r="G79" s="418"/>
      <c r="H79" s="418"/>
      <c r="I79" s="418"/>
      <c r="J79" s="418"/>
    </row>
    <row r="80" spans="1:10" x14ac:dyDescent="0.2">
      <c r="A80" s="418"/>
      <c r="B80" s="418"/>
      <c r="C80" s="418"/>
      <c r="D80" s="418"/>
      <c r="E80" s="418"/>
      <c r="F80" s="418"/>
      <c r="G80" s="418"/>
      <c r="H80" s="418"/>
      <c r="I80" s="418"/>
      <c r="J80" s="418"/>
    </row>
    <row r="81" spans="1:10" x14ac:dyDescent="0.2">
      <c r="A81" s="418"/>
      <c r="B81" s="418"/>
      <c r="C81" s="418"/>
      <c r="D81" s="418"/>
      <c r="E81" s="418"/>
      <c r="F81" s="418"/>
      <c r="G81" s="418"/>
      <c r="H81" s="418"/>
      <c r="I81" s="418"/>
      <c r="J81" s="418"/>
    </row>
    <row r="82" spans="1:10" x14ac:dyDescent="0.2">
      <c r="A82" s="418"/>
      <c r="B82" s="418"/>
      <c r="C82" s="418"/>
      <c r="D82" s="418"/>
      <c r="E82" s="418"/>
      <c r="F82" s="418"/>
      <c r="G82" s="418"/>
      <c r="H82" s="418"/>
      <c r="I82" s="418"/>
      <c r="J82" s="418"/>
    </row>
    <row r="83" spans="1:10" x14ac:dyDescent="0.2">
      <c r="A83" s="418"/>
      <c r="B83" s="418"/>
      <c r="C83" s="418"/>
      <c r="D83" s="418"/>
      <c r="E83" s="418"/>
      <c r="F83" s="418"/>
      <c r="G83" s="418"/>
      <c r="H83" s="418"/>
      <c r="I83" s="418"/>
      <c r="J83" s="418"/>
    </row>
    <row r="84" spans="1:10" x14ac:dyDescent="0.2">
      <c r="A84" s="418"/>
      <c r="B84" s="418"/>
      <c r="C84" s="418"/>
      <c r="D84" s="418"/>
      <c r="E84" s="418"/>
      <c r="F84" s="418"/>
      <c r="G84" s="418"/>
      <c r="H84" s="418"/>
      <c r="I84" s="418"/>
      <c r="J84" s="418"/>
    </row>
    <row r="85" spans="1:10" x14ac:dyDescent="0.2">
      <c r="A85" s="418"/>
      <c r="B85" s="418"/>
      <c r="C85" s="418"/>
      <c r="D85" s="418"/>
      <c r="E85" s="418"/>
      <c r="F85" s="418"/>
      <c r="G85" s="418"/>
      <c r="H85" s="418"/>
      <c r="I85" s="418"/>
      <c r="J85" s="418"/>
    </row>
    <row r="86" spans="1:10" x14ac:dyDescent="0.2">
      <c r="A86" s="418"/>
      <c r="B86" s="418"/>
      <c r="C86" s="418"/>
      <c r="D86" s="418"/>
      <c r="E86" s="418"/>
      <c r="F86" s="418"/>
      <c r="G86" s="418"/>
      <c r="H86" s="418"/>
      <c r="I86" s="418"/>
      <c r="J86" s="418"/>
    </row>
    <row r="87" spans="1:10" x14ac:dyDescent="0.2">
      <c r="A87" s="418"/>
      <c r="B87" s="418"/>
      <c r="C87" s="418"/>
      <c r="D87" s="418"/>
      <c r="E87" s="418"/>
      <c r="F87" s="418"/>
      <c r="G87" s="418"/>
      <c r="H87" s="418"/>
      <c r="I87" s="418"/>
      <c r="J87" s="418"/>
    </row>
    <row r="88" spans="1:10" x14ac:dyDescent="0.2">
      <c r="A88" s="418"/>
      <c r="B88" s="418"/>
      <c r="C88" s="418"/>
      <c r="D88" s="418"/>
      <c r="E88" s="418"/>
      <c r="F88" s="418"/>
      <c r="G88" s="418"/>
      <c r="H88" s="418"/>
      <c r="I88" s="418"/>
      <c r="J88" s="418"/>
    </row>
    <row r="89" spans="1:10" x14ac:dyDescent="0.2">
      <c r="A89" s="418"/>
      <c r="B89" s="418"/>
      <c r="C89" s="418"/>
      <c r="D89" s="418"/>
      <c r="E89" s="418"/>
      <c r="F89" s="418"/>
      <c r="G89" s="418"/>
      <c r="H89" s="418"/>
      <c r="I89" s="418"/>
      <c r="J89" s="418"/>
    </row>
    <row r="90" spans="1:10" x14ac:dyDescent="0.2">
      <c r="A90" s="418"/>
      <c r="B90" s="418"/>
      <c r="C90" s="418"/>
      <c r="D90" s="418"/>
      <c r="E90" s="418"/>
      <c r="F90" s="418"/>
      <c r="G90" s="418"/>
      <c r="H90" s="418"/>
      <c r="I90" s="418"/>
      <c r="J90" s="418"/>
    </row>
    <row r="91" spans="1:10" x14ac:dyDescent="0.2">
      <c r="A91" s="418"/>
      <c r="B91" s="418"/>
      <c r="C91" s="418"/>
      <c r="D91" s="418"/>
      <c r="E91" s="418"/>
      <c r="F91" s="418"/>
      <c r="G91" s="418"/>
      <c r="H91" s="418"/>
      <c r="I91" s="418"/>
      <c r="J91" s="418"/>
    </row>
    <row r="92" spans="1:10" x14ac:dyDescent="0.2">
      <c r="A92" s="418"/>
      <c r="B92" s="418"/>
      <c r="C92" s="418"/>
      <c r="D92" s="418"/>
      <c r="E92" s="418"/>
      <c r="F92" s="418"/>
      <c r="G92" s="418"/>
      <c r="H92" s="418"/>
      <c r="I92" s="418"/>
      <c r="J92" s="418"/>
    </row>
    <row r="93" spans="1:10" x14ac:dyDescent="0.2">
      <c r="A93" s="418"/>
      <c r="B93" s="418"/>
      <c r="C93" s="418"/>
      <c r="D93" s="418"/>
      <c r="E93" s="418"/>
      <c r="F93" s="418"/>
      <c r="G93" s="418"/>
      <c r="H93" s="418"/>
      <c r="I93" s="418"/>
      <c r="J93" s="418"/>
    </row>
    <row r="94" spans="1:10" x14ac:dyDescent="0.2">
      <c r="A94" s="418"/>
      <c r="B94" s="418"/>
      <c r="C94" s="418"/>
      <c r="D94" s="418"/>
      <c r="E94" s="418"/>
      <c r="F94" s="418"/>
      <c r="G94" s="418"/>
      <c r="H94" s="418"/>
      <c r="I94" s="418"/>
      <c r="J94" s="418"/>
    </row>
    <row r="95" spans="1:10" x14ac:dyDescent="0.2">
      <c r="A95" s="418"/>
      <c r="B95" s="418"/>
      <c r="C95" s="418"/>
      <c r="D95" s="418"/>
      <c r="E95" s="418"/>
      <c r="F95" s="418"/>
      <c r="G95" s="418"/>
      <c r="H95" s="418"/>
      <c r="I95" s="418"/>
      <c r="J95" s="418"/>
    </row>
    <row r="96" spans="1:10" x14ac:dyDescent="0.2">
      <c r="A96" s="418"/>
      <c r="B96" s="418"/>
      <c r="C96" s="418"/>
      <c r="D96" s="418"/>
      <c r="E96" s="418"/>
      <c r="F96" s="418"/>
      <c r="G96" s="418"/>
      <c r="H96" s="418"/>
      <c r="I96" s="418"/>
      <c r="J96" s="418"/>
    </row>
    <row r="97" spans="1:10" x14ac:dyDescent="0.2">
      <c r="A97" s="418"/>
      <c r="B97" s="418"/>
      <c r="C97" s="418"/>
      <c r="D97" s="418"/>
      <c r="E97" s="418"/>
      <c r="F97" s="418"/>
      <c r="G97" s="418"/>
      <c r="H97" s="418"/>
      <c r="I97" s="418"/>
      <c r="J97" s="418"/>
    </row>
    <row r="98" spans="1:10" x14ac:dyDescent="0.2">
      <c r="A98" s="418"/>
      <c r="B98" s="418"/>
      <c r="C98" s="418"/>
      <c r="D98" s="418"/>
      <c r="E98" s="418"/>
      <c r="F98" s="418"/>
      <c r="G98" s="418"/>
      <c r="H98" s="418"/>
      <c r="I98" s="418"/>
      <c r="J98" s="418"/>
    </row>
    <row r="99" spans="1:10" x14ac:dyDescent="0.2">
      <c r="A99" s="418"/>
      <c r="B99" s="418"/>
      <c r="C99" s="418"/>
      <c r="D99" s="418"/>
      <c r="E99" s="418"/>
      <c r="F99" s="418"/>
      <c r="G99" s="418"/>
      <c r="H99" s="418"/>
      <c r="I99" s="418"/>
      <c r="J99" s="418"/>
    </row>
    <row r="100" spans="1:10" x14ac:dyDescent="0.2">
      <c r="A100" s="418"/>
      <c r="B100" s="418"/>
      <c r="C100" s="418"/>
      <c r="D100" s="418"/>
      <c r="E100" s="418"/>
      <c r="F100" s="418"/>
      <c r="G100" s="418"/>
      <c r="H100" s="418"/>
      <c r="I100" s="418"/>
      <c r="J100" s="4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6D4F-D3A5-DA48-A2B6-BCC7A9210167}">
  <dimension ref="A1:E38"/>
  <sheetViews>
    <sheetView workbookViewId="0"/>
  </sheetViews>
  <sheetFormatPr baseColWidth="10" defaultRowHeight="16" x14ac:dyDescent="0.2"/>
  <sheetData>
    <row r="1" spans="1:5" x14ac:dyDescent="0.2">
      <c r="A1" t="s">
        <v>316</v>
      </c>
      <c r="B1" t="s">
        <v>62</v>
      </c>
      <c r="C1" t="s">
        <v>68</v>
      </c>
      <c r="D1" t="s">
        <v>73</v>
      </c>
      <c r="E1" t="s">
        <v>160</v>
      </c>
    </row>
    <row r="2" spans="1:5" x14ac:dyDescent="0.2">
      <c r="A2" t="s">
        <v>58</v>
      </c>
      <c r="B2">
        <v>161.69999999999999</v>
      </c>
      <c r="C2">
        <v>-15.7</v>
      </c>
      <c r="D2">
        <v>-15.8</v>
      </c>
      <c r="E2">
        <v>13.7</v>
      </c>
    </row>
    <row r="3" spans="1:5" x14ac:dyDescent="0.2">
      <c r="A3" t="s">
        <v>59</v>
      </c>
      <c r="B3">
        <v>250.8</v>
      </c>
      <c r="C3">
        <v>-56.1</v>
      </c>
      <c r="D3">
        <v>-60.1</v>
      </c>
      <c r="E3">
        <v>3</v>
      </c>
    </row>
    <row r="4" spans="1:5" x14ac:dyDescent="0.2">
      <c r="A4" t="s">
        <v>60</v>
      </c>
      <c r="B4">
        <v>369.5</v>
      </c>
      <c r="C4">
        <v>-64.599999999999994</v>
      </c>
      <c r="D4">
        <v>-59.6</v>
      </c>
      <c r="E4">
        <v>43.5</v>
      </c>
    </row>
    <row r="5" spans="1:5" x14ac:dyDescent="0.2">
      <c r="A5" t="s">
        <v>61</v>
      </c>
      <c r="B5">
        <v>531.1</v>
      </c>
      <c r="C5">
        <v>-12.9</v>
      </c>
      <c r="D5">
        <v>16.100000000000001</v>
      </c>
      <c r="E5">
        <v>139.9</v>
      </c>
    </row>
    <row r="6" spans="1:5" x14ac:dyDescent="0.2">
      <c r="A6" t="s">
        <v>132</v>
      </c>
      <c r="B6">
        <v>748</v>
      </c>
      <c r="C6">
        <v>63.6</v>
      </c>
      <c r="D6">
        <v>88.6</v>
      </c>
      <c r="E6">
        <v>264.39999999999998</v>
      </c>
    </row>
    <row r="7" spans="1:5" x14ac:dyDescent="0.2">
      <c r="A7" t="s">
        <v>210</v>
      </c>
      <c r="B7">
        <v>1009.8</v>
      </c>
      <c r="C7">
        <v>110.7</v>
      </c>
      <c r="D7">
        <v>126.1</v>
      </c>
      <c r="E7">
        <v>328.5</v>
      </c>
    </row>
    <row r="8" spans="1:5" x14ac:dyDescent="0.2">
      <c r="A8" t="s">
        <v>211</v>
      </c>
      <c r="B8">
        <v>1312.8</v>
      </c>
      <c r="C8">
        <v>170.2</v>
      </c>
      <c r="D8">
        <v>184.4</v>
      </c>
      <c r="E8">
        <v>429.4</v>
      </c>
    </row>
    <row r="9" spans="1:5" x14ac:dyDescent="0.2">
      <c r="A9" t="s">
        <v>212</v>
      </c>
      <c r="B9">
        <v>1667.2</v>
      </c>
      <c r="C9">
        <v>249.5</v>
      </c>
      <c r="D9">
        <v>262.3</v>
      </c>
      <c r="E9">
        <v>565.4</v>
      </c>
    </row>
    <row r="10" spans="1:5" x14ac:dyDescent="0.2">
      <c r="A10" t="s">
        <v>213</v>
      </c>
      <c r="B10">
        <v>2067.4</v>
      </c>
      <c r="C10">
        <v>346.6</v>
      </c>
      <c r="D10">
        <v>357.4</v>
      </c>
      <c r="E10">
        <v>723.8</v>
      </c>
    </row>
    <row r="11" spans="1:5" x14ac:dyDescent="0.2">
      <c r="A11" t="s">
        <v>214</v>
      </c>
      <c r="B11">
        <v>2522.1999999999998</v>
      </c>
      <c r="C11">
        <v>465.7</v>
      </c>
      <c r="D11">
        <v>473</v>
      </c>
      <c r="E11">
        <v>912.4</v>
      </c>
    </row>
    <row r="14" spans="1:5" x14ac:dyDescent="0.2">
      <c r="A14" t="s">
        <v>316</v>
      </c>
      <c r="B14" t="s">
        <v>748</v>
      </c>
      <c r="C14" t="s">
        <v>485</v>
      </c>
      <c r="D14" t="s">
        <v>749</v>
      </c>
      <c r="E14" t="s">
        <v>750</v>
      </c>
    </row>
    <row r="15" spans="1:5" x14ac:dyDescent="0.2">
      <c r="A15" t="s">
        <v>58</v>
      </c>
      <c r="B15">
        <v>0.72599999999999998</v>
      </c>
      <c r="C15">
        <v>-9.7000000000000003E-2</v>
      </c>
      <c r="D15">
        <v>-9.8000000000000004E-2</v>
      </c>
      <c r="E15">
        <v>8.5000000000000006E-2</v>
      </c>
    </row>
    <row r="16" spans="1:5" x14ac:dyDescent="0.2">
      <c r="A16" t="s">
        <v>59</v>
      </c>
      <c r="B16">
        <v>0.73199999999999998</v>
      </c>
      <c r="C16">
        <v>-0.224</v>
      </c>
      <c r="D16">
        <v>-0.24</v>
      </c>
      <c r="E16">
        <v>1.2E-2</v>
      </c>
    </row>
    <row r="17" spans="1:5" x14ac:dyDescent="0.2">
      <c r="A17" t="s">
        <v>60</v>
      </c>
      <c r="B17">
        <v>0.73299999999999998</v>
      </c>
      <c r="C17">
        <v>-0.17499999999999999</v>
      </c>
      <c r="D17">
        <v>-0.161</v>
      </c>
      <c r="E17">
        <v>0.11799999999999999</v>
      </c>
    </row>
    <row r="18" spans="1:5" x14ac:dyDescent="0.2">
      <c r="A18" t="s">
        <v>61</v>
      </c>
      <c r="B18">
        <v>0.73599999999999999</v>
      </c>
      <c r="C18">
        <v>-2.4E-2</v>
      </c>
      <c r="D18">
        <v>0.03</v>
      </c>
      <c r="E18">
        <v>0.26400000000000001</v>
      </c>
    </row>
    <row r="19" spans="1:5" x14ac:dyDescent="0.2">
      <c r="A19" t="s">
        <v>132</v>
      </c>
      <c r="B19">
        <v>0.73499999999999999</v>
      </c>
      <c r="C19">
        <v>8.5000000000000006E-2</v>
      </c>
      <c r="D19">
        <v>0.11799999999999999</v>
      </c>
      <c r="E19">
        <v>0.35299999999999998</v>
      </c>
    </row>
    <row r="20" spans="1:5" x14ac:dyDescent="0.2">
      <c r="A20" t="s">
        <v>210</v>
      </c>
      <c r="B20">
        <v>0.745</v>
      </c>
      <c r="C20">
        <v>0.11</v>
      </c>
      <c r="D20">
        <v>0.125</v>
      </c>
      <c r="E20">
        <v>0.32500000000000001</v>
      </c>
    </row>
    <row r="21" spans="1:5" x14ac:dyDescent="0.2">
      <c r="A21" t="s">
        <v>211</v>
      </c>
      <c r="B21">
        <v>0.75</v>
      </c>
      <c r="C21">
        <v>0.13</v>
      </c>
      <c r="D21">
        <v>0.14000000000000001</v>
      </c>
      <c r="E21">
        <v>0.32700000000000001</v>
      </c>
    </row>
    <row r="22" spans="1:5" x14ac:dyDescent="0.2">
      <c r="A22" t="s">
        <v>212</v>
      </c>
      <c r="B22">
        <v>0.755</v>
      </c>
      <c r="C22">
        <v>0.15</v>
      </c>
      <c r="D22">
        <v>0.157</v>
      </c>
      <c r="E22">
        <v>0.33900000000000002</v>
      </c>
    </row>
    <row r="23" spans="1:5" x14ac:dyDescent="0.2">
      <c r="A23" t="s">
        <v>213</v>
      </c>
      <c r="B23">
        <v>0.75800000000000001</v>
      </c>
      <c r="C23">
        <v>0.16800000000000001</v>
      </c>
      <c r="D23">
        <v>0.17299999999999999</v>
      </c>
      <c r="E23">
        <v>0.35</v>
      </c>
    </row>
    <row r="24" spans="1:5" x14ac:dyDescent="0.2">
      <c r="A24" t="s">
        <v>214</v>
      </c>
      <c r="B24">
        <v>0.76</v>
      </c>
      <c r="C24">
        <v>0.185</v>
      </c>
      <c r="D24">
        <v>0.188</v>
      </c>
      <c r="E24">
        <v>0.36199999999999999</v>
      </c>
    </row>
    <row r="27" spans="1:5" x14ac:dyDescent="0.2">
      <c r="A27" t="s">
        <v>316</v>
      </c>
      <c r="B27" t="s">
        <v>231</v>
      </c>
      <c r="C27" t="s">
        <v>492</v>
      </c>
      <c r="D27" t="s">
        <v>493</v>
      </c>
    </row>
    <row r="28" spans="1:5" x14ac:dyDescent="0.2">
      <c r="A28" t="s">
        <v>132</v>
      </c>
      <c r="B28">
        <v>748</v>
      </c>
      <c r="C28">
        <v>748</v>
      </c>
      <c r="D28">
        <v>748</v>
      </c>
    </row>
    <row r="29" spans="1:5" x14ac:dyDescent="0.2">
      <c r="A29" t="s">
        <v>210</v>
      </c>
      <c r="B29">
        <v>1010</v>
      </c>
      <c r="C29">
        <v>957</v>
      </c>
      <c r="D29">
        <v>898</v>
      </c>
    </row>
    <row r="30" spans="1:5" x14ac:dyDescent="0.2">
      <c r="A30" t="s">
        <v>211</v>
      </c>
      <c r="B30">
        <v>1313</v>
      </c>
      <c r="C30">
        <v>1187</v>
      </c>
      <c r="D30">
        <v>1050</v>
      </c>
    </row>
    <row r="31" spans="1:5" x14ac:dyDescent="0.2">
      <c r="A31" t="s">
        <v>212</v>
      </c>
      <c r="B31">
        <v>1667</v>
      </c>
      <c r="C31">
        <v>1437</v>
      </c>
      <c r="D31">
        <v>1197</v>
      </c>
    </row>
    <row r="32" spans="1:5" x14ac:dyDescent="0.2">
      <c r="A32" t="s">
        <v>213</v>
      </c>
      <c r="B32">
        <v>2068</v>
      </c>
      <c r="C32">
        <v>1695</v>
      </c>
      <c r="D32">
        <v>1341</v>
      </c>
    </row>
    <row r="33" spans="1:4" x14ac:dyDescent="0.2">
      <c r="A33" t="s">
        <v>214</v>
      </c>
      <c r="B33">
        <v>2522</v>
      </c>
      <c r="C33">
        <v>1963</v>
      </c>
      <c r="D33">
        <v>1475</v>
      </c>
    </row>
    <row r="35" spans="1:4" x14ac:dyDescent="0.2">
      <c r="A35" t="s">
        <v>499</v>
      </c>
      <c r="B35" t="s">
        <v>231</v>
      </c>
      <c r="C35" t="s">
        <v>492</v>
      </c>
      <c r="D35" t="s">
        <v>493</v>
      </c>
    </row>
    <row r="36" spans="1:4" x14ac:dyDescent="0.2">
      <c r="A36" t="s">
        <v>500</v>
      </c>
      <c r="B36">
        <v>1786</v>
      </c>
      <c r="C36">
        <v>1234</v>
      </c>
      <c r="D36">
        <v>677</v>
      </c>
    </row>
    <row r="37" spans="1:4" x14ac:dyDescent="0.2">
      <c r="A37" t="s">
        <v>461</v>
      </c>
      <c r="B37">
        <v>5500</v>
      </c>
      <c r="C37">
        <v>2702</v>
      </c>
      <c r="D37">
        <v>1426</v>
      </c>
    </row>
    <row r="38" spans="1:4" x14ac:dyDescent="0.2">
      <c r="A38" t="s">
        <v>751</v>
      </c>
      <c r="B38">
        <v>878</v>
      </c>
      <c r="C38">
        <v>878</v>
      </c>
      <c r="D38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TOC</vt:lpstr>
      <vt:lpstr>Executive Summary</vt:lpstr>
      <vt:lpstr>Historical Financials</vt:lpstr>
      <vt:lpstr>Historical Analysis</vt:lpstr>
      <vt:lpstr>Master Assumptions</vt:lpstr>
      <vt:lpstr>Supporting Schedules</vt:lpstr>
      <vt:lpstr>Forecast Model</vt:lpstr>
      <vt:lpstr>Integration Check</vt:lpstr>
      <vt:lpstr>DCF Valuation</vt:lpstr>
      <vt:lpstr>Sensitivity Analysis</vt:lpstr>
      <vt:lpstr>Scenario Analysis</vt:lpstr>
      <vt:lpstr>Sources &amp; Footnotes</vt:lpstr>
      <vt:lpstr>_ChartData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2026-02-07T14:08:17Z</dcterms:created>
  <dcterms:modified xsi:type="dcterms:W3CDTF">2026-03-06T19:29:07Z</dcterms:modified>
</cp:coreProperties>
</file>